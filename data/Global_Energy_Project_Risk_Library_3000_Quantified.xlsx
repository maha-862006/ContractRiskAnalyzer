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17CC57D8-74BC-41B6-85F0-6EC1398E73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inancial Inputs" sheetId="1" r:id="rId1"/>
    <sheet name="Financial Summary" sheetId="2" r:id="rId2"/>
    <sheet name="Risk Library" sheetId="3" r:id="rId3"/>
    <sheet name="Category Summary" sheetId="4" r:id="rId4"/>
    <sheet name="Coverage Matrix" sheetId="5" r:id="rId5"/>
    <sheet name="Method &amp; Sources" sheetId="6" r:id="rId6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4" l="1"/>
  <c r="F33" i="4"/>
  <c r="E33" i="4"/>
  <c r="D33" i="4"/>
  <c r="B33" i="4"/>
  <c r="G32" i="4"/>
  <c r="F32" i="4"/>
  <c r="E32" i="4"/>
  <c r="D32" i="4"/>
  <c r="B32" i="4"/>
  <c r="G31" i="4"/>
  <c r="F31" i="4"/>
  <c r="E31" i="4"/>
  <c r="D31" i="4"/>
  <c r="B31" i="4"/>
  <c r="G30" i="4"/>
  <c r="F30" i="4"/>
  <c r="E30" i="4"/>
  <c r="D30" i="4"/>
  <c r="B30" i="4"/>
  <c r="G29" i="4"/>
  <c r="F29" i="4"/>
  <c r="E29" i="4"/>
  <c r="D29" i="4"/>
  <c r="B29" i="4"/>
  <c r="G28" i="4"/>
  <c r="F28" i="4"/>
  <c r="E28" i="4"/>
  <c r="D28" i="4"/>
  <c r="B28" i="4"/>
  <c r="G27" i="4"/>
  <c r="F27" i="4"/>
  <c r="E27" i="4"/>
  <c r="D27" i="4"/>
  <c r="B27" i="4"/>
  <c r="G26" i="4"/>
  <c r="F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D22" i="4"/>
  <c r="B22" i="4"/>
  <c r="G21" i="4"/>
  <c r="F21" i="4"/>
  <c r="E21" i="4"/>
  <c r="D21" i="4"/>
  <c r="B21" i="4"/>
  <c r="G20" i="4"/>
  <c r="F20" i="4"/>
  <c r="E20" i="4"/>
  <c r="D20" i="4"/>
  <c r="B20" i="4"/>
  <c r="G19" i="4"/>
  <c r="F19" i="4"/>
  <c r="E19" i="4"/>
  <c r="D19" i="4"/>
  <c r="B19" i="4"/>
  <c r="G18" i="4"/>
  <c r="F18" i="4"/>
  <c r="E18" i="4"/>
  <c r="D18" i="4"/>
  <c r="B18" i="4"/>
  <c r="G17" i="4"/>
  <c r="F17" i="4"/>
  <c r="E17" i="4"/>
  <c r="D17" i="4"/>
  <c r="B17" i="4"/>
  <c r="G16" i="4"/>
  <c r="F16" i="4"/>
  <c r="E16" i="4"/>
  <c r="D16" i="4"/>
  <c r="B16" i="4"/>
  <c r="G15" i="4"/>
  <c r="F15" i="4"/>
  <c r="E15" i="4"/>
  <c r="D15" i="4"/>
  <c r="B15" i="4"/>
  <c r="G14" i="4"/>
  <c r="F14" i="4"/>
  <c r="E14" i="4"/>
  <c r="D14" i="4"/>
  <c r="B14" i="4"/>
  <c r="G13" i="4"/>
  <c r="F13" i="4"/>
  <c r="E13" i="4"/>
  <c r="D13" i="4"/>
  <c r="B13" i="4"/>
  <c r="G12" i="4"/>
  <c r="F12" i="4"/>
  <c r="E12" i="4"/>
  <c r="D12" i="4"/>
  <c r="B12" i="4"/>
  <c r="G11" i="4"/>
  <c r="F11" i="4"/>
  <c r="E11" i="4"/>
  <c r="D11" i="4"/>
  <c r="B11" i="4"/>
  <c r="G10" i="4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G7" i="4"/>
  <c r="F7" i="4"/>
  <c r="E7" i="4"/>
  <c r="D7" i="4"/>
  <c r="B7" i="4"/>
  <c r="G6" i="4"/>
  <c r="F6" i="4"/>
  <c r="E6" i="4"/>
  <c r="D6" i="4"/>
  <c r="B6" i="4"/>
  <c r="G5" i="4"/>
  <c r="F5" i="4"/>
  <c r="E5" i="4"/>
  <c r="D5" i="4"/>
  <c r="B5" i="4"/>
  <c r="G4" i="4"/>
  <c r="F4" i="4"/>
  <c r="E4" i="4"/>
  <c r="D4" i="4"/>
  <c r="B4" i="4"/>
  <c r="R3001" i="3"/>
  <c r="P3001" i="3"/>
  <c r="O3001" i="3"/>
  <c r="Q3001" i="3" s="1"/>
  <c r="S3001" i="3" s="1"/>
  <c r="T3001" i="3" s="1"/>
  <c r="R3000" i="3"/>
  <c r="P3000" i="3"/>
  <c r="O3000" i="3"/>
  <c r="Q3000" i="3" s="1"/>
  <c r="S3000" i="3" s="1"/>
  <c r="T3000" i="3" s="1"/>
  <c r="R2999" i="3"/>
  <c r="P2999" i="3"/>
  <c r="O2999" i="3"/>
  <c r="Q2999" i="3" s="1"/>
  <c r="S2999" i="3" s="1"/>
  <c r="T2999" i="3" s="1"/>
  <c r="R2998" i="3"/>
  <c r="P2998" i="3"/>
  <c r="O2998" i="3"/>
  <c r="Q2998" i="3" s="1"/>
  <c r="S2998" i="3" s="1"/>
  <c r="T2998" i="3" s="1"/>
  <c r="R2997" i="3"/>
  <c r="P2997" i="3"/>
  <c r="O2997" i="3"/>
  <c r="Q2997" i="3" s="1"/>
  <c r="S2997" i="3" s="1"/>
  <c r="T2997" i="3" s="1"/>
  <c r="R2996" i="3"/>
  <c r="P2996" i="3"/>
  <c r="O2996" i="3"/>
  <c r="Q2996" i="3" s="1"/>
  <c r="S2996" i="3" s="1"/>
  <c r="T2996" i="3" s="1"/>
  <c r="R2995" i="3"/>
  <c r="P2995" i="3"/>
  <c r="O2995" i="3"/>
  <c r="Q2995" i="3" s="1"/>
  <c r="S2995" i="3" s="1"/>
  <c r="T2995" i="3" s="1"/>
  <c r="R2994" i="3"/>
  <c r="P2994" i="3"/>
  <c r="O2994" i="3"/>
  <c r="Q2994" i="3" s="1"/>
  <c r="S2994" i="3" s="1"/>
  <c r="T2994" i="3" s="1"/>
  <c r="R2993" i="3"/>
  <c r="P2993" i="3"/>
  <c r="O2993" i="3"/>
  <c r="Q2993" i="3" s="1"/>
  <c r="S2993" i="3" s="1"/>
  <c r="T2993" i="3" s="1"/>
  <c r="R2992" i="3"/>
  <c r="P2992" i="3"/>
  <c r="O2992" i="3"/>
  <c r="Q2992" i="3" s="1"/>
  <c r="S2992" i="3" s="1"/>
  <c r="T2992" i="3" s="1"/>
  <c r="R2991" i="3"/>
  <c r="P2991" i="3"/>
  <c r="O2991" i="3"/>
  <c r="Q2991" i="3" s="1"/>
  <c r="S2991" i="3" s="1"/>
  <c r="T2991" i="3" s="1"/>
  <c r="R2990" i="3"/>
  <c r="P2990" i="3"/>
  <c r="O2990" i="3"/>
  <c r="Q2990" i="3" s="1"/>
  <c r="S2990" i="3" s="1"/>
  <c r="T2990" i="3" s="1"/>
  <c r="R2989" i="3"/>
  <c r="P2989" i="3"/>
  <c r="O2989" i="3"/>
  <c r="Q2989" i="3" s="1"/>
  <c r="S2989" i="3" s="1"/>
  <c r="T2989" i="3" s="1"/>
  <c r="R2988" i="3"/>
  <c r="P2988" i="3"/>
  <c r="O2988" i="3"/>
  <c r="Q2988" i="3" s="1"/>
  <c r="S2988" i="3" s="1"/>
  <c r="T2988" i="3" s="1"/>
  <c r="R2987" i="3"/>
  <c r="P2987" i="3"/>
  <c r="O2987" i="3"/>
  <c r="Q2987" i="3" s="1"/>
  <c r="S2987" i="3" s="1"/>
  <c r="T2987" i="3" s="1"/>
  <c r="R2986" i="3"/>
  <c r="P2986" i="3"/>
  <c r="O2986" i="3"/>
  <c r="Q2986" i="3" s="1"/>
  <c r="S2986" i="3" s="1"/>
  <c r="T2986" i="3" s="1"/>
  <c r="R2985" i="3"/>
  <c r="P2985" i="3"/>
  <c r="O2985" i="3"/>
  <c r="Q2985" i="3" s="1"/>
  <c r="S2985" i="3" s="1"/>
  <c r="T2985" i="3" s="1"/>
  <c r="R2984" i="3"/>
  <c r="P2984" i="3"/>
  <c r="O2984" i="3"/>
  <c r="Q2984" i="3" s="1"/>
  <c r="S2984" i="3" s="1"/>
  <c r="T2984" i="3" s="1"/>
  <c r="R2983" i="3"/>
  <c r="P2983" i="3"/>
  <c r="O2983" i="3"/>
  <c r="Q2983" i="3" s="1"/>
  <c r="S2983" i="3" s="1"/>
  <c r="T2983" i="3" s="1"/>
  <c r="R2982" i="3"/>
  <c r="P2982" i="3"/>
  <c r="O2982" i="3"/>
  <c r="Q2982" i="3" s="1"/>
  <c r="S2982" i="3" s="1"/>
  <c r="T2982" i="3" s="1"/>
  <c r="R2981" i="3"/>
  <c r="P2981" i="3"/>
  <c r="O2981" i="3"/>
  <c r="Q2981" i="3" s="1"/>
  <c r="S2981" i="3" s="1"/>
  <c r="T2981" i="3" s="1"/>
  <c r="R2980" i="3"/>
  <c r="P2980" i="3"/>
  <c r="O2980" i="3"/>
  <c r="Q2980" i="3" s="1"/>
  <c r="S2980" i="3" s="1"/>
  <c r="T2980" i="3" s="1"/>
  <c r="R2979" i="3"/>
  <c r="P2979" i="3"/>
  <c r="O2979" i="3"/>
  <c r="Q2979" i="3" s="1"/>
  <c r="S2979" i="3" s="1"/>
  <c r="T2979" i="3" s="1"/>
  <c r="R2978" i="3"/>
  <c r="P2978" i="3"/>
  <c r="O2978" i="3"/>
  <c r="Q2978" i="3" s="1"/>
  <c r="S2978" i="3" s="1"/>
  <c r="T2978" i="3" s="1"/>
  <c r="R2977" i="3"/>
  <c r="P2977" i="3"/>
  <c r="O2977" i="3"/>
  <c r="Q2977" i="3" s="1"/>
  <c r="S2977" i="3" s="1"/>
  <c r="T2977" i="3" s="1"/>
  <c r="R2976" i="3"/>
  <c r="P2976" i="3"/>
  <c r="O2976" i="3"/>
  <c r="Q2976" i="3" s="1"/>
  <c r="S2976" i="3" s="1"/>
  <c r="T2976" i="3" s="1"/>
  <c r="R2975" i="3"/>
  <c r="P2975" i="3"/>
  <c r="O2975" i="3"/>
  <c r="Q2975" i="3" s="1"/>
  <c r="S2975" i="3" s="1"/>
  <c r="T2975" i="3" s="1"/>
  <c r="R2974" i="3"/>
  <c r="P2974" i="3"/>
  <c r="O2974" i="3"/>
  <c r="Q2974" i="3" s="1"/>
  <c r="S2974" i="3" s="1"/>
  <c r="T2974" i="3" s="1"/>
  <c r="R2973" i="3"/>
  <c r="P2973" i="3"/>
  <c r="O2973" i="3"/>
  <c r="Q2973" i="3" s="1"/>
  <c r="S2973" i="3" s="1"/>
  <c r="T2973" i="3" s="1"/>
  <c r="R2972" i="3"/>
  <c r="P2972" i="3"/>
  <c r="O2972" i="3"/>
  <c r="Q2972" i="3" s="1"/>
  <c r="S2972" i="3" s="1"/>
  <c r="T2972" i="3" s="1"/>
  <c r="R2971" i="3"/>
  <c r="P2971" i="3"/>
  <c r="O2971" i="3"/>
  <c r="Q2971" i="3" s="1"/>
  <c r="S2971" i="3" s="1"/>
  <c r="T2971" i="3" s="1"/>
  <c r="R2970" i="3"/>
  <c r="P2970" i="3"/>
  <c r="O2970" i="3"/>
  <c r="Q2970" i="3" s="1"/>
  <c r="S2970" i="3" s="1"/>
  <c r="T2970" i="3" s="1"/>
  <c r="R2969" i="3"/>
  <c r="P2969" i="3"/>
  <c r="O2969" i="3"/>
  <c r="Q2969" i="3" s="1"/>
  <c r="S2969" i="3" s="1"/>
  <c r="T2969" i="3" s="1"/>
  <c r="R2968" i="3"/>
  <c r="P2968" i="3"/>
  <c r="O2968" i="3"/>
  <c r="Q2968" i="3" s="1"/>
  <c r="S2968" i="3" s="1"/>
  <c r="T2968" i="3" s="1"/>
  <c r="R2967" i="3"/>
  <c r="P2967" i="3"/>
  <c r="O2967" i="3"/>
  <c r="Q2967" i="3" s="1"/>
  <c r="S2967" i="3" s="1"/>
  <c r="T2967" i="3" s="1"/>
  <c r="R2966" i="3"/>
  <c r="P2966" i="3"/>
  <c r="O2966" i="3"/>
  <c r="Q2966" i="3" s="1"/>
  <c r="S2966" i="3" s="1"/>
  <c r="T2966" i="3" s="1"/>
  <c r="R2965" i="3"/>
  <c r="P2965" i="3"/>
  <c r="O2965" i="3"/>
  <c r="Q2965" i="3" s="1"/>
  <c r="S2965" i="3" s="1"/>
  <c r="T2965" i="3" s="1"/>
  <c r="R2964" i="3"/>
  <c r="P2964" i="3"/>
  <c r="O2964" i="3"/>
  <c r="Q2964" i="3" s="1"/>
  <c r="S2964" i="3" s="1"/>
  <c r="T2964" i="3" s="1"/>
  <c r="R2963" i="3"/>
  <c r="P2963" i="3"/>
  <c r="O2963" i="3"/>
  <c r="Q2963" i="3" s="1"/>
  <c r="S2963" i="3" s="1"/>
  <c r="T2963" i="3" s="1"/>
  <c r="R2962" i="3"/>
  <c r="P2962" i="3"/>
  <c r="O2962" i="3"/>
  <c r="Q2962" i="3" s="1"/>
  <c r="S2962" i="3" s="1"/>
  <c r="T2962" i="3" s="1"/>
  <c r="R2961" i="3"/>
  <c r="P2961" i="3"/>
  <c r="O2961" i="3"/>
  <c r="Q2961" i="3" s="1"/>
  <c r="S2961" i="3" s="1"/>
  <c r="T2961" i="3" s="1"/>
  <c r="R2960" i="3"/>
  <c r="P2960" i="3"/>
  <c r="O2960" i="3"/>
  <c r="Q2960" i="3" s="1"/>
  <c r="S2960" i="3" s="1"/>
  <c r="T2960" i="3" s="1"/>
  <c r="R2959" i="3"/>
  <c r="P2959" i="3"/>
  <c r="O2959" i="3"/>
  <c r="Q2959" i="3" s="1"/>
  <c r="S2959" i="3" s="1"/>
  <c r="T2959" i="3" s="1"/>
  <c r="R2958" i="3"/>
  <c r="P2958" i="3"/>
  <c r="O2958" i="3"/>
  <c r="Q2958" i="3" s="1"/>
  <c r="S2958" i="3" s="1"/>
  <c r="T2958" i="3" s="1"/>
  <c r="R2957" i="3"/>
  <c r="P2957" i="3"/>
  <c r="O2957" i="3"/>
  <c r="Q2957" i="3" s="1"/>
  <c r="S2957" i="3" s="1"/>
  <c r="T2957" i="3" s="1"/>
  <c r="R2956" i="3"/>
  <c r="P2956" i="3"/>
  <c r="O2956" i="3"/>
  <c r="Q2956" i="3" s="1"/>
  <c r="S2956" i="3" s="1"/>
  <c r="T2956" i="3" s="1"/>
  <c r="R2955" i="3"/>
  <c r="P2955" i="3"/>
  <c r="O2955" i="3"/>
  <c r="Q2955" i="3" s="1"/>
  <c r="S2955" i="3" s="1"/>
  <c r="T2955" i="3" s="1"/>
  <c r="R2954" i="3"/>
  <c r="P2954" i="3"/>
  <c r="O2954" i="3"/>
  <c r="Q2954" i="3" s="1"/>
  <c r="S2954" i="3" s="1"/>
  <c r="T2954" i="3" s="1"/>
  <c r="R2953" i="3"/>
  <c r="P2953" i="3"/>
  <c r="O2953" i="3"/>
  <c r="Q2953" i="3" s="1"/>
  <c r="S2953" i="3" s="1"/>
  <c r="T2953" i="3" s="1"/>
  <c r="R2952" i="3"/>
  <c r="P2952" i="3"/>
  <c r="O2952" i="3"/>
  <c r="Q2952" i="3" s="1"/>
  <c r="S2952" i="3" s="1"/>
  <c r="T2952" i="3" s="1"/>
  <c r="R2951" i="3"/>
  <c r="P2951" i="3"/>
  <c r="O2951" i="3"/>
  <c r="Q2951" i="3" s="1"/>
  <c r="S2951" i="3" s="1"/>
  <c r="T2951" i="3" s="1"/>
  <c r="R2950" i="3"/>
  <c r="P2950" i="3"/>
  <c r="O2950" i="3"/>
  <c r="Q2950" i="3" s="1"/>
  <c r="S2950" i="3" s="1"/>
  <c r="T2950" i="3" s="1"/>
  <c r="R2949" i="3"/>
  <c r="P2949" i="3"/>
  <c r="O2949" i="3"/>
  <c r="Q2949" i="3" s="1"/>
  <c r="S2949" i="3" s="1"/>
  <c r="T2949" i="3" s="1"/>
  <c r="R2948" i="3"/>
  <c r="P2948" i="3"/>
  <c r="O2948" i="3"/>
  <c r="Q2948" i="3" s="1"/>
  <c r="S2948" i="3" s="1"/>
  <c r="T2948" i="3" s="1"/>
  <c r="R2947" i="3"/>
  <c r="P2947" i="3"/>
  <c r="O2947" i="3"/>
  <c r="Q2947" i="3" s="1"/>
  <c r="S2947" i="3" s="1"/>
  <c r="T2947" i="3" s="1"/>
  <c r="R2946" i="3"/>
  <c r="P2946" i="3"/>
  <c r="O2946" i="3"/>
  <c r="Q2946" i="3" s="1"/>
  <c r="S2946" i="3" s="1"/>
  <c r="T2946" i="3" s="1"/>
  <c r="R2945" i="3"/>
  <c r="P2945" i="3"/>
  <c r="O2945" i="3"/>
  <c r="Q2945" i="3" s="1"/>
  <c r="S2945" i="3" s="1"/>
  <c r="T2945" i="3" s="1"/>
  <c r="R2944" i="3"/>
  <c r="P2944" i="3"/>
  <c r="O2944" i="3"/>
  <c r="Q2944" i="3" s="1"/>
  <c r="S2944" i="3" s="1"/>
  <c r="T2944" i="3" s="1"/>
  <c r="R2943" i="3"/>
  <c r="P2943" i="3"/>
  <c r="O2943" i="3"/>
  <c r="Q2943" i="3" s="1"/>
  <c r="S2943" i="3" s="1"/>
  <c r="T2943" i="3" s="1"/>
  <c r="R2942" i="3"/>
  <c r="P2942" i="3"/>
  <c r="O2942" i="3"/>
  <c r="Q2942" i="3" s="1"/>
  <c r="S2942" i="3" s="1"/>
  <c r="T2942" i="3" s="1"/>
  <c r="R2941" i="3"/>
  <c r="P2941" i="3"/>
  <c r="O2941" i="3"/>
  <c r="Q2941" i="3" s="1"/>
  <c r="S2941" i="3" s="1"/>
  <c r="T2941" i="3" s="1"/>
  <c r="R2940" i="3"/>
  <c r="P2940" i="3"/>
  <c r="O2940" i="3"/>
  <c r="Q2940" i="3" s="1"/>
  <c r="S2940" i="3" s="1"/>
  <c r="T2940" i="3" s="1"/>
  <c r="R2939" i="3"/>
  <c r="P2939" i="3"/>
  <c r="O2939" i="3"/>
  <c r="Q2939" i="3" s="1"/>
  <c r="S2939" i="3" s="1"/>
  <c r="T2939" i="3" s="1"/>
  <c r="R2938" i="3"/>
  <c r="P2938" i="3"/>
  <c r="O2938" i="3"/>
  <c r="Q2938" i="3" s="1"/>
  <c r="S2938" i="3" s="1"/>
  <c r="T2938" i="3" s="1"/>
  <c r="R2937" i="3"/>
  <c r="P2937" i="3"/>
  <c r="O2937" i="3"/>
  <c r="Q2937" i="3" s="1"/>
  <c r="S2937" i="3" s="1"/>
  <c r="T2937" i="3" s="1"/>
  <c r="R2936" i="3"/>
  <c r="P2936" i="3"/>
  <c r="O2936" i="3"/>
  <c r="Q2936" i="3" s="1"/>
  <c r="S2936" i="3" s="1"/>
  <c r="T2936" i="3" s="1"/>
  <c r="R2935" i="3"/>
  <c r="P2935" i="3"/>
  <c r="O2935" i="3"/>
  <c r="Q2935" i="3" s="1"/>
  <c r="S2935" i="3" s="1"/>
  <c r="T2935" i="3" s="1"/>
  <c r="R2934" i="3"/>
  <c r="P2934" i="3"/>
  <c r="O2934" i="3"/>
  <c r="Q2934" i="3" s="1"/>
  <c r="S2934" i="3" s="1"/>
  <c r="T2934" i="3" s="1"/>
  <c r="R2933" i="3"/>
  <c r="P2933" i="3"/>
  <c r="O2933" i="3"/>
  <c r="Q2933" i="3" s="1"/>
  <c r="S2933" i="3" s="1"/>
  <c r="T2933" i="3" s="1"/>
  <c r="R2932" i="3"/>
  <c r="P2932" i="3"/>
  <c r="O2932" i="3"/>
  <c r="Q2932" i="3" s="1"/>
  <c r="S2932" i="3" s="1"/>
  <c r="T2932" i="3" s="1"/>
  <c r="R2931" i="3"/>
  <c r="P2931" i="3"/>
  <c r="O2931" i="3"/>
  <c r="Q2931" i="3" s="1"/>
  <c r="S2931" i="3" s="1"/>
  <c r="T2931" i="3" s="1"/>
  <c r="R2930" i="3"/>
  <c r="P2930" i="3"/>
  <c r="O2930" i="3"/>
  <c r="Q2930" i="3" s="1"/>
  <c r="S2930" i="3" s="1"/>
  <c r="T2930" i="3" s="1"/>
  <c r="R2929" i="3"/>
  <c r="P2929" i="3"/>
  <c r="O2929" i="3"/>
  <c r="Q2929" i="3" s="1"/>
  <c r="S2929" i="3" s="1"/>
  <c r="T2929" i="3" s="1"/>
  <c r="R2928" i="3"/>
  <c r="P2928" i="3"/>
  <c r="O2928" i="3"/>
  <c r="Q2928" i="3" s="1"/>
  <c r="S2928" i="3" s="1"/>
  <c r="T2928" i="3" s="1"/>
  <c r="R2927" i="3"/>
  <c r="P2927" i="3"/>
  <c r="O2927" i="3"/>
  <c r="Q2927" i="3" s="1"/>
  <c r="S2927" i="3" s="1"/>
  <c r="T2927" i="3" s="1"/>
  <c r="R2926" i="3"/>
  <c r="P2926" i="3"/>
  <c r="O2926" i="3"/>
  <c r="Q2926" i="3" s="1"/>
  <c r="S2926" i="3" s="1"/>
  <c r="T2926" i="3" s="1"/>
  <c r="R2925" i="3"/>
  <c r="P2925" i="3"/>
  <c r="O2925" i="3"/>
  <c r="Q2925" i="3" s="1"/>
  <c r="S2925" i="3" s="1"/>
  <c r="T2925" i="3" s="1"/>
  <c r="R2924" i="3"/>
  <c r="P2924" i="3"/>
  <c r="O2924" i="3"/>
  <c r="Q2924" i="3" s="1"/>
  <c r="S2924" i="3" s="1"/>
  <c r="T2924" i="3" s="1"/>
  <c r="R2923" i="3"/>
  <c r="P2923" i="3"/>
  <c r="O2923" i="3"/>
  <c r="Q2923" i="3" s="1"/>
  <c r="S2923" i="3" s="1"/>
  <c r="T2923" i="3" s="1"/>
  <c r="R2922" i="3"/>
  <c r="P2922" i="3"/>
  <c r="O2922" i="3"/>
  <c r="Q2922" i="3" s="1"/>
  <c r="S2922" i="3" s="1"/>
  <c r="T2922" i="3" s="1"/>
  <c r="R2921" i="3"/>
  <c r="P2921" i="3"/>
  <c r="O2921" i="3"/>
  <c r="Q2921" i="3" s="1"/>
  <c r="S2921" i="3" s="1"/>
  <c r="T2921" i="3" s="1"/>
  <c r="R2920" i="3"/>
  <c r="P2920" i="3"/>
  <c r="O2920" i="3"/>
  <c r="Q2920" i="3" s="1"/>
  <c r="S2920" i="3" s="1"/>
  <c r="T2920" i="3" s="1"/>
  <c r="R2919" i="3"/>
  <c r="P2919" i="3"/>
  <c r="O2919" i="3"/>
  <c r="Q2919" i="3" s="1"/>
  <c r="S2919" i="3" s="1"/>
  <c r="T2919" i="3" s="1"/>
  <c r="R2918" i="3"/>
  <c r="P2918" i="3"/>
  <c r="O2918" i="3"/>
  <c r="Q2918" i="3" s="1"/>
  <c r="S2918" i="3" s="1"/>
  <c r="T2918" i="3" s="1"/>
  <c r="R2917" i="3"/>
  <c r="P2917" i="3"/>
  <c r="O2917" i="3"/>
  <c r="Q2917" i="3" s="1"/>
  <c r="S2917" i="3" s="1"/>
  <c r="T2917" i="3" s="1"/>
  <c r="R2916" i="3"/>
  <c r="P2916" i="3"/>
  <c r="O2916" i="3"/>
  <c r="Q2916" i="3" s="1"/>
  <c r="S2916" i="3" s="1"/>
  <c r="T2916" i="3" s="1"/>
  <c r="R2915" i="3"/>
  <c r="P2915" i="3"/>
  <c r="O2915" i="3"/>
  <c r="Q2915" i="3" s="1"/>
  <c r="S2915" i="3" s="1"/>
  <c r="T2915" i="3" s="1"/>
  <c r="R2914" i="3"/>
  <c r="P2914" i="3"/>
  <c r="O2914" i="3"/>
  <c r="Q2914" i="3" s="1"/>
  <c r="S2914" i="3" s="1"/>
  <c r="T2914" i="3" s="1"/>
  <c r="R2913" i="3"/>
  <c r="P2913" i="3"/>
  <c r="O2913" i="3"/>
  <c r="Q2913" i="3" s="1"/>
  <c r="S2913" i="3" s="1"/>
  <c r="T2913" i="3" s="1"/>
  <c r="R2912" i="3"/>
  <c r="P2912" i="3"/>
  <c r="O2912" i="3"/>
  <c r="Q2912" i="3" s="1"/>
  <c r="S2912" i="3" s="1"/>
  <c r="T2912" i="3" s="1"/>
  <c r="R2911" i="3"/>
  <c r="P2911" i="3"/>
  <c r="O2911" i="3"/>
  <c r="Q2911" i="3" s="1"/>
  <c r="S2911" i="3" s="1"/>
  <c r="T2911" i="3" s="1"/>
  <c r="R2910" i="3"/>
  <c r="P2910" i="3"/>
  <c r="O2910" i="3"/>
  <c r="Q2910" i="3" s="1"/>
  <c r="S2910" i="3" s="1"/>
  <c r="T2910" i="3" s="1"/>
  <c r="R2909" i="3"/>
  <c r="P2909" i="3"/>
  <c r="O2909" i="3"/>
  <c r="Q2909" i="3" s="1"/>
  <c r="S2909" i="3" s="1"/>
  <c r="T2909" i="3" s="1"/>
  <c r="R2908" i="3"/>
  <c r="P2908" i="3"/>
  <c r="O2908" i="3"/>
  <c r="Q2908" i="3" s="1"/>
  <c r="S2908" i="3" s="1"/>
  <c r="T2908" i="3" s="1"/>
  <c r="R2907" i="3"/>
  <c r="P2907" i="3"/>
  <c r="O2907" i="3"/>
  <c r="Q2907" i="3" s="1"/>
  <c r="S2907" i="3" s="1"/>
  <c r="T2907" i="3" s="1"/>
  <c r="R2906" i="3"/>
  <c r="P2906" i="3"/>
  <c r="O2906" i="3"/>
  <c r="Q2906" i="3" s="1"/>
  <c r="S2906" i="3" s="1"/>
  <c r="T2906" i="3" s="1"/>
  <c r="R2905" i="3"/>
  <c r="P2905" i="3"/>
  <c r="O2905" i="3"/>
  <c r="Q2905" i="3" s="1"/>
  <c r="S2905" i="3" s="1"/>
  <c r="T2905" i="3" s="1"/>
  <c r="R2904" i="3"/>
  <c r="P2904" i="3"/>
  <c r="O2904" i="3"/>
  <c r="Q2904" i="3" s="1"/>
  <c r="S2904" i="3" s="1"/>
  <c r="T2904" i="3" s="1"/>
  <c r="R2903" i="3"/>
  <c r="P2903" i="3"/>
  <c r="O2903" i="3"/>
  <c r="Q2903" i="3" s="1"/>
  <c r="S2903" i="3" s="1"/>
  <c r="T2903" i="3" s="1"/>
  <c r="R2902" i="3"/>
  <c r="P2902" i="3"/>
  <c r="O2902" i="3"/>
  <c r="Q2902" i="3" s="1"/>
  <c r="S2902" i="3" s="1"/>
  <c r="T2902" i="3" s="1"/>
  <c r="R2901" i="3"/>
  <c r="P2901" i="3"/>
  <c r="O2901" i="3"/>
  <c r="Q2901" i="3" s="1"/>
  <c r="S2901" i="3" s="1"/>
  <c r="T2901" i="3" s="1"/>
  <c r="R2900" i="3"/>
  <c r="P2900" i="3"/>
  <c r="O2900" i="3"/>
  <c r="Q2900" i="3" s="1"/>
  <c r="S2900" i="3" s="1"/>
  <c r="T2900" i="3" s="1"/>
  <c r="R2899" i="3"/>
  <c r="P2899" i="3"/>
  <c r="O2899" i="3"/>
  <c r="Q2899" i="3" s="1"/>
  <c r="S2899" i="3" s="1"/>
  <c r="T2899" i="3" s="1"/>
  <c r="R2898" i="3"/>
  <c r="P2898" i="3"/>
  <c r="O2898" i="3"/>
  <c r="Q2898" i="3" s="1"/>
  <c r="S2898" i="3" s="1"/>
  <c r="T2898" i="3" s="1"/>
  <c r="R2897" i="3"/>
  <c r="P2897" i="3"/>
  <c r="O2897" i="3"/>
  <c r="Q2897" i="3" s="1"/>
  <c r="S2897" i="3" s="1"/>
  <c r="T2897" i="3" s="1"/>
  <c r="R2896" i="3"/>
  <c r="P2896" i="3"/>
  <c r="O2896" i="3"/>
  <c r="Q2896" i="3" s="1"/>
  <c r="S2896" i="3" s="1"/>
  <c r="T2896" i="3" s="1"/>
  <c r="R2895" i="3"/>
  <c r="P2895" i="3"/>
  <c r="O2895" i="3"/>
  <c r="Q2895" i="3" s="1"/>
  <c r="S2895" i="3" s="1"/>
  <c r="T2895" i="3" s="1"/>
  <c r="R2894" i="3"/>
  <c r="P2894" i="3"/>
  <c r="O2894" i="3"/>
  <c r="Q2894" i="3" s="1"/>
  <c r="S2894" i="3" s="1"/>
  <c r="T2894" i="3" s="1"/>
  <c r="R2893" i="3"/>
  <c r="P2893" i="3"/>
  <c r="O2893" i="3"/>
  <c r="Q2893" i="3" s="1"/>
  <c r="S2893" i="3" s="1"/>
  <c r="T2893" i="3" s="1"/>
  <c r="R2892" i="3"/>
  <c r="P2892" i="3"/>
  <c r="O2892" i="3"/>
  <c r="Q2892" i="3" s="1"/>
  <c r="S2892" i="3" s="1"/>
  <c r="T2892" i="3" s="1"/>
  <c r="R2891" i="3"/>
  <c r="P2891" i="3"/>
  <c r="O2891" i="3"/>
  <c r="Q2891" i="3" s="1"/>
  <c r="S2891" i="3" s="1"/>
  <c r="T2891" i="3" s="1"/>
  <c r="R2890" i="3"/>
  <c r="P2890" i="3"/>
  <c r="O2890" i="3"/>
  <c r="Q2890" i="3" s="1"/>
  <c r="S2890" i="3" s="1"/>
  <c r="T2890" i="3" s="1"/>
  <c r="R2889" i="3"/>
  <c r="P2889" i="3"/>
  <c r="O2889" i="3"/>
  <c r="Q2889" i="3" s="1"/>
  <c r="S2889" i="3" s="1"/>
  <c r="T2889" i="3" s="1"/>
  <c r="R2888" i="3"/>
  <c r="P2888" i="3"/>
  <c r="O2888" i="3"/>
  <c r="Q2888" i="3" s="1"/>
  <c r="S2888" i="3" s="1"/>
  <c r="T2888" i="3" s="1"/>
  <c r="R2887" i="3"/>
  <c r="P2887" i="3"/>
  <c r="O2887" i="3"/>
  <c r="Q2887" i="3" s="1"/>
  <c r="S2887" i="3" s="1"/>
  <c r="T2887" i="3" s="1"/>
  <c r="R2886" i="3"/>
  <c r="P2886" i="3"/>
  <c r="O2886" i="3"/>
  <c r="Q2886" i="3" s="1"/>
  <c r="S2886" i="3" s="1"/>
  <c r="T2886" i="3" s="1"/>
  <c r="R2885" i="3"/>
  <c r="P2885" i="3"/>
  <c r="O2885" i="3"/>
  <c r="Q2885" i="3" s="1"/>
  <c r="S2885" i="3" s="1"/>
  <c r="T2885" i="3" s="1"/>
  <c r="R2884" i="3"/>
  <c r="P2884" i="3"/>
  <c r="O2884" i="3"/>
  <c r="Q2884" i="3" s="1"/>
  <c r="S2884" i="3" s="1"/>
  <c r="T2884" i="3" s="1"/>
  <c r="R2883" i="3"/>
  <c r="P2883" i="3"/>
  <c r="O2883" i="3"/>
  <c r="Q2883" i="3" s="1"/>
  <c r="S2883" i="3" s="1"/>
  <c r="T2883" i="3" s="1"/>
  <c r="R2882" i="3"/>
  <c r="P2882" i="3"/>
  <c r="O2882" i="3"/>
  <c r="Q2882" i="3" s="1"/>
  <c r="S2882" i="3" s="1"/>
  <c r="T2882" i="3" s="1"/>
  <c r="R2881" i="3"/>
  <c r="P2881" i="3"/>
  <c r="O2881" i="3"/>
  <c r="Q2881" i="3" s="1"/>
  <c r="S2881" i="3" s="1"/>
  <c r="T2881" i="3" s="1"/>
  <c r="R2880" i="3"/>
  <c r="P2880" i="3"/>
  <c r="O2880" i="3"/>
  <c r="Q2880" i="3" s="1"/>
  <c r="S2880" i="3" s="1"/>
  <c r="T2880" i="3" s="1"/>
  <c r="R2879" i="3"/>
  <c r="P2879" i="3"/>
  <c r="O2879" i="3"/>
  <c r="Q2879" i="3" s="1"/>
  <c r="S2879" i="3" s="1"/>
  <c r="T2879" i="3" s="1"/>
  <c r="R2878" i="3"/>
  <c r="P2878" i="3"/>
  <c r="O2878" i="3"/>
  <c r="Q2878" i="3" s="1"/>
  <c r="S2878" i="3" s="1"/>
  <c r="T2878" i="3" s="1"/>
  <c r="R2877" i="3"/>
  <c r="P2877" i="3"/>
  <c r="O2877" i="3"/>
  <c r="Q2877" i="3" s="1"/>
  <c r="S2877" i="3" s="1"/>
  <c r="T2877" i="3" s="1"/>
  <c r="R2876" i="3"/>
  <c r="P2876" i="3"/>
  <c r="O2876" i="3"/>
  <c r="Q2876" i="3" s="1"/>
  <c r="S2876" i="3" s="1"/>
  <c r="T2876" i="3" s="1"/>
  <c r="R2875" i="3"/>
  <c r="P2875" i="3"/>
  <c r="O2875" i="3"/>
  <c r="Q2875" i="3" s="1"/>
  <c r="S2875" i="3" s="1"/>
  <c r="T2875" i="3" s="1"/>
  <c r="R2874" i="3"/>
  <c r="P2874" i="3"/>
  <c r="O2874" i="3"/>
  <c r="Q2874" i="3" s="1"/>
  <c r="S2874" i="3" s="1"/>
  <c r="T2874" i="3" s="1"/>
  <c r="R2873" i="3"/>
  <c r="P2873" i="3"/>
  <c r="O2873" i="3"/>
  <c r="Q2873" i="3" s="1"/>
  <c r="S2873" i="3" s="1"/>
  <c r="T2873" i="3" s="1"/>
  <c r="R2872" i="3"/>
  <c r="P2872" i="3"/>
  <c r="O2872" i="3"/>
  <c r="Q2872" i="3" s="1"/>
  <c r="S2872" i="3" s="1"/>
  <c r="T2872" i="3" s="1"/>
  <c r="R2871" i="3"/>
  <c r="P2871" i="3"/>
  <c r="O2871" i="3"/>
  <c r="Q2871" i="3" s="1"/>
  <c r="S2871" i="3" s="1"/>
  <c r="T2871" i="3" s="1"/>
  <c r="R2870" i="3"/>
  <c r="P2870" i="3"/>
  <c r="O2870" i="3"/>
  <c r="Q2870" i="3" s="1"/>
  <c r="S2870" i="3" s="1"/>
  <c r="T2870" i="3" s="1"/>
  <c r="R2869" i="3"/>
  <c r="P2869" i="3"/>
  <c r="O2869" i="3"/>
  <c r="Q2869" i="3" s="1"/>
  <c r="S2869" i="3" s="1"/>
  <c r="T2869" i="3" s="1"/>
  <c r="R2868" i="3"/>
  <c r="P2868" i="3"/>
  <c r="O2868" i="3"/>
  <c r="Q2868" i="3" s="1"/>
  <c r="S2868" i="3" s="1"/>
  <c r="T2868" i="3" s="1"/>
  <c r="R2867" i="3"/>
  <c r="P2867" i="3"/>
  <c r="O2867" i="3"/>
  <c r="Q2867" i="3" s="1"/>
  <c r="S2867" i="3" s="1"/>
  <c r="T2867" i="3" s="1"/>
  <c r="R2866" i="3"/>
  <c r="P2866" i="3"/>
  <c r="O2866" i="3"/>
  <c r="Q2866" i="3" s="1"/>
  <c r="S2866" i="3" s="1"/>
  <c r="T2866" i="3" s="1"/>
  <c r="R2865" i="3"/>
  <c r="P2865" i="3"/>
  <c r="O2865" i="3"/>
  <c r="Q2865" i="3" s="1"/>
  <c r="S2865" i="3" s="1"/>
  <c r="T2865" i="3" s="1"/>
  <c r="R2864" i="3"/>
  <c r="P2864" i="3"/>
  <c r="O2864" i="3"/>
  <c r="Q2864" i="3" s="1"/>
  <c r="S2864" i="3" s="1"/>
  <c r="T2864" i="3" s="1"/>
  <c r="R2863" i="3"/>
  <c r="P2863" i="3"/>
  <c r="O2863" i="3"/>
  <c r="Q2863" i="3" s="1"/>
  <c r="S2863" i="3" s="1"/>
  <c r="T2863" i="3" s="1"/>
  <c r="R2862" i="3"/>
  <c r="P2862" i="3"/>
  <c r="O2862" i="3"/>
  <c r="Q2862" i="3" s="1"/>
  <c r="S2862" i="3" s="1"/>
  <c r="T2862" i="3" s="1"/>
  <c r="R2861" i="3"/>
  <c r="P2861" i="3"/>
  <c r="O2861" i="3"/>
  <c r="Q2861" i="3" s="1"/>
  <c r="S2861" i="3" s="1"/>
  <c r="T2861" i="3" s="1"/>
  <c r="R2860" i="3"/>
  <c r="P2860" i="3"/>
  <c r="O2860" i="3"/>
  <c r="Q2860" i="3" s="1"/>
  <c r="S2860" i="3" s="1"/>
  <c r="T2860" i="3" s="1"/>
  <c r="R2859" i="3"/>
  <c r="P2859" i="3"/>
  <c r="O2859" i="3"/>
  <c r="Q2859" i="3" s="1"/>
  <c r="S2859" i="3" s="1"/>
  <c r="T2859" i="3" s="1"/>
  <c r="R2858" i="3"/>
  <c r="P2858" i="3"/>
  <c r="O2858" i="3"/>
  <c r="Q2858" i="3" s="1"/>
  <c r="S2858" i="3" s="1"/>
  <c r="T2858" i="3" s="1"/>
  <c r="R2857" i="3"/>
  <c r="P2857" i="3"/>
  <c r="O2857" i="3"/>
  <c r="Q2857" i="3" s="1"/>
  <c r="S2857" i="3" s="1"/>
  <c r="T2857" i="3" s="1"/>
  <c r="R2856" i="3"/>
  <c r="P2856" i="3"/>
  <c r="O2856" i="3"/>
  <c r="Q2856" i="3" s="1"/>
  <c r="S2856" i="3" s="1"/>
  <c r="T2856" i="3" s="1"/>
  <c r="R2855" i="3"/>
  <c r="P2855" i="3"/>
  <c r="O2855" i="3"/>
  <c r="Q2855" i="3" s="1"/>
  <c r="S2855" i="3" s="1"/>
  <c r="T2855" i="3" s="1"/>
  <c r="R2854" i="3"/>
  <c r="P2854" i="3"/>
  <c r="O2854" i="3"/>
  <c r="Q2854" i="3" s="1"/>
  <c r="S2854" i="3" s="1"/>
  <c r="T2854" i="3" s="1"/>
  <c r="R2853" i="3"/>
  <c r="P2853" i="3"/>
  <c r="O2853" i="3"/>
  <c r="Q2853" i="3" s="1"/>
  <c r="S2853" i="3" s="1"/>
  <c r="T2853" i="3" s="1"/>
  <c r="R2852" i="3"/>
  <c r="P2852" i="3"/>
  <c r="O2852" i="3"/>
  <c r="Q2852" i="3" s="1"/>
  <c r="S2852" i="3" s="1"/>
  <c r="T2852" i="3" s="1"/>
  <c r="R2851" i="3"/>
  <c r="P2851" i="3"/>
  <c r="O2851" i="3"/>
  <c r="Q2851" i="3" s="1"/>
  <c r="S2851" i="3" s="1"/>
  <c r="T2851" i="3" s="1"/>
  <c r="R2850" i="3"/>
  <c r="P2850" i="3"/>
  <c r="O2850" i="3"/>
  <c r="Q2850" i="3" s="1"/>
  <c r="S2850" i="3" s="1"/>
  <c r="T2850" i="3" s="1"/>
  <c r="R2849" i="3"/>
  <c r="P2849" i="3"/>
  <c r="O2849" i="3"/>
  <c r="Q2849" i="3" s="1"/>
  <c r="S2849" i="3" s="1"/>
  <c r="T2849" i="3" s="1"/>
  <c r="R2848" i="3"/>
  <c r="P2848" i="3"/>
  <c r="O2848" i="3"/>
  <c r="Q2848" i="3" s="1"/>
  <c r="S2848" i="3" s="1"/>
  <c r="T2848" i="3" s="1"/>
  <c r="R2847" i="3"/>
  <c r="P2847" i="3"/>
  <c r="O2847" i="3"/>
  <c r="Q2847" i="3" s="1"/>
  <c r="S2847" i="3" s="1"/>
  <c r="T2847" i="3" s="1"/>
  <c r="R2846" i="3"/>
  <c r="P2846" i="3"/>
  <c r="O2846" i="3"/>
  <c r="Q2846" i="3" s="1"/>
  <c r="S2846" i="3" s="1"/>
  <c r="T2846" i="3" s="1"/>
  <c r="R2845" i="3"/>
  <c r="P2845" i="3"/>
  <c r="O2845" i="3"/>
  <c r="Q2845" i="3" s="1"/>
  <c r="S2845" i="3" s="1"/>
  <c r="T2845" i="3" s="1"/>
  <c r="R2844" i="3"/>
  <c r="P2844" i="3"/>
  <c r="O2844" i="3"/>
  <c r="Q2844" i="3" s="1"/>
  <c r="S2844" i="3" s="1"/>
  <c r="T2844" i="3" s="1"/>
  <c r="R2843" i="3"/>
  <c r="P2843" i="3"/>
  <c r="O2843" i="3"/>
  <c r="Q2843" i="3" s="1"/>
  <c r="S2843" i="3" s="1"/>
  <c r="T2843" i="3" s="1"/>
  <c r="R2842" i="3"/>
  <c r="P2842" i="3"/>
  <c r="O2842" i="3"/>
  <c r="Q2842" i="3" s="1"/>
  <c r="S2842" i="3" s="1"/>
  <c r="T2842" i="3" s="1"/>
  <c r="R2841" i="3"/>
  <c r="P2841" i="3"/>
  <c r="O2841" i="3"/>
  <c r="Q2841" i="3" s="1"/>
  <c r="S2841" i="3" s="1"/>
  <c r="T2841" i="3" s="1"/>
  <c r="R2840" i="3"/>
  <c r="P2840" i="3"/>
  <c r="O2840" i="3"/>
  <c r="Q2840" i="3" s="1"/>
  <c r="S2840" i="3" s="1"/>
  <c r="T2840" i="3" s="1"/>
  <c r="R2839" i="3"/>
  <c r="P2839" i="3"/>
  <c r="O2839" i="3"/>
  <c r="Q2839" i="3" s="1"/>
  <c r="S2839" i="3" s="1"/>
  <c r="T2839" i="3" s="1"/>
  <c r="R2838" i="3"/>
  <c r="P2838" i="3"/>
  <c r="O2838" i="3"/>
  <c r="Q2838" i="3" s="1"/>
  <c r="S2838" i="3" s="1"/>
  <c r="T2838" i="3" s="1"/>
  <c r="R2837" i="3"/>
  <c r="P2837" i="3"/>
  <c r="O2837" i="3"/>
  <c r="Q2837" i="3" s="1"/>
  <c r="S2837" i="3" s="1"/>
  <c r="T2837" i="3" s="1"/>
  <c r="R2836" i="3"/>
  <c r="P2836" i="3"/>
  <c r="O2836" i="3"/>
  <c r="Q2836" i="3" s="1"/>
  <c r="S2836" i="3" s="1"/>
  <c r="T2836" i="3" s="1"/>
  <c r="R2835" i="3"/>
  <c r="P2835" i="3"/>
  <c r="O2835" i="3"/>
  <c r="Q2835" i="3" s="1"/>
  <c r="S2835" i="3" s="1"/>
  <c r="T2835" i="3" s="1"/>
  <c r="R2834" i="3"/>
  <c r="P2834" i="3"/>
  <c r="O2834" i="3"/>
  <c r="Q2834" i="3" s="1"/>
  <c r="S2834" i="3" s="1"/>
  <c r="T2834" i="3" s="1"/>
  <c r="R2833" i="3"/>
  <c r="P2833" i="3"/>
  <c r="O2833" i="3"/>
  <c r="Q2833" i="3" s="1"/>
  <c r="S2833" i="3" s="1"/>
  <c r="T2833" i="3" s="1"/>
  <c r="R2832" i="3"/>
  <c r="P2832" i="3"/>
  <c r="O2832" i="3"/>
  <c r="Q2832" i="3" s="1"/>
  <c r="S2832" i="3" s="1"/>
  <c r="T2832" i="3" s="1"/>
  <c r="R2831" i="3"/>
  <c r="P2831" i="3"/>
  <c r="O2831" i="3"/>
  <c r="Q2831" i="3" s="1"/>
  <c r="S2831" i="3" s="1"/>
  <c r="T2831" i="3" s="1"/>
  <c r="R2830" i="3"/>
  <c r="P2830" i="3"/>
  <c r="O2830" i="3"/>
  <c r="Q2830" i="3" s="1"/>
  <c r="S2830" i="3" s="1"/>
  <c r="T2830" i="3" s="1"/>
  <c r="R2829" i="3"/>
  <c r="P2829" i="3"/>
  <c r="O2829" i="3"/>
  <c r="Q2829" i="3" s="1"/>
  <c r="S2829" i="3" s="1"/>
  <c r="T2829" i="3" s="1"/>
  <c r="R2828" i="3"/>
  <c r="P2828" i="3"/>
  <c r="O2828" i="3"/>
  <c r="Q2828" i="3" s="1"/>
  <c r="S2828" i="3" s="1"/>
  <c r="T2828" i="3" s="1"/>
  <c r="R2827" i="3"/>
  <c r="P2827" i="3"/>
  <c r="O2827" i="3"/>
  <c r="Q2827" i="3" s="1"/>
  <c r="S2827" i="3" s="1"/>
  <c r="T2827" i="3" s="1"/>
  <c r="R2826" i="3"/>
  <c r="P2826" i="3"/>
  <c r="O2826" i="3"/>
  <c r="Q2826" i="3" s="1"/>
  <c r="S2826" i="3" s="1"/>
  <c r="T2826" i="3" s="1"/>
  <c r="R2825" i="3"/>
  <c r="P2825" i="3"/>
  <c r="O2825" i="3"/>
  <c r="Q2825" i="3" s="1"/>
  <c r="S2825" i="3" s="1"/>
  <c r="T2825" i="3" s="1"/>
  <c r="R2824" i="3"/>
  <c r="P2824" i="3"/>
  <c r="O2824" i="3"/>
  <c r="Q2824" i="3" s="1"/>
  <c r="S2824" i="3" s="1"/>
  <c r="T2824" i="3" s="1"/>
  <c r="R2823" i="3"/>
  <c r="P2823" i="3"/>
  <c r="O2823" i="3"/>
  <c r="Q2823" i="3" s="1"/>
  <c r="S2823" i="3" s="1"/>
  <c r="T2823" i="3" s="1"/>
  <c r="R2822" i="3"/>
  <c r="P2822" i="3"/>
  <c r="O2822" i="3"/>
  <c r="Q2822" i="3" s="1"/>
  <c r="S2822" i="3" s="1"/>
  <c r="T2822" i="3" s="1"/>
  <c r="R2821" i="3"/>
  <c r="P2821" i="3"/>
  <c r="O2821" i="3"/>
  <c r="Q2821" i="3" s="1"/>
  <c r="S2821" i="3" s="1"/>
  <c r="T2821" i="3" s="1"/>
  <c r="R2820" i="3"/>
  <c r="P2820" i="3"/>
  <c r="O2820" i="3"/>
  <c r="Q2820" i="3" s="1"/>
  <c r="S2820" i="3" s="1"/>
  <c r="T2820" i="3" s="1"/>
  <c r="R2819" i="3"/>
  <c r="P2819" i="3"/>
  <c r="O2819" i="3"/>
  <c r="Q2819" i="3" s="1"/>
  <c r="S2819" i="3" s="1"/>
  <c r="T2819" i="3" s="1"/>
  <c r="R2818" i="3"/>
  <c r="P2818" i="3"/>
  <c r="O2818" i="3"/>
  <c r="Q2818" i="3" s="1"/>
  <c r="S2818" i="3" s="1"/>
  <c r="T2818" i="3" s="1"/>
  <c r="R2817" i="3"/>
  <c r="P2817" i="3"/>
  <c r="O2817" i="3"/>
  <c r="Q2817" i="3" s="1"/>
  <c r="S2817" i="3" s="1"/>
  <c r="T2817" i="3" s="1"/>
  <c r="R2816" i="3"/>
  <c r="P2816" i="3"/>
  <c r="O2816" i="3"/>
  <c r="Q2816" i="3" s="1"/>
  <c r="S2816" i="3" s="1"/>
  <c r="T2816" i="3" s="1"/>
  <c r="R2815" i="3"/>
  <c r="P2815" i="3"/>
  <c r="O2815" i="3"/>
  <c r="Q2815" i="3" s="1"/>
  <c r="S2815" i="3" s="1"/>
  <c r="T2815" i="3" s="1"/>
  <c r="R2814" i="3"/>
  <c r="P2814" i="3"/>
  <c r="O2814" i="3"/>
  <c r="Q2814" i="3" s="1"/>
  <c r="S2814" i="3" s="1"/>
  <c r="T2814" i="3" s="1"/>
  <c r="R2813" i="3"/>
  <c r="P2813" i="3"/>
  <c r="O2813" i="3"/>
  <c r="Q2813" i="3" s="1"/>
  <c r="S2813" i="3" s="1"/>
  <c r="T2813" i="3" s="1"/>
  <c r="R2812" i="3"/>
  <c r="P2812" i="3"/>
  <c r="O2812" i="3"/>
  <c r="Q2812" i="3" s="1"/>
  <c r="S2812" i="3" s="1"/>
  <c r="T2812" i="3" s="1"/>
  <c r="R2811" i="3"/>
  <c r="P2811" i="3"/>
  <c r="O2811" i="3"/>
  <c r="Q2811" i="3" s="1"/>
  <c r="S2811" i="3" s="1"/>
  <c r="T2811" i="3" s="1"/>
  <c r="R2810" i="3"/>
  <c r="P2810" i="3"/>
  <c r="O2810" i="3"/>
  <c r="Q2810" i="3" s="1"/>
  <c r="S2810" i="3" s="1"/>
  <c r="T2810" i="3" s="1"/>
  <c r="R2809" i="3"/>
  <c r="P2809" i="3"/>
  <c r="O2809" i="3"/>
  <c r="Q2809" i="3" s="1"/>
  <c r="S2809" i="3" s="1"/>
  <c r="T2809" i="3" s="1"/>
  <c r="R2808" i="3"/>
  <c r="P2808" i="3"/>
  <c r="O2808" i="3"/>
  <c r="Q2808" i="3" s="1"/>
  <c r="S2808" i="3" s="1"/>
  <c r="T2808" i="3" s="1"/>
  <c r="R2807" i="3"/>
  <c r="P2807" i="3"/>
  <c r="O2807" i="3"/>
  <c r="Q2807" i="3" s="1"/>
  <c r="S2807" i="3" s="1"/>
  <c r="T2807" i="3" s="1"/>
  <c r="R2806" i="3"/>
  <c r="P2806" i="3"/>
  <c r="O2806" i="3"/>
  <c r="Q2806" i="3" s="1"/>
  <c r="S2806" i="3" s="1"/>
  <c r="T2806" i="3" s="1"/>
  <c r="R2805" i="3"/>
  <c r="P2805" i="3"/>
  <c r="O2805" i="3"/>
  <c r="Q2805" i="3" s="1"/>
  <c r="S2805" i="3" s="1"/>
  <c r="T2805" i="3" s="1"/>
  <c r="R2804" i="3"/>
  <c r="P2804" i="3"/>
  <c r="O2804" i="3"/>
  <c r="Q2804" i="3" s="1"/>
  <c r="S2804" i="3" s="1"/>
  <c r="T2804" i="3" s="1"/>
  <c r="R2803" i="3"/>
  <c r="P2803" i="3"/>
  <c r="O2803" i="3"/>
  <c r="Q2803" i="3" s="1"/>
  <c r="S2803" i="3" s="1"/>
  <c r="T2803" i="3" s="1"/>
  <c r="R2802" i="3"/>
  <c r="P2802" i="3"/>
  <c r="O2802" i="3"/>
  <c r="Q2802" i="3" s="1"/>
  <c r="S2802" i="3" s="1"/>
  <c r="T2802" i="3" s="1"/>
  <c r="R2801" i="3"/>
  <c r="P2801" i="3"/>
  <c r="O2801" i="3"/>
  <c r="Q2801" i="3" s="1"/>
  <c r="S2801" i="3" s="1"/>
  <c r="T2801" i="3" s="1"/>
  <c r="R2800" i="3"/>
  <c r="P2800" i="3"/>
  <c r="O2800" i="3"/>
  <c r="Q2800" i="3" s="1"/>
  <c r="S2800" i="3" s="1"/>
  <c r="T2800" i="3" s="1"/>
  <c r="R2799" i="3"/>
  <c r="P2799" i="3"/>
  <c r="O2799" i="3"/>
  <c r="Q2799" i="3" s="1"/>
  <c r="S2799" i="3" s="1"/>
  <c r="T2799" i="3" s="1"/>
  <c r="R2798" i="3"/>
  <c r="P2798" i="3"/>
  <c r="O2798" i="3"/>
  <c r="Q2798" i="3" s="1"/>
  <c r="S2798" i="3" s="1"/>
  <c r="T2798" i="3" s="1"/>
  <c r="R2797" i="3"/>
  <c r="P2797" i="3"/>
  <c r="O2797" i="3"/>
  <c r="Q2797" i="3" s="1"/>
  <c r="S2797" i="3" s="1"/>
  <c r="T2797" i="3" s="1"/>
  <c r="R2796" i="3"/>
  <c r="P2796" i="3"/>
  <c r="O2796" i="3"/>
  <c r="Q2796" i="3" s="1"/>
  <c r="S2796" i="3" s="1"/>
  <c r="T2796" i="3" s="1"/>
  <c r="R2795" i="3"/>
  <c r="P2795" i="3"/>
  <c r="O2795" i="3"/>
  <c r="Q2795" i="3" s="1"/>
  <c r="S2795" i="3" s="1"/>
  <c r="T2795" i="3" s="1"/>
  <c r="R2794" i="3"/>
  <c r="P2794" i="3"/>
  <c r="O2794" i="3"/>
  <c r="Q2794" i="3" s="1"/>
  <c r="S2794" i="3" s="1"/>
  <c r="T2794" i="3" s="1"/>
  <c r="R2793" i="3"/>
  <c r="P2793" i="3"/>
  <c r="O2793" i="3"/>
  <c r="Q2793" i="3" s="1"/>
  <c r="S2793" i="3" s="1"/>
  <c r="T2793" i="3" s="1"/>
  <c r="R2792" i="3"/>
  <c r="P2792" i="3"/>
  <c r="O2792" i="3"/>
  <c r="Q2792" i="3" s="1"/>
  <c r="S2792" i="3" s="1"/>
  <c r="T2792" i="3" s="1"/>
  <c r="R2791" i="3"/>
  <c r="P2791" i="3"/>
  <c r="O2791" i="3"/>
  <c r="Q2791" i="3" s="1"/>
  <c r="S2791" i="3" s="1"/>
  <c r="T2791" i="3" s="1"/>
  <c r="R2790" i="3"/>
  <c r="P2790" i="3"/>
  <c r="O2790" i="3"/>
  <c r="Q2790" i="3" s="1"/>
  <c r="S2790" i="3" s="1"/>
  <c r="T2790" i="3" s="1"/>
  <c r="R2789" i="3"/>
  <c r="P2789" i="3"/>
  <c r="O2789" i="3"/>
  <c r="Q2789" i="3" s="1"/>
  <c r="S2789" i="3" s="1"/>
  <c r="T2789" i="3" s="1"/>
  <c r="R2788" i="3"/>
  <c r="P2788" i="3"/>
  <c r="O2788" i="3"/>
  <c r="Q2788" i="3" s="1"/>
  <c r="S2788" i="3" s="1"/>
  <c r="T2788" i="3" s="1"/>
  <c r="R2787" i="3"/>
  <c r="P2787" i="3"/>
  <c r="O2787" i="3"/>
  <c r="Q2787" i="3" s="1"/>
  <c r="S2787" i="3" s="1"/>
  <c r="T2787" i="3" s="1"/>
  <c r="R2786" i="3"/>
  <c r="P2786" i="3"/>
  <c r="O2786" i="3"/>
  <c r="Q2786" i="3" s="1"/>
  <c r="S2786" i="3" s="1"/>
  <c r="T2786" i="3" s="1"/>
  <c r="R2785" i="3"/>
  <c r="P2785" i="3"/>
  <c r="O2785" i="3"/>
  <c r="Q2785" i="3" s="1"/>
  <c r="S2785" i="3" s="1"/>
  <c r="T2785" i="3" s="1"/>
  <c r="R2784" i="3"/>
  <c r="P2784" i="3"/>
  <c r="O2784" i="3"/>
  <c r="Q2784" i="3" s="1"/>
  <c r="S2784" i="3" s="1"/>
  <c r="T2784" i="3" s="1"/>
  <c r="R2783" i="3"/>
  <c r="P2783" i="3"/>
  <c r="O2783" i="3"/>
  <c r="Q2783" i="3" s="1"/>
  <c r="S2783" i="3" s="1"/>
  <c r="T2783" i="3" s="1"/>
  <c r="R2782" i="3"/>
  <c r="P2782" i="3"/>
  <c r="O2782" i="3"/>
  <c r="Q2782" i="3" s="1"/>
  <c r="S2782" i="3" s="1"/>
  <c r="T2782" i="3" s="1"/>
  <c r="R2781" i="3"/>
  <c r="P2781" i="3"/>
  <c r="O2781" i="3"/>
  <c r="Q2781" i="3" s="1"/>
  <c r="S2781" i="3" s="1"/>
  <c r="T2781" i="3" s="1"/>
  <c r="R2780" i="3"/>
  <c r="P2780" i="3"/>
  <c r="O2780" i="3"/>
  <c r="Q2780" i="3" s="1"/>
  <c r="S2780" i="3" s="1"/>
  <c r="T2780" i="3" s="1"/>
  <c r="R2779" i="3"/>
  <c r="P2779" i="3"/>
  <c r="O2779" i="3"/>
  <c r="Q2779" i="3" s="1"/>
  <c r="S2779" i="3" s="1"/>
  <c r="T2779" i="3" s="1"/>
  <c r="R2778" i="3"/>
  <c r="P2778" i="3"/>
  <c r="O2778" i="3"/>
  <c r="Q2778" i="3" s="1"/>
  <c r="S2778" i="3" s="1"/>
  <c r="T2778" i="3" s="1"/>
  <c r="R2777" i="3"/>
  <c r="P2777" i="3"/>
  <c r="O2777" i="3"/>
  <c r="Q2777" i="3" s="1"/>
  <c r="S2777" i="3" s="1"/>
  <c r="T2777" i="3" s="1"/>
  <c r="R2776" i="3"/>
  <c r="P2776" i="3"/>
  <c r="O2776" i="3"/>
  <c r="Q2776" i="3" s="1"/>
  <c r="S2776" i="3" s="1"/>
  <c r="T2776" i="3" s="1"/>
  <c r="R2775" i="3"/>
  <c r="P2775" i="3"/>
  <c r="O2775" i="3"/>
  <c r="Q2775" i="3" s="1"/>
  <c r="S2775" i="3" s="1"/>
  <c r="T2775" i="3" s="1"/>
  <c r="R2774" i="3"/>
  <c r="P2774" i="3"/>
  <c r="O2774" i="3"/>
  <c r="Q2774" i="3" s="1"/>
  <c r="S2774" i="3" s="1"/>
  <c r="T2774" i="3" s="1"/>
  <c r="R2773" i="3"/>
  <c r="P2773" i="3"/>
  <c r="O2773" i="3"/>
  <c r="Q2773" i="3" s="1"/>
  <c r="S2773" i="3" s="1"/>
  <c r="T2773" i="3" s="1"/>
  <c r="R2772" i="3"/>
  <c r="P2772" i="3"/>
  <c r="O2772" i="3"/>
  <c r="Q2772" i="3" s="1"/>
  <c r="S2772" i="3" s="1"/>
  <c r="T2772" i="3" s="1"/>
  <c r="R2771" i="3"/>
  <c r="P2771" i="3"/>
  <c r="O2771" i="3"/>
  <c r="Q2771" i="3" s="1"/>
  <c r="S2771" i="3" s="1"/>
  <c r="T2771" i="3" s="1"/>
  <c r="R2770" i="3"/>
  <c r="P2770" i="3"/>
  <c r="O2770" i="3"/>
  <c r="Q2770" i="3" s="1"/>
  <c r="S2770" i="3" s="1"/>
  <c r="T2770" i="3" s="1"/>
  <c r="R2769" i="3"/>
  <c r="P2769" i="3"/>
  <c r="O2769" i="3"/>
  <c r="Q2769" i="3" s="1"/>
  <c r="S2769" i="3" s="1"/>
  <c r="T2769" i="3" s="1"/>
  <c r="R2768" i="3"/>
  <c r="P2768" i="3"/>
  <c r="O2768" i="3"/>
  <c r="Q2768" i="3" s="1"/>
  <c r="S2768" i="3" s="1"/>
  <c r="T2768" i="3" s="1"/>
  <c r="R2767" i="3"/>
  <c r="P2767" i="3"/>
  <c r="O2767" i="3"/>
  <c r="Q2767" i="3" s="1"/>
  <c r="S2767" i="3" s="1"/>
  <c r="T2767" i="3" s="1"/>
  <c r="R2766" i="3"/>
  <c r="P2766" i="3"/>
  <c r="O2766" i="3"/>
  <c r="Q2766" i="3" s="1"/>
  <c r="S2766" i="3" s="1"/>
  <c r="T2766" i="3" s="1"/>
  <c r="R2765" i="3"/>
  <c r="P2765" i="3"/>
  <c r="O2765" i="3"/>
  <c r="Q2765" i="3" s="1"/>
  <c r="S2765" i="3" s="1"/>
  <c r="T2765" i="3" s="1"/>
  <c r="R2764" i="3"/>
  <c r="P2764" i="3"/>
  <c r="O2764" i="3"/>
  <c r="Q2764" i="3" s="1"/>
  <c r="S2764" i="3" s="1"/>
  <c r="T2764" i="3" s="1"/>
  <c r="R2763" i="3"/>
  <c r="P2763" i="3"/>
  <c r="O2763" i="3"/>
  <c r="Q2763" i="3" s="1"/>
  <c r="S2763" i="3" s="1"/>
  <c r="T2763" i="3" s="1"/>
  <c r="R2762" i="3"/>
  <c r="P2762" i="3"/>
  <c r="O2762" i="3"/>
  <c r="Q2762" i="3" s="1"/>
  <c r="S2762" i="3" s="1"/>
  <c r="T2762" i="3" s="1"/>
  <c r="R2761" i="3"/>
  <c r="P2761" i="3"/>
  <c r="O2761" i="3"/>
  <c r="Q2761" i="3" s="1"/>
  <c r="S2761" i="3" s="1"/>
  <c r="T2761" i="3" s="1"/>
  <c r="R2760" i="3"/>
  <c r="P2760" i="3"/>
  <c r="O2760" i="3"/>
  <c r="Q2760" i="3" s="1"/>
  <c r="S2760" i="3" s="1"/>
  <c r="T2760" i="3" s="1"/>
  <c r="R2759" i="3"/>
  <c r="P2759" i="3"/>
  <c r="O2759" i="3"/>
  <c r="Q2759" i="3" s="1"/>
  <c r="S2759" i="3" s="1"/>
  <c r="T2759" i="3" s="1"/>
  <c r="R2758" i="3"/>
  <c r="P2758" i="3"/>
  <c r="O2758" i="3"/>
  <c r="Q2758" i="3" s="1"/>
  <c r="S2758" i="3" s="1"/>
  <c r="T2758" i="3" s="1"/>
  <c r="R2757" i="3"/>
  <c r="P2757" i="3"/>
  <c r="O2757" i="3"/>
  <c r="Q2757" i="3" s="1"/>
  <c r="S2757" i="3" s="1"/>
  <c r="T2757" i="3" s="1"/>
  <c r="R2756" i="3"/>
  <c r="P2756" i="3"/>
  <c r="O2756" i="3"/>
  <c r="Q2756" i="3" s="1"/>
  <c r="S2756" i="3" s="1"/>
  <c r="T2756" i="3" s="1"/>
  <c r="R2755" i="3"/>
  <c r="P2755" i="3"/>
  <c r="O2755" i="3"/>
  <c r="Q2755" i="3" s="1"/>
  <c r="S2755" i="3" s="1"/>
  <c r="T2755" i="3" s="1"/>
  <c r="R2754" i="3"/>
  <c r="P2754" i="3"/>
  <c r="O2754" i="3"/>
  <c r="Q2754" i="3" s="1"/>
  <c r="S2754" i="3" s="1"/>
  <c r="T2754" i="3" s="1"/>
  <c r="R2753" i="3"/>
  <c r="P2753" i="3"/>
  <c r="O2753" i="3"/>
  <c r="Q2753" i="3" s="1"/>
  <c r="S2753" i="3" s="1"/>
  <c r="T2753" i="3" s="1"/>
  <c r="R2752" i="3"/>
  <c r="P2752" i="3"/>
  <c r="O2752" i="3"/>
  <c r="Q2752" i="3" s="1"/>
  <c r="S2752" i="3" s="1"/>
  <c r="T2752" i="3" s="1"/>
  <c r="R2751" i="3"/>
  <c r="P2751" i="3"/>
  <c r="O2751" i="3"/>
  <c r="Q2751" i="3" s="1"/>
  <c r="S2751" i="3" s="1"/>
  <c r="T2751" i="3" s="1"/>
  <c r="R2750" i="3"/>
  <c r="P2750" i="3"/>
  <c r="O2750" i="3"/>
  <c r="Q2750" i="3" s="1"/>
  <c r="S2750" i="3" s="1"/>
  <c r="T2750" i="3" s="1"/>
  <c r="R2749" i="3"/>
  <c r="P2749" i="3"/>
  <c r="O2749" i="3"/>
  <c r="Q2749" i="3" s="1"/>
  <c r="S2749" i="3" s="1"/>
  <c r="T2749" i="3" s="1"/>
  <c r="R2748" i="3"/>
  <c r="P2748" i="3"/>
  <c r="O2748" i="3"/>
  <c r="Q2748" i="3" s="1"/>
  <c r="S2748" i="3" s="1"/>
  <c r="T2748" i="3" s="1"/>
  <c r="R2747" i="3"/>
  <c r="P2747" i="3"/>
  <c r="O2747" i="3"/>
  <c r="Q2747" i="3" s="1"/>
  <c r="S2747" i="3" s="1"/>
  <c r="T2747" i="3" s="1"/>
  <c r="R2746" i="3"/>
  <c r="P2746" i="3"/>
  <c r="O2746" i="3"/>
  <c r="Q2746" i="3" s="1"/>
  <c r="S2746" i="3" s="1"/>
  <c r="T2746" i="3" s="1"/>
  <c r="R2745" i="3"/>
  <c r="P2745" i="3"/>
  <c r="O2745" i="3"/>
  <c r="Q2745" i="3" s="1"/>
  <c r="S2745" i="3" s="1"/>
  <c r="T2745" i="3" s="1"/>
  <c r="R2744" i="3"/>
  <c r="P2744" i="3"/>
  <c r="O2744" i="3"/>
  <c r="Q2744" i="3" s="1"/>
  <c r="S2744" i="3" s="1"/>
  <c r="T2744" i="3" s="1"/>
  <c r="R2743" i="3"/>
  <c r="P2743" i="3"/>
  <c r="O2743" i="3"/>
  <c r="Q2743" i="3" s="1"/>
  <c r="S2743" i="3" s="1"/>
  <c r="T2743" i="3" s="1"/>
  <c r="R2742" i="3"/>
  <c r="P2742" i="3"/>
  <c r="O2742" i="3"/>
  <c r="Q2742" i="3" s="1"/>
  <c r="S2742" i="3" s="1"/>
  <c r="T2742" i="3" s="1"/>
  <c r="R2741" i="3"/>
  <c r="P2741" i="3"/>
  <c r="O2741" i="3"/>
  <c r="Q2741" i="3" s="1"/>
  <c r="S2741" i="3" s="1"/>
  <c r="T2741" i="3" s="1"/>
  <c r="R2740" i="3"/>
  <c r="P2740" i="3"/>
  <c r="O2740" i="3"/>
  <c r="Q2740" i="3" s="1"/>
  <c r="S2740" i="3" s="1"/>
  <c r="T2740" i="3" s="1"/>
  <c r="R2739" i="3"/>
  <c r="P2739" i="3"/>
  <c r="O2739" i="3"/>
  <c r="Q2739" i="3" s="1"/>
  <c r="S2739" i="3" s="1"/>
  <c r="T2739" i="3" s="1"/>
  <c r="R2738" i="3"/>
  <c r="P2738" i="3"/>
  <c r="O2738" i="3"/>
  <c r="Q2738" i="3" s="1"/>
  <c r="S2738" i="3" s="1"/>
  <c r="T2738" i="3" s="1"/>
  <c r="R2737" i="3"/>
  <c r="P2737" i="3"/>
  <c r="O2737" i="3"/>
  <c r="Q2737" i="3" s="1"/>
  <c r="S2737" i="3" s="1"/>
  <c r="T2737" i="3" s="1"/>
  <c r="R2736" i="3"/>
  <c r="P2736" i="3"/>
  <c r="O2736" i="3"/>
  <c r="Q2736" i="3" s="1"/>
  <c r="S2736" i="3" s="1"/>
  <c r="T2736" i="3" s="1"/>
  <c r="R2735" i="3"/>
  <c r="P2735" i="3"/>
  <c r="O2735" i="3"/>
  <c r="Q2735" i="3" s="1"/>
  <c r="S2735" i="3" s="1"/>
  <c r="T2735" i="3" s="1"/>
  <c r="R2734" i="3"/>
  <c r="P2734" i="3"/>
  <c r="O2734" i="3"/>
  <c r="Q2734" i="3" s="1"/>
  <c r="S2734" i="3" s="1"/>
  <c r="T2734" i="3" s="1"/>
  <c r="R2733" i="3"/>
  <c r="P2733" i="3"/>
  <c r="O2733" i="3"/>
  <c r="Q2733" i="3" s="1"/>
  <c r="S2733" i="3" s="1"/>
  <c r="T2733" i="3" s="1"/>
  <c r="R2732" i="3"/>
  <c r="P2732" i="3"/>
  <c r="O2732" i="3"/>
  <c r="Q2732" i="3" s="1"/>
  <c r="S2732" i="3" s="1"/>
  <c r="T2732" i="3" s="1"/>
  <c r="R2731" i="3"/>
  <c r="P2731" i="3"/>
  <c r="O2731" i="3"/>
  <c r="Q2731" i="3" s="1"/>
  <c r="S2731" i="3" s="1"/>
  <c r="T2731" i="3" s="1"/>
  <c r="R2730" i="3"/>
  <c r="P2730" i="3"/>
  <c r="O2730" i="3"/>
  <c r="Q2730" i="3" s="1"/>
  <c r="S2730" i="3" s="1"/>
  <c r="T2730" i="3" s="1"/>
  <c r="R2729" i="3"/>
  <c r="P2729" i="3"/>
  <c r="O2729" i="3"/>
  <c r="Q2729" i="3" s="1"/>
  <c r="S2729" i="3" s="1"/>
  <c r="T2729" i="3" s="1"/>
  <c r="R2728" i="3"/>
  <c r="P2728" i="3"/>
  <c r="O2728" i="3"/>
  <c r="Q2728" i="3" s="1"/>
  <c r="S2728" i="3" s="1"/>
  <c r="T2728" i="3" s="1"/>
  <c r="R2727" i="3"/>
  <c r="P2727" i="3"/>
  <c r="O2727" i="3"/>
  <c r="Q2727" i="3" s="1"/>
  <c r="S2727" i="3" s="1"/>
  <c r="T2727" i="3" s="1"/>
  <c r="R2726" i="3"/>
  <c r="P2726" i="3"/>
  <c r="O2726" i="3"/>
  <c r="Q2726" i="3" s="1"/>
  <c r="S2726" i="3" s="1"/>
  <c r="T2726" i="3" s="1"/>
  <c r="R2725" i="3"/>
  <c r="P2725" i="3"/>
  <c r="O2725" i="3"/>
  <c r="Q2725" i="3" s="1"/>
  <c r="S2725" i="3" s="1"/>
  <c r="T2725" i="3" s="1"/>
  <c r="R2724" i="3"/>
  <c r="P2724" i="3"/>
  <c r="O2724" i="3"/>
  <c r="Q2724" i="3" s="1"/>
  <c r="S2724" i="3" s="1"/>
  <c r="T2724" i="3" s="1"/>
  <c r="R2723" i="3"/>
  <c r="P2723" i="3"/>
  <c r="O2723" i="3"/>
  <c r="Q2723" i="3" s="1"/>
  <c r="S2723" i="3" s="1"/>
  <c r="T2723" i="3" s="1"/>
  <c r="R2722" i="3"/>
  <c r="P2722" i="3"/>
  <c r="O2722" i="3"/>
  <c r="Q2722" i="3" s="1"/>
  <c r="S2722" i="3" s="1"/>
  <c r="T2722" i="3" s="1"/>
  <c r="R2721" i="3"/>
  <c r="P2721" i="3"/>
  <c r="O2721" i="3"/>
  <c r="Q2721" i="3" s="1"/>
  <c r="S2721" i="3" s="1"/>
  <c r="T2721" i="3" s="1"/>
  <c r="R2720" i="3"/>
  <c r="P2720" i="3"/>
  <c r="O2720" i="3"/>
  <c r="Q2720" i="3" s="1"/>
  <c r="S2720" i="3" s="1"/>
  <c r="T2720" i="3" s="1"/>
  <c r="R2719" i="3"/>
  <c r="P2719" i="3"/>
  <c r="O2719" i="3"/>
  <c r="Q2719" i="3" s="1"/>
  <c r="S2719" i="3" s="1"/>
  <c r="T2719" i="3" s="1"/>
  <c r="R2718" i="3"/>
  <c r="P2718" i="3"/>
  <c r="O2718" i="3"/>
  <c r="Q2718" i="3" s="1"/>
  <c r="S2718" i="3" s="1"/>
  <c r="T2718" i="3" s="1"/>
  <c r="R2717" i="3"/>
  <c r="P2717" i="3"/>
  <c r="O2717" i="3"/>
  <c r="Q2717" i="3" s="1"/>
  <c r="S2717" i="3" s="1"/>
  <c r="T2717" i="3" s="1"/>
  <c r="R2716" i="3"/>
  <c r="P2716" i="3"/>
  <c r="O2716" i="3"/>
  <c r="Q2716" i="3" s="1"/>
  <c r="S2716" i="3" s="1"/>
  <c r="T2716" i="3" s="1"/>
  <c r="R2715" i="3"/>
  <c r="P2715" i="3"/>
  <c r="O2715" i="3"/>
  <c r="Q2715" i="3" s="1"/>
  <c r="S2715" i="3" s="1"/>
  <c r="T2715" i="3" s="1"/>
  <c r="R2714" i="3"/>
  <c r="P2714" i="3"/>
  <c r="O2714" i="3"/>
  <c r="Q2714" i="3" s="1"/>
  <c r="S2714" i="3" s="1"/>
  <c r="T2714" i="3" s="1"/>
  <c r="R2713" i="3"/>
  <c r="P2713" i="3"/>
  <c r="O2713" i="3"/>
  <c r="Q2713" i="3" s="1"/>
  <c r="S2713" i="3" s="1"/>
  <c r="T2713" i="3" s="1"/>
  <c r="R2712" i="3"/>
  <c r="P2712" i="3"/>
  <c r="O2712" i="3"/>
  <c r="Q2712" i="3" s="1"/>
  <c r="S2712" i="3" s="1"/>
  <c r="T2712" i="3" s="1"/>
  <c r="R2711" i="3"/>
  <c r="P2711" i="3"/>
  <c r="O2711" i="3"/>
  <c r="Q2711" i="3" s="1"/>
  <c r="S2711" i="3" s="1"/>
  <c r="T2711" i="3" s="1"/>
  <c r="R2710" i="3"/>
  <c r="P2710" i="3"/>
  <c r="O2710" i="3"/>
  <c r="Q2710" i="3" s="1"/>
  <c r="S2710" i="3" s="1"/>
  <c r="T2710" i="3" s="1"/>
  <c r="R2709" i="3"/>
  <c r="P2709" i="3"/>
  <c r="O2709" i="3"/>
  <c r="Q2709" i="3" s="1"/>
  <c r="S2709" i="3" s="1"/>
  <c r="T2709" i="3" s="1"/>
  <c r="R2708" i="3"/>
  <c r="P2708" i="3"/>
  <c r="O2708" i="3"/>
  <c r="Q2708" i="3" s="1"/>
  <c r="S2708" i="3" s="1"/>
  <c r="T2708" i="3" s="1"/>
  <c r="R2707" i="3"/>
  <c r="P2707" i="3"/>
  <c r="O2707" i="3"/>
  <c r="Q2707" i="3" s="1"/>
  <c r="S2707" i="3" s="1"/>
  <c r="T2707" i="3" s="1"/>
  <c r="R2706" i="3"/>
  <c r="P2706" i="3"/>
  <c r="O2706" i="3"/>
  <c r="Q2706" i="3" s="1"/>
  <c r="S2706" i="3" s="1"/>
  <c r="T2706" i="3" s="1"/>
  <c r="R2705" i="3"/>
  <c r="P2705" i="3"/>
  <c r="O2705" i="3"/>
  <c r="Q2705" i="3" s="1"/>
  <c r="S2705" i="3" s="1"/>
  <c r="T2705" i="3" s="1"/>
  <c r="R2704" i="3"/>
  <c r="P2704" i="3"/>
  <c r="O2704" i="3"/>
  <c r="Q2704" i="3" s="1"/>
  <c r="S2704" i="3" s="1"/>
  <c r="T2704" i="3" s="1"/>
  <c r="R2703" i="3"/>
  <c r="P2703" i="3"/>
  <c r="O2703" i="3"/>
  <c r="Q2703" i="3" s="1"/>
  <c r="S2703" i="3" s="1"/>
  <c r="T2703" i="3" s="1"/>
  <c r="R2702" i="3"/>
  <c r="P2702" i="3"/>
  <c r="O2702" i="3"/>
  <c r="Q2702" i="3" s="1"/>
  <c r="S2702" i="3" s="1"/>
  <c r="T2702" i="3" s="1"/>
  <c r="R2701" i="3"/>
  <c r="P2701" i="3"/>
  <c r="O2701" i="3"/>
  <c r="Q2701" i="3" s="1"/>
  <c r="S2701" i="3" s="1"/>
  <c r="T2701" i="3" s="1"/>
  <c r="R2700" i="3"/>
  <c r="P2700" i="3"/>
  <c r="O2700" i="3"/>
  <c r="Q2700" i="3" s="1"/>
  <c r="S2700" i="3" s="1"/>
  <c r="T2700" i="3" s="1"/>
  <c r="R2699" i="3"/>
  <c r="P2699" i="3"/>
  <c r="O2699" i="3"/>
  <c r="Q2699" i="3" s="1"/>
  <c r="S2699" i="3" s="1"/>
  <c r="T2699" i="3" s="1"/>
  <c r="R2698" i="3"/>
  <c r="P2698" i="3"/>
  <c r="O2698" i="3"/>
  <c r="Q2698" i="3" s="1"/>
  <c r="S2698" i="3" s="1"/>
  <c r="T2698" i="3" s="1"/>
  <c r="R2697" i="3"/>
  <c r="P2697" i="3"/>
  <c r="O2697" i="3"/>
  <c r="Q2697" i="3" s="1"/>
  <c r="S2697" i="3" s="1"/>
  <c r="T2697" i="3" s="1"/>
  <c r="R2696" i="3"/>
  <c r="P2696" i="3"/>
  <c r="O2696" i="3"/>
  <c r="Q2696" i="3" s="1"/>
  <c r="S2696" i="3" s="1"/>
  <c r="T2696" i="3" s="1"/>
  <c r="R2695" i="3"/>
  <c r="P2695" i="3"/>
  <c r="O2695" i="3"/>
  <c r="Q2695" i="3" s="1"/>
  <c r="S2695" i="3" s="1"/>
  <c r="T2695" i="3" s="1"/>
  <c r="R2694" i="3"/>
  <c r="P2694" i="3"/>
  <c r="O2694" i="3"/>
  <c r="Q2694" i="3" s="1"/>
  <c r="S2694" i="3" s="1"/>
  <c r="T2694" i="3" s="1"/>
  <c r="R2693" i="3"/>
  <c r="P2693" i="3"/>
  <c r="O2693" i="3"/>
  <c r="Q2693" i="3" s="1"/>
  <c r="S2693" i="3" s="1"/>
  <c r="T2693" i="3" s="1"/>
  <c r="R2692" i="3"/>
  <c r="P2692" i="3"/>
  <c r="O2692" i="3"/>
  <c r="Q2692" i="3" s="1"/>
  <c r="S2692" i="3" s="1"/>
  <c r="T2692" i="3" s="1"/>
  <c r="R2691" i="3"/>
  <c r="P2691" i="3"/>
  <c r="O2691" i="3"/>
  <c r="Q2691" i="3" s="1"/>
  <c r="S2691" i="3" s="1"/>
  <c r="T2691" i="3" s="1"/>
  <c r="R2690" i="3"/>
  <c r="P2690" i="3"/>
  <c r="O2690" i="3"/>
  <c r="Q2690" i="3" s="1"/>
  <c r="S2690" i="3" s="1"/>
  <c r="T2690" i="3" s="1"/>
  <c r="R2689" i="3"/>
  <c r="P2689" i="3"/>
  <c r="O2689" i="3"/>
  <c r="Q2689" i="3" s="1"/>
  <c r="S2689" i="3" s="1"/>
  <c r="T2689" i="3" s="1"/>
  <c r="R2688" i="3"/>
  <c r="P2688" i="3"/>
  <c r="O2688" i="3"/>
  <c r="Q2688" i="3" s="1"/>
  <c r="S2688" i="3" s="1"/>
  <c r="T2688" i="3" s="1"/>
  <c r="R2687" i="3"/>
  <c r="P2687" i="3"/>
  <c r="O2687" i="3"/>
  <c r="Q2687" i="3" s="1"/>
  <c r="S2687" i="3" s="1"/>
  <c r="T2687" i="3" s="1"/>
  <c r="R2686" i="3"/>
  <c r="P2686" i="3"/>
  <c r="O2686" i="3"/>
  <c r="Q2686" i="3" s="1"/>
  <c r="S2686" i="3" s="1"/>
  <c r="T2686" i="3" s="1"/>
  <c r="R2685" i="3"/>
  <c r="P2685" i="3"/>
  <c r="O2685" i="3"/>
  <c r="Q2685" i="3" s="1"/>
  <c r="S2685" i="3" s="1"/>
  <c r="T2685" i="3" s="1"/>
  <c r="R2684" i="3"/>
  <c r="P2684" i="3"/>
  <c r="O2684" i="3"/>
  <c r="Q2684" i="3" s="1"/>
  <c r="S2684" i="3" s="1"/>
  <c r="T2684" i="3" s="1"/>
  <c r="R2683" i="3"/>
  <c r="P2683" i="3"/>
  <c r="O2683" i="3"/>
  <c r="Q2683" i="3" s="1"/>
  <c r="S2683" i="3" s="1"/>
  <c r="T2683" i="3" s="1"/>
  <c r="R2682" i="3"/>
  <c r="P2682" i="3"/>
  <c r="O2682" i="3"/>
  <c r="Q2682" i="3" s="1"/>
  <c r="S2682" i="3" s="1"/>
  <c r="T2682" i="3" s="1"/>
  <c r="R2681" i="3"/>
  <c r="P2681" i="3"/>
  <c r="O2681" i="3"/>
  <c r="Q2681" i="3" s="1"/>
  <c r="S2681" i="3" s="1"/>
  <c r="T2681" i="3" s="1"/>
  <c r="R2680" i="3"/>
  <c r="P2680" i="3"/>
  <c r="O2680" i="3"/>
  <c r="Q2680" i="3" s="1"/>
  <c r="S2680" i="3" s="1"/>
  <c r="T2680" i="3" s="1"/>
  <c r="R2679" i="3"/>
  <c r="P2679" i="3"/>
  <c r="O2679" i="3"/>
  <c r="Q2679" i="3" s="1"/>
  <c r="S2679" i="3" s="1"/>
  <c r="T2679" i="3" s="1"/>
  <c r="R2678" i="3"/>
  <c r="P2678" i="3"/>
  <c r="O2678" i="3"/>
  <c r="Q2678" i="3" s="1"/>
  <c r="S2678" i="3" s="1"/>
  <c r="T2678" i="3" s="1"/>
  <c r="R2677" i="3"/>
  <c r="P2677" i="3"/>
  <c r="O2677" i="3"/>
  <c r="Q2677" i="3" s="1"/>
  <c r="S2677" i="3" s="1"/>
  <c r="T2677" i="3" s="1"/>
  <c r="R2676" i="3"/>
  <c r="P2676" i="3"/>
  <c r="O2676" i="3"/>
  <c r="Q2676" i="3" s="1"/>
  <c r="S2676" i="3" s="1"/>
  <c r="T2676" i="3" s="1"/>
  <c r="R2675" i="3"/>
  <c r="P2675" i="3"/>
  <c r="O2675" i="3"/>
  <c r="Q2675" i="3" s="1"/>
  <c r="S2675" i="3" s="1"/>
  <c r="T2675" i="3" s="1"/>
  <c r="R2674" i="3"/>
  <c r="P2674" i="3"/>
  <c r="O2674" i="3"/>
  <c r="Q2674" i="3" s="1"/>
  <c r="S2674" i="3" s="1"/>
  <c r="T2674" i="3" s="1"/>
  <c r="R2673" i="3"/>
  <c r="P2673" i="3"/>
  <c r="O2673" i="3"/>
  <c r="Q2673" i="3" s="1"/>
  <c r="S2673" i="3" s="1"/>
  <c r="T2673" i="3" s="1"/>
  <c r="R2672" i="3"/>
  <c r="P2672" i="3"/>
  <c r="O2672" i="3"/>
  <c r="Q2672" i="3" s="1"/>
  <c r="S2672" i="3" s="1"/>
  <c r="T2672" i="3" s="1"/>
  <c r="R2671" i="3"/>
  <c r="P2671" i="3"/>
  <c r="O2671" i="3"/>
  <c r="Q2671" i="3" s="1"/>
  <c r="S2671" i="3" s="1"/>
  <c r="T2671" i="3" s="1"/>
  <c r="R2670" i="3"/>
  <c r="P2670" i="3"/>
  <c r="O2670" i="3"/>
  <c r="Q2670" i="3" s="1"/>
  <c r="S2670" i="3" s="1"/>
  <c r="T2670" i="3" s="1"/>
  <c r="R2669" i="3"/>
  <c r="P2669" i="3"/>
  <c r="O2669" i="3"/>
  <c r="Q2669" i="3" s="1"/>
  <c r="S2669" i="3" s="1"/>
  <c r="T2669" i="3" s="1"/>
  <c r="R2668" i="3"/>
  <c r="P2668" i="3"/>
  <c r="O2668" i="3"/>
  <c r="Q2668" i="3" s="1"/>
  <c r="S2668" i="3" s="1"/>
  <c r="T2668" i="3" s="1"/>
  <c r="R2667" i="3"/>
  <c r="P2667" i="3"/>
  <c r="O2667" i="3"/>
  <c r="Q2667" i="3" s="1"/>
  <c r="S2667" i="3" s="1"/>
  <c r="T2667" i="3" s="1"/>
  <c r="R2666" i="3"/>
  <c r="P2666" i="3"/>
  <c r="O2666" i="3"/>
  <c r="Q2666" i="3" s="1"/>
  <c r="S2666" i="3" s="1"/>
  <c r="T2666" i="3" s="1"/>
  <c r="R2665" i="3"/>
  <c r="P2665" i="3"/>
  <c r="O2665" i="3"/>
  <c r="Q2665" i="3" s="1"/>
  <c r="S2665" i="3" s="1"/>
  <c r="T2665" i="3" s="1"/>
  <c r="R2664" i="3"/>
  <c r="P2664" i="3"/>
  <c r="O2664" i="3"/>
  <c r="Q2664" i="3" s="1"/>
  <c r="S2664" i="3" s="1"/>
  <c r="T2664" i="3" s="1"/>
  <c r="R2663" i="3"/>
  <c r="P2663" i="3"/>
  <c r="O2663" i="3"/>
  <c r="Q2663" i="3" s="1"/>
  <c r="S2663" i="3" s="1"/>
  <c r="T2663" i="3" s="1"/>
  <c r="R2662" i="3"/>
  <c r="P2662" i="3"/>
  <c r="O2662" i="3"/>
  <c r="Q2662" i="3" s="1"/>
  <c r="S2662" i="3" s="1"/>
  <c r="T2662" i="3" s="1"/>
  <c r="R2661" i="3"/>
  <c r="P2661" i="3"/>
  <c r="O2661" i="3"/>
  <c r="Q2661" i="3" s="1"/>
  <c r="S2661" i="3" s="1"/>
  <c r="T2661" i="3" s="1"/>
  <c r="R2660" i="3"/>
  <c r="P2660" i="3"/>
  <c r="O2660" i="3"/>
  <c r="Q2660" i="3" s="1"/>
  <c r="S2660" i="3" s="1"/>
  <c r="T2660" i="3" s="1"/>
  <c r="R2659" i="3"/>
  <c r="P2659" i="3"/>
  <c r="O2659" i="3"/>
  <c r="Q2659" i="3" s="1"/>
  <c r="S2659" i="3" s="1"/>
  <c r="T2659" i="3" s="1"/>
  <c r="R2658" i="3"/>
  <c r="P2658" i="3"/>
  <c r="O2658" i="3"/>
  <c r="Q2658" i="3" s="1"/>
  <c r="S2658" i="3" s="1"/>
  <c r="T2658" i="3" s="1"/>
  <c r="R2657" i="3"/>
  <c r="P2657" i="3"/>
  <c r="O2657" i="3"/>
  <c r="Q2657" i="3" s="1"/>
  <c r="S2657" i="3" s="1"/>
  <c r="T2657" i="3" s="1"/>
  <c r="R2656" i="3"/>
  <c r="P2656" i="3"/>
  <c r="O2656" i="3"/>
  <c r="Q2656" i="3" s="1"/>
  <c r="S2656" i="3" s="1"/>
  <c r="T2656" i="3" s="1"/>
  <c r="R2655" i="3"/>
  <c r="P2655" i="3"/>
  <c r="O2655" i="3"/>
  <c r="Q2655" i="3" s="1"/>
  <c r="S2655" i="3" s="1"/>
  <c r="T2655" i="3" s="1"/>
  <c r="R2654" i="3"/>
  <c r="P2654" i="3"/>
  <c r="O2654" i="3"/>
  <c r="Q2654" i="3" s="1"/>
  <c r="S2654" i="3" s="1"/>
  <c r="T2654" i="3" s="1"/>
  <c r="R2653" i="3"/>
  <c r="P2653" i="3"/>
  <c r="O2653" i="3"/>
  <c r="Q2653" i="3" s="1"/>
  <c r="S2653" i="3" s="1"/>
  <c r="T2653" i="3" s="1"/>
  <c r="R2652" i="3"/>
  <c r="P2652" i="3"/>
  <c r="O2652" i="3"/>
  <c r="Q2652" i="3" s="1"/>
  <c r="S2652" i="3" s="1"/>
  <c r="T2652" i="3" s="1"/>
  <c r="R2651" i="3"/>
  <c r="P2651" i="3"/>
  <c r="O2651" i="3"/>
  <c r="Q2651" i="3" s="1"/>
  <c r="S2651" i="3" s="1"/>
  <c r="T2651" i="3" s="1"/>
  <c r="R2650" i="3"/>
  <c r="P2650" i="3"/>
  <c r="O2650" i="3"/>
  <c r="Q2650" i="3" s="1"/>
  <c r="S2650" i="3" s="1"/>
  <c r="T2650" i="3" s="1"/>
  <c r="R2649" i="3"/>
  <c r="P2649" i="3"/>
  <c r="O2649" i="3"/>
  <c r="Q2649" i="3" s="1"/>
  <c r="S2649" i="3" s="1"/>
  <c r="T2649" i="3" s="1"/>
  <c r="R2648" i="3"/>
  <c r="P2648" i="3"/>
  <c r="O2648" i="3"/>
  <c r="Q2648" i="3" s="1"/>
  <c r="S2648" i="3" s="1"/>
  <c r="T2648" i="3" s="1"/>
  <c r="R2647" i="3"/>
  <c r="P2647" i="3"/>
  <c r="O2647" i="3"/>
  <c r="Q2647" i="3" s="1"/>
  <c r="S2647" i="3" s="1"/>
  <c r="T2647" i="3" s="1"/>
  <c r="R2646" i="3"/>
  <c r="P2646" i="3"/>
  <c r="O2646" i="3"/>
  <c r="Q2646" i="3" s="1"/>
  <c r="S2646" i="3" s="1"/>
  <c r="T2646" i="3" s="1"/>
  <c r="R2645" i="3"/>
  <c r="P2645" i="3"/>
  <c r="O2645" i="3"/>
  <c r="Q2645" i="3" s="1"/>
  <c r="S2645" i="3" s="1"/>
  <c r="T2645" i="3" s="1"/>
  <c r="R2644" i="3"/>
  <c r="P2644" i="3"/>
  <c r="O2644" i="3"/>
  <c r="Q2644" i="3" s="1"/>
  <c r="S2644" i="3" s="1"/>
  <c r="T2644" i="3" s="1"/>
  <c r="R2643" i="3"/>
  <c r="P2643" i="3"/>
  <c r="O2643" i="3"/>
  <c r="Q2643" i="3" s="1"/>
  <c r="S2643" i="3" s="1"/>
  <c r="T2643" i="3" s="1"/>
  <c r="R2642" i="3"/>
  <c r="P2642" i="3"/>
  <c r="O2642" i="3"/>
  <c r="Q2642" i="3" s="1"/>
  <c r="S2642" i="3" s="1"/>
  <c r="T2642" i="3" s="1"/>
  <c r="R2641" i="3"/>
  <c r="P2641" i="3"/>
  <c r="O2641" i="3"/>
  <c r="Q2641" i="3" s="1"/>
  <c r="S2641" i="3" s="1"/>
  <c r="T2641" i="3" s="1"/>
  <c r="R2640" i="3"/>
  <c r="P2640" i="3"/>
  <c r="O2640" i="3"/>
  <c r="Q2640" i="3" s="1"/>
  <c r="S2640" i="3" s="1"/>
  <c r="T2640" i="3" s="1"/>
  <c r="R2639" i="3"/>
  <c r="P2639" i="3"/>
  <c r="O2639" i="3"/>
  <c r="Q2639" i="3" s="1"/>
  <c r="S2639" i="3" s="1"/>
  <c r="T2639" i="3" s="1"/>
  <c r="R2638" i="3"/>
  <c r="P2638" i="3"/>
  <c r="O2638" i="3"/>
  <c r="Q2638" i="3" s="1"/>
  <c r="S2638" i="3" s="1"/>
  <c r="T2638" i="3" s="1"/>
  <c r="R2637" i="3"/>
  <c r="P2637" i="3"/>
  <c r="O2637" i="3"/>
  <c r="Q2637" i="3" s="1"/>
  <c r="S2637" i="3" s="1"/>
  <c r="T2637" i="3" s="1"/>
  <c r="R2636" i="3"/>
  <c r="P2636" i="3"/>
  <c r="O2636" i="3"/>
  <c r="Q2636" i="3" s="1"/>
  <c r="S2636" i="3" s="1"/>
  <c r="T2636" i="3" s="1"/>
  <c r="R2635" i="3"/>
  <c r="P2635" i="3"/>
  <c r="O2635" i="3"/>
  <c r="Q2635" i="3" s="1"/>
  <c r="S2635" i="3" s="1"/>
  <c r="T2635" i="3" s="1"/>
  <c r="R2634" i="3"/>
  <c r="P2634" i="3"/>
  <c r="O2634" i="3"/>
  <c r="Q2634" i="3" s="1"/>
  <c r="S2634" i="3" s="1"/>
  <c r="T2634" i="3" s="1"/>
  <c r="R2633" i="3"/>
  <c r="P2633" i="3"/>
  <c r="O2633" i="3"/>
  <c r="Q2633" i="3" s="1"/>
  <c r="S2633" i="3" s="1"/>
  <c r="T2633" i="3" s="1"/>
  <c r="R2632" i="3"/>
  <c r="P2632" i="3"/>
  <c r="O2632" i="3"/>
  <c r="Q2632" i="3" s="1"/>
  <c r="S2632" i="3" s="1"/>
  <c r="T2632" i="3" s="1"/>
  <c r="R2631" i="3"/>
  <c r="P2631" i="3"/>
  <c r="O2631" i="3"/>
  <c r="Q2631" i="3" s="1"/>
  <c r="S2631" i="3" s="1"/>
  <c r="T2631" i="3" s="1"/>
  <c r="R2630" i="3"/>
  <c r="P2630" i="3"/>
  <c r="O2630" i="3"/>
  <c r="Q2630" i="3" s="1"/>
  <c r="S2630" i="3" s="1"/>
  <c r="T2630" i="3" s="1"/>
  <c r="R2629" i="3"/>
  <c r="P2629" i="3"/>
  <c r="O2629" i="3"/>
  <c r="Q2629" i="3" s="1"/>
  <c r="S2629" i="3" s="1"/>
  <c r="T2629" i="3" s="1"/>
  <c r="R2628" i="3"/>
  <c r="P2628" i="3"/>
  <c r="O2628" i="3"/>
  <c r="Q2628" i="3" s="1"/>
  <c r="S2628" i="3" s="1"/>
  <c r="T2628" i="3" s="1"/>
  <c r="R2627" i="3"/>
  <c r="P2627" i="3"/>
  <c r="O2627" i="3"/>
  <c r="Q2627" i="3" s="1"/>
  <c r="S2627" i="3" s="1"/>
  <c r="T2627" i="3" s="1"/>
  <c r="R2626" i="3"/>
  <c r="P2626" i="3"/>
  <c r="O2626" i="3"/>
  <c r="Q2626" i="3" s="1"/>
  <c r="S2626" i="3" s="1"/>
  <c r="T2626" i="3" s="1"/>
  <c r="R2625" i="3"/>
  <c r="P2625" i="3"/>
  <c r="O2625" i="3"/>
  <c r="Q2625" i="3" s="1"/>
  <c r="S2625" i="3" s="1"/>
  <c r="T2625" i="3" s="1"/>
  <c r="R2624" i="3"/>
  <c r="P2624" i="3"/>
  <c r="O2624" i="3"/>
  <c r="Q2624" i="3" s="1"/>
  <c r="S2624" i="3" s="1"/>
  <c r="T2624" i="3" s="1"/>
  <c r="R2623" i="3"/>
  <c r="P2623" i="3"/>
  <c r="O2623" i="3"/>
  <c r="Q2623" i="3" s="1"/>
  <c r="S2623" i="3" s="1"/>
  <c r="T2623" i="3" s="1"/>
  <c r="R2622" i="3"/>
  <c r="P2622" i="3"/>
  <c r="O2622" i="3"/>
  <c r="Q2622" i="3" s="1"/>
  <c r="S2622" i="3" s="1"/>
  <c r="T2622" i="3" s="1"/>
  <c r="R2621" i="3"/>
  <c r="P2621" i="3"/>
  <c r="O2621" i="3"/>
  <c r="Q2621" i="3" s="1"/>
  <c r="S2621" i="3" s="1"/>
  <c r="T2621" i="3" s="1"/>
  <c r="R2620" i="3"/>
  <c r="P2620" i="3"/>
  <c r="O2620" i="3"/>
  <c r="Q2620" i="3" s="1"/>
  <c r="S2620" i="3" s="1"/>
  <c r="T2620" i="3" s="1"/>
  <c r="R2619" i="3"/>
  <c r="P2619" i="3"/>
  <c r="O2619" i="3"/>
  <c r="Q2619" i="3" s="1"/>
  <c r="S2619" i="3" s="1"/>
  <c r="T2619" i="3" s="1"/>
  <c r="R2618" i="3"/>
  <c r="P2618" i="3"/>
  <c r="O2618" i="3"/>
  <c r="Q2618" i="3" s="1"/>
  <c r="S2618" i="3" s="1"/>
  <c r="T2618" i="3" s="1"/>
  <c r="R2617" i="3"/>
  <c r="P2617" i="3"/>
  <c r="O2617" i="3"/>
  <c r="Q2617" i="3" s="1"/>
  <c r="S2617" i="3" s="1"/>
  <c r="T2617" i="3" s="1"/>
  <c r="R2616" i="3"/>
  <c r="P2616" i="3"/>
  <c r="O2616" i="3"/>
  <c r="Q2616" i="3" s="1"/>
  <c r="S2616" i="3" s="1"/>
  <c r="T2616" i="3" s="1"/>
  <c r="R2615" i="3"/>
  <c r="P2615" i="3"/>
  <c r="O2615" i="3"/>
  <c r="Q2615" i="3" s="1"/>
  <c r="S2615" i="3" s="1"/>
  <c r="T2615" i="3" s="1"/>
  <c r="R2614" i="3"/>
  <c r="P2614" i="3"/>
  <c r="O2614" i="3"/>
  <c r="Q2614" i="3" s="1"/>
  <c r="S2614" i="3" s="1"/>
  <c r="T2614" i="3" s="1"/>
  <c r="R2613" i="3"/>
  <c r="P2613" i="3"/>
  <c r="O2613" i="3"/>
  <c r="Q2613" i="3" s="1"/>
  <c r="S2613" i="3" s="1"/>
  <c r="T2613" i="3" s="1"/>
  <c r="R2612" i="3"/>
  <c r="P2612" i="3"/>
  <c r="O2612" i="3"/>
  <c r="Q2612" i="3" s="1"/>
  <c r="S2612" i="3" s="1"/>
  <c r="T2612" i="3" s="1"/>
  <c r="R2611" i="3"/>
  <c r="P2611" i="3"/>
  <c r="O2611" i="3"/>
  <c r="Q2611" i="3" s="1"/>
  <c r="S2611" i="3" s="1"/>
  <c r="T2611" i="3" s="1"/>
  <c r="R2610" i="3"/>
  <c r="P2610" i="3"/>
  <c r="O2610" i="3"/>
  <c r="Q2610" i="3" s="1"/>
  <c r="S2610" i="3" s="1"/>
  <c r="T2610" i="3" s="1"/>
  <c r="R2609" i="3"/>
  <c r="P2609" i="3"/>
  <c r="O2609" i="3"/>
  <c r="Q2609" i="3" s="1"/>
  <c r="S2609" i="3" s="1"/>
  <c r="T2609" i="3" s="1"/>
  <c r="R2608" i="3"/>
  <c r="P2608" i="3"/>
  <c r="O2608" i="3"/>
  <c r="Q2608" i="3" s="1"/>
  <c r="S2608" i="3" s="1"/>
  <c r="T2608" i="3" s="1"/>
  <c r="R2607" i="3"/>
  <c r="P2607" i="3"/>
  <c r="O2607" i="3"/>
  <c r="Q2607" i="3" s="1"/>
  <c r="S2607" i="3" s="1"/>
  <c r="T2607" i="3" s="1"/>
  <c r="R2606" i="3"/>
  <c r="P2606" i="3"/>
  <c r="O2606" i="3"/>
  <c r="Q2606" i="3" s="1"/>
  <c r="S2606" i="3" s="1"/>
  <c r="T2606" i="3" s="1"/>
  <c r="R2605" i="3"/>
  <c r="P2605" i="3"/>
  <c r="O2605" i="3"/>
  <c r="Q2605" i="3" s="1"/>
  <c r="S2605" i="3" s="1"/>
  <c r="T2605" i="3" s="1"/>
  <c r="R2604" i="3"/>
  <c r="P2604" i="3"/>
  <c r="O2604" i="3"/>
  <c r="Q2604" i="3" s="1"/>
  <c r="S2604" i="3" s="1"/>
  <c r="T2604" i="3" s="1"/>
  <c r="R2603" i="3"/>
  <c r="P2603" i="3"/>
  <c r="O2603" i="3"/>
  <c r="Q2603" i="3" s="1"/>
  <c r="S2603" i="3" s="1"/>
  <c r="T2603" i="3" s="1"/>
  <c r="R2602" i="3"/>
  <c r="P2602" i="3"/>
  <c r="O2602" i="3"/>
  <c r="Q2602" i="3" s="1"/>
  <c r="S2602" i="3" s="1"/>
  <c r="T2602" i="3" s="1"/>
  <c r="R2601" i="3"/>
  <c r="P2601" i="3"/>
  <c r="O2601" i="3"/>
  <c r="Q2601" i="3" s="1"/>
  <c r="S2601" i="3" s="1"/>
  <c r="T2601" i="3" s="1"/>
  <c r="R2600" i="3"/>
  <c r="P2600" i="3"/>
  <c r="O2600" i="3"/>
  <c r="Q2600" i="3" s="1"/>
  <c r="S2600" i="3" s="1"/>
  <c r="T2600" i="3" s="1"/>
  <c r="R2599" i="3"/>
  <c r="P2599" i="3"/>
  <c r="O2599" i="3"/>
  <c r="Q2599" i="3" s="1"/>
  <c r="S2599" i="3" s="1"/>
  <c r="T2599" i="3" s="1"/>
  <c r="R2598" i="3"/>
  <c r="P2598" i="3"/>
  <c r="O2598" i="3"/>
  <c r="Q2598" i="3" s="1"/>
  <c r="S2598" i="3" s="1"/>
  <c r="T2598" i="3" s="1"/>
  <c r="R2597" i="3"/>
  <c r="P2597" i="3"/>
  <c r="O2597" i="3"/>
  <c r="Q2597" i="3" s="1"/>
  <c r="S2597" i="3" s="1"/>
  <c r="T2597" i="3" s="1"/>
  <c r="R2596" i="3"/>
  <c r="P2596" i="3"/>
  <c r="O2596" i="3"/>
  <c r="Q2596" i="3" s="1"/>
  <c r="S2596" i="3" s="1"/>
  <c r="T2596" i="3" s="1"/>
  <c r="R2595" i="3"/>
  <c r="P2595" i="3"/>
  <c r="O2595" i="3"/>
  <c r="Q2595" i="3" s="1"/>
  <c r="S2595" i="3" s="1"/>
  <c r="T2595" i="3" s="1"/>
  <c r="R2594" i="3"/>
  <c r="P2594" i="3"/>
  <c r="O2594" i="3"/>
  <c r="Q2594" i="3" s="1"/>
  <c r="S2594" i="3" s="1"/>
  <c r="T2594" i="3" s="1"/>
  <c r="R2593" i="3"/>
  <c r="P2593" i="3"/>
  <c r="O2593" i="3"/>
  <c r="Q2593" i="3" s="1"/>
  <c r="S2593" i="3" s="1"/>
  <c r="T2593" i="3" s="1"/>
  <c r="R2592" i="3"/>
  <c r="P2592" i="3"/>
  <c r="O2592" i="3"/>
  <c r="Q2592" i="3" s="1"/>
  <c r="S2592" i="3" s="1"/>
  <c r="T2592" i="3" s="1"/>
  <c r="R2591" i="3"/>
  <c r="P2591" i="3"/>
  <c r="O2591" i="3"/>
  <c r="Q2591" i="3" s="1"/>
  <c r="S2591" i="3" s="1"/>
  <c r="T2591" i="3" s="1"/>
  <c r="R2590" i="3"/>
  <c r="P2590" i="3"/>
  <c r="O2590" i="3"/>
  <c r="Q2590" i="3" s="1"/>
  <c r="S2590" i="3" s="1"/>
  <c r="T2590" i="3" s="1"/>
  <c r="R2589" i="3"/>
  <c r="P2589" i="3"/>
  <c r="O2589" i="3"/>
  <c r="Q2589" i="3" s="1"/>
  <c r="S2589" i="3" s="1"/>
  <c r="T2589" i="3" s="1"/>
  <c r="R2588" i="3"/>
  <c r="P2588" i="3"/>
  <c r="O2588" i="3"/>
  <c r="Q2588" i="3" s="1"/>
  <c r="S2588" i="3" s="1"/>
  <c r="T2588" i="3" s="1"/>
  <c r="R2587" i="3"/>
  <c r="P2587" i="3"/>
  <c r="O2587" i="3"/>
  <c r="Q2587" i="3" s="1"/>
  <c r="S2587" i="3" s="1"/>
  <c r="T2587" i="3" s="1"/>
  <c r="R2586" i="3"/>
  <c r="P2586" i="3"/>
  <c r="O2586" i="3"/>
  <c r="Q2586" i="3" s="1"/>
  <c r="S2586" i="3" s="1"/>
  <c r="T2586" i="3" s="1"/>
  <c r="R2585" i="3"/>
  <c r="P2585" i="3"/>
  <c r="O2585" i="3"/>
  <c r="Q2585" i="3" s="1"/>
  <c r="S2585" i="3" s="1"/>
  <c r="T2585" i="3" s="1"/>
  <c r="R2584" i="3"/>
  <c r="P2584" i="3"/>
  <c r="O2584" i="3"/>
  <c r="Q2584" i="3" s="1"/>
  <c r="S2584" i="3" s="1"/>
  <c r="T2584" i="3" s="1"/>
  <c r="R2583" i="3"/>
  <c r="P2583" i="3"/>
  <c r="O2583" i="3"/>
  <c r="Q2583" i="3" s="1"/>
  <c r="S2583" i="3" s="1"/>
  <c r="T2583" i="3" s="1"/>
  <c r="R2582" i="3"/>
  <c r="P2582" i="3"/>
  <c r="O2582" i="3"/>
  <c r="Q2582" i="3" s="1"/>
  <c r="S2582" i="3" s="1"/>
  <c r="T2582" i="3" s="1"/>
  <c r="R2581" i="3"/>
  <c r="P2581" i="3"/>
  <c r="O2581" i="3"/>
  <c r="Q2581" i="3" s="1"/>
  <c r="S2581" i="3" s="1"/>
  <c r="T2581" i="3" s="1"/>
  <c r="R2580" i="3"/>
  <c r="P2580" i="3"/>
  <c r="O2580" i="3"/>
  <c r="Q2580" i="3" s="1"/>
  <c r="S2580" i="3" s="1"/>
  <c r="T2580" i="3" s="1"/>
  <c r="R2579" i="3"/>
  <c r="P2579" i="3"/>
  <c r="O2579" i="3"/>
  <c r="Q2579" i="3" s="1"/>
  <c r="S2579" i="3" s="1"/>
  <c r="T2579" i="3" s="1"/>
  <c r="R2578" i="3"/>
  <c r="P2578" i="3"/>
  <c r="O2578" i="3"/>
  <c r="Q2578" i="3" s="1"/>
  <c r="S2578" i="3" s="1"/>
  <c r="T2578" i="3" s="1"/>
  <c r="R2577" i="3"/>
  <c r="P2577" i="3"/>
  <c r="O2577" i="3"/>
  <c r="Q2577" i="3" s="1"/>
  <c r="S2577" i="3" s="1"/>
  <c r="T2577" i="3" s="1"/>
  <c r="R2576" i="3"/>
  <c r="P2576" i="3"/>
  <c r="O2576" i="3"/>
  <c r="Q2576" i="3" s="1"/>
  <c r="S2576" i="3" s="1"/>
  <c r="T2576" i="3" s="1"/>
  <c r="R2575" i="3"/>
  <c r="P2575" i="3"/>
  <c r="O2575" i="3"/>
  <c r="Q2575" i="3" s="1"/>
  <c r="S2575" i="3" s="1"/>
  <c r="T2575" i="3" s="1"/>
  <c r="R2574" i="3"/>
  <c r="P2574" i="3"/>
  <c r="O2574" i="3"/>
  <c r="Q2574" i="3" s="1"/>
  <c r="S2574" i="3" s="1"/>
  <c r="T2574" i="3" s="1"/>
  <c r="R2573" i="3"/>
  <c r="P2573" i="3"/>
  <c r="O2573" i="3"/>
  <c r="Q2573" i="3" s="1"/>
  <c r="S2573" i="3" s="1"/>
  <c r="T2573" i="3" s="1"/>
  <c r="R2572" i="3"/>
  <c r="P2572" i="3"/>
  <c r="O2572" i="3"/>
  <c r="Q2572" i="3" s="1"/>
  <c r="S2572" i="3" s="1"/>
  <c r="T2572" i="3" s="1"/>
  <c r="R2571" i="3"/>
  <c r="P2571" i="3"/>
  <c r="O2571" i="3"/>
  <c r="Q2571" i="3" s="1"/>
  <c r="S2571" i="3" s="1"/>
  <c r="T2571" i="3" s="1"/>
  <c r="R2570" i="3"/>
  <c r="P2570" i="3"/>
  <c r="O2570" i="3"/>
  <c r="Q2570" i="3" s="1"/>
  <c r="S2570" i="3" s="1"/>
  <c r="T2570" i="3" s="1"/>
  <c r="R2569" i="3"/>
  <c r="P2569" i="3"/>
  <c r="O2569" i="3"/>
  <c r="Q2569" i="3" s="1"/>
  <c r="S2569" i="3" s="1"/>
  <c r="T2569" i="3" s="1"/>
  <c r="R2568" i="3"/>
  <c r="P2568" i="3"/>
  <c r="O2568" i="3"/>
  <c r="Q2568" i="3" s="1"/>
  <c r="S2568" i="3" s="1"/>
  <c r="T2568" i="3" s="1"/>
  <c r="R2567" i="3"/>
  <c r="P2567" i="3"/>
  <c r="O2567" i="3"/>
  <c r="Q2567" i="3" s="1"/>
  <c r="S2567" i="3" s="1"/>
  <c r="T2567" i="3" s="1"/>
  <c r="R2566" i="3"/>
  <c r="P2566" i="3"/>
  <c r="O2566" i="3"/>
  <c r="Q2566" i="3" s="1"/>
  <c r="S2566" i="3" s="1"/>
  <c r="T2566" i="3" s="1"/>
  <c r="R2565" i="3"/>
  <c r="P2565" i="3"/>
  <c r="O2565" i="3"/>
  <c r="Q2565" i="3" s="1"/>
  <c r="S2565" i="3" s="1"/>
  <c r="T2565" i="3" s="1"/>
  <c r="R2564" i="3"/>
  <c r="P2564" i="3"/>
  <c r="O2564" i="3"/>
  <c r="Q2564" i="3" s="1"/>
  <c r="S2564" i="3" s="1"/>
  <c r="T2564" i="3" s="1"/>
  <c r="R2563" i="3"/>
  <c r="P2563" i="3"/>
  <c r="O2563" i="3"/>
  <c r="Q2563" i="3" s="1"/>
  <c r="S2563" i="3" s="1"/>
  <c r="T2563" i="3" s="1"/>
  <c r="R2562" i="3"/>
  <c r="P2562" i="3"/>
  <c r="O2562" i="3"/>
  <c r="Q2562" i="3" s="1"/>
  <c r="S2562" i="3" s="1"/>
  <c r="T2562" i="3" s="1"/>
  <c r="R2561" i="3"/>
  <c r="P2561" i="3"/>
  <c r="O2561" i="3"/>
  <c r="Q2561" i="3" s="1"/>
  <c r="S2561" i="3" s="1"/>
  <c r="T2561" i="3" s="1"/>
  <c r="R2560" i="3"/>
  <c r="P2560" i="3"/>
  <c r="O2560" i="3"/>
  <c r="Q2560" i="3" s="1"/>
  <c r="S2560" i="3" s="1"/>
  <c r="T2560" i="3" s="1"/>
  <c r="R2559" i="3"/>
  <c r="P2559" i="3"/>
  <c r="O2559" i="3"/>
  <c r="Q2559" i="3" s="1"/>
  <c r="S2559" i="3" s="1"/>
  <c r="T2559" i="3" s="1"/>
  <c r="R2558" i="3"/>
  <c r="P2558" i="3"/>
  <c r="O2558" i="3"/>
  <c r="Q2558" i="3" s="1"/>
  <c r="S2558" i="3" s="1"/>
  <c r="T2558" i="3" s="1"/>
  <c r="R2557" i="3"/>
  <c r="P2557" i="3"/>
  <c r="O2557" i="3"/>
  <c r="Q2557" i="3" s="1"/>
  <c r="S2557" i="3" s="1"/>
  <c r="T2557" i="3" s="1"/>
  <c r="R2556" i="3"/>
  <c r="P2556" i="3"/>
  <c r="O2556" i="3"/>
  <c r="Q2556" i="3" s="1"/>
  <c r="S2556" i="3" s="1"/>
  <c r="T2556" i="3" s="1"/>
  <c r="R2555" i="3"/>
  <c r="P2555" i="3"/>
  <c r="O2555" i="3"/>
  <c r="Q2555" i="3" s="1"/>
  <c r="S2555" i="3" s="1"/>
  <c r="T2555" i="3" s="1"/>
  <c r="R2554" i="3"/>
  <c r="P2554" i="3"/>
  <c r="O2554" i="3"/>
  <c r="Q2554" i="3" s="1"/>
  <c r="S2554" i="3" s="1"/>
  <c r="T2554" i="3" s="1"/>
  <c r="R2553" i="3"/>
  <c r="P2553" i="3"/>
  <c r="O2553" i="3"/>
  <c r="Q2553" i="3" s="1"/>
  <c r="S2553" i="3" s="1"/>
  <c r="T2553" i="3" s="1"/>
  <c r="R2552" i="3"/>
  <c r="P2552" i="3"/>
  <c r="O2552" i="3"/>
  <c r="Q2552" i="3" s="1"/>
  <c r="S2552" i="3" s="1"/>
  <c r="T2552" i="3" s="1"/>
  <c r="R2551" i="3"/>
  <c r="P2551" i="3"/>
  <c r="O2551" i="3"/>
  <c r="Q2551" i="3" s="1"/>
  <c r="S2551" i="3" s="1"/>
  <c r="T2551" i="3" s="1"/>
  <c r="R2550" i="3"/>
  <c r="P2550" i="3"/>
  <c r="O2550" i="3"/>
  <c r="Q2550" i="3" s="1"/>
  <c r="S2550" i="3" s="1"/>
  <c r="T2550" i="3" s="1"/>
  <c r="R2549" i="3"/>
  <c r="P2549" i="3"/>
  <c r="O2549" i="3"/>
  <c r="Q2549" i="3" s="1"/>
  <c r="S2549" i="3" s="1"/>
  <c r="T2549" i="3" s="1"/>
  <c r="R2548" i="3"/>
  <c r="P2548" i="3"/>
  <c r="O2548" i="3"/>
  <c r="Q2548" i="3" s="1"/>
  <c r="S2548" i="3" s="1"/>
  <c r="T2548" i="3" s="1"/>
  <c r="R2547" i="3"/>
  <c r="P2547" i="3"/>
  <c r="O2547" i="3"/>
  <c r="Q2547" i="3" s="1"/>
  <c r="S2547" i="3" s="1"/>
  <c r="T2547" i="3" s="1"/>
  <c r="R2546" i="3"/>
  <c r="P2546" i="3"/>
  <c r="O2546" i="3"/>
  <c r="Q2546" i="3" s="1"/>
  <c r="S2546" i="3" s="1"/>
  <c r="T2546" i="3" s="1"/>
  <c r="R2545" i="3"/>
  <c r="P2545" i="3"/>
  <c r="O2545" i="3"/>
  <c r="Q2545" i="3" s="1"/>
  <c r="S2545" i="3" s="1"/>
  <c r="T2545" i="3" s="1"/>
  <c r="R2544" i="3"/>
  <c r="P2544" i="3"/>
  <c r="O2544" i="3"/>
  <c r="Q2544" i="3" s="1"/>
  <c r="S2544" i="3" s="1"/>
  <c r="T2544" i="3" s="1"/>
  <c r="R2543" i="3"/>
  <c r="P2543" i="3"/>
  <c r="O2543" i="3"/>
  <c r="Q2543" i="3" s="1"/>
  <c r="S2543" i="3" s="1"/>
  <c r="T2543" i="3" s="1"/>
  <c r="R2542" i="3"/>
  <c r="P2542" i="3"/>
  <c r="O2542" i="3"/>
  <c r="Q2542" i="3" s="1"/>
  <c r="S2542" i="3" s="1"/>
  <c r="T2542" i="3" s="1"/>
  <c r="R2541" i="3"/>
  <c r="P2541" i="3"/>
  <c r="O2541" i="3"/>
  <c r="Q2541" i="3" s="1"/>
  <c r="S2541" i="3" s="1"/>
  <c r="T2541" i="3" s="1"/>
  <c r="R2540" i="3"/>
  <c r="P2540" i="3"/>
  <c r="O2540" i="3"/>
  <c r="Q2540" i="3" s="1"/>
  <c r="S2540" i="3" s="1"/>
  <c r="T2540" i="3" s="1"/>
  <c r="R2539" i="3"/>
  <c r="P2539" i="3"/>
  <c r="O2539" i="3"/>
  <c r="Q2539" i="3" s="1"/>
  <c r="S2539" i="3" s="1"/>
  <c r="T2539" i="3" s="1"/>
  <c r="R2538" i="3"/>
  <c r="P2538" i="3"/>
  <c r="O2538" i="3"/>
  <c r="Q2538" i="3" s="1"/>
  <c r="S2538" i="3" s="1"/>
  <c r="T2538" i="3" s="1"/>
  <c r="R2537" i="3"/>
  <c r="P2537" i="3"/>
  <c r="O2537" i="3"/>
  <c r="Q2537" i="3" s="1"/>
  <c r="S2537" i="3" s="1"/>
  <c r="T2537" i="3" s="1"/>
  <c r="R2536" i="3"/>
  <c r="P2536" i="3"/>
  <c r="O2536" i="3"/>
  <c r="Q2536" i="3" s="1"/>
  <c r="S2536" i="3" s="1"/>
  <c r="T2536" i="3" s="1"/>
  <c r="R2535" i="3"/>
  <c r="P2535" i="3"/>
  <c r="O2535" i="3"/>
  <c r="Q2535" i="3" s="1"/>
  <c r="S2535" i="3" s="1"/>
  <c r="T2535" i="3" s="1"/>
  <c r="R2534" i="3"/>
  <c r="P2534" i="3"/>
  <c r="O2534" i="3"/>
  <c r="Q2534" i="3" s="1"/>
  <c r="S2534" i="3" s="1"/>
  <c r="T2534" i="3" s="1"/>
  <c r="R2533" i="3"/>
  <c r="P2533" i="3"/>
  <c r="O2533" i="3"/>
  <c r="Q2533" i="3" s="1"/>
  <c r="S2533" i="3" s="1"/>
  <c r="T2533" i="3" s="1"/>
  <c r="R2532" i="3"/>
  <c r="P2532" i="3"/>
  <c r="O2532" i="3"/>
  <c r="Q2532" i="3" s="1"/>
  <c r="S2532" i="3" s="1"/>
  <c r="T2532" i="3" s="1"/>
  <c r="R2531" i="3"/>
  <c r="P2531" i="3"/>
  <c r="O2531" i="3"/>
  <c r="Q2531" i="3" s="1"/>
  <c r="S2531" i="3" s="1"/>
  <c r="T2531" i="3" s="1"/>
  <c r="R2530" i="3"/>
  <c r="P2530" i="3"/>
  <c r="O2530" i="3"/>
  <c r="Q2530" i="3" s="1"/>
  <c r="S2530" i="3" s="1"/>
  <c r="T2530" i="3" s="1"/>
  <c r="R2529" i="3"/>
  <c r="P2529" i="3"/>
  <c r="O2529" i="3"/>
  <c r="Q2529" i="3" s="1"/>
  <c r="S2529" i="3" s="1"/>
  <c r="T2529" i="3" s="1"/>
  <c r="R2528" i="3"/>
  <c r="P2528" i="3"/>
  <c r="O2528" i="3"/>
  <c r="Q2528" i="3" s="1"/>
  <c r="S2528" i="3" s="1"/>
  <c r="T2528" i="3" s="1"/>
  <c r="R2527" i="3"/>
  <c r="P2527" i="3"/>
  <c r="O2527" i="3"/>
  <c r="Q2527" i="3" s="1"/>
  <c r="S2527" i="3" s="1"/>
  <c r="T2527" i="3" s="1"/>
  <c r="R2526" i="3"/>
  <c r="P2526" i="3"/>
  <c r="O2526" i="3"/>
  <c r="Q2526" i="3" s="1"/>
  <c r="S2526" i="3" s="1"/>
  <c r="T2526" i="3" s="1"/>
  <c r="R2525" i="3"/>
  <c r="P2525" i="3"/>
  <c r="O2525" i="3"/>
  <c r="Q2525" i="3" s="1"/>
  <c r="S2525" i="3" s="1"/>
  <c r="T2525" i="3" s="1"/>
  <c r="R2524" i="3"/>
  <c r="P2524" i="3"/>
  <c r="O2524" i="3"/>
  <c r="Q2524" i="3" s="1"/>
  <c r="S2524" i="3" s="1"/>
  <c r="T2524" i="3" s="1"/>
  <c r="R2523" i="3"/>
  <c r="P2523" i="3"/>
  <c r="O2523" i="3"/>
  <c r="Q2523" i="3" s="1"/>
  <c r="S2523" i="3" s="1"/>
  <c r="T2523" i="3" s="1"/>
  <c r="R2522" i="3"/>
  <c r="P2522" i="3"/>
  <c r="O2522" i="3"/>
  <c r="Q2522" i="3" s="1"/>
  <c r="S2522" i="3" s="1"/>
  <c r="T2522" i="3" s="1"/>
  <c r="R2521" i="3"/>
  <c r="P2521" i="3"/>
  <c r="O2521" i="3"/>
  <c r="Q2521" i="3" s="1"/>
  <c r="S2521" i="3" s="1"/>
  <c r="T2521" i="3" s="1"/>
  <c r="R2520" i="3"/>
  <c r="P2520" i="3"/>
  <c r="O2520" i="3"/>
  <c r="Q2520" i="3" s="1"/>
  <c r="S2520" i="3" s="1"/>
  <c r="T2520" i="3" s="1"/>
  <c r="R2519" i="3"/>
  <c r="P2519" i="3"/>
  <c r="O2519" i="3"/>
  <c r="Q2519" i="3" s="1"/>
  <c r="S2519" i="3" s="1"/>
  <c r="T2519" i="3" s="1"/>
  <c r="R2518" i="3"/>
  <c r="P2518" i="3"/>
  <c r="O2518" i="3"/>
  <c r="Q2518" i="3" s="1"/>
  <c r="S2518" i="3" s="1"/>
  <c r="T2518" i="3" s="1"/>
  <c r="R2517" i="3"/>
  <c r="P2517" i="3"/>
  <c r="O2517" i="3"/>
  <c r="Q2517" i="3" s="1"/>
  <c r="S2517" i="3" s="1"/>
  <c r="T2517" i="3" s="1"/>
  <c r="R2516" i="3"/>
  <c r="P2516" i="3"/>
  <c r="O2516" i="3"/>
  <c r="Q2516" i="3" s="1"/>
  <c r="S2516" i="3" s="1"/>
  <c r="T2516" i="3" s="1"/>
  <c r="R2515" i="3"/>
  <c r="P2515" i="3"/>
  <c r="O2515" i="3"/>
  <c r="Q2515" i="3" s="1"/>
  <c r="S2515" i="3" s="1"/>
  <c r="T2515" i="3" s="1"/>
  <c r="R2514" i="3"/>
  <c r="P2514" i="3"/>
  <c r="O2514" i="3"/>
  <c r="Q2514" i="3" s="1"/>
  <c r="S2514" i="3" s="1"/>
  <c r="T2514" i="3" s="1"/>
  <c r="R2513" i="3"/>
  <c r="P2513" i="3"/>
  <c r="O2513" i="3"/>
  <c r="Q2513" i="3" s="1"/>
  <c r="S2513" i="3" s="1"/>
  <c r="T2513" i="3" s="1"/>
  <c r="R2512" i="3"/>
  <c r="P2512" i="3"/>
  <c r="O2512" i="3"/>
  <c r="Q2512" i="3" s="1"/>
  <c r="S2512" i="3" s="1"/>
  <c r="T2512" i="3" s="1"/>
  <c r="R2511" i="3"/>
  <c r="P2511" i="3"/>
  <c r="O2511" i="3"/>
  <c r="Q2511" i="3" s="1"/>
  <c r="S2511" i="3" s="1"/>
  <c r="T2511" i="3" s="1"/>
  <c r="R2510" i="3"/>
  <c r="P2510" i="3"/>
  <c r="O2510" i="3"/>
  <c r="Q2510" i="3" s="1"/>
  <c r="S2510" i="3" s="1"/>
  <c r="T2510" i="3" s="1"/>
  <c r="R2509" i="3"/>
  <c r="P2509" i="3"/>
  <c r="O2509" i="3"/>
  <c r="Q2509" i="3" s="1"/>
  <c r="S2509" i="3" s="1"/>
  <c r="T2509" i="3" s="1"/>
  <c r="R2508" i="3"/>
  <c r="P2508" i="3"/>
  <c r="O2508" i="3"/>
  <c r="Q2508" i="3" s="1"/>
  <c r="S2508" i="3" s="1"/>
  <c r="T2508" i="3" s="1"/>
  <c r="R2507" i="3"/>
  <c r="P2507" i="3"/>
  <c r="O2507" i="3"/>
  <c r="Q2507" i="3" s="1"/>
  <c r="S2507" i="3" s="1"/>
  <c r="T2507" i="3" s="1"/>
  <c r="R2506" i="3"/>
  <c r="P2506" i="3"/>
  <c r="O2506" i="3"/>
  <c r="Q2506" i="3" s="1"/>
  <c r="S2506" i="3" s="1"/>
  <c r="T2506" i="3" s="1"/>
  <c r="R2505" i="3"/>
  <c r="P2505" i="3"/>
  <c r="O2505" i="3"/>
  <c r="Q2505" i="3" s="1"/>
  <c r="S2505" i="3" s="1"/>
  <c r="T2505" i="3" s="1"/>
  <c r="R2504" i="3"/>
  <c r="P2504" i="3"/>
  <c r="O2504" i="3"/>
  <c r="Q2504" i="3" s="1"/>
  <c r="S2504" i="3" s="1"/>
  <c r="T2504" i="3" s="1"/>
  <c r="R2503" i="3"/>
  <c r="P2503" i="3"/>
  <c r="O2503" i="3"/>
  <c r="Q2503" i="3" s="1"/>
  <c r="S2503" i="3" s="1"/>
  <c r="T2503" i="3" s="1"/>
  <c r="R2502" i="3"/>
  <c r="P2502" i="3"/>
  <c r="O2502" i="3"/>
  <c r="Q2502" i="3" s="1"/>
  <c r="S2502" i="3" s="1"/>
  <c r="T2502" i="3" s="1"/>
  <c r="R2501" i="3"/>
  <c r="P2501" i="3"/>
  <c r="O2501" i="3"/>
  <c r="Q2501" i="3" s="1"/>
  <c r="S2501" i="3" s="1"/>
  <c r="T2501" i="3" s="1"/>
  <c r="R2500" i="3"/>
  <c r="P2500" i="3"/>
  <c r="O2500" i="3"/>
  <c r="Q2500" i="3" s="1"/>
  <c r="S2500" i="3" s="1"/>
  <c r="T2500" i="3" s="1"/>
  <c r="R2499" i="3"/>
  <c r="P2499" i="3"/>
  <c r="O2499" i="3"/>
  <c r="Q2499" i="3" s="1"/>
  <c r="S2499" i="3" s="1"/>
  <c r="T2499" i="3" s="1"/>
  <c r="R2498" i="3"/>
  <c r="P2498" i="3"/>
  <c r="O2498" i="3"/>
  <c r="Q2498" i="3" s="1"/>
  <c r="S2498" i="3" s="1"/>
  <c r="T2498" i="3" s="1"/>
  <c r="R2497" i="3"/>
  <c r="P2497" i="3"/>
  <c r="O2497" i="3"/>
  <c r="Q2497" i="3" s="1"/>
  <c r="S2497" i="3" s="1"/>
  <c r="T2497" i="3" s="1"/>
  <c r="R2496" i="3"/>
  <c r="P2496" i="3"/>
  <c r="O2496" i="3"/>
  <c r="Q2496" i="3" s="1"/>
  <c r="S2496" i="3" s="1"/>
  <c r="T2496" i="3" s="1"/>
  <c r="R2495" i="3"/>
  <c r="P2495" i="3"/>
  <c r="O2495" i="3"/>
  <c r="Q2495" i="3" s="1"/>
  <c r="S2495" i="3" s="1"/>
  <c r="T2495" i="3" s="1"/>
  <c r="R2494" i="3"/>
  <c r="P2494" i="3"/>
  <c r="O2494" i="3"/>
  <c r="Q2494" i="3" s="1"/>
  <c r="S2494" i="3" s="1"/>
  <c r="T2494" i="3" s="1"/>
  <c r="R2493" i="3"/>
  <c r="P2493" i="3"/>
  <c r="O2493" i="3"/>
  <c r="Q2493" i="3" s="1"/>
  <c r="S2493" i="3" s="1"/>
  <c r="T2493" i="3" s="1"/>
  <c r="R2492" i="3"/>
  <c r="P2492" i="3"/>
  <c r="O2492" i="3"/>
  <c r="Q2492" i="3" s="1"/>
  <c r="S2492" i="3" s="1"/>
  <c r="T2492" i="3" s="1"/>
  <c r="R2491" i="3"/>
  <c r="P2491" i="3"/>
  <c r="O2491" i="3"/>
  <c r="Q2491" i="3" s="1"/>
  <c r="S2491" i="3" s="1"/>
  <c r="T2491" i="3" s="1"/>
  <c r="R2490" i="3"/>
  <c r="P2490" i="3"/>
  <c r="O2490" i="3"/>
  <c r="Q2490" i="3" s="1"/>
  <c r="S2490" i="3" s="1"/>
  <c r="T2490" i="3" s="1"/>
  <c r="R2489" i="3"/>
  <c r="P2489" i="3"/>
  <c r="O2489" i="3"/>
  <c r="Q2489" i="3" s="1"/>
  <c r="S2489" i="3" s="1"/>
  <c r="T2489" i="3" s="1"/>
  <c r="R2488" i="3"/>
  <c r="P2488" i="3"/>
  <c r="O2488" i="3"/>
  <c r="Q2488" i="3" s="1"/>
  <c r="S2488" i="3" s="1"/>
  <c r="T2488" i="3" s="1"/>
  <c r="R2487" i="3"/>
  <c r="P2487" i="3"/>
  <c r="O2487" i="3"/>
  <c r="Q2487" i="3" s="1"/>
  <c r="S2487" i="3" s="1"/>
  <c r="T2487" i="3" s="1"/>
  <c r="R2486" i="3"/>
  <c r="P2486" i="3"/>
  <c r="O2486" i="3"/>
  <c r="Q2486" i="3" s="1"/>
  <c r="S2486" i="3" s="1"/>
  <c r="T2486" i="3" s="1"/>
  <c r="R2485" i="3"/>
  <c r="P2485" i="3"/>
  <c r="O2485" i="3"/>
  <c r="Q2485" i="3" s="1"/>
  <c r="S2485" i="3" s="1"/>
  <c r="T2485" i="3" s="1"/>
  <c r="R2484" i="3"/>
  <c r="P2484" i="3"/>
  <c r="O2484" i="3"/>
  <c r="Q2484" i="3" s="1"/>
  <c r="S2484" i="3" s="1"/>
  <c r="T2484" i="3" s="1"/>
  <c r="R2483" i="3"/>
  <c r="P2483" i="3"/>
  <c r="O2483" i="3"/>
  <c r="Q2483" i="3" s="1"/>
  <c r="S2483" i="3" s="1"/>
  <c r="T2483" i="3" s="1"/>
  <c r="R2482" i="3"/>
  <c r="P2482" i="3"/>
  <c r="O2482" i="3"/>
  <c r="Q2482" i="3" s="1"/>
  <c r="S2482" i="3" s="1"/>
  <c r="T2482" i="3" s="1"/>
  <c r="R2481" i="3"/>
  <c r="P2481" i="3"/>
  <c r="O2481" i="3"/>
  <c r="Q2481" i="3" s="1"/>
  <c r="S2481" i="3" s="1"/>
  <c r="T2481" i="3" s="1"/>
  <c r="R2480" i="3"/>
  <c r="P2480" i="3"/>
  <c r="O2480" i="3"/>
  <c r="Q2480" i="3" s="1"/>
  <c r="S2480" i="3" s="1"/>
  <c r="T2480" i="3" s="1"/>
  <c r="R2479" i="3"/>
  <c r="P2479" i="3"/>
  <c r="O2479" i="3"/>
  <c r="Q2479" i="3" s="1"/>
  <c r="S2479" i="3" s="1"/>
  <c r="T2479" i="3" s="1"/>
  <c r="R2478" i="3"/>
  <c r="P2478" i="3"/>
  <c r="O2478" i="3"/>
  <c r="Q2478" i="3" s="1"/>
  <c r="S2478" i="3" s="1"/>
  <c r="T2478" i="3" s="1"/>
  <c r="R2477" i="3"/>
  <c r="P2477" i="3"/>
  <c r="O2477" i="3"/>
  <c r="Q2477" i="3" s="1"/>
  <c r="S2477" i="3" s="1"/>
  <c r="T2477" i="3" s="1"/>
  <c r="R2476" i="3"/>
  <c r="P2476" i="3"/>
  <c r="O2476" i="3"/>
  <c r="Q2476" i="3" s="1"/>
  <c r="S2476" i="3" s="1"/>
  <c r="T2476" i="3" s="1"/>
  <c r="R2475" i="3"/>
  <c r="P2475" i="3"/>
  <c r="O2475" i="3"/>
  <c r="Q2475" i="3" s="1"/>
  <c r="S2475" i="3" s="1"/>
  <c r="T2475" i="3" s="1"/>
  <c r="R2474" i="3"/>
  <c r="P2474" i="3"/>
  <c r="O2474" i="3"/>
  <c r="Q2474" i="3" s="1"/>
  <c r="S2474" i="3" s="1"/>
  <c r="T2474" i="3" s="1"/>
  <c r="R2473" i="3"/>
  <c r="P2473" i="3"/>
  <c r="O2473" i="3"/>
  <c r="Q2473" i="3" s="1"/>
  <c r="S2473" i="3" s="1"/>
  <c r="T2473" i="3" s="1"/>
  <c r="R2472" i="3"/>
  <c r="P2472" i="3"/>
  <c r="O2472" i="3"/>
  <c r="Q2472" i="3" s="1"/>
  <c r="S2472" i="3" s="1"/>
  <c r="T2472" i="3" s="1"/>
  <c r="R2471" i="3"/>
  <c r="P2471" i="3"/>
  <c r="O2471" i="3"/>
  <c r="Q2471" i="3" s="1"/>
  <c r="S2471" i="3" s="1"/>
  <c r="T2471" i="3" s="1"/>
  <c r="R2470" i="3"/>
  <c r="P2470" i="3"/>
  <c r="O2470" i="3"/>
  <c r="Q2470" i="3" s="1"/>
  <c r="S2470" i="3" s="1"/>
  <c r="T2470" i="3" s="1"/>
  <c r="R2469" i="3"/>
  <c r="P2469" i="3"/>
  <c r="O2469" i="3"/>
  <c r="Q2469" i="3" s="1"/>
  <c r="S2469" i="3" s="1"/>
  <c r="T2469" i="3" s="1"/>
  <c r="R2468" i="3"/>
  <c r="P2468" i="3"/>
  <c r="O2468" i="3"/>
  <c r="Q2468" i="3" s="1"/>
  <c r="S2468" i="3" s="1"/>
  <c r="T2468" i="3" s="1"/>
  <c r="R2467" i="3"/>
  <c r="P2467" i="3"/>
  <c r="O2467" i="3"/>
  <c r="Q2467" i="3" s="1"/>
  <c r="S2467" i="3" s="1"/>
  <c r="T2467" i="3" s="1"/>
  <c r="R2466" i="3"/>
  <c r="P2466" i="3"/>
  <c r="O2466" i="3"/>
  <c r="Q2466" i="3" s="1"/>
  <c r="S2466" i="3" s="1"/>
  <c r="T2466" i="3" s="1"/>
  <c r="R2465" i="3"/>
  <c r="P2465" i="3"/>
  <c r="O2465" i="3"/>
  <c r="Q2465" i="3" s="1"/>
  <c r="S2465" i="3" s="1"/>
  <c r="T2465" i="3" s="1"/>
  <c r="R2464" i="3"/>
  <c r="P2464" i="3"/>
  <c r="O2464" i="3"/>
  <c r="Q2464" i="3" s="1"/>
  <c r="S2464" i="3" s="1"/>
  <c r="T2464" i="3" s="1"/>
  <c r="R2463" i="3"/>
  <c r="P2463" i="3"/>
  <c r="O2463" i="3"/>
  <c r="Q2463" i="3" s="1"/>
  <c r="S2463" i="3" s="1"/>
  <c r="T2463" i="3" s="1"/>
  <c r="R2462" i="3"/>
  <c r="P2462" i="3"/>
  <c r="O2462" i="3"/>
  <c r="Q2462" i="3" s="1"/>
  <c r="S2462" i="3" s="1"/>
  <c r="T2462" i="3" s="1"/>
  <c r="R2461" i="3"/>
  <c r="P2461" i="3"/>
  <c r="O2461" i="3"/>
  <c r="Q2461" i="3" s="1"/>
  <c r="S2461" i="3" s="1"/>
  <c r="T2461" i="3" s="1"/>
  <c r="R2460" i="3"/>
  <c r="P2460" i="3"/>
  <c r="O2460" i="3"/>
  <c r="Q2460" i="3" s="1"/>
  <c r="S2460" i="3" s="1"/>
  <c r="T2460" i="3" s="1"/>
  <c r="R2459" i="3"/>
  <c r="P2459" i="3"/>
  <c r="O2459" i="3"/>
  <c r="Q2459" i="3" s="1"/>
  <c r="S2459" i="3" s="1"/>
  <c r="T2459" i="3" s="1"/>
  <c r="R2458" i="3"/>
  <c r="P2458" i="3"/>
  <c r="O2458" i="3"/>
  <c r="Q2458" i="3" s="1"/>
  <c r="S2458" i="3" s="1"/>
  <c r="T2458" i="3" s="1"/>
  <c r="R2457" i="3"/>
  <c r="P2457" i="3"/>
  <c r="O2457" i="3"/>
  <c r="Q2457" i="3" s="1"/>
  <c r="S2457" i="3" s="1"/>
  <c r="T2457" i="3" s="1"/>
  <c r="R2456" i="3"/>
  <c r="P2456" i="3"/>
  <c r="O2456" i="3"/>
  <c r="Q2456" i="3" s="1"/>
  <c r="S2456" i="3" s="1"/>
  <c r="T2456" i="3" s="1"/>
  <c r="R2455" i="3"/>
  <c r="P2455" i="3"/>
  <c r="O2455" i="3"/>
  <c r="Q2455" i="3" s="1"/>
  <c r="S2455" i="3" s="1"/>
  <c r="T2455" i="3" s="1"/>
  <c r="R2454" i="3"/>
  <c r="P2454" i="3"/>
  <c r="O2454" i="3"/>
  <c r="Q2454" i="3" s="1"/>
  <c r="S2454" i="3" s="1"/>
  <c r="T2454" i="3" s="1"/>
  <c r="R2453" i="3"/>
  <c r="P2453" i="3"/>
  <c r="O2453" i="3"/>
  <c r="Q2453" i="3" s="1"/>
  <c r="S2453" i="3" s="1"/>
  <c r="T2453" i="3" s="1"/>
  <c r="R2452" i="3"/>
  <c r="P2452" i="3"/>
  <c r="O2452" i="3"/>
  <c r="Q2452" i="3" s="1"/>
  <c r="S2452" i="3" s="1"/>
  <c r="T2452" i="3" s="1"/>
  <c r="R2451" i="3"/>
  <c r="P2451" i="3"/>
  <c r="O2451" i="3"/>
  <c r="Q2451" i="3" s="1"/>
  <c r="S2451" i="3" s="1"/>
  <c r="T2451" i="3" s="1"/>
  <c r="R2450" i="3"/>
  <c r="P2450" i="3"/>
  <c r="O2450" i="3"/>
  <c r="Q2450" i="3" s="1"/>
  <c r="S2450" i="3" s="1"/>
  <c r="T2450" i="3" s="1"/>
  <c r="R2449" i="3"/>
  <c r="P2449" i="3"/>
  <c r="O2449" i="3"/>
  <c r="Q2449" i="3" s="1"/>
  <c r="S2449" i="3" s="1"/>
  <c r="T2449" i="3" s="1"/>
  <c r="R2448" i="3"/>
  <c r="P2448" i="3"/>
  <c r="O2448" i="3"/>
  <c r="Q2448" i="3" s="1"/>
  <c r="S2448" i="3" s="1"/>
  <c r="T2448" i="3" s="1"/>
  <c r="R2447" i="3"/>
  <c r="P2447" i="3"/>
  <c r="O2447" i="3"/>
  <c r="Q2447" i="3" s="1"/>
  <c r="S2447" i="3" s="1"/>
  <c r="T2447" i="3" s="1"/>
  <c r="R2446" i="3"/>
  <c r="P2446" i="3"/>
  <c r="O2446" i="3"/>
  <c r="Q2446" i="3" s="1"/>
  <c r="S2446" i="3" s="1"/>
  <c r="T2446" i="3" s="1"/>
  <c r="R2445" i="3"/>
  <c r="P2445" i="3"/>
  <c r="O2445" i="3"/>
  <c r="Q2445" i="3" s="1"/>
  <c r="S2445" i="3" s="1"/>
  <c r="T2445" i="3" s="1"/>
  <c r="R2444" i="3"/>
  <c r="P2444" i="3"/>
  <c r="O2444" i="3"/>
  <c r="Q2444" i="3" s="1"/>
  <c r="S2444" i="3" s="1"/>
  <c r="T2444" i="3" s="1"/>
  <c r="R2443" i="3"/>
  <c r="P2443" i="3"/>
  <c r="O2443" i="3"/>
  <c r="Q2443" i="3" s="1"/>
  <c r="S2443" i="3" s="1"/>
  <c r="T2443" i="3" s="1"/>
  <c r="R2442" i="3"/>
  <c r="P2442" i="3"/>
  <c r="O2442" i="3"/>
  <c r="Q2442" i="3" s="1"/>
  <c r="S2442" i="3" s="1"/>
  <c r="T2442" i="3" s="1"/>
  <c r="R2441" i="3"/>
  <c r="P2441" i="3"/>
  <c r="O2441" i="3"/>
  <c r="Q2441" i="3" s="1"/>
  <c r="S2441" i="3" s="1"/>
  <c r="T2441" i="3" s="1"/>
  <c r="R2440" i="3"/>
  <c r="P2440" i="3"/>
  <c r="O2440" i="3"/>
  <c r="Q2440" i="3" s="1"/>
  <c r="S2440" i="3" s="1"/>
  <c r="T2440" i="3" s="1"/>
  <c r="R2439" i="3"/>
  <c r="P2439" i="3"/>
  <c r="O2439" i="3"/>
  <c r="Q2439" i="3" s="1"/>
  <c r="S2439" i="3" s="1"/>
  <c r="T2439" i="3" s="1"/>
  <c r="R2438" i="3"/>
  <c r="P2438" i="3"/>
  <c r="O2438" i="3"/>
  <c r="Q2438" i="3" s="1"/>
  <c r="S2438" i="3" s="1"/>
  <c r="T2438" i="3" s="1"/>
  <c r="R2437" i="3"/>
  <c r="P2437" i="3"/>
  <c r="O2437" i="3"/>
  <c r="Q2437" i="3" s="1"/>
  <c r="S2437" i="3" s="1"/>
  <c r="T2437" i="3" s="1"/>
  <c r="R2436" i="3"/>
  <c r="P2436" i="3"/>
  <c r="O2436" i="3"/>
  <c r="Q2436" i="3" s="1"/>
  <c r="S2436" i="3" s="1"/>
  <c r="T2436" i="3" s="1"/>
  <c r="R2435" i="3"/>
  <c r="P2435" i="3"/>
  <c r="O2435" i="3"/>
  <c r="Q2435" i="3" s="1"/>
  <c r="S2435" i="3" s="1"/>
  <c r="T2435" i="3" s="1"/>
  <c r="R2434" i="3"/>
  <c r="P2434" i="3"/>
  <c r="O2434" i="3"/>
  <c r="Q2434" i="3" s="1"/>
  <c r="S2434" i="3" s="1"/>
  <c r="T2434" i="3" s="1"/>
  <c r="R2433" i="3"/>
  <c r="P2433" i="3"/>
  <c r="O2433" i="3"/>
  <c r="Q2433" i="3" s="1"/>
  <c r="S2433" i="3" s="1"/>
  <c r="T2433" i="3" s="1"/>
  <c r="R2432" i="3"/>
  <c r="P2432" i="3"/>
  <c r="O2432" i="3"/>
  <c r="Q2432" i="3" s="1"/>
  <c r="S2432" i="3" s="1"/>
  <c r="T2432" i="3" s="1"/>
  <c r="R2431" i="3"/>
  <c r="P2431" i="3"/>
  <c r="O2431" i="3"/>
  <c r="Q2431" i="3" s="1"/>
  <c r="S2431" i="3" s="1"/>
  <c r="T2431" i="3" s="1"/>
  <c r="R2430" i="3"/>
  <c r="P2430" i="3"/>
  <c r="O2430" i="3"/>
  <c r="Q2430" i="3" s="1"/>
  <c r="S2430" i="3" s="1"/>
  <c r="T2430" i="3" s="1"/>
  <c r="R2429" i="3"/>
  <c r="P2429" i="3"/>
  <c r="O2429" i="3"/>
  <c r="Q2429" i="3" s="1"/>
  <c r="S2429" i="3" s="1"/>
  <c r="T2429" i="3" s="1"/>
  <c r="R2428" i="3"/>
  <c r="P2428" i="3"/>
  <c r="O2428" i="3"/>
  <c r="Q2428" i="3" s="1"/>
  <c r="S2428" i="3" s="1"/>
  <c r="T2428" i="3" s="1"/>
  <c r="R2427" i="3"/>
  <c r="P2427" i="3"/>
  <c r="O2427" i="3"/>
  <c r="Q2427" i="3" s="1"/>
  <c r="S2427" i="3" s="1"/>
  <c r="T2427" i="3" s="1"/>
  <c r="R2426" i="3"/>
  <c r="P2426" i="3"/>
  <c r="O2426" i="3"/>
  <c r="Q2426" i="3" s="1"/>
  <c r="S2426" i="3" s="1"/>
  <c r="T2426" i="3" s="1"/>
  <c r="R2425" i="3"/>
  <c r="P2425" i="3"/>
  <c r="O2425" i="3"/>
  <c r="Q2425" i="3" s="1"/>
  <c r="S2425" i="3" s="1"/>
  <c r="T2425" i="3" s="1"/>
  <c r="R2424" i="3"/>
  <c r="P2424" i="3"/>
  <c r="O2424" i="3"/>
  <c r="Q2424" i="3" s="1"/>
  <c r="S2424" i="3" s="1"/>
  <c r="T2424" i="3" s="1"/>
  <c r="R2423" i="3"/>
  <c r="P2423" i="3"/>
  <c r="O2423" i="3"/>
  <c r="Q2423" i="3" s="1"/>
  <c r="S2423" i="3" s="1"/>
  <c r="T2423" i="3" s="1"/>
  <c r="R2422" i="3"/>
  <c r="P2422" i="3"/>
  <c r="O2422" i="3"/>
  <c r="Q2422" i="3" s="1"/>
  <c r="S2422" i="3" s="1"/>
  <c r="T2422" i="3" s="1"/>
  <c r="R2421" i="3"/>
  <c r="P2421" i="3"/>
  <c r="O2421" i="3"/>
  <c r="Q2421" i="3" s="1"/>
  <c r="S2421" i="3" s="1"/>
  <c r="T2421" i="3" s="1"/>
  <c r="R2420" i="3"/>
  <c r="P2420" i="3"/>
  <c r="O2420" i="3"/>
  <c r="Q2420" i="3" s="1"/>
  <c r="S2420" i="3" s="1"/>
  <c r="T2420" i="3" s="1"/>
  <c r="R2419" i="3"/>
  <c r="P2419" i="3"/>
  <c r="O2419" i="3"/>
  <c r="Q2419" i="3" s="1"/>
  <c r="S2419" i="3" s="1"/>
  <c r="T2419" i="3" s="1"/>
  <c r="R2418" i="3"/>
  <c r="P2418" i="3"/>
  <c r="O2418" i="3"/>
  <c r="Q2418" i="3" s="1"/>
  <c r="S2418" i="3" s="1"/>
  <c r="T2418" i="3" s="1"/>
  <c r="R2417" i="3"/>
  <c r="P2417" i="3"/>
  <c r="O2417" i="3"/>
  <c r="Q2417" i="3" s="1"/>
  <c r="S2417" i="3" s="1"/>
  <c r="T2417" i="3" s="1"/>
  <c r="R2416" i="3"/>
  <c r="P2416" i="3"/>
  <c r="O2416" i="3"/>
  <c r="Q2416" i="3" s="1"/>
  <c r="S2416" i="3" s="1"/>
  <c r="T2416" i="3" s="1"/>
  <c r="R2415" i="3"/>
  <c r="P2415" i="3"/>
  <c r="O2415" i="3"/>
  <c r="Q2415" i="3" s="1"/>
  <c r="S2415" i="3" s="1"/>
  <c r="T2415" i="3" s="1"/>
  <c r="R2414" i="3"/>
  <c r="P2414" i="3"/>
  <c r="O2414" i="3"/>
  <c r="Q2414" i="3" s="1"/>
  <c r="S2414" i="3" s="1"/>
  <c r="T2414" i="3" s="1"/>
  <c r="R2413" i="3"/>
  <c r="P2413" i="3"/>
  <c r="O2413" i="3"/>
  <c r="Q2413" i="3" s="1"/>
  <c r="S2413" i="3" s="1"/>
  <c r="T2413" i="3" s="1"/>
  <c r="R2412" i="3"/>
  <c r="P2412" i="3"/>
  <c r="O2412" i="3"/>
  <c r="Q2412" i="3" s="1"/>
  <c r="S2412" i="3" s="1"/>
  <c r="T2412" i="3" s="1"/>
  <c r="R2411" i="3"/>
  <c r="P2411" i="3"/>
  <c r="O2411" i="3"/>
  <c r="Q2411" i="3" s="1"/>
  <c r="S2411" i="3" s="1"/>
  <c r="T2411" i="3" s="1"/>
  <c r="R2410" i="3"/>
  <c r="P2410" i="3"/>
  <c r="O2410" i="3"/>
  <c r="Q2410" i="3" s="1"/>
  <c r="S2410" i="3" s="1"/>
  <c r="T2410" i="3" s="1"/>
  <c r="R2409" i="3"/>
  <c r="P2409" i="3"/>
  <c r="O2409" i="3"/>
  <c r="Q2409" i="3" s="1"/>
  <c r="S2409" i="3" s="1"/>
  <c r="T2409" i="3" s="1"/>
  <c r="R2408" i="3"/>
  <c r="P2408" i="3"/>
  <c r="O2408" i="3"/>
  <c r="Q2408" i="3" s="1"/>
  <c r="S2408" i="3" s="1"/>
  <c r="T2408" i="3" s="1"/>
  <c r="R2407" i="3"/>
  <c r="P2407" i="3"/>
  <c r="O2407" i="3"/>
  <c r="Q2407" i="3" s="1"/>
  <c r="S2407" i="3" s="1"/>
  <c r="T2407" i="3" s="1"/>
  <c r="R2406" i="3"/>
  <c r="P2406" i="3"/>
  <c r="O2406" i="3"/>
  <c r="Q2406" i="3" s="1"/>
  <c r="S2406" i="3" s="1"/>
  <c r="T2406" i="3" s="1"/>
  <c r="R2405" i="3"/>
  <c r="P2405" i="3"/>
  <c r="O2405" i="3"/>
  <c r="Q2405" i="3" s="1"/>
  <c r="S2405" i="3" s="1"/>
  <c r="T2405" i="3" s="1"/>
  <c r="R2404" i="3"/>
  <c r="P2404" i="3"/>
  <c r="O2404" i="3"/>
  <c r="Q2404" i="3" s="1"/>
  <c r="S2404" i="3" s="1"/>
  <c r="T2404" i="3" s="1"/>
  <c r="R2403" i="3"/>
  <c r="P2403" i="3"/>
  <c r="O2403" i="3"/>
  <c r="Q2403" i="3" s="1"/>
  <c r="S2403" i="3" s="1"/>
  <c r="T2403" i="3" s="1"/>
  <c r="R2402" i="3"/>
  <c r="P2402" i="3"/>
  <c r="O2402" i="3"/>
  <c r="Q2402" i="3" s="1"/>
  <c r="S2402" i="3" s="1"/>
  <c r="T2402" i="3" s="1"/>
  <c r="R2401" i="3"/>
  <c r="P2401" i="3"/>
  <c r="O2401" i="3"/>
  <c r="Q2401" i="3" s="1"/>
  <c r="S2401" i="3" s="1"/>
  <c r="T2401" i="3" s="1"/>
  <c r="R2400" i="3"/>
  <c r="P2400" i="3"/>
  <c r="O2400" i="3"/>
  <c r="Q2400" i="3" s="1"/>
  <c r="S2400" i="3" s="1"/>
  <c r="T2400" i="3" s="1"/>
  <c r="R2399" i="3"/>
  <c r="P2399" i="3"/>
  <c r="O2399" i="3"/>
  <c r="Q2399" i="3" s="1"/>
  <c r="S2399" i="3" s="1"/>
  <c r="T2399" i="3" s="1"/>
  <c r="R2398" i="3"/>
  <c r="P2398" i="3"/>
  <c r="O2398" i="3"/>
  <c r="Q2398" i="3" s="1"/>
  <c r="S2398" i="3" s="1"/>
  <c r="T2398" i="3" s="1"/>
  <c r="R2397" i="3"/>
  <c r="P2397" i="3"/>
  <c r="O2397" i="3"/>
  <c r="Q2397" i="3" s="1"/>
  <c r="S2397" i="3" s="1"/>
  <c r="T2397" i="3" s="1"/>
  <c r="R2396" i="3"/>
  <c r="P2396" i="3"/>
  <c r="O2396" i="3"/>
  <c r="Q2396" i="3" s="1"/>
  <c r="S2396" i="3" s="1"/>
  <c r="T2396" i="3" s="1"/>
  <c r="R2395" i="3"/>
  <c r="P2395" i="3"/>
  <c r="O2395" i="3"/>
  <c r="Q2395" i="3" s="1"/>
  <c r="S2395" i="3" s="1"/>
  <c r="T2395" i="3" s="1"/>
  <c r="R2394" i="3"/>
  <c r="P2394" i="3"/>
  <c r="O2394" i="3"/>
  <c r="Q2394" i="3" s="1"/>
  <c r="S2394" i="3" s="1"/>
  <c r="T2394" i="3" s="1"/>
  <c r="R2393" i="3"/>
  <c r="P2393" i="3"/>
  <c r="O2393" i="3"/>
  <c r="Q2393" i="3" s="1"/>
  <c r="S2393" i="3" s="1"/>
  <c r="T2393" i="3" s="1"/>
  <c r="R2392" i="3"/>
  <c r="P2392" i="3"/>
  <c r="O2392" i="3"/>
  <c r="Q2392" i="3" s="1"/>
  <c r="S2392" i="3" s="1"/>
  <c r="T2392" i="3" s="1"/>
  <c r="R2391" i="3"/>
  <c r="P2391" i="3"/>
  <c r="O2391" i="3"/>
  <c r="Q2391" i="3" s="1"/>
  <c r="S2391" i="3" s="1"/>
  <c r="T2391" i="3" s="1"/>
  <c r="R2390" i="3"/>
  <c r="P2390" i="3"/>
  <c r="O2390" i="3"/>
  <c r="Q2390" i="3" s="1"/>
  <c r="S2390" i="3" s="1"/>
  <c r="T2390" i="3" s="1"/>
  <c r="R2389" i="3"/>
  <c r="P2389" i="3"/>
  <c r="O2389" i="3"/>
  <c r="Q2389" i="3" s="1"/>
  <c r="S2389" i="3" s="1"/>
  <c r="T2389" i="3" s="1"/>
  <c r="R2388" i="3"/>
  <c r="P2388" i="3"/>
  <c r="O2388" i="3"/>
  <c r="Q2388" i="3" s="1"/>
  <c r="S2388" i="3" s="1"/>
  <c r="T2388" i="3" s="1"/>
  <c r="R2387" i="3"/>
  <c r="P2387" i="3"/>
  <c r="O2387" i="3"/>
  <c r="Q2387" i="3" s="1"/>
  <c r="S2387" i="3" s="1"/>
  <c r="T2387" i="3" s="1"/>
  <c r="R2386" i="3"/>
  <c r="P2386" i="3"/>
  <c r="O2386" i="3"/>
  <c r="Q2386" i="3" s="1"/>
  <c r="S2386" i="3" s="1"/>
  <c r="T2386" i="3" s="1"/>
  <c r="R2385" i="3"/>
  <c r="P2385" i="3"/>
  <c r="O2385" i="3"/>
  <c r="Q2385" i="3" s="1"/>
  <c r="S2385" i="3" s="1"/>
  <c r="T2385" i="3" s="1"/>
  <c r="R2384" i="3"/>
  <c r="P2384" i="3"/>
  <c r="O2384" i="3"/>
  <c r="Q2384" i="3" s="1"/>
  <c r="S2384" i="3" s="1"/>
  <c r="T2384" i="3" s="1"/>
  <c r="R2383" i="3"/>
  <c r="P2383" i="3"/>
  <c r="O2383" i="3"/>
  <c r="Q2383" i="3" s="1"/>
  <c r="S2383" i="3" s="1"/>
  <c r="T2383" i="3" s="1"/>
  <c r="R2382" i="3"/>
  <c r="P2382" i="3"/>
  <c r="O2382" i="3"/>
  <c r="Q2382" i="3" s="1"/>
  <c r="S2382" i="3" s="1"/>
  <c r="T2382" i="3" s="1"/>
  <c r="R2381" i="3"/>
  <c r="P2381" i="3"/>
  <c r="O2381" i="3"/>
  <c r="Q2381" i="3" s="1"/>
  <c r="S2381" i="3" s="1"/>
  <c r="T2381" i="3" s="1"/>
  <c r="R2380" i="3"/>
  <c r="P2380" i="3"/>
  <c r="O2380" i="3"/>
  <c r="Q2380" i="3" s="1"/>
  <c r="S2380" i="3" s="1"/>
  <c r="T2380" i="3" s="1"/>
  <c r="R2379" i="3"/>
  <c r="P2379" i="3"/>
  <c r="O2379" i="3"/>
  <c r="Q2379" i="3" s="1"/>
  <c r="S2379" i="3" s="1"/>
  <c r="T2379" i="3" s="1"/>
  <c r="R2378" i="3"/>
  <c r="P2378" i="3"/>
  <c r="O2378" i="3"/>
  <c r="Q2378" i="3" s="1"/>
  <c r="S2378" i="3" s="1"/>
  <c r="T2378" i="3" s="1"/>
  <c r="R2377" i="3"/>
  <c r="P2377" i="3"/>
  <c r="O2377" i="3"/>
  <c r="Q2377" i="3" s="1"/>
  <c r="S2377" i="3" s="1"/>
  <c r="T2377" i="3" s="1"/>
  <c r="R2376" i="3"/>
  <c r="P2376" i="3"/>
  <c r="O2376" i="3"/>
  <c r="Q2376" i="3" s="1"/>
  <c r="S2376" i="3" s="1"/>
  <c r="T2376" i="3" s="1"/>
  <c r="R2375" i="3"/>
  <c r="P2375" i="3"/>
  <c r="O2375" i="3"/>
  <c r="Q2375" i="3" s="1"/>
  <c r="S2375" i="3" s="1"/>
  <c r="T2375" i="3" s="1"/>
  <c r="R2374" i="3"/>
  <c r="P2374" i="3"/>
  <c r="O2374" i="3"/>
  <c r="Q2374" i="3" s="1"/>
  <c r="S2374" i="3" s="1"/>
  <c r="T2374" i="3" s="1"/>
  <c r="R2373" i="3"/>
  <c r="P2373" i="3"/>
  <c r="O2373" i="3"/>
  <c r="Q2373" i="3" s="1"/>
  <c r="S2373" i="3" s="1"/>
  <c r="T2373" i="3" s="1"/>
  <c r="R2372" i="3"/>
  <c r="P2372" i="3"/>
  <c r="O2372" i="3"/>
  <c r="Q2372" i="3" s="1"/>
  <c r="S2372" i="3" s="1"/>
  <c r="T2372" i="3" s="1"/>
  <c r="R2371" i="3"/>
  <c r="P2371" i="3"/>
  <c r="O2371" i="3"/>
  <c r="Q2371" i="3" s="1"/>
  <c r="S2371" i="3" s="1"/>
  <c r="T2371" i="3" s="1"/>
  <c r="R2370" i="3"/>
  <c r="P2370" i="3"/>
  <c r="O2370" i="3"/>
  <c r="Q2370" i="3" s="1"/>
  <c r="S2370" i="3" s="1"/>
  <c r="T2370" i="3" s="1"/>
  <c r="R2369" i="3"/>
  <c r="P2369" i="3"/>
  <c r="O2369" i="3"/>
  <c r="Q2369" i="3" s="1"/>
  <c r="S2369" i="3" s="1"/>
  <c r="T2369" i="3" s="1"/>
  <c r="R2368" i="3"/>
  <c r="P2368" i="3"/>
  <c r="O2368" i="3"/>
  <c r="Q2368" i="3" s="1"/>
  <c r="S2368" i="3" s="1"/>
  <c r="T2368" i="3" s="1"/>
  <c r="R2367" i="3"/>
  <c r="P2367" i="3"/>
  <c r="O2367" i="3"/>
  <c r="Q2367" i="3" s="1"/>
  <c r="S2367" i="3" s="1"/>
  <c r="T2367" i="3" s="1"/>
  <c r="R2366" i="3"/>
  <c r="P2366" i="3"/>
  <c r="O2366" i="3"/>
  <c r="Q2366" i="3" s="1"/>
  <c r="S2366" i="3" s="1"/>
  <c r="T2366" i="3" s="1"/>
  <c r="R2365" i="3"/>
  <c r="P2365" i="3"/>
  <c r="O2365" i="3"/>
  <c r="Q2365" i="3" s="1"/>
  <c r="S2365" i="3" s="1"/>
  <c r="T2365" i="3" s="1"/>
  <c r="R2364" i="3"/>
  <c r="P2364" i="3"/>
  <c r="O2364" i="3"/>
  <c r="Q2364" i="3" s="1"/>
  <c r="S2364" i="3" s="1"/>
  <c r="T2364" i="3" s="1"/>
  <c r="R2363" i="3"/>
  <c r="P2363" i="3"/>
  <c r="O2363" i="3"/>
  <c r="Q2363" i="3" s="1"/>
  <c r="S2363" i="3" s="1"/>
  <c r="T2363" i="3" s="1"/>
  <c r="R2362" i="3"/>
  <c r="P2362" i="3"/>
  <c r="O2362" i="3"/>
  <c r="Q2362" i="3" s="1"/>
  <c r="S2362" i="3" s="1"/>
  <c r="T2362" i="3" s="1"/>
  <c r="R2361" i="3"/>
  <c r="P2361" i="3"/>
  <c r="O2361" i="3"/>
  <c r="Q2361" i="3" s="1"/>
  <c r="S2361" i="3" s="1"/>
  <c r="T2361" i="3" s="1"/>
  <c r="R2360" i="3"/>
  <c r="P2360" i="3"/>
  <c r="O2360" i="3"/>
  <c r="Q2360" i="3" s="1"/>
  <c r="S2360" i="3" s="1"/>
  <c r="T2360" i="3" s="1"/>
  <c r="R2359" i="3"/>
  <c r="P2359" i="3"/>
  <c r="O2359" i="3"/>
  <c r="Q2359" i="3" s="1"/>
  <c r="S2359" i="3" s="1"/>
  <c r="T2359" i="3" s="1"/>
  <c r="R2358" i="3"/>
  <c r="P2358" i="3"/>
  <c r="O2358" i="3"/>
  <c r="Q2358" i="3" s="1"/>
  <c r="S2358" i="3" s="1"/>
  <c r="T2358" i="3" s="1"/>
  <c r="R2357" i="3"/>
  <c r="P2357" i="3"/>
  <c r="O2357" i="3"/>
  <c r="Q2357" i="3" s="1"/>
  <c r="S2357" i="3" s="1"/>
  <c r="T2357" i="3" s="1"/>
  <c r="R2356" i="3"/>
  <c r="P2356" i="3"/>
  <c r="O2356" i="3"/>
  <c r="Q2356" i="3" s="1"/>
  <c r="S2356" i="3" s="1"/>
  <c r="T2356" i="3" s="1"/>
  <c r="R2355" i="3"/>
  <c r="P2355" i="3"/>
  <c r="O2355" i="3"/>
  <c r="Q2355" i="3" s="1"/>
  <c r="S2355" i="3" s="1"/>
  <c r="T2355" i="3" s="1"/>
  <c r="R2354" i="3"/>
  <c r="P2354" i="3"/>
  <c r="O2354" i="3"/>
  <c r="Q2354" i="3" s="1"/>
  <c r="S2354" i="3" s="1"/>
  <c r="T2354" i="3" s="1"/>
  <c r="R2353" i="3"/>
  <c r="P2353" i="3"/>
  <c r="O2353" i="3"/>
  <c r="Q2353" i="3" s="1"/>
  <c r="S2353" i="3" s="1"/>
  <c r="T2353" i="3" s="1"/>
  <c r="R2352" i="3"/>
  <c r="P2352" i="3"/>
  <c r="O2352" i="3"/>
  <c r="Q2352" i="3" s="1"/>
  <c r="S2352" i="3" s="1"/>
  <c r="T2352" i="3" s="1"/>
  <c r="R2351" i="3"/>
  <c r="P2351" i="3"/>
  <c r="O2351" i="3"/>
  <c r="Q2351" i="3" s="1"/>
  <c r="S2351" i="3" s="1"/>
  <c r="T2351" i="3" s="1"/>
  <c r="R2350" i="3"/>
  <c r="P2350" i="3"/>
  <c r="O2350" i="3"/>
  <c r="Q2350" i="3" s="1"/>
  <c r="S2350" i="3" s="1"/>
  <c r="T2350" i="3" s="1"/>
  <c r="R2349" i="3"/>
  <c r="P2349" i="3"/>
  <c r="O2349" i="3"/>
  <c r="Q2349" i="3" s="1"/>
  <c r="S2349" i="3" s="1"/>
  <c r="T2349" i="3" s="1"/>
  <c r="R2348" i="3"/>
  <c r="P2348" i="3"/>
  <c r="O2348" i="3"/>
  <c r="Q2348" i="3" s="1"/>
  <c r="S2348" i="3" s="1"/>
  <c r="T2348" i="3" s="1"/>
  <c r="R2347" i="3"/>
  <c r="P2347" i="3"/>
  <c r="O2347" i="3"/>
  <c r="Q2347" i="3" s="1"/>
  <c r="S2347" i="3" s="1"/>
  <c r="T2347" i="3" s="1"/>
  <c r="R2346" i="3"/>
  <c r="P2346" i="3"/>
  <c r="O2346" i="3"/>
  <c r="Q2346" i="3" s="1"/>
  <c r="S2346" i="3" s="1"/>
  <c r="T2346" i="3" s="1"/>
  <c r="R2345" i="3"/>
  <c r="P2345" i="3"/>
  <c r="O2345" i="3"/>
  <c r="Q2345" i="3" s="1"/>
  <c r="S2345" i="3" s="1"/>
  <c r="T2345" i="3" s="1"/>
  <c r="R2344" i="3"/>
  <c r="P2344" i="3"/>
  <c r="O2344" i="3"/>
  <c r="Q2344" i="3" s="1"/>
  <c r="S2344" i="3" s="1"/>
  <c r="T2344" i="3" s="1"/>
  <c r="R2343" i="3"/>
  <c r="P2343" i="3"/>
  <c r="O2343" i="3"/>
  <c r="Q2343" i="3" s="1"/>
  <c r="S2343" i="3" s="1"/>
  <c r="T2343" i="3" s="1"/>
  <c r="R2342" i="3"/>
  <c r="P2342" i="3"/>
  <c r="O2342" i="3"/>
  <c r="Q2342" i="3" s="1"/>
  <c r="S2342" i="3" s="1"/>
  <c r="T2342" i="3" s="1"/>
  <c r="R2341" i="3"/>
  <c r="P2341" i="3"/>
  <c r="O2341" i="3"/>
  <c r="Q2341" i="3" s="1"/>
  <c r="S2341" i="3" s="1"/>
  <c r="T2341" i="3" s="1"/>
  <c r="R2340" i="3"/>
  <c r="P2340" i="3"/>
  <c r="O2340" i="3"/>
  <c r="Q2340" i="3" s="1"/>
  <c r="S2340" i="3" s="1"/>
  <c r="T2340" i="3" s="1"/>
  <c r="R2339" i="3"/>
  <c r="P2339" i="3"/>
  <c r="O2339" i="3"/>
  <c r="Q2339" i="3" s="1"/>
  <c r="S2339" i="3" s="1"/>
  <c r="T2339" i="3" s="1"/>
  <c r="R2338" i="3"/>
  <c r="P2338" i="3"/>
  <c r="O2338" i="3"/>
  <c r="Q2338" i="3" s="1"/>
  <c r="S2338" i="3" s="1"/>
  <c r="T2338" i="3" s="1"/>
  <c r="R2337" i="3"/>
  <c r="P2337" i="3"/>
  <c r="O2337" i="3"/>
  <c r="Q2337" i="3" s="1"/>
  <c r="S2337" i="3" s="1"/>
  <c r="T2337" i="3" s="1"/>
  <c r="R2336" i="3"/>
  <c r="P2336" i="3"/>
  <c r="O2336" i="3"/>
  <c r="Q2336" i="3" s="1"/>
  <c r="S2336" i="3" s="1"/>
  <c r="T2336" i="3" s="1"/>
  <c r="R2335" i="3"/>
  <c r="P2335" i="3"/>
  <c r="O2335" i="3"/>
  <c r="Q2335" i="3" s="1"/>
  <c r="S2335" i="3" s="1"/>
  <c r="T2335" i="3" s="1"/>
  <c r="R2334" i="3"/>
  <c r="P2334" i="3"/>
  <c r="O2334" i="3"/>
  <c r="Q2334" i="3" s="1"/>
  <c r="S2334" i="3" s="1"/>
  <c r="T2334" i="3" s="1"/>
  <c r="R2333" i="3"/>
  <c r="P2333" i="3"/>
  <c r="O2333" i="3"/>
  <c r="Q2333" i="3" s="1"/>
  <c r="S2333" i="3" s="1"/>
  <c r="T2333" i="3" s="1"/>
  <c r="R2332" i="3"/>
  <c r="P2332" i="3"/>
  <c r="O2332" i="3"/>
  <c r="Q2332" i="3" s="1"/>
  <c r="S2332" i="3" s="1"/>
  <c r="T2332" i="3" s="1"/>
  <c r="R2331" i="3"/>
  <c r="P2331" i="3"/>
  <c r="O2331" i="3"/>
  <c r="Q2331" i="3" s="1"/>
  <c r="S2331" i="3" s="1"/>
  <c r="T2331" i="3" s="1"/>
  <c r="R2330" i="3"/>
  <c r="P2330" i="3"/>
  <c r="O2330" i="3"/>
  <c r="Q2330" i="3" s="1"/>
  <c r="S2330" i="3" s="1"/>
  <c r="T2330" i="3" s="1"/>
  <c r="R2329" i="3"/>
  <c r="P2329" i="3"/>
  <c r="O2329" i="3"/>
  <c r="Q2329" i="3" s="1"/>
  <c r="S2329" i="3" s="1"/>
  <c r="T2329" i="3" s="1"/>
  <c r="R2328" i="3"/>
  <c r="P2328" i="3"/>
  <c r="O2328" i="3"/>
  <c r="Q2328" i="3" s="1"/>
  <c r="S2328" i="3" s="1"/>
  <c r="T2328" i="3" s="1"/>
  <c r="R2327" i="3"/>
  <c r="P2327" i="3"/>
  <c r="O2327" i="3"/>
  <c r="Q2327" i="3" s="1"/>
  <c r="S2327" i="3" s="1"/>
  <c r="T2327" i="3" s="1"/>
  <c r="R2326" i="3"/>
  <c r="P2326" i="3"/>
  <c r="O2326" i="3"/>
  <c r="Q2326" i="3" s="1"/>
  <c r="S2326" i="3" s="1"/>
  <c r="T2326" i="3" s="1"/>
  <c r="R2325" i="3"/>
  <c r="P2325" i="3"/>
  <c r="O2325" i="3"/>
  <c r="Q2325" i="3" s="1"/>
  <c r="S2325" i="3" s="1"/>
  <c r="T2325" i="3" s="1"/>
  <c r="R2324" i="3"/>
  <c r="P2324" i="3"/>
  <c r="O2324" i="3"/>
  <c r="Q2324" i="3" s="1"/>
  <c r="S2324" i="3" s="1"/>
  <c r="T2324" i="3" s="1"/>
  <c r="R2323" i="3"/>
  <c r="P2323" i="3"/>
  <c r="O2323" i="3"/>
  <c r="Q2323" i="3" s="1"/>
  <c r="S2323" i="3" s="1"/>
  <c r="T2323" i="3" s="1"/>
  <c r="R2322" i="3"/>
  <c r="P2322" i="3"/>
  <c r="O2322" i="3"/>
  <c r="Q2322" i="3" s="1"/>
  <c r="S2322" i="3" s="1"/>
  <c r="T2322" i="3" s="1"/>
  <c r="R2321" i="3"/>
  <c r="P2321" i="3"/>
  <c r="O2321" i="3"/>
  <c r="Q2321" i="3" s="1"/>
  <c r="S2321" i="3" s="1"/>
  <c r="T2321" i="3" s="1"/>
  <c r="R2320" i="3"/>
  <c r="P2320" i="3"/>
  <c r="O2320" i="3"/>
  <c r="Q2320" i="3" s="1"/>
  <c r="S2320" i="3" s="1"/>
  <c r="T2320" i="3" s="1"/>
  <c r="R2319" i="3"/>
  <c r="P2319" i="3"/>
  <c r="O2319" i="3"/>
  <c r="Q2319" i="3" s="1"/>
  <c r="S2319" i="3" s="1"/>
  <c r="T2319" i="3" s="1"/>
  <c r="R2318" i="3"/>
  <c r="P2318" i="3"/>
  <c r="O2318" i="3"/>
  <c r="Q2318" i="3" s="1"/>
  <c r="S2318" i="3" s="1"/>
  <c r="T2318" i="3" s="1"/>
  <c r="R2317" i="3"/>
  <c r="P2317" i="3"/>
  <c r="O2317" i="3"/>
  <c r="Q2317" i="3" s="1"/>
  <c r="S2317" i="3" s="1"/>
  <c r="T2317" i="3" s="1"/>
  <c r="R2316" i="3"/>
  <c r="P2316" i="3"/>
  <c r="O2316" i="3"/>
  <c r="Q2316" i="3" s="1"/>
  <c r="S2316" i="3" s="1"/>
  <c r="T2316" i="3" s="1"/>
  <c r="R2315" i="3"/>
  <c r="P2315" i="3"/>
  <c r="O2315" i="3"/>
  <c r="Q2315" i="3" s="1"/>
  <c r="S2315" i="3" s="1"/>
  <c r="T2315" i="3" s="1"/>
  <c r="R2314" i="3"/>
  <c r="P2314" i="3"/>
  <c r="O2314" i="3"/>
  <c r="Q2314" i="3" s="1"/>
  <c r="S2314" i="3" s="1"/>
  <c r="T2314" i="3" s="1"/>
  <c r="R2313" i="3"/>
  <c r="P2313" i="3"/>
  <c r="O2313" i="3"/>
  <c r="Q2313" i="3" s="1"/>
  <c r="S2313" i="3" s="1"/>
  <c r="T2313" i="3" s="1"/>
  <c r="R2312" i="3"/>
  <c r="P2312" i="3"/>
  <c r="O2312" i="3"/>
  <c r="Q2312" i="3" s="1"/>
  <c r="S2312" i="3" s="1"/>
  <c r="T2312" i="3" s="1"/>
  <c r="R2311" i="3"/>
  <c r="P2311" i="3"/>
  <c r="O2311" i="3"/>
  <c r="Q2311" i="3" s="1"/>
  <c r="S2311" i="3" s="1"/>
  <c r="T2311" i="3" s="1"/>
  <c r="R2310" i="3"/>
  <c r="P2310" i="3"/>
  <c r="O2310" i="3"/>
  <c r="Q2310" i="3" s="1"/>
  <c r="S2310" i="3" s="1"/>
  <c r="T2310" i="3" s="1"/>
  <c r="R2309" i="3"/>
  <c r="P2309" i="3"/>
  <c r="O2309" i="3"/>
  <c r="Q2309" i="3" s="1"/>
  <c r="S2309" i="3" s="1"/>
  <c r="T2309" i="3" s="1"/>
  <c r="R2308" i="3"/>
  <c r="P2308" i="3"/>
  <c r="O2308" i="3"/>
  <c r="Q2308" i="3" s="1"/>
  <c r="S2308" i="3" s="1"/>
  <c r="T2308" i="3" s="1"/>
  <c r="R2307" i="3"/>
  <c r="P2307" i="3"/>
  <c r="O2307" i="3"/>
  <c r="Q2307" i="3" s="1"/>
  <c r="S2307" i="3" s="1"/>
  <c r="T2307" i="3" s="1"/>
  <c r="R2306" i="3"/>
  <c r="P2306" i="3"/>
  <c r="O2306" i="3"/>
  <c r="Q2306" i="3" s="1"/>
  <c r="S2306" i="3" s="1"/>
  <c r="T2306" i="3" s="1"/>
  <c r="R2305" i="3"/>
  <c r="P2305" i="3"/>
  <c r="O2305" i="3"/>
  <c r="Q2305" i="3" s="1"/>
  <c r="S2305" i="3" s="1"/>
  <c r="T2305" i="3" s="1"/>
  <c r="R2304" i="3"/>
  <c r="P2304" i="3"/>
  <c r="O2304" i="3"/>
  <c r="Q2304" i="3" s="1"/>
  <c r="S2304" i="3" s="1"/>
  <c r="T2304" i="3" s="1"/>
  <c r="R2303" i="3"/>
  <c r="P2303" i="3"/>
  <c r="O2303" i="3"/>
  <c r="Q2303" i="3" s="1"/>
  <c r="S2303" i="3" s="1"/>
  <c r="T2303" i="3" s="1"/>
  <c r="R2302" i="3"/>
  <c r="P2302" i="3"/>
  <c r="O2302" i="3"/>
  <c r="Q2302" i="3" s="1"/>
  <c r="S2302" i="3" s="1"/>
  <c r="T2302" i="3" s="1"/>
  <c r="R2301" i="3"/>
  <c r="P2301" i="3"/>
  <c r="O2301" i="3"/>
  <c r="Q2301" i="3" s="1"/>
  <c r="S2301" i="3" s="1"/>
  <c r="T2301" i="3" s="1"/>
  <c r="R2300" i="3"/>
  <c r="P2300" i="3"/>
  <c r="O2300" i="3"/>
  <c r="Q2300" i="3" s="1"/>
  <c r="S2300" i="3" s="1"/>
  <c r="T2300" i="3" s="1"/>
  <c r="R2299" i="3"/>
  <c r="P2299" i="3"/>
  <c r="O2299" i="3"/>
  <c r="Q2299" i="3" s="1"/>
  <c r="S2299" i="3" s="1"/>
  <c r="T2299" i="3" s="1"/>
  <c r="R2298" i="3"/>
  <c r="P2298" i="3"/>
  <c r="O2298" i="3"/>
  <c r="Q2298" i="3" s="1"/>
  <c r="S2298" i="3" s="1"/>
  <c r="T2298" i="3" s="1"/>
  <c r="R2297" i="3"/>
  <c r="P2297" i="3"/>
  <c r="O2297" i="3"/>
  <c r="Q2297" i="3" s="1"/>
  <c r="S2297" i="3" s="1"/>
  <c r="T2297" i="3" s="1"/>
  <c r="R2296" i="3"/>
  <c r="P2296" i="3"/>
  <c r="O2296" i="3"/>
  <c r="Q2296" i="3" s="1"/>
  <c r="S2296" i="3" s="1"/>
  <c r="T2296" i="3" s="1"/>
  <c r="R2295" i="3"/>
  <c r="P2295" i="3"/>
  <c r="O2295" i="3"/>
  <c r="Q2295" i="3" s="1"/>
  <c r="S2295" i="3" s="1"/>
  <c r="T2295" i="3" s="1"/>
  <c r="R2294" i="3"/>
  <c r="P2294" i="3"/>
  <c r="O2294" i="3"/>
  <c r="Q2294" i="3" s="1"/>
  <c r="S2294" i="3" s="1"/>
  <c r="T2294" i="3" s="1"/>
  <c r="R2293" i="3"/>
  <c r="P2293" i="3"/>
  <c r="O2293" i="3"/>
  <c r="Q2293" i="3" s="1"/>
  <c r="S2293" i="3" s="1"/>
  <c r="T2293" i="3" s="1"/>
  <c r="R2292" i="3"/>
  <c r="P2292" i="3"/>
  <c r="O2292" i="3"/>
  <c r="Q2292" i="3" s="1"/>
  <c r="S2292" i="3" s="1"/>
  <c r="T2292" i="3" s="1"/>
  <c r="R2291" i="3"/>
  <c r="P2291" i="3"/>
  <c r="O2291" i="3"/>
  <c r="Q2291" i="3" s="1"/>
  <c r="S2291" i="3" s="1"/>
  <c r="T2291" i="3" s="1"/>
  <c r="R2290" i="3"/>
  <c r="P2290" i="3"/>
  <c r="O2290" i="3"/>
  <c r="Q2290" i="3" s="1"/>
  <c r="S2290" i="3" s="1"/>
  <c r="T2290" i="3" s="1"/>
  <c r="R2289" i="3"/>
  <c r="P2289" i="3"/>
  <c r="O2289" i="3"/>
  <c r="Q2289" i="3" s="1"/>
  <c r="S2289" i="3" s="1"/>
  <c r="T2289" i="3" s="1"/>
  <c r="R2288" i="3"/>
  <c r="P2288" i="3"/>
  <c r="O2288" i="3"/>
  <c r="Q2288" i="3" s="1"/>
  <c r="S2288" i="3" s="1"/>
  <c r="T2288" i="3" s="1"/>
  <c r="R2287" i="3"/>
  <c r="P2287" i="3"/>
  <c r="O2287" i="3"/>
  <c r="Q2287" i="3" s="1"/>
  <c r="S2287" i="3" s="1"/>
  <c r="T2287" i="3" s="1"/>
  <c r="R2286" i="3"/>
  <c r="P2286" i="3"/>
  <c r="O2286" i="3"/>
  <c r="Q2286" i="3" s="1"/>
  <c r="S2286" i="3" s="1"/>
  <c r="T2286" i="3" s="1"/>
  <c r="R2285" i="3"/>
  <c r="P2285" i="3"/>
  <c r="O2285" i="3"/>
  <c r="Q2285" i="3" s="1"/>
  <c r="S2285" i="3" s="1"/>
  <c r="T2285" i="3" s="1"/>
  <c r="R2284" i="3"/>
  <c r="P2284" i="3"/>
  <c r="O2284" i="3"/>
  <c r="Q2284" i="3" s="1"/>
  <c r="S2284" i="3" s="1"/>
  <c r="T2284" i="3" s="1"/>
  <c r="R2283" i="3"/>
  <c r="P2283" i="3"/>
  <c r="O2283" i="3"/>
  <c r="Q2283" i="3" s="1"/>
  <c r="S2283" i="3" s="1"/>
  <c r="T2283" i="3" s="1"/>
  <c r="R2282" i="3"/>
  <c r="P2282" i="3"/>
  <c r="O2282" i="3"/>
  <c r="Q2282" i="3" s="1"/>
  <c r="S2282" i="3" s="1"/>
  <c r="T2282" i="3" s="1"/>
  <c r="R2281" i="3"/>
  <c r="P2281" i="3"/>
  <c r="O2281" i="3"/>
  <c r="Q2281" i="3" s="1"/>
  <c r="S2281" i="3" s="1"/>
  <c r="T2281" i="3" s="1"/>
  <c r="R2280" i="3"/>
  <c r="P2280" i="3"/>
  <c r="O2280" i="3"/>
  <c r="Q2280" i="3" s="1"/>
  <c r="S2280" i="3" s="1"/>
  <c r="T2280" i="3" s="1"/>
  <c r="R2279" i="3"/>
  <c r="P2279" i="3"/>
  <c r="O2279" i="3"/>
  <c r="Q2279" i="3" s="1"/>
  <c r="S2279" i="3" s="1"/>
  <c r="T2279" i="3" s="1"/>
  <c r="R2278" i="3"/>
  <c r="P2278" i="3"/>
  <c r="O2278" i="3"/>
  <c r="Q2278" i="3" s="1"/>
  <c r="S2278" i="3" s="1"/>
  <c r="T2278" i="3" s="1"/>
  <c r="R2277" i="3"/>
  <c r="P2277" i="3"/>
  <c r="O2277" i="3"/>
  <c r="Q2277" i="3" s="1"/>
  <c r="S2277" i="3" s="1"/>
  <c r="T2277" i="3" s="1"/>
  <c r="R2276" i="3"/>
  <c r="P2276" i="3"/>
  <c r="O2276" i="3"/>
  <c r="Q2276" i="3" s="1"/>
  <c r="S2276" i="3" s="1"/>
  <c r="T2276" i="3" s="1"/>
  <c r="R2275" i="3"/>
  <c r="P2275" i="3"/>
  <c r="O2275" i="3"/>
  <c r="Q2275" i="3" s="1"/>
  <c r="S2275" i="3" s="1"/>
  <c r="T2275" i="3" s="1"/>
  <c r="R2274" i="3"/>
  <c r="P2274" i="3"/>
  <c r="O2274" i="3"/>
  <c r="Q2274" i="3" s="1"/>
  <c r="S2274" i="3" s="1"/>
  <c r="T2274" i="3" s="1"/>
  <c r="R2273" i="3"/>
  <c r="P2273" i="3"/>
  <c r="O2273" i="3"/>
  <c r="Q2273" i="3" s="1"/>
  <c r="S2273" i="3" s="1"/>
  <c r="T2273" i="3" s="1"/>
  <c r="R2272" i="3"/>
  <c r="P2272" i="3"/>
  <c r="O2272" i="3"/>
  <c r="Q2272" i="3" s="1"/>
  <c r="S2272" i="3" s="1"/>
  <c r="T2272" i="3" s="1"/>
  <c r="R2271" i="3"/>
  <c r="P2271" i="3"/>
  <c r="O2271" i="3"/>
  <c r="Q2271" i="3" s="1"/>
  <c r="S2271" i="3" s="1"/>
  <c r="T2271" i="3" s="1"/>
  <c r="R2270" i="3"/>
  <c r="P2270" i="3"/>
  <c r="O2270" i="3"/>
  <c r="Q2270" i="3" s="1"/>
  <c r="S2270" i="3" s="1"/>
  <c r="T2270" i="3" s="1"/>
  <c r="R2269" i="3"/>
  <c r="P2269" i="3"/>
  <c r="O2269" i="3"/>
  <c r="Q2269" i="3" s="1"/>
  <c r="S2269" i="3" s="1"/>
  <c r="T2269" i="3" s="1"/>
  <c r="R2268" i="3"/>
  <c r="P2268" i="3"/>
  <c r="O2268" i="3"/>
  <c r="Q2268" i="3" s="1"/>
  <c r="S2268" i="3" s="1"/>
  <c r="T2268" i="3" s="1"/>
  <c r="R2267" i="3"/>
  <c r="P2267" i="3"/>
  <c r="O2267" i="3"/>
  <c r="Q2267" i="3" s="1"/>
  <c r="S2267" i="3" s="1"/>
  <c r="T2267" i="3" s="1"/>
  <c r="R2266" i="3"/>
  <c r="P2266" i="3"/>
  <c r="O2266" i="3"/>
  <c r="Q2266" i="3" s="1"/>
  <c r="S2266" i="3" s="1"/>
  <c r="T2266" i="3" s="1"/>
  <c r="R2265" i="3"/>
  <c r="P2265" i="3"/>
  <c r="O2265" i="3"/>
  <c r="Q2265" i="3" s="1"/>
  <c r="S2265" i="3" s="1"/>
  <c r="T2265" i="3" s="1"/>
  <c r="R2264" i="3"/>
  <c r="P2264" i="3"/>
  <c r="O2264" i="3"/>
  <c r="Q2264" i="3" s="1"/>
  <c r="S2264" i="3" s="1"/>
  <c r="T2264" i="3" s="1"/>
  <c r="R2263" i="3"/>
  <c r="P2263" i="3"/>
  <c r="O2263" i="3"/>
  <c r="Q2263" i="3" s="1"/>
  <c r="S2263" i="3" s="1"/>
  <c r="T2263" i="3" s="1"/>
  <c r="R2262" i="3"/>
  <c r="P2262" i="3"/>
  <c r="O2262" i="3"/>
  <c r="Q2262" i="3" s="1"/>
  <c r="S2262" i="3" s="1"/>
  <c r="T2262" i="3" s="1"/>
  <c r="R2261" i="3"/>
  <c r="P2261" i="3"/>
  <c r="O2261" i="3"/>
  <c r="Q2261" i="3" s="1"/>
  <c r="S2261" i="3" s="1"/>
  <c r="T2261" i="3" s="1"/>
  <c r="R2260" i="3"/>
  <c r="P2260" i="3"/>
  <c r="O2260" i="3"/>
  <c r="Q2260" i="3" s="1"/>
  <c r="S2260" i="3" s="1"/>
  <c r="T2260" i="3" s="1"/>
  <c r="R2259" i="3"/>
  <c r="P2259" i="3"/>
  <c r="O2259" i="3"/>
  <c r="Q2259" i="3" s="1"/>
  <c r="S2259" i="3" s="1"/>
  <c r="T2259" i="3" s="1"/>
  <c r="R2258" i="3"/>
  <c r="P2258" i="3"/>
  <c r="O2258" i="3"/>
  <c r="Q2258" i="3" s="1"/>
  <c r="S2258" i="3" s="1"/>
  <c r="T2258" i="3" s="1"/>
  <c r="R2257" i="3"/>
  <c r="P2257" i="3"/>
  <c r="O2257" i="3"/>
  <c r="Q2257" i="3" s="1"/>
  <c r="S2257" i="3" s="1"/>
  <c r="T2257" i="3" s="1"/>
  <c r="R2256" i="3"/>
  <c r="P2256" i="3"/>
  <c r="O2256" i="3"/>
  <c r="Q2256" i="3" s="1"/>
  <c r="S2256" i="3" s="1"/>
  <c r="T2256" i="3" s="1"/>
  <c r="R2255" i="3"/>
  <c r="P2255" i="3"/>
  <c r="O2255" i="3"/>
  <c r="Q2255" i="3" s="1"/>
  <c r="S2255" i="3" s="1"/>
  <c r="T2255" i="3" s="1"/>
  <c r="R2254" i="3"/>
  <c r="P2254" i="3"/>
  <c r="O2254" i="3"/>
  <c r="Q2254" i="3" s="1"/>
  <c r="S2254" i="3" s="1"/>
  <c r="T2254" i="3" s="1"/>
  <c r="R2253" i="3"/>
  <c r="P2253" i="3"/>
  <c r="O2253" i="3"/>
  <c r="Q2253" i="3" s="1"/>
  <c r="S2253" i="3" s="1"/>
  <c r="T2253" i="3" s="1"/>
  <c r="R2252" i="3"/>
  <c r="P2252" i="3"/>
  <c r="O2252" i="3"/>
  <c r="Q2252" i="3" s="1"/>
  <c r="S2252" i="3" s="1"/>
  <c r="T2252" i="3" s="1"/>
  <c r="R2251" i="3"/>
  <c r="P2251" i="3"/>
  <c r="O2251" i="3"/>
  <c r="Q2251" i="3" s="1"/>
  <c r="S2251" i="3" s="1"/>
  <c r="T2251" i="3" s="1"/>
  <c r="R2250" i="3"/>
  <c r="P2250" i="3"/>
  <c r="O2250" i="3"/>
  <c r="Q2250" i="3" s="1"/>
  <c r="S2250" i="3" s="1"/>
  <c r="T2250" i="3" s="1"/>
  <c r="R2249" i="3"/>
  <c r="P2249" i="3"/>
  <c r="O2249" i="3"/>
  <c r="Q2249" i="3" s="1"/>
  <c r="S2249" i="3" s="1"/>
  <c r="T2249" i="3" s="1"/>
  <c r="R2248" i="3"/>
  <c r="P2248" i="3"/>
  <c r="O2248" i="3"/>
  <c r="Q2248" i="3" s="1"/>
  <c r="S2248" i="3" s="1"/>
  <c r="T2248" i="3" s="1"/>
  <c r="R2247" i="3"/>
  <c r="P2247" i="3"/>
  <c r="O2247" i="3"/>
  <c r="Q2247" i="3" s="1"/>
  <c r="S2247" i="3" s="1"/>
  <c r="T2247" i="3" s="1"/>
  <c r="R2246" i="3"/>
  <c r="P2246" i="3"/>
  <c r="O2246" i="3"/>
  <c r="Q2246" i="3" s="1"/>
  <c r="S2246" i="3" s="1"/>
  <c r="T2246" i="3" s="1"/>
  <c r="R2245" i="3"/>
  <c r="P2245" i="3"/>
  <c r="O2245" i="3"/>
  <c r="Q2245" i="3" s="1"/>
  <c r="S2245" i="3" s="1"/>
  <c r="T2245" i="3" s="1"/>
  <c r="R2244" i="3"/>
  <c r="P2244" i="3"/>
  <c r="O2244" i="3"/>
  <c r="Q2244" i="3" s="1"/>
  <c r="S2244" i="3" s="1"/>
  <c r="T2244" i="3" s="1"/>
  <c r="R2243" i="3"/>
  <c r="P2243" i="3"/>
  <c r="O2243" i="3"/>
  <c r="Q2243" i="3" s="1"/>
  <c r="S2243" i="3" s="1"/>
  <c r="T2243" i="3" s="1"/>
  <c r="R2242" i="3"/>
  <c r="P2242" i="3"/>
  <c r="O2242" i="3"/>
  <c r="Q2242" i="3" s="1"/>
  <c r="S2242" i="3" s="1"/>
  <c r="T2242" i="3" s="1"/>
  <c r="R2241" i="3"/>
  <c r="P2241" i="3"/>
  <c r="O2241" i="3"/>
  <c r="Q2241" i="3" s="1"/>
  <c r="S2241" i="3" s="1"/>
  <c r="T2241" i="3" s="1"/>
  <c r="R2240" i="3"/>
  <c r="P2240" i="3"/>
  <c r="O2240" i="3"/>
  <c r="Q2240" i="3" s="1"/>
  <c r="S2240" i="3" s="1"/>
  <c r="T2240" i="3" s="1"/>
  <c r="R2239" i="3"/>
  <c r="P2239" i="3"/>
  <c r="O2239" i="3"/>
  <c r="Q2239" i="3" s="1"/>
  <c r="S2239" i="3" s="1"/>
  <c r="T2239" i="3" s="1"/>
  <c r="R2238" i="3"/>
  <c r="P2238" i="3"/>
  <c r="O2238" i="3"/>
  <c r="Q2238" i="3" s="1"/>
  <c r="S2238" i="3" s="1"/>
  <c r="T2238" i="3" s="1"/>
  <c r="R2237" i="3"/>
  <c r="P2237" i="3"/>
  <c r="O2237" i="3"/>
  <c r="Q2237" i="3" s="1"/>
  <c r="S2237" i="3" s="1"/>
  <c r="T2237" i="3" s="1"/>
  <c r="R2236" i="3"/>
  <c r="P2236" i="3"/>
  <c r="O2236" i="3"/>
  <c r="Q2236" i="3" s="1"/>
  <c r="S2236" i="3" s="1"/>
  <c r="T2236" i="3" s="1"/>
  <c r="R2235" i="3"/>
  <c r="P2235" i="3"/>
  <c r="O2235" i="3"/>
  <c r="Q2235" i="3" s="1"/>
  <c r="S2235" i="3" s="1"/>
  <c r="T2235" i="3" s="1"/>
  <c r="R2234" i="3"/>
  <c r="P2234" i="3"/>
  <c r="O2234" i="3"/>
  <c r="Q2234" i="3" s="1"/>
  <c r="S2234" i="3" s="1"/>
  <c r="T2234" i="3" s="1"/>
  <c r="R2233" i="3"/>
  <c r="P2233" i="3"/>
  <c r="O2233" i="3"/>
  <c r="Q2233" i="3" s="1"/>
  <c r="S2233" i="3" s="1"/>
  <c r="T2233" i="3" s="1"/>
  <c r="R2232" i="3"/>
  <c r="P2232" i="3"/>
  <c r="O2232" i="3"/>
  <c r="Q2232" i="3" s="1"/>
  <c r="S2232" i="3" s="1"/>
  <c r="T2232" i="3" s="1"/>
  <c r="R2231" i="3"/>
  <c r="P2231" i="3"/>
  <c r="O2231" i="3"/>
  <c r="Q2231" i="3" s="1"/>
  <c r="S2231" i="3" s="1"/>
  <c r="T2231" i="3" s="1"/>
  <c r="R2230" i="3"/>
  <c r="P2230" i="3"/>
  <c r="O2230" i="3"/>
  <c r="Q2230" i="3" s="1"/>
  <c r="S2230" i="3" s="1"/>
  <c r="T2230" i="3" s="1"/>
  <c r="R2229" i="3"/>
  <c r="P2229" i="3"/>
  <c r="O2229" i="3"/>
  <c r="Q2229" i="3" s="1"/>
  <c r="S2229" i="3" s="1"/>
  <c r="T2229" i="3" s="1"/>
  <c r="R2228" i="3"/>
  <c r="P2228" i="3"/>
  <c r="O2228" i="3"/>
  <c r="Q2228" i="3" s="1"/>
  <c r="S2228" i="3" s="1"/>
  <c r="T2228" i="3" s="1"/>
  <c r="R2227" i="3"/>
  <c r="P2227" i="3"/>
  <c r="O2227" i="3"/>
  <c r="Q2227" i="3" s="1"/>
  <c r="S2227" i="3" s="1"/>
  <c r="T2227" i="3" s="1"/>
  <c r="R2226" i="3"/>
  <c r="P2226" i="3"/>
  <c r="O2226" i="3"/>
  <c r="Q2226" i="3" s="1"/>
  <c r="S2226" i="3" s="1"/>
  <c r="T2226" i="3" s="1"/>
  <c r="R2225" i="3"/>
  <c r="P2225" i="3"/>
  <c r="O2225" i="3"/>
  <c r="Q2225" i="3" s="1"/>
  <c r="S2225" i="3" s="1"/>
  <c r="T2225" i="3" s="1"/>
  <c r="R2224" i="3"/>
  <c r="P2224" i="3"/>
  <c r="O2224" i="3"/>
  <c r="Q2224" i="3" s="1"/>
  <c r="S2224" i="3" s="1"/>
  <c r="T2224" i="3" s="1"/>
  <c r="R2223" i="3"/>
  <c r="P2223" i="3"/>
  <c r="O2223" i="3"/>
  <c r="Q2223" i="3" s="1"/>
  <c r="S2223" i="3" s="1"/>
  <c r="T2223" i="3" s="1"/>
  <c r="R2222" i="3"/>
  <c r="P2222" i="3"/>
  <c r="O2222" i="3"/>
  <c r="Q2222" i="3" s="1"/>
  <c r="S2222" i="3" s="1"/>
  <c r="T2222" i="3" s="1"/>
  <c r="R2221" i="3"/>
  <c r="P2221" i="3"/>
  <c r="O2221" i="3"/>
  <c r="Q2221" i="3" s="1"/>
  <c r="S2221" i="3" s="1"/>
  <c r="T2221" i="3" s="1"/>
  <c r="R2220" i="3"/>
  <c r="P2220" i="3"/>
  <c r="O2220" i="3"/>
  <c r="Q2220" i="3" s="1"/>
  <c r="S2220" i="3" s="1"/>
  <c r="T2220" i="3" s="1"/>
  <c r="R2219" i="3"/>
  <c r="P2219" i="3"/>
  <c r="O2219" i="3"/>
  <c r="Q2219" i="3" s="1"/>
  <c r="S2219" i="3" s="1"/>
  <c r="T2219" i="3" s="1"/>
  <c r="R2218" i="3"/>
  <c r="P2218" i="3"/>
  <c r="O2218" i="3"/>
  <c r="Q2218" i="3" s="1"/>
  <c r="S2218" i="3" s="1"/>
  <c r="T2218" i="3" s="1"/>
  <c r="R2217" i="3"/>
  <c r="P2217" i="3"/>
  <c r="O2217" i="3"/>
  <c r="Q2217" i="3" s="1"/>
  <c r="S2217" i="3" s="1"/>
  <c r="T2217" i="3" s="1"/>
  <c r="R2216" i="3"/>
  <c r="P2216" i="3"/>
  <c r="O2216" i="3"/>
  <c r="Q2216" i="3" s="1"/>
  <c r="S2216" i="3" s="1"/>
  <c r="T2216" i="3" s="1"/>
  <c r="R2215" i="3"/>
  <c r="P2215" i="3"/>
  <c r="O2215" i="3"/>
  <c r="Q2215" i="3" s="1"/>
  <c r="S2215" i="3" s="1"/>
  <c r="T2215" i="3" s="1"/>
  <c r="R2214" i="3"/>
  <c r="P2214" i="3"/>
  <c r="O2214" i="3"/>
  <c r="Q2214" i="3" s="1"/>
  <c r="S2214" i="3" s="1"/>
  <c r="T2214" i="3" s="1"/>
  <c r="R2213" i="3"/>
  <c r="P2213" i="3"/>
  <c r="O2213" i="3"/>
  <c r="Q2213" i="3" s="1"/>
  <c r="S2213" i="3" s="1"/>
  <c r="T2213" i="3" s="1"/>
  <c r="R2212" i="3"/>
  <c r="P2212" i="3"/>
  <c r="O2212" i="3"/>
  <c r="Q2212" i="3" s="1"/>
  <c r="S2212" i="3" s="1"/>
  <c r="T2212" i="3" s="1"/>
  <c r="R2211" i="3"/>
  <c r="P2211" i="3"/>
  <c r="O2211" i="3"/>
  <c r="Q2211" i="3" s="1"/>
  <c r="S2211" i="3" s="1"/>
  <c r="T2211" i="3" s="1"/>
  <c r="R2210" i="3"/>
  <c r="P2210" i="3"/>
  <c r="O2210" i="3"/>
  <c r="Q2210" i="3" s="1"/>
  <c r="S2210" i="3" s="1"/>
  <c r="T2210" i="3" s="1"/>
  <c r="R2209" i="3"/>
  <c r="P2209" i="3"/>
  <c r="O2209" i="3"/>
  <c r="Q2209" i="3" s="1"/>
  <c r="S2209" i="3" s="1"/>
  <c r="T2209" i="3" s="1"/>
  <c r="R2208" i="3"/>
  <c r="P2208" i="3"/>
  <c r="O2208" i="3"/>
  <c r="Q2208" i="3" s="1"/>
  <c r="S2208" i="3" s="1"/>
  <c r="T2208" i="3" s="1"/>
  <c r="R2207" i="3"/>
  <c r="P2207" i="3"/>
  <c r="O2207" i="3"/>
  <c r="Q2207" i="3" s="1"/>
  <c r="S2207" i="3" s="1"/>
  <c r="T2207" i="3" s="1"/>
  <c r="R2206" i="3"/>
  <c r="P2206" i="3"/>
  <c r="O2206" i="3"/>
  <c r="Q2206" i="3" s="1"/>
  <c r="S2206" i="3" s="1"/>
  <c r="T2206" i="3" s="1"/>
  <c r="R2205" i="3"/>
  <c r="P2205" i="3"/>
  <c r="O2205" i="3"/>
  <c r="Q2205" i="3" s="1"/>
  <c r="S2205" i="3" s="1"/>
  <c r="T2205" i="3" s="1"/>
  <c r="R2204" i="3"/>
  <c r="P2204" i="3"/>
  <c r="O2204" i="3"/>
  <c r="Q2204" i="3" s="1"/>
  <c r="S2204" i="3" s="1"/>
  <c r="T2204" i="3" s="1"/>
  <c r="R2203" i="3"/>
  <c r="P2203" i="3"/>
  <c r="O2203" i="3"/>
  <c r="Q2203" i="3" s="1"/>
  <c r="S2203" i="3" s="1"/>
  <c r="T2203" i="3" s="1"/>
  <c r="R2202" i="3"/>
  <c r="P2202" i="3"/>
  <c r="O2202" i="3"/>
  <c r="Q2202" i="3" s="1"/>
  <c r="S2202" i="3" s="1"/>
  <c r="T2202" i="3" s="1"/>
  <c r="R2201" i="3"/>
  <c r="P2201" i="3"/>
  <c r="O2201" i="3"/>
  <c r="Q2201" i="3" s="1"/>
  <c r="S2201" i="3" s="1"/>
  <c r="T2201" i="3" s="1"/>
  <c r="R2200" i="3"/>
  <c r="P2200" i="3"/>
  <c r="O2200" i="3"/>
  <c r="Q2200" i="3" s="1"/>
  <c r="S2200" i="3" s="1"/>
  <c r="T2200" i="3" s="1"/>
  <c r="R2199" i="3"/>
  <c r="P2199" i="3"/>
  <c r="O2199" i="3"/>
  <c r="Q2199" i="3" s="1"/>
  <c r="S2199" i="3" s="1"/>
  <c r="T2199" i="3" s="1"/>
  <c r="R2198" i="3"/>
  <c r="P2198" i="3"/>
  <c r="O2198" i="3"/>
  <c r="Q2198" i="3" s="1"/>
  <c r="S2198" i="3" s="1"/>
  <c r="T2198" i="3" s="1"/>
  <c r="R2197" i="3"/>
  <c r="P2197" i="3"/>
  <c r="O2197" i="3"/>
  <c r="Q2197" i="3" s="1"/>
  <c r="S2197" i="3" s="1"/>
  <c r="T2197" i="3" s="1"/>
  <c r="R2196" i="3"/>
  <c r="P2196" i="3"/>
  <c r="O2196" i="3"/>
  <c r="Q2196" i="3" s="1"/>
  <c r="S2196" i="3" s="1"/>
  <c r="T2196" i="3" s="1"/>
  <c r="R2195" i="3"/>
  <c r="P2195" i="3"/>
  <c r="O2195" i="3"/>
  <c r="Q2195" i="3" s="1"/>
  <c r="S2195" i="3" s="1"/>
  <c r="T2195" i="3" s="1"/>
  <c r="R2194" i="3"/>
  <c r="P2194" i="3"/>
  <c r="O2194" i="3"/>
  <c r="Q2194" i="3" s="1"/>
  <c r="S2194" i="3" s="1"/>
  <c r="T2194" i="3" s="1"/>
  <c r="R2193" i="3"/>
  <c r="P2193" i="3"/>
  <c r="O2193" i="3"/>
  <c r="Q2193" i="3" s="1"/>
  <c r="S2193" i="3" s="1"/>
  <c r="T2193" i="3" s="1"/>
  <c r="R2192" i="3"/>
  <c r="P2192" i="3"/>
  <c r="O2192" i="3"/>
  <c r="Q2192" i="3" s="1"/>
  <c r="S2192" i="3" s="1"/>
  <c r="T2192" i="3" s="1"/>
  <c r="R2191" i="3"/>
  <c r="P2191" i="3"/>
  <c r="O2191" i="3"/>
  <c r="Q2191" i="3" s="1"/>
  <c r="S2191" i="3" s="1"/>
  <c r="T2191" i="3" s="1"/>
  <c r="R2190" i="3"/>
  <c r="P2190" i="3"/>
  <c r="O2190" i="3"/>
  <c r="Q2190" i="3" s="1"/>
  <c r="S2190" i="3" s="1"/>
  <c r="T2190" i="3" s="1"/>
  <c r="R2189" i="3"/>
  <c r="P2189" i="3"/>
  <c r="O2189" i="3"/>
  <c r="Q2189" i="3" s="1"/>
  <c r="S2189" i="3" s="1"/>
  <c r="T2189" i="3" s="1"/>
  <c r="R2188" i="3"/>
  <c r="P2188" i="3"/>
  <c r="O2188" i="3"/>
  <c r="Q2188" i="3" s="1"/>
  <c r="S2188" i="3" s="1"/>
  <c r="T2188" i="3" s="1"/>
  <c r="R2187" i="3"/>
  <c r="P2187" i="3"/>
  <c r="O2187" i="3"/>
  <c r="Q2187" i="3" s="1"/>
  <c r="S2187" i="3" s="1"/>
  <c r="T2187" i="3" s="1"/>
  <c r="R2186" i="3"/>
  <c r="P2186" i="3"/>
  <c r="O2186" i="3"/>
  <c r="Q2186" i="3" s="1"/>
  <c r="S2186" i="3" s="1"/>
  <c r="T2186" i="3" s="1"/>
  <c r="R2185" i="3"/>
  <c r="P2185" i="3"/>
  <c r="O2185" i="3"/>
  <c r="Q2185" i="3" s="1"/>
  <c r="S2185" i="3" s="1"/>
  <c r="T2185" i="3" s="1"/>
  <c r="R2184" i="3"/>
  <c r="P2184" i="3"/>
  <c r="O2184" i="3"/>
  <c r="Q2184" i="3" s="1"/>
  <c r="S2184" i="3" s="1"/>
  <c r="T2184" i="3" s="1"/>
  <c r="R2183" i="3"/>
  <c r="P2183" i="3"/>
  <c r="O2183" i="3"/>
  <c r="Q2183" i="3" s="1"/>
  <c r="S2183" i="3" s="1"/>
  <c r="T2183" i="3" s="1"/>
  <c r="R2182" i="3"/>
  <c r="P2182" i="3"/>
  <c r="O2182" i="3"/>
  <c r="Q2182" i="3" s="1"/>
  <c r="S2182" i="3" s="1"/>
  <c r="T2182" i="3" s="1"/>
  <c r="R2181" i="3"/>
  <c r="P2181" i="3"/>
  <c r="O2181" i="3"/>
  <c r="Q2181" i="3" s="1"/>
  <c r="S2181" i="3" s="1"/>
  <c r="T2181" i="3" s="1"/>
  <c r="R2180" i="3"/>
  <c r="P2180" i="3"/>
  <c r="O2180" i="3"/>
  <c r="Q2180" i="3" s="1"/>
  <c r="S2180" i="3" s="1"/>
  <c r="T2180" i="3" s="1"/>
  <c r="R2179" i="3"/>
  <c r="P2179" i="3"/>
  <c r="O2179" i="3"/>
  <c r="Q2179" i="3" s="1"/>
  <c r="S2179" i="3" s="1"/>
  <c r="T2179" i="3" s="1"/>
  <c r="R2178" i="3"/>
  <c r="P2178" i="3"/>
  <c r="O2178" i="3"/>
  <c r="Q2178" i="3" s="1"/>
  <c r="S2178" i="3" s="1"/>
  <c r="T2178" i="3" s="1"/>
  <c r="R2177" i="3"/>
  <c r="P2177" i="3"/>
  <c r="O2177" i="3"/>
  <c r="Q2177" i="3" s="1"/>
  <c r="S2177" i="3" s="1"/>
  <c r="T2177" i="3" s="1"/>
  <c r="R2176" i="3"/>
  <c r="P2176" i="3"/>
  <c r="O2176" i="3"/>
  <c r="Q2176" i="3" s="1"/>
  <c r="S2176" i="3" s="1"/>
  <c r="T2176" i="3" s="1"/>
  <c r="R2175" i="3"/>
  <c r="P2175" i="3"/>
  <c r="O2175" i="3"/>
  <c r="Q2175" i="3" s="1"/>
  <c r="S2175" i="3" s="1"/>
  <c r="T2175" i="3" s="1"/>
  <c r="R2174" i="3"/>
  <c r="P2174" i="3"/>
  <c r="O2174" i="3"/>
  <c r="Q2174" i="3" s="1"/>
  <c r="S2174" i="3" s="1"/>
  <c r="T2174" i="3" s="1"/>
  <c r="R2173" i="3"/>
  <c r="P2173" i="3"/>
  <c r="O2173" i="3"/>
  <c r="Q2173" i="3" s="1"/>
  <c r="S2173" i="3" s="1"/>
  <c r="T2173" i="3" s="1"/>
  <c r="R2172" i="3"/>
  <c r="P2172" i="3"/>
  <c r="O2172" i="3"/>
  <c r="Q2172" i="3" s="1"/>
  <c r="S2172" i="3" s="1"/>
  <c r="T2172" i="3" s="1"/>
  <c r="R2171" i="3"/>
  <c r="P2171" i="3"/>
  <c r="O2171" i="3"/>
  <c r="Q2171" i="3" s="1"/>
  <c r="S2171" i="3" s="1"/>
  <c r="T2171" i="3" s="1"/>
  <c r="R2170" i="3"/>
  <c r="P2170" i="3"/>
  <c r="O2170" i="3"/>
  <c r="Q2170" i="3" s="1"/>
  <c r="S2170" i="3" s="1"/>
  <c r="T2170" i="3" s="1"/>
  <c r="R2169" i="3"/>
  <c r="P2169" i="3"/>
  <c r="O2169" i="3"/>
  <c r="Q2169" i="3" s="1"/>
  <c r="S2169" i="3" s="1"/>
  <c r="T2169" i="3" s="1"/>
  <c r="R2168" i="3"/>
  <c r="P2168" i="3"/>
  <c r="O2168" i="3"/>
  <c r="Q2168" i="3" s="1"/>
  <c r="S2168" i="3" s="1"/>
  <c r="T2168" i="3" s="1"/>
  <c r="R2167" i="3"/>
  <c r="P2167" i="3"/>
  <c r="O2167" i="3"/>
  <c r="Q2167" i="3" s="1"/>
  <c r="S2167" i="3" s="1"/>
  <c r="T2167" i="3" s="1"/>
  <c r="R2166" i="3"/>
  <c r="P2166" i="3"/>
  <c r="O2166" i="3"/>
  <c r="Q2166" i="3" s="1"/>
  <c r="S2166" i="3" s="1"/>
  <c r="T2166" i="3" s="1"/>
  <c r="R2165" i="3"/>
  <c r="P2165" i="3"/>
  <c r="O2165" i="3"/>
  <c r="Q2165" i="3" s="1"/>
  <c r="S2165" i="3" s="1"/>
  <c r="T2165" i="3" s="1"/>
  <c r="R2164" i="3"/>
  <c r="P2164" i="3"/>
  <c r="O2164" i="3"/>
  <c r="Q2164" i="3" s="1"/>
  <c r="S2164" i="3" s="1"/>
  <c r="T2164" i="3" s="1"/>
  <c r="R2163" i="3"/>
  <c r="P2163" i="3"/>
  <c r="O2163" i="3"/>
  <c r="Q2163" i="3" s="1"/>
  <c r="S2163" i="3" s="1"/>
  <c r="T2163" i="3" s="1"/>
  <c r="R2162" i="3"/>
  <c r="P2162" i="3"/>
  <c r="O2162" i="3"/>
  <c r="Q2162" i="3" s="1"/>
  <c r="S2162" i="3" s="1"/>
  <c r="T2162" i="3" s="1"/>
  <c r="R2161" i="3"/>
  <c r="P2161" i="3"/>
  <c r="O2161" i="3"/>
  <c r="Q2161" i="3" s="1"/>
  <c r="S2161" i="3" s="1"/>
  <c r="T2161" i="3" s="1"/>
  <c r="R2160" i="3"/>
  <c r="P2160" i="3"/>
  <c r="O2160" i="3"/>
  <c r="Q2160" i="3" s="1"/>
  <c r="S2160" i="3" s="1"/>
  <c r="T2160" i="3" s="1"/>
  <c r="R2159" i="3"/>
  <c r="P2159" i="3"/>
  <c r="O2159" i="3"/>
  <c r="Q2159" i="3" s="1"/>
  <c r="S2159" i="3" s="1"/>
  <c r="T2159" i="3" s="1"/>
  <c r="R2158" i="3"/>
  <c r="P2158" i="3"/>
  <c r="O2158" i="3"/>
  <c r="Q2158" i="3" s="1"/>
  <c r="S2158" i="3" s="1"/>
  <c r="T2158" i="3" s="1"/>
  <c r="R2157" i="3"/>
  <c r="P2157" i="3"/>
  <c r="O2157" i="3"/>
  <c r="Q2157" i="3" s="1"/>
  <c r="S2157" i="3" s="1"/>
  <c r="T2157" i="3" s="1"/>
  <c r="R2156" i="3"/>
  <c r="P2156" i="3"/>
  <c r="O2156" i="3"/>
  <c r="Q2156" i="3" s="1"/>
  <c r="S2156" i="3" s="1"/>
  <c r="T2156" i="3" s="1"/>
  <c r="R2155" i="3"/>
  <c r="P2155" i="3"/>
  <c r="O2155" i="3"/>
  <c r="Q2155" i="3" s="1"/>
  <c r="S2155" i="3" s="1"/>
  <c r="T2155" i="3" s="1"/>
  <c r="R2154" i="3"/>
  <c r="P2154" i="3"/>
  <c r="O2154" i="3"/>
  <c r="Q2154" i="3" s="1"/>
  <c r="S2154" i="3" s="1"/>
  <c r="T2154" i="3" s="1"/>
  <c r="R2153" i="3"/>
  <c r="P2153" i="3"/>
  <c r="O2153" i="3"/>
  <c r="Q2153" i="3" s="1"/>
  <c r="S2153" i="3" s="1"/>
  <c r="T2153" i="3" s="1"/>
  <c r="R2152" i="3"/>
  <c r="P2152" i="3"/>
  <c r="O2152" i="3"/>
  <c r="Q2152" i="3" s="1"/>
  <c r="S2152" i="3" s="1"/>
  <c r="T2152" i="3" s="1"/>
  <c r="R2151" i="3"/>
  <c r="P2151" i="3"/>
  <c r="O2151" i="3"/>
  <c r="Q2151" i="3" s="1"/>
  <c r="S2151" i="3" s="1"/>
  <c r="T2151" i="3" s="1"/>
  <c r="R2150" i="3"/>
  <c r="P2150" i="3"/>
  <c r="O2150" i="3"/>
  <c r="Q2150" i="3" s="1"/>
  <c r="S2150" i="3" s="1"/>
  <c r="T2150" i="3" s="1"/>
  <c r="R2149" i="3"/>
  <c r="P2149" i="3"/>
  <c r="O2149" i="3"/>
  <c r="Q2149" i="3" s="1"/>
  <c r="S2149" i="3" s="1"/>
  <c r="T2149" i="3" s="1"/>
  <c r="R2148" i="3"/>
  <c r="P2148" i="3"/>
  <c r="O2148" i="3"/>
  <c r="Q2148" i="3" s="1"/>
  <c r="S2148" i="3" s="1"/>
  <c r="T2148" i="3" s="1"/>
  <c r="R2147" i="3"/>
  <c r="P2147" i="3"/>
  <c r="O2147" i="3"/>
  <c r="Q2147" i="3" s="1"/>
  <c r="S2147" i="3" s="1"/>
  <c r="T2147" i="3" s="1"/>
  <c r="R2146" i="3"/>
  <c r="P2146" i="3"/>
  <c r="O2146" i="3"/>
  <c r="Q2146" i="3" s="1"/>
  <c r="S2146" i="3" s="1"/>
  <c r="T2146" i="3" s="1"/>
  <c r="R2145" i="3"/>
  <c r="P2145" i="3"/>
  <c r="O2145" i="3"/>
  <c r="Q2145" i="3" s="1"/>
  <c r="S2145" i="3" s="1"/>
  <c r="T2145" i="3" s="1"/>
  <c r="R2144" i="3"/>
  <c r="P2144" i="3"/>
  <c r="O2144" i="3"/>
  <c r="Q2144" i="3" s="1"/>
  <c r="S2144" i="3" s="1"/>
  <c r="T2144" i="3" s="1"/>
  <c r="R2143" i="3"/>
  <c r="P2143" i="3"/>
  <c r="O2143" i="3"/>
  <c r="Q2143" i="3" s="1"/>
  <c r="S2143" i="3" s="1"/>
  <c r="T2143" i="3" s="1"/>
  <c r="R2142" i="3"/>
  <c r="P2142" i="3"/>
  <c r="O2142" i="3"/>
  <c r="Q2142" i="3" s="1"/>
  <c r="S2142" i="3" s="1"/>
  <c r="T2142" i="3" s="1"/>
  <c r="R2141" i="3"/>
  <c r="P2141" i="3"/>
  <c r="O2141" i="3"/>
  <c r="Q2141" i="3" s="1"/>
  <c r="S2141" i="3" s="1"/>
  <c r="T2141" i="3" s="1"/>
  <c r="R2140" i="3"/>
  <c r="P2140" i="3"/>
  <c r="O2140" i="3"/>
  <c r="Q2140" i="3" s="1"/>
  <c r="S2140" i="3" s="1"/>
  <c r="T2140" i="3" s="1"/>
  <c r="R2139" i="3"/>
  <c r="P2139" i="3"/>
  <c r="O2139" i="3"/>
  <c r="Q2139" i="3" s="1"/>
  <c r="S2139" i="3" s="1"/>
  <c r="T2139" i="3" s="1"/>
  <c r="R2138" i="3"/>
  <c r="P2138" i="3"/>
  <c r="O2138" i="3"/>
  <c r="Q2138" i="3" s="1"/>
  <c r="S2138" i="3" s="1"/>
  <c r="T2138" i="3" s="1"/>
  <c r="R2137" i="3"/>
  <c r="P2137" i="3"/>
  <c r="O2137" i="3"/>
  <c r="Q2137" i="3" s="1"/>
  <c r="S2137" i="3" s="1"/>
  <c r="T2137" i="3" s="1"/>
  <c r="R2136" i="3"/>
  <c r="P2136" i="3"/>
  <c r="O2136" i="3"/>
  <c r="Q2136" i="3" s="1"/>
  <c r="S2136" i="3" s="1"/>
  <c r="T2136" i="3" s="1"/>
  <c r="R2135" i="3"/>
  <c r="P2135" i="3"/>
  <c r="O2135" i="3"/>
  <c r="Q2135" i="3" s="1"/>
  <c r="S2135" i="3" s="1"/>
  <c r="T2135" i="3" s="1"/>
  <c r="R2134" i="3"/>
  <c r="P2134" i="3"/>
  <c r="O2134" i="3"/>
  <c r="Q2134" i="3" s="1"/>
  <c r="S2134" i="3" s="1"/>
  <c r="T2134" i="3" s="1"/>
  <c r="R2133" i="3"/>
  <c r="P2133" i="3"/>
  <c r="O2133" i="3"/>
  <c r="Q2133" i="3" s="1"/>
  <c r="S2133" i="3" s="1"/>
  <c r="T2133" i="3" s="1"/>
  <c r="R2132" i="3"/>
  <c r="P2132" i="3"/>
  <c r="O2132" i="3"/>
  <c r="Q2132" i="3" s="1"/>
  <c r="S2132" i="3" s="1"/>
  <c r="T2132" i="3" s="1"/>
  <c r="R2131" i="3"/>
  <c r="P2131" i="3"/>
  <c r="O2131" i="3"/>
  <c r="Q2131" i="3" s="1"/>
  <c r="S2131" i="3" s="1"/>
  <c r="T2131" i="3" s="1"/>
  <c r="R2130" i="3"/>
  <c r="P2130" i="3"/>
  <c r="O2130" i="3"/>
  <c r="Q2130" i="3" s="1"/>
  <c r="S2130" i="3" s="1"/>
  <c r="T2130" i="3" s="1"/>
  <c r="R2129" i="3"/>
  <c r="P2129" i="3"/>
  <c r="O2129" i="3"/>
  <c r="Q2129" i="3" s="1"/>
  <c r="S2129" i="3" s="1"/>
  <c r="T2129" i="3" s="1"/>
  <c r="R2128" i="3"/>
  <c r="P2128" i="3"/>
  <c r="O2128" i="3"/>
  <c r="Q2128" i="3" s="1"/>
  <c r="S2128" i="3" s="1"/>
  <c r="T2128" i="3" s="1"/>
  <c r="R2127" i="3"/>
  <c r="P2127" i="3"/>
  <c r="O2127" i="3"/>
  <c r="Q2127" i="3" s="1"/>
  <c r="S2127" i="3" s="1"/>
  <c r="T2127" i="3" s="1"/>
  <c r="R2126" i="3"/>
  <c r="P2126" i="3"/>
  <c r="O2126" i="3"/>
  <c r="Q2126" i="3" s="1"/>
  <c r="S2126" i="3" s="1"/>
  <c r="T2126" i="3" s="1"/>
  <c r="R2125" i="3"/>
  <c r="P2125" i="3"/>
  <c r="O2125" i="3"/>
  <c r="Q2125" i="3" s="1"/>
  <c r="S2125" i="3" s="1"/>
  <c r="T2125" i="3" s="1"/>
  <c r="R2124" i="3"/>
  <c r="P2124" i="3"/>
  <c r="O2124" i="3"/>
  <c r="Q2124" i="3" s="1"/>
  <c r="S2124" i="3" s="1"/>
  <c r="T2124" i="3" s="1"/>
  <c r="R2123" i="3"/>
  <c r="P2123" i="3"/>
  <c r="O2123" i="3"/>
  <c r="Q2123" i="3" s="1"/>
  <c r="S2123" i="3" s="1"/>
  <c r="T2123" i="3" s="1"/>
  <c r="R2122" i="3"/>
  <c r="P2122" i="3"/>
  <c r="O2122" i="3"/>
  <c r="Q2122" i="3" s="1"/>
  <c r="S2122" i="3" s="1"/>
  <c r="T2122" i="3" s="1"/>
  <c r="R2121" i="3"/>
  <c r="P2121" i="3"/>
  <c r="O2121" i="3"/>
  <c r="Q2121" i="3" s="1"/>
  <c r="S2121" i="3" s="1"/>
  <c r="T2121" i="3" s="1"/>
  <c r="R2120" i="3"/>
  <c r="P2120" i="3"/>
  <c r="O2120" i="3"/>
  <c r="Q2120" i="3" s="1"/>
  <c r="S2120" i="3" s="1"/>
  <c r="T2120" i="3" s="1"/>
  <c r="R2119" i="3"/>
  <c r="P2119" i="3"/>
  <c r="O2119" i="3"/>
  <c r="Q2119" i="3" s="1"/>
  <c r="S2119" i="3" s="1"/>
  <c r="T2119" i="3" s="1"/>
  <c r="R2118" i="3"/>
  <c r="P2118" i="3"/>
  <c r="O2118" i="3"/>
  <c r="Q2118" i="3" s="1"/>
  <c r="S2118" i="3" s="1"/>
  <c r="T2118" i="3" s="1"/>
  <c r="R2117" i="3"/>
  <c r="P2117" i="3"/>
  <c r="O2117" i="3"/>
  <c r="Q2117" i="3" s="1"/>
  <c r="S2117" i="3" s="1"/>
  <c r="T2117" i="3" s="1"/>
  <c r="R2116" i="3"/>
  <c r="P2116" i="3"/>
  <c r="O2116" i="3"/>
  <c r="Q2116" i="3" s="1"/>
  <c r="S2116" i="3" s="1"/>
  <c r="T2116" i="3" s="1"/>
  <c r="R2115" i="3"/>
  <c r="P2115" i="3"/>
  <c r="O2115" i="3"/>
  <c r="Q2115" i="3" s="1"/>
  <c r="S2115" i="3" s="1"/>
  <c r="T2115" i="3" s="1"/>
  <c r="R2114" i="3"/>
  <c r="P2114" i="3"/>
  <c r="O2114" i="3"/>
  <c r="Q2114" i="3" s="1"/>
  <c r="S2114" i="3" s="1"/>
  <c r="T2114" i="3" s="1"/>
  <c r="R2113" i="3"/>
  <c r="P2113" i="3"/>
  <c r="O2113" i="3"/>
  <c r="Q2113" i="3" s="1"/>
  <c r="S2113" i="3" s="1"/>
  <c r="T2113" i="3" s="1"/>
  <c r="R2112" i="3"/>
  <c r="P2112" i="3"/>
  <c r="O2112" i="3"/>
  <c r="Q2112" i="3" s="1"/>
  <c r="S2112" i="3" s="1"/>
  <c r="T2112" i="3" s="1"/>
  <c r="R2111" i="3"/>
  <c r="P2111" i="3"/>
  <c r="O2111" i="3"/>
  <c r="Q2111" i="3" s="1"/>
  <c r="S2111" i="3" s="1"/>
  <c r="T2111" i="3" s="1"/>
  <c r="R2110" i="3"/>
  <c r="P2110" i="3"/>
  <c r="O2110" i="3"/>
  <c r="Q2110" i="3" s="1"/>
  <c r="S2110" i="3" s="1"/>
  <c r="T2110" i="3" s="1"/>
  <c r="R2109" i="3"/>
  <c r="P2109" i="3"/>
  <c r="O2109" i="3"/>
  <c r="Q2109" i="3" s="1"/>
  <c r="S2109" i="3" s="1"/>
  <c r="T2109" i="3" s="1"/>
  <c r="R2108" i="3"/>
  <c r="P2108" i="3"/>
  <c r="O2108" i="3"/>
  <c r="Q2108" i="3" s="1"/>
  <c r="S2108" i="3" s="1"/>
  <c r="T2108" i="3" s="1"/>
  <c r="R2107" i="3"/>
  <c r="P2107" i="3"/>
  <c r="O2107" i="3"/>
  <c r="Q2107" i="3" s="1"/>
  <c r="S2107" i="3" s="1"/>
  <c r="T2107" i="3" s="1"/>
  <c r="R2106" i="3"/>
  <c r="P2106" i="3"/>
  <c r="O2106" i="3"/>
  <c r="Q2106" i="3" s="1"/>
  <c r="S2106" i="3" s="1"/>
  <c r="T2106" i="3" s="1"/>
  <c r="R2105" i="3"/>
  <c r="P2105" i="3"/>
  <c r="O2105" i="3"/>
  <c r="Q2105" i="3" s="1"/>
  <c r="S2105" i="3" s="1"/>
  <c r="T2105" i="3" s="1"/>
  <c r="R2104" i="3"/>
  <c r="P2104" i="3"/>
  <c r="O2104" i="3"/>
  <c r="Q2104" i="3" s="1"/>
  <c r="S2104" i="3" s="1"/>
  <c r="T2104" i="3" s="1"/>
  <c r="R2103" i="3"/>
  <c r="P2103" i="3"/>
  <c r="O2103" i="3"/>
  <c r="Q2103" i="3" s="1"/>
  <c r="S2103" i="3" s="1"/>
  <c r="T2103" i="3" s="1"/>
  <c r="R2102" i="3"/>
  <c r="P2102" i="3"/>
  <c r="O2102" i="3"/>
  <c r="Q2102" i="3" s="1"/>
  <c r="S2102" i="3" s="1"/>
  <c r="T2102" i="3" s="1"/>
  <c r="R2101" i="3"/>
  <c r="P2101" i="3"/>
  <c r="O2101" i="3"/>
  <c r="Q2101" i="3" s="1"/>
  <c r="S2101" i="3" s="1"/>
  <c r="T2101" i="3" s="1"/>
  <c r="R2100" i="3"/>
  <c r="P2100" i="3"/>
  <c r="O2100" i="3"/>
  <c r="Q2100" i="3" s="1"/>
  <c r="S2100" i="3" s="1"/>
  <c r="T2100" i="3" s="1"/>
  <c r="R2099" i="3"/>
  <c r="P2099" i="3"/>
  <c r="O2099" i="3"/>
  <c r="Q2099" i="3" s="1"/>
  <c r="S2099" i="3" s="1"/>
  <c r="T2099" i="3" s="1"/>
  <c r="R2098" i="3"/>
  <c r="P2098" i="3"/>
  <c r="O2098" i="3"/>
  <c r="Q2098" i="3" s="1"/>
  <c r="S2098" i="3" s="1"/>
  <c r="T2098" i="3" s="1"/>
  <c r="R2097" i="3"/>
  <c r="P2097" i="3"/>
  <c r="O2097" i="3"/>
  <c r="Q2097" i="3" s="1"/>
  <c r="S2097" i="3" s="1"/>
  <c r="T2097" i="3" s="1"/>
  <c r="R2096" i="3"/>
  <c r="P2096" i="3"/>
  <c r="O2096" i="3"/>
  <c r="Q2096" i="3" s="1"/>
  <c r="S2096" i="3" s="1"/>
  <c r="T2096" i="3" s="1"/>
  <c r="R2095" i="3"/>
  <c r="P2095" i="3"/>
  <c r="O2095" i="3"/>
  <c r="Q2095" i="3" s="1"/>
  <c r="S2095" i="3" s="1"/>
  <c r="T2095" i="3" s="1"/>
  <c r="R2094" i="3"/>
  <c r="P2094" i="3"/>
  <c r="O2094" i="3"/>
  <c r="Q2094" i="3" s="1"/>
  <c r="S2094" i="3" s="1"/>
  <c r="T2094" i="3" s="1"/>
  <c r="R2093" i="3"/>
  <c r="P2093" i="3"/>
  <c r="O2093" i="3"/>
  <c r="Q2093" i="3" s="1"/>
  <c r="S2093" i="3" s="1"/>
  <c r="T2093" i="3" s="1"/>
  <c r="R2092" i="3"/>
  <c r="P2092" i="3"/>
  <c r="O2092" i="3"/>
  <c r="Q2092" i="3" s="1"/>
  <c r="S2092" i="3" s="1"/>
  <c r="T2092" i="3" s="1"/>
  <c r="R2091" i="3"/>
  <c r="P2091" i="3"/>
  <c r="O2091" i="3"/>
  <c r="Q2091" i="3" s="1"/>
  <c r="S2091" i="3" s="1"/>
  <c r="T2091" i="3" s="1"/>
  <c r="R2090" i="3"/>
  <c r="P2090" i="3"/>
  <c r="O2090" i="3"/>
  <c r="Q2090" i="3" s="1"/>
  <c r="S2090" i="3" s="1"/>
  <c r="T2090" i="3" s="1"/>
  <c r="R2089" i="3"/>
  <c r="P2089" i="3"/>
  <c r="O2089" i="3"/>
  <c r="Q2089" i="3" s="1"/>
  <c r="S2089" i="3" s="1"/>
  <c r="T2089" i="3" s="1"/>
  <c r="R2088" i="3"/>
  <c r="P2088" i="3"/>
  <c r="O2088" i="3"/>
  <c r="Q2088" i="3" s="1"/>
  <c r="S2088" i="3" s="1"/>
  <c r="T2088" i="3" s="1"/>
  <c r="R2087" i="3"/>
  <c r="P2087" i="3"/>
  <c r="O2087" i="3"/>
  <c r="Q2087" i="3" s="1"/>
  <c r="S2087" i="3" s="1"/>
  <c r="T2087" i="3" s="1"/>
  <c r="R2086" i="3"/>
  <c r="P2086" i="3"/>
  <c r="O2086" i="3"/>
  <c r="Q2086" i="3" s="1"/>
  <c r="S2086" i="3" s="1"/>
  <c r="T2086" i="3" s="1"/>
  <c r="R2085" i="3"/>
  <c r="P2085" i="3"/>
  <c r="O2085" i="3"/>
  <c r="Q2085" i="3" s="1"/>
  <c r="S2085" i="3" s="1"/>
  <c r="T2085" i="3" s="1"/>
  <c r="R2084" i="3"/>
  <c r="P2084" i="3"/>
  <c r="O2084" i="3"/>
  <c r="Q2084" i="3" s="1"/>
  <c r="S2084" i="3" s="1"/>
  <c r="T2084" i="3" s="1"/>
  <c r="R2083" i="3"/>
  <c r="P2083" i="3"/>
  <c r="O2083" i="3"/>
  <c r="Q2083" i="3" s="1"/>
  <c r="S2083" i="3" s="1"/>
  <c r="T2083" i="3" s="1"/>
  <c r="R2082" i="3"/>
  <c r="P2082" i="3"/>
  <c r="O2082" i="3"/>
  <c r="Q2082" i="3" s="1"/>
  <c r="S2082" i="3" s="1"/>
  <c r="T2082" i="3" s="1"/>
  <c r="R2081" i="3"/>
  <c r="P2081" i="3"/>
  <c r="O2081" i="3"/>
  <c r="Q2081" i="3" s="1"/>
  <c r="S2081" i="3" s="1"/>
  <c r="T2081" i="3" s="1"/>
  <c r="R2080" i="3"/>
  <c r="P2080" i="3"/>
  <c r="O2080" i="3"/>
  <c r="Q2080" i="3" s="1"/>
  <c r="S2080" i="3" s="1"/>
  <c r="T2080" i="3" s="1"/>
  <c r="R2079" i="3"/>
  <c r="P2079" i="3"/>
  <c r="O2079" i="3"/>
  <c r="Q2079" i="3" s="1"/>
  <c r="S2079" i="3" s="1"/>
  <c r="T2079" i="3" s="1"/>
  <c r="R2078" i="3"/>
  <c r="P2078" i="3"/>
  <c r="O2078" i="3"/>
  <c r="Q2078" i="3" s="1"/>
  <c r="S2078" i="3" s="1"/>
  <c r="T2078" i="3" s="1"/>
  <c r="R2077" i="3"/>
  <c r="P2077" i="3"/>
  <c r="O2077" i="3"/>
  <c r="Q2077" i="3" s="1"/>
  <c r="S2077" i="3" s="1"/>
  <c r="T2077" i="3" s="1"/>
  <c r="R2076" i="3"/>
  <c r="P2076" i="3"/>
  <c r="O2076" i="3"/>
  <c r="Q2076" i="3" s="1"/>
  <c r="S2076" i="3" s="1"/>
  <c r="T2076" i="3" s="1"/>
  <c r="R2075" i="3"/>
  <c r="P2075" i="3"/>
  <c r="O2075" i="3"/>
  <c r="Q2075" i="3" s="1"/>
  <c r="S2075" i="3" s="1"/>
  <c r="T2075" i="3" s="1"/>
  <c r="R2074" i="3"/>
  <c r="P2074" i="3"/>
  <c r="O2074" i="3"/>
  <c r="Q2074" i="3" s="1"/>
  <c r="S2074" i="3" s="1"/>
  <c r="T2074" i="3" s="1"/>
  <c r="R2073" i="3"/>
  <c r="P2073" i="3"/>
  <c r="O2073" i="3"/>
  <c r="Q2073" i="3" s="1"/>
  <c r="S2073" i="3" s="1"/>
  <c r="T2073" i="3" s="1"/>
  <c r="R2072" i="3"/>
  <c r="P2072" i="3"/>
  <c r="O2072" i="3"/>
  <c r="Q2072" i="3" s="1"/>
  <c r="S2072" i="3" s="1"/>
  <c r="T2072" i="3" s="1"/>
  <c r="R2071" i="3"/>
  <c r="P2071" i="3"/>
  <c r="O2071" i="3"/>
  <c r="Q2071" i="3" s="1"/>
  <c r="S2071" i="3" s="1"/>
  <c r="T2071" i="3" s="1"/>
  <c r="R2070" i="3"/>
  <c r="P2070" i="3"/>
  <c r="O2070" i="3"/>
  <c r="Q2070" i="3" s="1"/>
  <c r="S2070" i="3" s="1"/>
  <c r="T2070" i="3" s="1"/>
  <c r="R2069" i="3"/>
  <c r="P2069" i="3"/>
  <c r="O2069" i="3"/>
  <c r="Q2069" i="3" s="1"/>
  <c r="S2069" i="3" s="1"/>
  <c r="T2069" i="3" s="1"/>
  <c r="R2068" i="3"/>
  <c r="P2068" i="3"/>
  <c r="O2068" i="3"/>
  <c r="Q2068" i="3" s="1"/>
  <c r="S2068" i="3" s="1"/>
  <c r="T2068" i="3" s="1"/>
  <c r="R2067" i="3"/>
  <c r="P2067" i="3"/>
  <c r="O2067" i="3"/>
  <c r="Q2067" i="3" s="1"/>
  <c r="S2067" i="3" s="1"/>
  <c r="T2067" i="3" s="1"/>
  <c r="R2066" i="3"/>
  <c r="P2066" i="3"/>
  <c r="O2066" i="3"/>
  <c r="Q2066" i="3" s="1"/>
  <c r="S2066" i="3" s="1"/>
  <c r="T2066" i="3" s="1"/>
  <c r="R2065" i="3"/>
  <c r="P2065" i="3"/>
  <c r="O2065" i="3"/>
  <c r="Q2065" i="3" s="1"/>
  <c r="S2065" i="3" s="1"/>
  <c r="T2065" i="3" s="1"/>
  <c r="R2064" i="3"/>
  <c r="P2064" i="3"/>
  <c r="O2064" i="3"/>
  <c r="Q2064" i="3" s="1"/>
  <c r="S2064" i="3" s="1"/>
  <c r="T2064" i="3" s="1"/>
  <c r="R2063" i="3"/>
  <c r="P2063" i="3"/>
  <c r="O2063" i="3"/>
  <c r="Q2063" i="3" s="1"/>
  <c r="S2063" i="3" s="1"/>
  <c r="T2063" i="3" s="1"/>
  <c r="R2062" i="3"/>
  <c r="P2062" i="3"/>
  <c r="O2062" i="3"/>
  <c r="Q2062" i="3" s="1"/>
  <c r="S2062" i="3" s="1"/>
  <c r="T2062" i="3" s="1"/>
  <c r="R2061" i="3"/>
  <c r="P2061" i="3"/>
  <c r="O2061" i="3"/>
  <c r="Q2061" i="3" s="1"/>
  <c r="S2061" i="3" s="1"/>
  <c r="T2061" i="3" s="1"/>
  <c r="R2060" i="3"/>
  <c r="P2060" i="3"/>
  <c r="O2060" i="3"/>
  <c r="Q2060" i="3" s="1"/>
  <c r="S2060" i="3" s="1"/>
  <c r="T2060" i="3" s="1"/>
  <c r="R2059" i="3"/>
  <c r="P2059" i="3"/>
  <c r="O2059" i="3"/>
  <c r="Q2059" i="3" s="1"/>
  <c r="S2059" i="3" s="1"/>
  <c r="T2059" i="3" s="1"/>
  <c r="R2058" i="3"/>
  <c r="P2058" i="3"/>
  <c r="O2058" i="3"/>
  <c r="Q2058" i="3" s="1"/>
  <c r="S2058" i="3" s="1"/>
  <c r="T2058" i="3" s="1"/>
  <c r="R2057" i="3"/>
  <c r="P2057" i="3"/>
  <c r="O2057" i="3"/>
  <c r="Q2057" i="3" s="1"/>
  <c r="S2057" i="3" s="1"/>
  <c r="T2057" i="3" s="1"/>
  <c r="R2056" i="3"/>
  <c r="P2056" i="3"/>
  <c r="O2056" i="3"/>
  <c r="Q2056" i="3" s="1"/>
  <c r="S2056" i="3" s="1"/>
  <c r="T2056" i="3" s="1"/>
  <c r="R2055" i="3"/>
  <c r="P2055" i="3"/>
  <c r="O2055" i="3"/>
  <c r="Q2055" i="3" s="1"/>
  <c r="S2055" i="3" s="1"/>
  <c r="T2055" i="3" s="1"/>
  <c r="R2054" i="3"/>
  <c r="P2054" i="3"/>
  <c r="O2054" i="3"/>
  <c r="Q2054" i="3" s="1"/>
  <c r="S2054" i="3" s="1"/>
  <c r="T2054" i="3" s="1"/>
  <c r="R2053" i="3"/>
  <c r="P2053" i="3"/>
  <c r="O2053" i="3"/>
  <c r="Q2053" i="3" s="1"/>
  <c r="S2053" i="3" s="1"/>
  <c r="T2053" i="3" s="1"/>
  <c r="R2052" i="3"/>
  <c r="P2052" i="3"/>
  <c r="O2052" i="3"/>
  <c r="Q2052" i="3" s="1"/>
  <c r="S2052" i="3" s="1"/>
  <c r="T2052" i="3" s="1"/>
  <c r="R2051" i="3"/>
  <c r="P2051" i="3"/>
  <c r="O2051" i="3"/>
  <c r="Q2051" i="3" s="1"/>
  <c r="S2051" i="3" s="1"/>
  <c r="T2051" i="3" s="1"/>
  <c r="R2050" i="3"/>
  <c r="P2050" i="3"/>
  <c r="O2050" i="3"/>
  <c r="Q2050" i="3" s="1"/>
  <c r="S2050" i="3" s="1"/>
  <c r="T2050" i="3" s="1"/>
  <c r="R2049" i="3"/>
  <c r="P2049" i="3"/>
  <c r="O2049" i="3"/>
  <c r="Q2049" i="3" s="1"/>
  <c r="S2049" i="3" s="1"/>
  <c r="T2049" i="3" s="1"/>
  <c r="R2048" i="3"/>
  <c r="P2048" i="3"/>
  <c r="O2048" i="3"/>
  <c r="Q2048" i="3" s="1"/>
  <c r="S2048" i="3" s="1"/>
  <c r="T2048" i="3" s="1"/>
  <c r="R2047" i="3"/>
  <c r="P2047" i="3"/>
  <c r="O2047" i="3"/>
  <c r="Q2047" i="3" s="1"/>
  <c r="S2047" i="3" s="1"/>
  <c r="T2047" i="3" s="1"/>
  <c r="R2046" i="3"/>
  <c r="P2046" i="3"/>
  <c r="O2046" i="3"/>
  <c r="Q2046" i="3" s="1"/>
  <c r="S2046" i="3" s="1"/>
  <c r="T2046" i="3" s="1"/>
  <c r="R2045" i="3"/>
  <c r="P2045" i="3"/>
  <c r="O2045" i="3"/>
  <c r="Q2045" i="3" s="1"/>
  <c r="S2045" i="3" s="1"/>
  <c r="T2045" i="3" s="1"/>
  <c r="R2044" i="3"/>
  <c r="P2044" i="3"/>
  <c r="O2044" i="3"/>
  <c r="Q2044" i="3" s="1"/>
  <c r="S2044" i="3" s="1"/>
  <c r="T2044" i="3" s="1"/>
  <c r="R2043" i="3"/>
  <c r="P2043" i="3"/>
  <c r="O2043" i="3"/>
  <c r="Q2043" i="3" s="1"/>
  <c r="S2043" i="3" s="1"/>
  <c r="T2043" i="3" s="1"/>
  <c r="R2042" i="3"/>
  <c r="P2042" i="3"/>
  <c r="O2042" i="3"/>
  <c r="Q2042" i="3" s="1"/>
  <c r="S2042" i="3" s="1"/>
  <c r="T2042" i="3" s="1"/>
  <c r="R2041" i="3"/>
  <c r="P2041" i="3"/>
  <c r="O2041" i="3"/>
  <c r="Q2041" i="3" s="1"/>
  <c r="S2041" i="3" s="1"/>
  <c r="T2041" i="3" s="1"/>
  <c r="R2040" i="3"/>
  <c r="P2040" i="3"/>
  <c r="O2040" i="3"/>
  <c r="Q2040" i="3" s="1"/>
  <c r="S2040" i="3" s="1"/>
  <c r="T2040" i="3" s="1"/>
  <c r="R2039" i="3"/>
  <c r="P2039" i="3"/>
  <c r="O2039" i="3"/>
  <c r="Q2039" i="3" s="1"/>
  <c r="S2039" i="3" s="1"/>
  <c r="T2039" i="3" s="1"/>
  <c r="R2038" i="3"/>
  <c r="P2038" i="3"/>
  <c r="O2038" i="3"/>
  <c r="Q2038" i="3" s="1"/>
  <c r="S2038" i="3" s="1"/>
  <c r="T2038" i="3" s="1"/>
  <c r="R2037" i="3"/>
  <c r="P2037" i="3"/>
  <c r="O2037" i="3"/>
  <c r="Q2037" i="3" s="1"/>
  <c r="S2037" i="3" s="1"/>
  <c r="T2037" i="3" s="1"/>
  <c r="R2036" i="3"/>
  <c r="P2036" i="3"/>
  <c r="O2036" i="3"/>
  <c r="Q2036" i="3" s="1"/>
  <c r="S2036" i="3" s="1"/>
  <c r="T2036" i="3" s="1"/>
  <c r="R2035" i="3"/>
  <c r="P2035" i="3"/>
  <c r="O2035" i="3"/>
  <c r="Q2035" i="3" s="1"/>
  <c r="S2035" i="3" s="1"/>
  <c r="T2035" i="3" s="1"/>
  <c r="R2034" i="3"/>
  <c r="P2034" i="3"/>
  <c r="O2034" i="3"/>
  <c r="Q2034" i="3" s="1"/>
  <c r="S2034" i="3" s="1"/>
  <c r="T2034" i="3" s="1"/>
  <c r="R2033" i="3"/>
  <c r="P2033" i="3"/>
  <c r="O2033" i="3"/>
  <c r="Q2033" i="3" s="1"/>
  <c r="S2033" i="3" s="1"/>
  <c r="T2033" i="3" s="1"/>
  <c r="R2032" i="3"/>
  <c r="P2032" i="3"/>
  <c r="O2032" i="3"/>
  <c r="Q2032" i="3" s="1"/>
  <c r="S2032" i="3" s="1"/>
  <c r="T2032" i="3" s="1"/>
  <c r="R2031" i="3"/>
  <c r="P2031" i="3"/>
  <c r="O2031" i="3"/>
  <c r="Q2031" i="3" s="1"/>
  <c r="S2031" i="3" s="1"/>
  <c r="T2031" i="3" s="1"/>
  <c r="R2030" i="3"/>
  <c r="P2030" i="3"/>
  <c r="O2030" i="3"/>
  <c r="Q2030" i="3" s="1"/>
  <c r="S2030" i="3" s="1"/>
  <c r="T2030" i="3" s="1"/>
  <c r="R2029" i="3"/>
  <c r="P2029" i="3"/>
  <c r="O2029" i="3"/>
  <c r="Q2029" i="3" s="1"/>
  <c r="S2029" i="3" s="1"/>
  <c r="T2029" i="3" s="1"/>
  <c r="R2028" i="3"/>
  <c r="P2028" i="3"/>
  <c r="O2028" i="3"/>
  <c r="Q2028" i="3" s="1"/>
  <c r="S2028" i="3" s="1"/>
  <c r="T2028" i="3" s="1"/>
  <c r="R2027" i="3"/>
  <c r="P2027" i="3"/>
  <c r="O2027" i="3"/>
  <c r="Q2027" i="3" s="1"/>
  <c r="S2027" i="3" s="1"/>
  <c r="T2027" i="3" s="1"/>
  <c r="R2026" i="3"/>
  <c r="P2026" i="3"/>
  <c r="O2026" i="3"/>
  <c r="Q2026" i="3" s="1"/>
  <c r="S2026" i="3" s="1"/>
  <c r="T2026" i="3" s="1"/>
  <c r="R2025" i="3"/>
  <c r="P2025" i="3"/>
  <c r="O2025" i="3"/>
  <c r="Q2025" i="3" s="1"/>
  <c r="S2025" i="3" s="1"/>
  <c r="T2025" i="3" s="1"/>
  <c r="R2024" i="3"/>
  <c r="P2024" i="3"/>
  <c r="O2024" i="3"/>
  <c r="Q2024" i="3" s="1"/>
  <c r="S2024" i="3" s="1"/>
  <c r="T2024" i="3" s="1"/>
  <c r="R2023" i="3"/>
  <c r="P2023" i="3"/>
  <c r="O2023" i="3"/>
  <c r="Q2023" i="3" s="1"/>
  <c r="S2023" i="3" s="1"/>
  <c r="T2023" i="3" s="1"/>
  <c r="R2022" i="3"/>
  <c r="P2022" i="3"/>
  <c r="O2022" i="3"/>
  <c r="Q2022" i="3" s="1"/>
  <c r="S2022" i="3" s="1"/>
  <c r="T2022" i="3" s="1"/>
  <c r="R2021" i="3"/>
  <c r="P2021" i="3"/>
  <c r="O2021" i="3"/>
  <c r="Q2021" i="3" s="1"/>
  <c r="S2021" i="3" s="1"/>
  <c r="T2021" i="3" s="1"/>
  <c r="R2020" i="3"/>
  <c r="P2020" i="3"/>
  <c r="O2020" i="3"/>
  <c r="Q2020" i="3" s="1"/>
  <c r="S2020" i="3" s="1"/>
  <c r="T2020" i="3" s="1"/>
  <c r="R2019" i="3"/>
  <c r="P2019" i="3"/>
  <c r="O2019" i="3"/>
  <c r="Q2019" i="3" s="1"/>
  <c r="S2019" i="3" s="1"/>
  <c r="T2019" i="3" s="1"/>
  <c r="R2018" i="3"/>
  <c r="P2018" i="3"/>
  <c r="O2018" i="3"/>
  <c r="Q2018" i="3" s="1"/>
  <c r="S2018" i="3" s="1"/>
  <c r="T2018" i="3" s="1"/>
  <c r="R2017" i="3"/>
  <c r="P2017" i="3"/>
  <c r="O2017" i="3"/>
  <c r="Q2017" i="3" s="1"/>
  <c r="S2017" i="3" s="1"/>
  <c r="T2017" i="3" s="1"/>
  <c r="R2016" i="3"/>
  <c r="P2016" i="3"/>
  <c r="O2016" i="3"/>
  <c r="Q2016" i="3" s="1"/>
  <c r="S2016" i="3" s="1"/>
  <c r="T2016" i="3" s="1"/>
  <c r="R2015" i="3"/>
  <c r="P2015" i="3"/>
  <c r="O2015" i="3"/>
  <c r="Q2015" i="3" s="1"/>
  <c r="S2015" i="3" s="1"/>
  <c r="T2015" i="3" s="1"/>
  <c r="R2014" i="3"/>
  <c r="P2014" i="3"/>
  <c r="O2014" i="3"/>
  <c r="Q2014" i="3" s="1"/>
  <c r="S2014" i="3" s="1"/>
  <c r="T2014" i="3" s="1"/>
  <c r="R2013" i="3"/>
  <c r="P2013" i="3"/>
  <c r="O2013" i="3"/>
  <c r="Q2013" i="3" s="1"/>
  <c r="S2013" i="3" s="1"/>
  <c r="T2013" i="3" s="1"/>
  <c r="R2012" i="3"/>
  <c r="P2012" i="3"/>
  <c r="O2012" i="3"/>
  <c r="Q2012" i="3" s="1"/>
  <c r="S2012" i="3" s="1"/>
  <c r="T2012" i="3" s="1"/>
  <c r="R2011" i="3"/>
  <c r="P2011" i="3"/>
  <c r="O2011" i="3"/>
  <c r="Q2011" i="3" s="1"/>
  <c r="S2011" i="3" s="1"/>
  <c r="T2011" i="3" s="1"/>
  <c r="R2010" i="3"/>
  <c r="P2010" i="3"/>
  <c r="O2010" i="3"/>
  <c r="Q2010" i="3" s="1"/>
  <c r="S2010" i="3" s="1"/>
  <c r="T2010" i="3" s="1"/>
  <c r="R2009" i="3"/>
  <c r="P2009" i="3"/>
  <c r="O2009" i="3"/>
  <c r="Q2009" i="3" s="1"/>
  <c r="S2009" i="3" s="1"/>
  <c r="T2009" i="3" s="1"/>
  <c r="R2008" i="3"/>
  <c r="P2008" i="3"/>
  <c r="O2008" i="3"/>
  <c r="Q2008" i="3" s="1"/>
  <c r="S2008" i="3" s="1"/>
  <c r="T2008" i="3" s="1"/>
  <c r="R2007" i="3"/>
  <c r="P2007" i="3"/>
  <c r="O2007" i="3"/>
  <c r="Q2007" i="3" s="1"/>
  <c r="S2007" i="3" s="1"/>
  <c r="T2007" i="3" s="1"/>
  <c r="R2006" i="3"/>
  <c r="P2006" i="3"/>
  <c r="O2006" i="3"/>
  <c r="Q2006" i="3" s="1"/>
  <c r="S2006" i="3" s="1"/>
  <c r="T2006" i="3" s="1"/>
  <c r="R2005" i="3"/>
  <c r="P2005" i="3"/>
  <c r="O2005" i="3"/>
  <c r="Q2005" i="3" s="1"/>
  <c r="S2005" i="3" s="1"/>
  <c r="T2005" i="3" s="1"/>
  <c r="R2004" i="3"/>
  <c r="P2004" i="3"/>
  <c r="O2004" i="3"/>
  <c r="Q2004" i="3" s="1"/>
  <c r="S2004" i="3" s="1"/>
  <c r="T2004" i="3" s="1"/>
  <c r="R2003" i="3"/>
  <c r="P2003" i="3"/>
  <c r="O2003" i="3"/>
  <c r="Q2003" i="3" s="1"/>
  <c r="S2003" i="3" s="1"/>
  <c r="T2003" i="3" s="1"/>
  <c r="R2002" i="3"/>
  <c r="P2002" i="3"/>
  <c r="O2002" i="3"/>
  <c r="Q2002" i="3" s="1"/>
  <c r="S2002" i="3" s="1"/>
  <c r="T2002" i="3" s="1"/>
  <c r="R2001" i="3"/>
  <c r="P2001" i="3"/>
  <c r="O2001" i="3"/>
  <c r="Q2001" i="3" s="1"/>
  <c r="S2001" i="3" s="1"/>
  <c r="T2001" i="3" s="1"/>
  <c r="R2000" i="3"/>
  <c r="P2000" i="3"/>
  <c r="O2000" i="3"/>
  <c r="Q2000" i="3" s="1"/>
  <c r="S2000" i="3" s="1"/>
  <c r="T2000" i="3" s="1"/>
  <c r="R1999" i="3"/>
  <c r="P1999" i="3"/>
  <c r="O1999" i="3"/>
  <c r="Q1999" i="3" s="1"/>
  <c r="S1999" i="3" s="1"/>
  <c r="T1999" i="3" s="1"/>
  <c r="R1998" i="3"/>
  <c r="P1998" i="3"/>
  <c r="O1998" i="3"/>
  <c r="Q1998" i="3" s="1"/>
  <c r="S1998" i="3" s="1"/>
  <c r="T1998" i="3" s="1"/>
  <c r="R1997" i="3"/>
  <c r="P1997" i="3"/>
  <c r="O1997" i="3"/>
  <c r="Q1997" i="3" s="1"/>
  <c r="S1997" i="3" s="1"/>
  <c r="T1997" i="3" s="1"/>
  <c r="R1996" i="3"/>
  <c r="P1996" i="3"/>
  <c r="O1996" i="3"/>
  <c r="Q1996" i="3" s="1"/>
  <c r="S1996" i="3" s="1"/>
  <c r="T1996" i="3" s="1"/>
  <c r="R1995" i="3"/>
  <c r="P1995" i="3"/>
  <c r="O1995" i="3"/>
  <c r="Q1995" i="3" s="1"/>
  <c r="S1995" i="3" s="1"/>
  <c r="T1995" i="3" s="1"/>
  <c r="R1994" i="3"/>
  <c r="P1994" i="3"/>
  <c r="O1994" i="3"/>
  <c r="Q1994" i="3" s="1"/>
  <c r="S1994" i="3" s="1"/>
  <c r="T1994" i="3" s="1"/>
  <c r="R1993" i="3"/>
  <c r="P1993" i="3"/>
  <c r="O1993" i="3"/>
  <c r="Q1993" i="3" s="1"/>
  <c r="S1993" i="3" s="1"/>
  <c r="T1993" i="3" s="1"/>
  <c r="R1992" i="3"/>
  <c r="P1992" i="3"/>
  <c r="O1992" i="3"/>
  <c r="Q1992" i="3" s="1"/>
  <c r="S1992" i="3" s="1"/>
  <c r="T1992" i="3" s="1"/>
  <c r="R1991" i="3"/>
  <c r="P1991" i="3"/>
  <c r="O1991" i="3"/>
  <c r="Q1991" i="3" s="1"/>
  <c r="S1991" i="3" s="1"/>
  <c r="T1991" i="3" s="1"/>
  <c r="R1990" i="3"/>
  <c r="P1990" i="3"/>
  <c r="O1990" i="3"/>
  <c r="Q1990" i="3" s="1"/>
  <c r="S1990" i="3" s="1"/>
  <c r="T1990" i="3" s="1"/>
  <c r="R1989" i="3"/>
  <c r="P1989" i="3"/>
  <c r="O1989" i="3"/>
  <c r="Q1989" i="3" s="1"/>
  <c r="S1989" i="3" s="1"/>
  <c r="T1989" i="3" s="1"/>
  <c r="R1988" i="3"/>
  <c r="P1988" i="3"/>
  <c r="O1988" i="3"/>
  <c r="Q1988" i="3" s="1"/>
  <c r="S1988" i="3" s="1"/>
  <c r="T1988" i="3" s="1"/>
  <c r="R1987" i="3"/>
  <c r="P1987" i="3"/>
  <c r="O1987" i="3"/>
  <c r="Q1987" i="3" s="1"/>
  <c r="S1987" i="3" s="1"/>
  <c r="T1987" i="3" s="1"/>
  <c r="R1986" i="3"/>
  <c r="P1986" i="3"/>
  <c r="O1986" i="3"/>
  <c r="Q1986" i="3" s="1"/>
  <c r="S1986" i="3" s="1"/>
  <c r="T1986" i="3" s="1"/>
  <c r="R1985" i="3"/>
  <c r="P1985" i="3"/>
  <c r="O1985" i="3"/>
  <c r="Q1985" i="3" s="1"/>
  <c r="S1985" i="3" s="1"/>
  <c r="T1985" i="3" s="1"/>
  <c r="R1984" i="3"/>
  <c r="P1984" i="3"/>
  <c r="O1984" i="3"/>
  <c r="Q1984" i="3" s="1"/>
  <c r="S1984" i="3" s="1"/>
  <c r="T1984" i="3" s="1"/>
  <c r="R1983" i="3"/>
  <c r="P1983" i="3"/>
  <c r="O1983" i="3"/>
  <c r="Q1983" i="3" s="1"/>
  <c r="S1983" i="3" s="1"/>
  <c r="T1983" i="3" s="1"/>
  <c r="R1982" i="3"/>
  <c r="P1982" i="3"/>
  <c r="O1982" i="3"/>
  <c r="Q1982" i="3" s="1"/>
  <c r="S1982" i="3" s="1"/>
  <c r="T1982" i="3" s="1"/>
  <c r="R1981" i="3"/>
  <c r="P1981" i="3"/>
  <c r="O1981" i="3"/>
  <c r="Q1981" i="3" s="1"/>
  <c r="S1981" i="3" s="1"/>
  <c r="T1981" i="3" s="1"/>
  <c r="R1980" i="3"/>
  <c r="P1980" i="3"/>
  <c r="O1980" i="3"/>
  <c r="Q1980" i="3" s="1"/>
  <c r="S1980" i="3" s="1"/>
  <c r="T1980" i="3" s="1"/>
  <c r="R1979" i="3"/>
  <c r="P1979" i="3"/>
  <c r="O1979" i="3"/>
  <c r="Q1979" i="3" s="1"/>
  <c r="S1979" i="3" s="1"/>
  <c r="T1979" i="3" s="1"/>
  <c r="R1978" i="3"/>
  <c r="P1978" i="3"/>
  <c r="O1978" i="3"/>
  <c r="Q1978" i="3" s="1"/>
  <c r="S1978" i="3" s="1"/>
  <c r="T1978" i="3" s="1"/>
  <c r="R1977" i="3"/>
  <c r="P1977" i="3"/>
  <c r="O1977" i="3"/>
  <c r="Q1977" i="3" s="1"/>
  <c r="S1977" i="3" s="1"/>
  <c r="T1977" i="3" s="1"/>
  <c r="R1976" i="3"/>
  <c r="P1976" i="3"/>
  <c r="O1976" i="3"/>
  <c r="Q1976" i="3" s="1"/>
  <c r="S1976" i="3" s="1"/>
  <c r="T1976" i="3" s="1"/>
  <c r="R1975" i="3"/>
  <c r="P1975" i="3"/>
  <c r="O1975" i="3"/>
  <c r="Q1975" i="3" s="1"/>
  <c r="S1975" i="3" s="1"/>
  <c r="T1975" i="3" s="1"/>
  <c r="R1974" i="3"/>
  <c r="P1974" i="3"/>
  <c r="O1974" i="3"/>
  <c r="Q1974" i="3" s="1"/>
  <c r="S1974" i="3" s="1"/>
  <c r="T1974" i="3" s="1"/>
  <c r="R1973" i="3"/>
  <c r="P1973" i="3"/>
  <c r="O1973" i="3"/>
  <c r="Q1973" i="3" s="1"/>
  <c r="S1973" i="3" s="1"/>
  <c r="T1973" i="3" s="1"/>
  <c r="R1972" i="3"/>
  <c r="P1972" i="3"/>
  <c r="O1972" i="3"/>
  <c r="Q1972" i="3" s="1"/>
  <c r="S1972" i="3" s="1"/>
  <c r="T1972" i="3" s="1"/>
  <c r="R1971" i="3"/>
  <c r="P1971" i="3"/>
  <c r="O1971" i="3"/>
  <c r="Q1971" i="3" s="1"/>
  <c r="S1971" i="3" s="1"/>
  <c r="T1971" i="3" s="1"/>
  <c r="R1970" i="3"/>
  <c r="P1970" i="3"/>
  <c r="O1970" i="3"/>
  <c r="Q1970" i="3" s="1"/>
  <c r="S1970" i="3" s="1"/>
  <c r="T1970" i="3" s="1"/>
  <c r="R1969" i="3"/>
  <c r="P1969" i="3"/>
  <c r="O1969" i="3"/>
  <c r="Q1969" i="3" s="1"/>
  <c r="S1969" i="3" s="1"/>
  <c r="T1969" i="3" s="1"/>
  <c r="R1968" i="3"/>
  <c r="P1968" i="3"/>
  <c r="O1968" i="3"/>
  <c r="Q1968" i="3" s="1"/>
  <c r="S1968" i="3" s="1"/>
  <c r="T1968" i="3" s="1"/>
  <c r="R1967" i="3"/>
  <c r="P1967" i="3"/>
  <c r="O1967" i="3"/>
  <c r="Q1967" i="3" s="1"/>
  <c r="S1967" i="3" s="1"/>
  <c r="T1967" i="3" s="1"/>
  <c r="R1966" i="3"/>
  <c r="P1966" i="3"/>
  <c r="O1966" i="3"/>
  <c r="Q1966" i="3" s="1"/>
  <c r="S1966" i="3" s="1"/>
  <c r="T1966" i="3" s="1"/>
  <c r="R1965" i="3"/>
  <c r="P1965" i="3"/>
  <c r="O1965" i="3"/>
  <c r="Q1965" i="3" s="1"/>
  <c r="S1965" i="3" s="1"/>
  <c r="T1965" i="3" s="1"/>
  <c r="R1964" i="3"/>
  <c r="P1964" i="3"/>
  <c r="O1964" i="3"/>
  <c r="Q1964" i="3" s="1"/>
  <c r="S1964" i="3" s="1"/>
  <c r="T1964" i="3" s="1"/>
  <c r="R1963" i="3"/>
  <c r="P1963" i="3"/>
  <c r="O1963" i="3"/>
  <c r="Q1963" i="3" s="1"/>
  <c r="S1963" i="3" s="1"/>
  <c r="T1963" i="3" s="1"/>
  <c r="R1962" i="3"/>
  <c r="P1962" i="3"/>
  <c r="O1962" i="3"/>
  <c r="Q1962" i="3" s="1"/>
  <c r="S1962" i="3" s="1"/>
  <c r="T1962" i="3" s="1"/>
  <c r="R1961" i="3"/>
  <c r="P1961" i="3"/>
  <c r="O1961" i="3"/>
  <c r="Q1961" i="3" s="1"/>
  <c r="S1961" i="3" s="1"/>
  <c r="T1961" i="3" s="1"/>
  <c r="R1960" i="3"/>
  <c r="P1960" i="3"/>
  <c r="O1960" i="3"/>
  <c r="Q1960" i="3" s="1"/>
  <c r="S1960" i="3" s="1"/>
  <c r="T1960" i="3" s="1"/>
  <c r="R1959" i="3"/>
  <c r="P1959" i="3"/>
  <c r="O1959" i="3"/>
  <c r="Q1959" i="3" s="1"/>
  <c r="S1959" i="3" s="1"/>
  <c r="T1959" i="3" s="1"/>
  <c r="R1958" i="3"/>
  <c r="P1958" i="3"/>
  <c r="O1958" i="3"/>
  <c r="Q1958" i="3" s="1"/>
  <c r="S1958" i="3" s="1"/>
  <c r="T1958" i="3" s="1"/>
  <c r="R1957" i="3"/>
  <c r="P1957" i="3"/>
  <c r="O1957" i="3"/>
  <c r="Q1957" i="3" s="1"/>
  <c r="S1957" i="3" s="1"/>
  <c r="T1957" i="3" s="1"/>
  <c r="R1956" i="3"/>
  <c r="P1956" i="3"/>
  <c r="O1956" i="3"/>
  <c r="Q1956" i="3" s="1"/>
  <c r="S1956" i="3" s="1"/>
  <c r="T1956" i="3" s="1"/>
  <c r="R1955" i="3"/>
  <c r="P1955" i="3"/>
  <c r="O1955" i="3"/>
  <c r="Q1955" i="3" s="1"/>
  <c r="S1955" i="3" s="1"/>
  <c r="T1955" i="3" s="1"/>
  <c r="R1954" i="3"/>
  <c r="P1954" i="3"/>
  <c r="O1954" i="3"/>
  <c r="Q1954" i="3" s="1"/>
  <c r="S1954" i="3" s="1"/>
  <c r="T1954" i="3" s="1"/>
  <c r="R1953" i="3"/>
  <c r="P1953" i="3"/>
  <c r="O1953" i="3"/>
  <c r="Q1953" i="3" s="1"/>
  <c r="S1953" i="3" s="1"/>
  <c r="T1953" i="3" s="1"/>
  <c r="R1952" i="3"/>
  <c r="P1952" i="3"/>
  <c r="O1952" i="3"/>
  <c r="Q1952" i="3" s="1"/>
  <c r="S1952" i="3" s="1"/>
  <c r="T1952" i="3" s="1"/>
  <c r="R1951" i="3"/>
  <c r="P1951" i="3"/>
  <c r="O1951" i="3"/>
  <c r="Q1951" i="3" s="1"/>
  <c r="S1951" i="3" s="1"/>
  <c r="T1951" i="3" s="1"/>
  <c r="R1950" i="3"/>
  <c r="P1950" i="3"/>
  <c r="O1950" i="3"/>
  <c r="Q1950" i="3" s="1"/>
  <c r="S1950" i="3" s="1"/>
  <c r="T1950" i="3" s="1"/>
  <c r="R1949" i="3"/>
  <c r="P1949" i="3"/>
  <c r="O1949" i="3"/>
  <c r="Q1949" i="3" s="1"/>
  <c r="S1949" i="3" s="1"/>
  <c r="T1949" i="3" s="1"/>
  <c r="R1948" i="3"/>
  <c r="P1948" i="3"/>
  <c r="O1948" i="3"/>
  <c r="Q1948" i="3" s="1"/>
  <c r="S1948" i="3" s="1"/>
  <c r="T1948" i="3" s="1"/>
  <c r="R1947" i="3"/>
  <c r="P1947" i="3"/>
  <c r="O1947" i="3"/>
  <c r="Q1947" i="3" s="1"/>
  <c r="S1947" i="3" s="1"/>
  <c r="T1947" i="3" s="1"/>
  <c r="R1946" i="3"/>
  <c r="P1946" i="3"/>
  <c r="O1946" i="3"/>
  <c r="Q1946" i="3" s="1"/>
  <c r="S1946" i="3" s="1"/>
  <c r="T1946" i="3" s="1"/>
  <c r="R1945" i="3"/>
  <c r="P1945" i="3"/>
  <c r="O1945" i="3"/>
  <c r="Q1945" i="3" s="1"/>
  <c r="S1945" i="3" s="1"/>
  <c r="T1945" i="3" s="1"/>
  <c r="R1944" i="3"/>
  <c r="P1944" i="3"/>
  <c r="O1944" i="3"/>
  <c r="Q1944" i="3" s="1"/>
  <c r="S1944" i="3" s="1"/>
  <c r="T1944" i="3" s="1"/>
  <c r="R1943" i="3"/>
  <c r="P1943" i="3"/>
  <c r="O1943" i="3"/>
  <c r="Q1943" i="3" s="1"/>
  <c r="S1943" i="3" s="1"/>
  <c r="T1943" i="3" s="1"/>
  <c r="R1942" i="3"/>
  <c r="P1942" i="3"/>
  <c r="O1942" i="3"/>
  <c r="Q1942" i="3" s="1"/>
  <c r="S1942" i="3" s="1"/>
  <c r="T1942" i="3" s="1"/>
  <c r="R1941" i="3"/>
  <c r="P1941" i="3"/>
  <c r="O1941" i="3"/>
  <c r="Q1941" i="3" s="1"/>
  <c r="S1941" i="3" s="1"/>
  <c r="T1941" i="3" s="1"/>
  <c r="R1940" i="3"/>
  <c r="P1940" i="3"/>
  <c r="O1940" i="3"/>
  <c r="Q1940" i="3" s="1"/>
  <c r="S1940" i="3" s="1"/>
  <c r="T1940" i="3" s="1"/>
  <c r="R1939" i="3"/>
  <c r="P1939" i="3"/>
  <c r="O1939" i="3"/>
  <c r="Q1939" i="3" s="1"/>
  <c r="S1939" i="3" s="1"/>
  <c r="T1939" i="3" s="1"/>
  <c r="R1938" i="3"/>
  <c r="P1938" i="3"/>
  <c r="O1938" i="3"/>
  <c r="Q1938" i="3" s="1"/>
  <c r="S1938" i="3" s="1"/>
  <c r="T1938" i="3" s="1"/>
  <c r="R1937" i="3"/>
  <c r="P1937" i="3"/>
  <c r="O1937" i="3"/>
  <c r="Q1937" i="3" s="1"/>
  <c r="S1937" i="3" s="1"/>
  <c r="T1937" i="3" s="1"/>
  <c r="R1936" i="3"/>
  <c r="P1936" i="3"/>
  <c r="O1936" i="3"/>
  <c r="Q1936" i="3" s="1"/>
  <c r="S1936" i="3" s="1"/>
  <c r="T1936" i="3" s="1"/>
  <c r="R1935" i="3"/>
  <c r="P1935" i="3"/>
  <c r="O1935" i="3"/>
  <c r="Q1935" i="3" s="1"/>
  <c r="S1935" i="3" s="1"/>
  <c r="T1935" i="3" s="1"/>
  <c r="R1934" i="3"/>
  <c r="P1934" i="3"/>
  <c r="O1934" i="3"/>
  <c r="Q1934" i="3" s="1"/>
  <c r="S1934" i="3" s="1"/>
  <c r="T1934" i="3" s="1"/>
  <c r="R1933" i="3"/>
  <c r="P1933" i="3"/>
  <c r="O1933" i="3"/>
  <c r="Q1933" i="3" s="1"/>
  <c r="S1933" i="3" s="1"/>
  <c r="T1933" i="3" s="1"/>
  <c r="R1932" i="3"/>
  <c r="P1932" i="3"/>
  <c r="O1932" i="3"/>
  <c r="Q1932" i="3" s="1"/>
  <c r="S1932" i="3" s="1"/>
  <c r="T1932" i="3" s="1"/>
  <c r="R1931" i="3"/>
  <c r="P1931" i="3"/>
  <c r="O1931" i="3"/>
  <c r="Q1931" i="3" s="1"/>
  <c r="S1931" i="3" s="1"/>
  <c r="T1931" i="3" s="1"/>
  <c r="R1930" i="3"/>
  <c r="P1930" i="3"/>
  <c r="O1930" i="3"/>
  <c r="Q1930" i="3" s="1"/>
  <c r="S1930" i="3" s="1"/>
  <c r="T1930" i="3" s="1"/>
  <c r="R1929" i="3"/>
  <c r="P1929" i="3"/>
  <c r="O1929" i="3"/>
  <c r="Q1929" i="3" s="1"/>
  <c r="S1929" i="3" s="1"/>
  <c r="T1929" i="3" s="1"/>
  <c r="R1928" i="3"/>
  <c r="P1928" i="3"/>
  <c r="O1928" i="3"/>
  <c r="Q1928" i="3" s="1"/>
  <c r="S1928" i="3" s="1"/>
  <c r="T1928" i="3" s="1"/>
  <c r="R1927" i="3"/>
  <c r="P1927" i="3"/>
  <c r="O1927" i="3"/>
  <c r="Q1927" i="3" s="1"/>
  <c r="S1927" i="3" s="1"/>
  <c r="T1927" i="3" s="1"/>
  <c r="R1926" i="3"/>
  <c r="P1926" i="3"/>
  <c r="O1926" i="3"/>
  <c r="Q1926" i="3" s="1"/>
  <c r="S1926" i="3" s="1"/>
  <c r="T1926" i="3" s="1"/>
  <c r="R1925" i="3"/>
  <c r="P1925" i="3"/>
  <c r="O1925" i="3"/>
  <c r="Q1925" i="3" s="1"/>
  <c r="S1925" i="3" s="1"/>
  <c r="T1925" i="3" s="1"/>
  <c r="R1924" i="3"/>
  <c r="P1924" i="3"/>
  <c r="O1924" i="3"/>
  <c r="Q1924" i="3" s="1"/>
  <c r="S1924" i="3" s="1"/>
  <c r="T1924" i="3" s="1"/>
  <c r="R1923" i="3"/>
  <c r="P1923" i="3"/>
  <c r="O1923" i="3"/>
  <c r="Q1923" i="3" s="1"/>
  <c r="S1923" i="3" s="1"/>
  <c r="T1923" i="3" s="1"/>
  <c r="R1922" i="3"/>
  <c r="P1922" i="3"/>
  <c r="O1922" i="3"/>
  <c r="Q1922" i="3" s="1"/>
  <c r="S1922" i="3" s="1"/>
  <c r="T1922" i="3" s="1"/>
  <c r="R1921" i="3"/>
  <c r="P1921" i="3"/>
  <c r="O1921" i="3"/>
  <c r="Q1921" i="3" s="1"/>
  <c r="S1921" i="3" s="1"/>
  <c r="T1921" i="3" s="1"/>
  <c r="R1920" i="3"/>
  <c r="P1920" i="3"/>
  <c r="O1920" i="3"/>
  <c r="Q1920" i="3" s="1"/>
  <c r="S1920" i="3" s="1"/>
  <c r="T1920" i="3" s="1"/>
  <c r="R1919" i="3"/>
  <c r="P1919" i="3"/>
  <c r="O1919" i="3"/>
  <c r="Q1919" i="3" s="1"/>
  <c r="S1919" i="3" s="1"/>
  <c r="T1919" i="3" s="1"/>
  <c r="R1918" i="3"/>
  <c r="P1918" i="3"/>
  <c r="O1918" i="3"/>
  <c r="Q1918" i="3" s="1"/>
  <c r="S1918" i="3" s="1"/>
  <c r="T1918" i="3" s="1"/>
  <c r="R1917" i="3"/>
  <c r="P1917" i="3"/>
  <c r="O1917" i="3"/>
  <c r="Q1917" i="3" s="1"/>
  <c r="S1917" i="3" s="1"/>
  <c r="T1917" i="3" s="1"/>
  <c r="R1916" i="3"/>
  <c r="P1916" i="3"/>
  <c r="O1916" i="3"/>
  <c r="Q1916" i="3" s="1"/>
  <c r="S1916" i="3" s="1"/>
  <c r="T1916" i="3" s="1"/>
  <c r="R1915" i="3"/>
  <c r="P1915" i="3"/>
  <c r="O1915" i="3"/>
  <c r="Q1915" i="3" s="1"/>
  <c r="S1915" i="3" s="1"/>
  <c r="T1915" i="3" s="1"/>
  <c r="R1914" i="3"/>
  <c r="P1914" i="3"/>
  <c r="O1914" i="3"/>
  <c r="Q1914" i="3" s="1"/>
  <c r="S1914" i="3" s="1"/>
  <c r="T1914" i="3" s="1"/>
  <c r="R1913" i="3"/>
  <c r="P1913" i="3"/>
  <c r="O1913" i="3"/>
  <c r="Q1913" i="3" s="1"/>
  <c r="S1913" i="3" s="1"/>
  <c r="T1913" i="3" s="1"/>
  <c r="R1912" i="3"/>
  <c r="P1912" i="3"/>
  <c r="O1912" i="3"/>
  <c r="Q1912" i="3" s="1"/>
  <c r="S1912" i="3" s="1"/>
  <c r="T1912" i="3" s="1"/>
  <c r="R1911" i="3"/>
  <c r="P1911" i="3"/>
  <c r="O1911" i="3"/>
  <c r="Q1911" i="3" s="1"/>
  <c r="S1911" i="3" s="1"/>
  <c r="T1911" i="3" s="1"/>
  <c r="R1910" i="3"/>
  <c r="P1910" i="3"/>
  <c r="O1910" i="3"/>
  <c r="Q1910" i="3" s="1"/>
  <c r="S1910" i="3" s="1"/>
  <c r="T1910" i="3" s="1"/>
  <c r="R1909" i="3"/>
  <c r="P1909" i="3"/>
  <c r="O1909" i="3"/>
  <c r="Q1909" i="3" s="1"/>
  <c r="S1909" i="3" s="1"/>
  <c r="T1909" i="3" s="1"/>
  <c r="R1908" i="3"/>
  <c r="P1908" i="3"/>
  <c r="O1908" i="3"/>
  <c r="Q1908" i="3" s="1"/>
  <c r="S1908" i="3" s="1"/>
  <c r="T1908" i="3" s="1"/>
  <c r="R1907" i="3"/>
  <c r="P1907" i="3"/>
  <c r="O1907" i="3"/>
  <c r="Q1907" i="3" s="1"/>
  <c r="S1907" i="3" s="1"/>
  <c r="T1907" i="3" s="1"/>
  <c r="R1906" i="3"/>
  <c r="P1906" i="3"/>
  <c r="O1906" i="3"/>
  <c r="Q1906" i="3" s="1"/>
  <c r="S1906" i="3" s="1"/>
  <c r="T1906" i="3" s="1"/>
  <c r="R1905" i="3"/>
  <c r="P1905" i="3"/>
  <c r="O1905" i="3"/>
  <c r="Q1905" i="3" s="1"/>
  <c r="S1905" i="3" s="1"/>
  <c r="T1905" i="3" s="1"/>
  <c r="R1904" i="3"/>
  <c r="P1904" i="3"/>
  <c r="O1904" i="3"/>
  <c r="Q1904" i="3" s="1"/>
  <c r="S1904" i="3" s="1"/>
  <c r="T1904" i="3" s="1"/>
  <c r="R1903" i="3"/>
  <c r="P1903" i="3"/>
  <c r="O1903" i="3"/>
  <c r="Q1903" i="3" s="1"/>
  <c r="S1903" i="3" s="1"/>
  <c r="T1903" i="3" s="1"/>
  <c r="R1902" i="3"/>
  <c r="P1902" i="3"/>
  <c r="O1902" i="3"/>
  <c r="Q1902" i="3" s="1"/>
  <c r="S1902" i="3" s="1"/>
  <c r="T1902" i="3" s="1"/>
  <c r="R1901" i="3"/>
  <c r="P1901" i="3"/>
  <c r="O1901" i="3"/>
  <c r="Q1901" i="3" s="1"/>
  <c r="S1901" i="3" s="1"/>
  <c r="T1901" i="3" s="1"/>
  <c r="R1900" i="3"/>
  <c r="P1900" i="3"/>
  <c r="O1900" i="3"/>
  <c r="Q1900" i="3" s="1"/>
  <c r="S1900" i="3" s="1"/>
  <c r="T1900" i="3" s="1"/>
  <c r="R1899" i="3"/>
  <c r="P1899" i="3"/>
  <c r="O1899" i="3"/>
  <c r="Q1899" i="3" s="1"/>
  <c r="S1899" i="3" s="1"/>
  <c r="T1899" i="3" s="1"/>
  <c r="R1898" i="3"/>
  <c r="P1898" i="3"/>
  <c r="O1898" i="3"/>
  <c r="Q1898" i="3" s="1"/>
  <c r="S1898" i="3" s="1"/>
  <c r="T1898" i="3" s="1"/>
  <c r="R1897" i="3"/>
  <c r="P1897" i="3"/>
  <c r="O1897" i="3"/>
  <c r="Q1897" i="3" s="1"/>
  <c r="S1897" i="3" s="1"/>
  <c r="T1897" i="3" s="1"/>
  <c r="R1896" i="3"/>
  <c r="P1896" i="3"/>
  <c r="O1896" i="3"/>
  <c r="Q1896" i="3" s="1"/>
  <c r="S1896" i="3" s="1"/>
  <c r="T1896" i="3" s="1"/>
  <c r="R1895" i="3"/>
  <c r="P1895" i="3"/>
  <c r="O1895" i="3"/>
  <c r="Q1895" i="3" s="1"/>
  <c r="S1895" i="3" s="1"/>
  <c r="T1895" i="3" s="1"/>
  <c r="R1894" i="3"/>
  <c r="P1894" i="3"/>
  <c r="O1894" i="3"/>
  <c r="Q1894" i="3" s="1"/>
  <c r="S1894" i="3" s="1"/>
  <c r="T1894" i="3" s="1"/>
  <c r="R1893" i="3"/>
  <c r="P1893" i="3"/>
  <c r="O1893" i="3"/>
  <c r="Q1893" i="3" s="1"/>
  <c r="S1893" i="3" s="1"/>
  <c r="T1893" i="3" s="1"/>
  <c r="R1892" i="3"/>
  <c r="P1892" i="3"/>
  <c r="O1892" i="3"/>
  <c r="Q1892" i="3" s="1"/>
  <c r="S1892" i="3" s="1"/>
  <c r="T1892" i="3" s="1"/>
  <c r="R1891" i="3"/>
  <c r="P1891" i="3"/>
  <c r="O1891" i="3"/>
  <c r="Q1891" i="3" s="1"/>
  <c r="S1891" i="3" s="1"/>
  <c r="T1891" i="3" s="1"/>
  <c r="R1890" i="3"/>
  <c r="P1890" i="3"/>
  <c r="O1890" i="3"/>
  <c r="Q1890" i="3" s="1"/>
  <c r="S1890" i="3" s="1"/>
  <c r="T1890" i="3" s="1"/>
  <c r="R1889" i="3"/>
  <c r="P1889" i="3"/>
  <c r="O1889" i="3"/>
  <c r="Q1889" i="3" s="1"/>
  <c r="S1889" i="3" s="1"/>
  <c r="T1889" i="3" s="1"/>
  <c r="R1888" i="3"/>
  <c r="P1888" i="3"/>
  <c r="O1888" i="3"/>
  <c r="Q1888" i="3" s="1"/>
  <c r="S1888" i="3" s="1"/>
  <c r="T1888" i="3" s="1"/>
  <c r="R1887" i="3"/>
  <c r="P1887" i="3"/>
  <c r="O1887" i="3"/>
  <c r="Q1887" i="3" s="1"/>
  <c r="S1887" i="3" s="1"/>
  <c r="T1887" i="3" s="1"/>
  <c r="R1886" i="3"/>
  <c r="P1886" i="3"/>
  <c r="O1886" i="3"/>
  <c r="Q1886" i="3" s="1"/>
  <c r="S1886" i="3" s="1"/>
  <c r="T1886" i="3" s="1"/>
  <c r="R1885" i="3"/>
  <c r="P1885" i="3"/>
  <c r="O1885" i="3"/>
  <c r="Q1885" i="3" s="1"/>
  <c r="S1885" i="3" s="1"/>
  <c r="T1885" i="3" s="1"/>
  <c r="R1884" i="3"/>
  <c r="P1884" i="3"/>
  <c r="O1884" i="3"/>
  <c r="Q1884" i="3" s="1"/>
  <c r="S1884" i="3" s="1"/>
  <c r="T1884" i="3" s="1"/>
  <c r="R1883" i="3"/>
  <c r="P1883" i="3"/>
  <c r="O1883" i="3"/>
  <c r="Q1883" i="3" s="1"/>
  <c r="S1883" i="3" s="1"/>
  <c r="T1883" i="3" s="1"/>
  <c r="R1882" i="3"/>
  <c r="P1882" i="3"/>
  <c r="O1882" i="3"/>
  <c r="Q1882" i="3" s="1"/>
  <c r="S1882" i="3" s="1"/>
  <c r="T1882" i="3" s="1"/>
  <c r="R1881" i="3"/>
  <c r="P1881" i="3"/>
  <c r="O1881" i="3"/>
  <c r="Q1881" i="3" s="1"/>
  <c r="S1881" i="3" s="1"/>
  <c r="T1881" i="3" s="1"/>
  <c r="R1880" i="3"/>
  <c r="P1880" i="3"/>
  <c r="O1880" i="3"/>
  <c r="Q1880" i="3" s="1"/>
  <c r="S1880" i="3" s="1"/>
  <c r="T1880" i="3" s="1"/>
  <c r="R1879" i="3"/>
  <c r="P1879" i="3"/>
  <c r="O1879" i="3"/>
  <c r="Q1879" i="3" s="1"/>
  <c r="S1879" i="3" s="1"/>
  <c r="T1879" i="3" s="1"/>
  <c r="R1878" i="3"/>
  <c r="P1878" i="3"/>
  <c r="O1878" i="3"/>
  <c r="Q1878" i="3" s="1"/>
  <c r="S1878" i="3" s="1"/>
  <c r="T1878" i="3" s="1"/>
  <c r="R1877" i="3"/>
  <c r="P1877" i="3"/>
  <c r="O1877" i="3"/>
  <c r="Q1877" i="3" s="1"/>
  <c r="S1877" i="3" s="1"/>
  <c r="T1877" i="3" s="1"/>
  <c r="R1876" i="3"/>
  <c r="P1876" i="3"/>
  <c r="O1876" i="3"/>
  <c r="Q1876" i="3" s="1"/>
  <c r="S1876" i="3" s="1"/>
  <c r="T1876" i="3" s="1"/>
  <c r="R1875" i="3"/>
  <c r="P1875" i="3"/>
  <c r="O1875" i="3"/>
  <c r="Q1875" i="3" s="1"/>
  <c r="S1875" i="3" s="1"/>
  <c r="T1875" i="3" s="1"/>
  <c r="R1874" i="3"/>
  <c r="P1874" i="3"/>
  <c r="O1874" i="3"/>
  <c r="Q1874" i="3" s="1"/>
  <c r="S1874" i="3" s="1"/>
  <c r="T1874" i="3" s="1"/>
  <c r="R1873" i="3"/>
  <c r="P1873" i="3"/>
  <c r="O1873" i="3"/>
  <c r="Q1873" i="3" s="1"/>
  <c r="S1873" i="3" s="1"/>
  <c r="T1873" i="3" s="1"/>
  <c r="R1872" i="3"/>
  <c r="P1872" i="3"/>
  <c r="O1872" i="3"/>
  <c r="Q1872" i="3" s="1"/>
  <c r="S1872" i="3" s="1"/>
  <c r="T1872" i="3" s="1"/>
  <c r="R1871" i="3"/>
  <c r="P1871" i="3"/>
  <c r="O1871" i="3"/>
  <c r="Q1871" i="3" s="1"/>
  <c r="S1871" i="3" s="1"/>
  <c r="T1871" i="3" s="1"/>
  <c r="R1870" i="3"/>
  <c r="P1870" i="3"/>
  <c r="O1870" i="3"/>
  <c r="Q1870" i="3" s="1"/>
  <c r="S1870" i="3" s="1"/>
  <c r="T1870" i="3" s="1"/>
  <c r="R1869" i="3"/>
  <c r="P1869" i="3"/>
  <c r="O1869" i="3"/>
  <c r="Q1869" i="3" s="1"/>
  <c r="S1869" i="3" s="1"/>
  <c r="T1869" i="3" s="1"/>
  <c r="R1868" i="3"/>
  <c r="P1868" i="3"/>
  <c r="O1868" i="3"/>
  <c r="Q1868" i="3" s="1"/>
  <c r="S1868" i="3" s="1"/>
  <c r="T1868" i="3" s="1"/>
  <c r="R1867" i="3"/>
  <c r="P1867" i="3"/>
  <c r="O1867" i="3"/>
  <c r="Q1867" i="3" s="1"/>
  <c r="S1867" i="3" s="1"/>
  <c r="T1867" i="3" s="1"/>
  <c r="R1866" i="3"/>
  <c r="P1866" i="3"/>
  <c r="O1866" i="3"/>
  <c r="Q1866" i="3" s="1"/>
  <c r="S1866" i="3" s="1"/>
  <c r="T1866" i="3" s="1"/>
  <c r="R1865" i="3"/>
  <c r="P1865" i="3"/>
  <c r="O1865" i="3"/>
  <c r="Q1865" i="3" s="1"/>
  <c r="S1865" i="3" s="1"/>
  <c r="T1865" i="3" s="1"/>
  <c r="R1864" i="3"/>
  <c r="P1864" i="3"/>
  <c r="O1864" i="3"/>
  <c r="Q1864" i="3" s="1"/>
  <c r="S1864" i="3" s="1"/>
  <c r="T1864" i="3" s="1"/>
  <c r="R1863" i="3"/>
  <c r="P1863" i="3"/>
  <c r="O1863" i="3"/>
  <c r="Q1863" i="3" s="1"/>
  <c r="S1863" i="3" s="1"/>
  <c r="T1863" i="3" s="1"/>
  <c r="R1862" i="3"/>
  <c r="P1862" i="3"/>
  <c r="O1862" i="3"/>
  <c r="Q1862" i="3" s="1"/>
  <c r="S1862" i="3" s="1"/>
  <c r="T1862" i="3" s="1"/>
  <c r="R1861" i="3"/>
  <c r="P1861" i="3"/>
  <c r="O1861" i="3"/>
  <c r="Q1861" i="3" s="1"/>
  <c r="S1861" i="3" s="1"/>
  <c r="T1861" i="3" s="1"/>
  <c r="R1860" i="3"/>
  <c r="P1860" i="3"/>
  <c r="O1860" i="3"/>
  <c r="Q1860" i="3" s="1"/>
  <c r="S1860" i="3" s="1"/>
  <c r="T1860" i="3" s="1"/>
  <c r="R1859" i="3"/>
  <c r="P1859" i="3"/>
  <c r="O1859" i="3"/>
  <c r="Q1859" i="3" s="1"/>
  <c r="S1859" i="3" s="1"/>
  <c r="T1859" i="3" s="1"/>
  <c r="R1858" i="3"/>
  <c r="P1858" i="3"/>
  <c r="O1858" i="3"/>
  <c r="Q1858" i="3" s="1"/>
  <c r="S1858" i="3" s="1"/>
  <c r="T1858" i="3" s="1"/>
  <c r="R1857" i="3"/>
  <c r="P1857" i="3"/>
  <c r="O1857" i="3"/>
  <c r="Q1857" i="3" s="1"/>
  <c r="S1857" i="3" s="1"/>
  <c r="T1857" i="3" s="1"/>
  <c r="R1856" i="3"/>
  <c r="P1856" i="3"/>
  <c r="O1856" i="3"/>
  <c r="Q1856" i="3" s="1"/>
  <c r="S1856" i="3" s="1"/>
  <c r="T1856" i="3" s="1"/>
  <c r="R1855" i="3"/>
  <c r="P1855" i="3"/>
  <c r="O1855" i="3"/>
  <c r="Q1855" i="3" s="1"/>
  <c r="S1855" i="3" s="1"/>
  <c r="T1855" i="3" s="1"/>
  <c r="R1854" i="3"/>
  <c r="P1854" i="3"/>
  <c r="O1854" i="3"/>
  <c r="Q1854" i="3" s="1"/>
  <c r="S1854" i="3" s="1"/>
  <c r="T1854" i="3" s="1"/>
  <c r="R1853" i="3"/>
  <c r="P1853" i="3"/>
  <c r="O1853" i="3"/>
  <c r="Q1853" i="3" s="1"/>
  <c r="S1853" i="3" s="1"/>
  <c r="T1853" i="3" s="1"/>
  <c r="R1852" i="3"/>
  <c r="P1852" i="3"/>
  <c r="O1852" i="3"/>
  <c r="Q1852" i="3" s="1"/>
  <c r="S1852" i="3" s="1"/>
  <c r="T1852" i="3" s="1"/>
  <c r="R1851" i="3"/>
  <c r="P1851" i="3"/>
  <c r="O1851" i="3"/>
  <c r="Q1851" i="3" s="1"/>
  <c r="S1851" i="3" s="1"/>
  <c r="T1851" i="3" s="1"/>
  <c r="R1850" i="3"/>
  <c r="P1850" i="3"/>
  <c r="O1850" i="3"/>
  <c r="Q1850" i="3" s="1"/>
  <c r="S1850" i="3" s="1"/>
  <c r="T1850" i="3" s="1"/>
  <c r="R1849" i="3"/>
  <c r="P1849" i="3"/>
  <c r="O1849" i="3"/>
  <c r="Q1849" i="3" s="1"/>
  <c r="S1849" i="3" s="1"/>
  <c r="T1849" i="3" s="1"/>
  <c r="R1848" i="3"/>
  <c r="P1848" i="3"/>
  <c r="O1848" i="3"/>
  <c r="Q1848" i="3" s="1"/>
  <c r="S1848" i="3" s="1"/>
  <c r="T1848" i="3" s="1"/>
  <c r="R1847" i="3"/>
  <c r="P1847" i="3"/>
  <c r="O1847" i="3"/>
  <c r="Q1847" i="3" s="1"/>
  <c r="S1847" i="3" s="1"/>
  <c r="T1847" i="3" s="1"/>
  <c r="R1846" i="3"/>
  <c r="P1846" i="3"/>
  <c r="O1846" i="3"/>
  <c r="Q1846" i="3" s="1"/>
  <c r="S1846" i="3" s="1"/>
  <c r="T1846" i="3" s="1"/>
  <c r="R1845" i="3"/>
  <c r="P1845" i="3"/>
  <c r="O1845" i="3"/>
  <c r="Q1845" i="3" s="1"/>
  <c r="S1845" i="3" s="1"/>
  <c r="T1845" i="3" s="1"/>
  <c r="R1844" i="3"/>
  <c r="P1844" i="3"/>
  <c r="O1844" i="3"/>
  <c r="Q1844" i="3" s="1"/>
  <c r="S1844" i="3" s="1"/>
  <c r="T1844" i="3" s="1"/>
  <c r="R1843" i="3"/>
  <c r="P1843" i="3"/>
  <c r="O1843" i="3"/>
  <c r="Q1843" i="3" s="1"/>
  <c r="S1843" i="3" s="1"/>
  <c r="T1843" i="3" s="1"/>
  <c r="R1842" i="3"/>
  <c r="P1842" i="3"/>
  <c r="O1842" i="3"/>
  <c r="Q1842" i="3" s="1"/>
  <c r="S1842" i="3" s="1"/>
  <c r="T1842" i="3" s="1"/>
  <c r="R1841" i="3"/>
  <c r="P1841" i="3"/>
  <c r="O1841" i="3"/>
  <c r="Q1841" i="3" s="1"/>
  <c r="S1841" i="3" s="1"/>
  <c r="T1841" i="3" s="1"/>
  <c r="R1840" i="3"/>
  <c r="P1840" i="3"/>
  <c r="O1840" i="3"/>
  <c r="Q1840" i="3" s="1"/>
  <c r="S1840" i="3" s="1"/>
  <c r="T1840" i="3" s="1"/>
  <c r="R1839" i="3"/>
  <c r="P1839" i="3"/>
  <c r="O1839" i="3"/>
  <c r="Q1839" i="3" s="1"/>
  <c r="S1839" i="3" s="1"/>
  <c r="T1839" i="3" s="1"/>
  <c r="R1838" i="3"/>
  <c r="P1838" i="3"/>
  <c r="O1838" i="3"/>
  <c r="Q1838" i="3" s="1"/>
  <c r="S1838" i="3" s="1"/>
  <c r="T1838" i="3" s="1"/>
  <c r="R1837" i="3"/>
  <c r="P1837" i="3"/>
  <c r="O1837" i="3"/>
  <c r="Q1837" i="3" s="1"/>
  <c r="S1837" i="3" s="1"/>
  <c r="T1837" i="3" s="1"/>
  <c r="R1836" i="3"/>
  <c r="P1836" i="3"/>
  <c r="O1836" i="3"/>
  <c r="Q1836" i="3" s="1"/>
  <c r="S1836" i="3" s="1"/>
  <c r="T1836" i="3" s="1"/>
  <c r="R1835" i="3"/>
  <c r="P1835" i="3"/>
  <c r="O1835" i="3"/>
  <c r="Q1835" i="3" s="1"/>
  <c r="S1835" i="3" s="1"/>
  <c r="T1835" i="3" s="1"/>
  <c r="R1834" i="3"/>
  <c r="P1834" i="3"/>
  <c r="O1834" i="3"/>
  <c r="Q1834" i="3" s="1"/>
  <c r="S1834" i="3" s="1"/>
  <c r="T1834" i="3" s="1"/>
  <c r="R1833" i="3"/>
  <c r="P1833" i="3"/>
  <c r="O1833" i="3"/>
  <c r="Q1833" i="3" s="1"/>
  <c r="S1833" i="3" s="1"/>
  <c r="T1833" i="3" s="1"/>
  <c r="R1832" i="3"/>
  <c r="P1832" i="3"/>
  <c r="O1832" i="3"/>
  <c r="Q1832" i="3" s="1"/>
  <c r="S1832" i="3" s="1"/>
  <c r="T1832" i="3" s="1"/>
  <c r="R1831" i="3"/>
  <c r="P1831" i="3"/>
  <c r="O1831" i="3"/>
  <c r="Q1831" i="3" s="1"/>
  <c r="S1831" i="3" s="1"/>
  <c r="T1831" i="3" s="1"/>
  <c r="R1830" i="3"/>
  <c r="P1830" i="3"/>
  <c r="O1830" i="3"/>
  <c r="Q1830" i="3" s="1"/>
  <c r="S1830" i="3" s="1"/>
  <c r="T1830" i="3" s="1"/>
  <c r="R1829" i="3"/>
  <c r="P1829" i="3"/>
  <c r="O1829" i="3"/>
  <c r="Q1829" i="3" s="1"/>
  <c r="S1829" i="3" s="1"/>
  <c r="T1829" i="3" s="1"/>
  <c r="R1828" i="3"/>
  <c r="P1828" i="3"/>
  <c r="O1828" i="3"/>
  <c r="Q1828" i="3" s="1"/>
  <c r="S1828" i="3" s="1"/>
  <c r="T1828" i="3" s="1"/>
  <c r="R1827" i="3"/>
  <c r="P1827" i="3"/>
  <c r="O1827" i="3"/>
  <c r="Q1827" i="3" s="1"/>
  <c r="S1827" i="3" s="1"/>
  <c r="T1827" i="3" s="1"/>
  <c r="R1826" i="3"/>
  <c r="P1826" i="3"/>
  <c r="O1826" i="3"/>
  <c r="Q1826" i="3" s="1"/>
  <c r="S1826" i="3" s="1"/>
  <c r="T1826" i="3" s="1"/>
  <c r="R1825" i="3"/>
  <c r="P1825" i="3"/>
  <c r="O1825" i="3"/>
  <c r="Q1825" i="3" s="1"/>
  <c r="S1825" i="3" s="1"/>
  <c r="T1825" i="3" s="1"/>
  <c r="R1824" i="3"/>
  <c r="P1824" i="3"/>
  <c r="O1824" i="3"/>
  <c r="Q1824" i="3" s="1"/>
  <c r="S1824" i="3" s="1"/>
  <c r="T1824" i="3" s="1"/>
  <c r="R1823" i="3"/>
  <c r="P1823" i="3"/>
  <c r="O1823" i="3"/>
  <c r="Q1823" i="3" s="1"/>
  <c r="S1823" i="3" s="1"/>
  <c r="T1823" i="3" s="1"/>
  <c r="R1822" i="3"/>
  <c r="P1822" i="3"/>
  <c r="O1822" i="3"/>
  <c r="Q1822" i="3" s="1"/>
  <c r="S1822" i="3" s="1"/>
  <c r="T1822" i="3" s="1"/>
  <c r="R1821" i="3"/>
  <c r="P1821" i="3"/>
  <c r="O1821" i="3"/>
  <c r="Q1821" i="3" s="1"/>
  <c r="S1821" i="3" s="1"/>
  <c r="T1821" i="3" s="1"/>
  <c r="R1820" i="3"/>
  <c r="P1820" i="3"/>
  <c r="O1820" i="3"/>
  <c r="Q1820" i="3" s="1"/>
  <c r="S1820" i="3" s="1"/>
  <c r="T1820" i="3" s="1"/>
  <c r="R1819" i="3"/>
  <c r="P1819" i="3"/>
  <c r="O1819" i="3"/>
  <c r="Q1819" i="3" s="1"/>
  <c r="S1819" i="3" s="1"/>
  <c r="T1819" i="3" s="1"/>
  <c r="R1818" i="3"/>
  <c r="P1818" i="3"/>
  <c r="O1818" i="3"/>
  <c r="Q1818" i="3" s="1"/>
  <c r="S1818" i="3" s="1"/>
  <c r="T1818" i="3" s="1"/>
  <c r="R1817" i="3"/>
  <c r="P1817" i="3"/>
  <c r="O1817" i="3"/>
  <c r="Q1817" i="3" s="1"/>
  <c r="S1817" i="3" s="1"/>
  <c r="T1817" i="3" s="1"/>
  <c r="R1816" i="3"/>
  <c r="P1816" i="3"/>
  <c r="O1816" i="3"/>
  <c r="Q1816" i="3" s="1"/>
  <c r="S1816" i="3" s="1"/>
  <c r="T1816" i="3" s="1"/>
  <c r="R1815" i="3"/>
  <c r="P1815" i="3"/>
  <c r="O1815" i="3"/>
  <c r="Q1815" i="3" s="1"/>
  <c r="S1815" i="3" s="1"/>
  <c r="T1815" i="3" s="1"/>
  <c r="R1814" i="3"/>
  <c r="P1814" i="3"/>
  <c r="O1814" i="3"/>
  <c r="Q1814" i="3" s="1"/>
  <c r="S1814" i="3" s="1"/>
  <c r="T1814" i="3" s="1"/>
  <c r="R1813" i="3"/>
  <c r="P1813" i="3"/>
  <c r="O1813" i="3"/>
  <c r="Q1813" i="3" s="1"/>
  <c r="S1813" i="3" s="1"/>
  <c r="T1813" i="3" s="1"/>
  <c r="R1812" i="3"/>
  <c r="P1812" i="3"/>
  <c r="O1812" i="3"/>
  <c r="Q1812" i="3" s="1"/>
  <c r="S1812" i="3" s="1"/>
  <c r="T1812" i="3" s="1"/>
  <c r="R1811" i="3"/>
  <c r="P1811" i="3"/>
  <c r="O1811" i="3"/>
  <c r="Q1811" i="3" s="1"/>
  <c r="S1811" i="3" s="1"/>
  <c r="T1811" i="3" s="1"/>
  <c r="R1810" i="3"/>
  <c r="P1810" i="3"/>
  <c r="O1810" i="3"/>
  <c r="Q1810" i="3" s="1"/>
  <c r="S1810" i="3" s="1"/>
  <c r="T1810" i="3" s="1"/>
  <c r="R1809" i="3"/>
  <c r="P1809" i="3"/>
  <c r="O1809" i="3"/>
  <c r="Q1809" i="3" s="1"/>
  <c r="S1809" i="3" s="1"/>
  <c r="T1809" i="3" s="1"/>
  <c r="R1808" i="3"/>
  <c r="P1808" i="3"/>
  <c r="O1808" i="3"/>
  <c r="Q1808" i="3" s="1"/>
  <c r="S1808" i="3" s="1"/>
  <c r="T1808" i="3" s="1"/>
  <c r="R1807" i="3"/>
  <c r="P1807" i="3"/>
  <c r="O1807" i="3"/>
  <c r="Q1807" i="3" s="1"/>
  <c r="S1807" i="3" s="1"/>
  <c r="T1807" i="3" s="1"/>
  <c r="R1806" i="3"/>
  <c r="P1806" i="3"/>
  <c r="O1806" i="3"/>
  <c r="Q1806" i="3" s="1"/>
  <c r="S1806" i="3" s="1"/>
  <c r="T1806" i="3" s="1"/>
  <c r="R1805" i="3"/>
  <c r="P1805" i="3"/>
  <c r="O1805" i="3"/>
  <c r="Q1805" i="3" s="1"/>
  <c r="S1805" i="3" s="1"/>
  <c r="T1805" i="3" s="1"/>
  <c r="R1804" i="3"/>
  <c r="P1804" i="3"/>
  <c r="O1804" i="3"/>
  <c r="Q1804" i="3" s="1"/>
  <c r="S1804" i="3" s="1"/>
  <c r="T1804" i="3" s="1"/>
  <c r="R1803" i="3"/>
  <c r="P1803" i="3"/>
  <c r="O1803" i="3"/>
  <c r="Q1803" i="3" s="1"/>
  <c r="S1803" i="3" s="1"/>
  <c r="T1803" i="3" s="1"/>
  <c r="R1802" i="3"/>
  <c r="P1802" i="3"/>
  <c r="O1802" i="3"/>
  <c r="Q1802" i="3" s="1"/>
  <c r="S1802" i="3" s="1"/>
  <c r="T1802" i="3" s="1"/>
  <c r="R1801" i="3"/>
  <c r="P1801" i="3"/>
  <c r="O1801" i="3"/>
  <c r="Q1801" i="3" s="1"/>
  <c r="S1801" i="3" s="1"/>
  <c r="T1801" i="3" s="1"/>
  <c r="R1800" i="3"/>
  <c r="P1800" i="3"/>
  <c r="O1800" i="3"/>
  <c r="Q1800" i="3" s="1"/>
  <c r="S1800" i="3" s="1"/>
  <c r="T1800" i="3" s="1"/>
  <c r="R1799" i="3"/>
  <c r="P1799" i="3"/>
  <c r="O1799" i="3"/>
  <c r="Q1799" i="3" s="1"/>
  <c r="S1799" i="3" s="1"/>
  <c r="T1799" i="3" s="1"/>
  <c r="R1798" i="3"/>
  <c r="P1798" i="3"/>
  <c r="O1798" i="3"/>
  <c r="Q1798" i="3" s="1"/>
  <c r="S1798" i="3" s="1"/>
  <c r="T1798" i="3" s="1"/>
  <c r="R1797" i="3"/>
  <c r="P1797" i="3"/>
  <c r="O1797" i="3"/>
  <c r="Q1797" i="3" s="1"/>
  <c r="S1797" i="3" s="1"/>
  <c r="T1797" i="3" s="1"/>
  <c r="R1796" i="3"/>
  <c r="P1796" i="3"/>
  <c r="O1796" i="3"/>
  <c r="Q1796" i="3" s="1"/>
  <c r="S1796" i="3" s="1"/>
  <c r="T1796" i="3" s="1"/>
  <c r="R1795" i="3"/>
  <c r="P1795" i="3"/>
  <c r="O1795" i="3"/>
  <c r="Q1795" i="3" s="1"/>
  <c r="S1795" i="3" s="1"/>
  <c r="T1795" i="3" s="1"/>
  <c r="R1794" i="3"/>
  <c r="P1794" i="3"/>
  <c r="O1794" i="3"/>
  <c r="Q1794" i="3" s="1"/>
  <c r="S1794" i="3" s="1"/>
  <c r="T1794" i="3" s="1"/>
  <c r="R1793" i="3"/>
  <c r="P1793" i="3"/>
  <c r="O1793" i="3"/>
  <c r="Q1793" i="3" s="1"/>
  <c r="S1793" i="3" s="1"/>
  <c r="T1793" i="3" s="1"/>
  <c r="R1792" i="3"/>
  <c r="P1792" i="3"/>
  <c r="O1792" i="3"/>
  <c r="Q1792" i="3" s="1"/>
  <c r="S1792" i="3" s="1"/>
  <c r="T1792" i="3" s="1"/>
  <c r="R1791" i="3"/>
  <c r="P1791" i="3"/>
  <c r="O1791" i="3"/>
  <c r="Q1791" i="3" s="1"/>
  <c r="S1791" i="3" s="1"/>
  <c r="T1791" i="3" s="1"/>
  <c r="R1790" i="3"/>
  <c r="P1790" i="3"/>
  <c r="O1790" i="3"/>
  <c r="Q1790" i="3" s="1"/>
  <c r="S1790" i="3" s="1"/>
  <c r="T1790" i="3" s="1"/>
  <c r="R1789" i="3"/>
  <c r="P1789" i="3"/>
  <c r="O1789" i="3"/>
  <c r="Q1789" i="3" s="1"/>
  <c r="S1789" i="3" s="1"/>
  <c r="T1789" i="3" s="1"/>
  <c r="R1788" i="3"/>
  <c r="P1788" i="3"/>
  <c r="O1788" i="3"/>
  <c r="Q1788" i="3" s="1"/>
  <c r="S1788" i="3" s="1"/>
  <c r="T1788" i="3" s="1"/>
  <c r="R1787" i="3"/>
  <c r="P1787" i="3"/>
  <c r="O1787" i="3"/>
  <c r="Q1787" i="3" s="1"/>
  <c r="S1787" i="3" s="1"/>
  <c r="T1787" i="3" s="1"/>
  <c r="R1786" i="3"/>
  <c r="P1786" i="3"/>
  <c r="O1786" i="3"/>
  <c r="Q1786" i="3" s="1"/>
  <c r="S1786" i="3" s="1"/>
  <c r="T1786" i="3" s="1"/>
  <c r="R1785" i="3"/>
  <c r="P1785" i="3"/>
  <c r="O1785" i="3"/>
  <c r="Q1785" i="3" s="1"/>
  <c r="S1785" i="3" s="1"/>
  <c r="T1785" i="3" s="1"/>
  <c r="R1784" i="3"/>
  <c r="P1784" i="3"/>
  <c r="O1784" i="3"/>
  <c r="Q1784" i="3" s="1"/>
  <c r="S1784" i="3" s="1"/>
  <c r="T1784" i="3" s="1"/>
  <c r="R1783" i="3"/>
  <c r="P1783" i="3"/>
  <c r="O1783" i="3"/>
  <c r="Q1783" i="3" s="1"/>
  <c r="S1783" i="3" s="1"/>
  <c r="T1783" i="3" s="1"/>
  <c r="R1782" i="3"/>
  <c r="P1782" i="3"/>
  <c r="O1782" i="3"/>
  <c r="Q1782" i="3" s="1"/>
  <c r="S1782" i="3" s="1"/>
  <c r="T1782" i="3" s="1"/>
  <c r="R1781" i="3"/>
  <c r="P1781" i="3"/>
  <c r="O1781" i="3"/>
  <c r="Q1781" i="3" s="1"/>
  <c r="S1781" i="3" s="1"/>
  <c r="T1781" i="3" s="1"/>
  <c r="R1780" i="3"/>
  <c r="P1780" i="3"/>
  <c r="O1780" i="3"/>
  <c r="Q1780" i="3" s="1"/>
  <c r="S1780" i="3" s="1"/>
  <c r="T1780" i="3" s="1"/>
  <c r="R1779" i="3"/>
  <c r="P1779" i="3"/>
  <c r="O1779" i="3"/>
  <c r="Q1779" i="3" s="1"/>
  <c r="S1779" i="3" s="1"/>
  <c r="T1779" i="3" s="1"/>
  <c r="R1778" i="3"/>
  <c r="P1778" i="3"/>
  <c r="O1778" i="3"/>
  <c r="Q1778" i="3" s="1"/>
  <c r="S1778" i="3" s="1"/>
  <c r="T1778" i="3" s="1"/>
  <c r="R1777" i="3"/>
  <c r="P1777" i="3"/>
  <c r="O1777" i="3"/>
  <c r="Q1777" i="3" s="1"/>
  <c r="S1777" i="3" s="1"/>
  <c r="T1777" i="3" s="1"/>
  <c r="R1776" i="3"/>
  <c r="P1776" i="3"/>
  <c r="O1776" i="3"/>
  <c r="Q1776" i="3" s="1"/>
  <c r="S1776" i="3" s="1"/>
  <c r="T1776" i="3" s="1"/>
  <c r="R1775" i="3"/>
  <c r="P1775" i="3"/>
  <c r="O1775" i="3"/>
  <c r="Q1775" i="3" s="1"/>
  <c r="S1775" i="3" s="1"/>
  <c r="T1775" i="3" s="1"/>
  <c r="R1774" i="3"/>
  <c r="P1774" i="3"/>
  <c r="O1774" i="3"/>
  <c r="Q1774" i="3" s="1"/>
  <c r="S1774" i="3" s="1"/>
  <c r="T1774" i="3" s="1"/>
  <c r="R1773" i="3"/>
  <c r="P1773" i="3"/>
  <c r="O1773" i="3"/>
  <c r="Q1773" i="3" s="1"/>
  <c r="S1773" i="3" s="1"/>
  <c r="T1773" i="3" s="1"/>
  <c r="R1772" i="3"/>
  <c r="P1772" i="3"/>
  <c r="O1772" i="3"/>
  <c r="Q1772" i="3" s="1"/>
  <c r="S1772" i="3" s="1"/>
  <c r="T1772" i="3" s="1"/>
  <c r="R1771" i="3"/>
  <c r="P1771" i="3"/>
  <c r="O1771" i="3"/>
  <c r="Q1771" i="3" s="1"/>
  <c r="S1771" i="3" s="1"/>
  <c r="T1771" i="3" s="1"/>
  <c r="R1770" i="3"/>
  <c r="P1770" i="3"/>
  <c r="O1770" i="3"/>
  <c r="Q1770" i="3" s="1"/>
  <c r="S1770" i="3" s="1"/>
  <c r="T1770" i="3" s="1"/>
  <c r="R1769" i="3"/>
  <c r="P1769" i="3"/>
  <c r="O1769" i="3"/>
  <c r="Q1769" i="3" s="1"/>
  <c r="S1769" i="3" s="1"/>
  <c r="T1769" i="3" s="1"/>
  <c r="R1768" i="3"/>
  <c r="P1768" i="3"/>
  <c r="O1768" i="3"/>
  <c r="Q1768" i="3" s="1"/>
  <c r="S1768" i="3" s="1"/>
  <c r="T1768" i="3" s="1"/>
  <c r="R1767" i="3"/>
  <c r="P1767" i="3"/>
  <c r="O1767" i="3"/>
  <c r="Q1767" i="3" s="1"/>
  <c r="S1767" i="3" s="1"/>
  <c r="T1767" i="3" s="1"/>
  <c r="R1766" i="3"/>
  <c r="P1766" i="3"/>
  <c r="O1766" i="3"/>
  <c r="Q1766" i="3" s="1"/>
  <c r="S1766" i="3" s="1"/>
  <c r="T1766" i="3" s="1"/>
  <c r="R1765" i="3"/>
  <c r="P1765" i="3"/>
  <c r="O1765" i="3"/>
  <c r="Q1765" i="3" s="1"/>
  <c r="S1765" i="3" s="1"/>
  <c r="T1765" i="3" s="1"/>
  <c r="R1764" i="3"/>
  <c r="P1764" i="3"/>
  <c r="O1764" i="3"/>
  <c r="Q1764" i="3" s="1"/>
  <c r="S1764" i="3" s="1"/>
  <c r="T1764" i="3" s="1"/>
  <c r="R1763" i="3"/>
  <c r="P1763" i="3"/>
  <c r="O1763" i="3"/>
  <c r="Q1763" i="3" s="1"/>
  <c r="S1763" i="3" s="1"/>
  <c r="T1763" i="3" s="1"/>
  <c r="R1762" i="3"/>
  <c r="P1762" i="3"/>
  <c r="O1762" i="3"/>
  <c r="Q1762" i="3" s="1"/>
  <c r="S1762" i="3" s="1"/>
  <c r="T1762" i="3" s="1"/>
  <c r="R1761" i="3"/>
  <c r="P1761" i="3"/>
  <c r="O1761" i="3"/>
  <c r="Q1761" i="3" s="1"/>
  <c r="S1761" i="3" s="1"/>
  <c r="T1761" i="3" s="1"/>
  <c r="R1760" i="3"/>
  <c r="P1760" i="3"/>
  <c r="O1760" i="3"/>
  <c r="Q1760" i="3" s="1"/>
  <c r="S1760" i="3" s="1"/>
  <c r="T1760" i="3" s="1"/>
  <c r="R1759" i="3"/>
  <c r="P1759" i="3"/>
  <c r="O1759" i="3"/>
  <c r="Q1759" i="3" s="1"/>
  <c r="S1759" i="3" s="1"/>
  <c r="T1759" i="3" s="1"/>
  <c r="R1758" i="3"/>
  <c r="P1758" i="3"/>
  <c r="O1758" i="3"/>
  <c r="Q1758" i="3" s="1"/>
  <c r="S1758" i="3" s="1"/>
  <c r="T1758" i="3" s="1"/>
  <c r="R1757" i="3"/>
  <c r="P1757" i="3"/>
  <c r="O1757" i="3"/>
  <c r="Q1757" i="3" s="1"/>
  <c r="S1757" i="3" s="1"/>
  <c r="T1757" i="3" s="1"/>
  <c r="R1756" i="3"/>
  <c r="P1756" i="3"/>
  <c r="O1756" i="3"/>
  <c r="Q1756" i="3" s="1"/>
  <c r="S1756" i="3" s="1"/>
  <c r="T1756" i="3" s="1"/>
  <c r="R1755" i="3"/>
  <c r="P1755" i="3"/>
  <c r="O1755" i="3"/>
  <c r="Q1755" i="3" s="1"/>
  <c r="S1755" i="3" s="1"/>
  <c r="T1755" i="3" s="1"/>
  <c r="R1754" i="3"/>
  <c r="P1754" i="3"/>
  <c r="O1754" i="3"/>
  <c r="Q1754" i="3" s="1"/>
  <c r="S1754" i="3" s="1"/>
  <c r="T1754" i="3" s="1"/>
  <c r="R1753" i="3"/>
  <c r="P1753" i="3"/>
  <c r="O1753" i="3"/>
  <c r="Q1753" i="3" s="1"/>
  <c r="S1753" i="3" s="1"/>
  <c r="T1753" i="3" s="1"/>
  <c r="R1752" i="3"/>
  <c r="P1752" i="3"/>
  <c r="O1752" i="3"/>
  <c r="Q1752" i="3" s="1"/>
  <c r="S1752" i="3" s="1"/>
  <c r="T1752" i="3" s="1"/>
  <c r="R1751" i="3"/>
  <c r="P1751" i="3"/>
  <c r="O1751" i="3"/>
  <c r="Q1751" i="3" s="1"/>
  <c r="S1751" i="3" s="1"/>
  <c r="T1751" i="3" s="1"/>
  <c r="R1750" i="3"/>
  <c r="P1750" i="3"/>
  <c r="O1750" i="3"/>
  <c r="Q1750" i="3" s="1"/>
  <c r="S1750" i="3" s="1"/>
  <c r="T1750" i="3" s="1"/>
  <c r="R1749" i="3"/>
  <c r="P1749" i="3"/>
  <c r="O1749" i="3"/>
  <c r="Q1749" i="3" s="1"/>
  <c r="S1749" i="3" s="1"/>
  <c r="T1749" i="3" s="1"/>
  <c r="R1748" i="3"/>
  <c r="P1748" i="3"/>
  <c r="O1748" i="3"/>
  <c r="Q1748" i="3" s="1"/>
  <c r="S1748" i="3" s="1"/>
  <c r="T1748" i="3" s="1"/>
  <c r="R1747" i="3"/>
  <c r="P1747" i="3"/>
  <c r="O1747" i="3"/>
  <c r="Q1747" i="3" s="1"/>
  <c r="S1747" i="3" s="1"/>
  <c r="T1747" i="3" s="1"/>
  <c r="R1746" i="3"/>
  <c r="P1746" i="3"/>
  <c r="O1746" i="3"/>
  <c r="Q1746" i="3" s="1"/>
  <c r="S1746" i="3" s="1"/>
  <c r="T1746" i="3" s="1"/>
  <c r="R1745" i="3"/>
  <c r="P1745" i="3"/>
  <c r="O1745" i="3"/>
  <c r="Q1745" i="3" s="1"/>
  <c r="S1745" i="3" s="1"/>
  <c r="T1745" i="3" s="1"/>
  <c r="R1744" i="3"/>
  <c r="P1744" i="3"/>
  <c r="O1744" i="3"/>
  <c r="Q1744" i="3" s="1"/>
  <c r="S1744" i="3" s="1"/>
  <c r="T1744" i="3" s="1"/>
  <c r="R1743" i="3"/>
  <c r="P1743" i="3"/>
  <c r="O1743" i="3"/>
  <c r="Q1743" i="3" s="1"/>
  <c r="S1743" i="3" s="1"/>
  <c r="T1743" i="3" s="1"/>
  <c r="R1742" i="3"/>
  <c r="P1742" i="3"/>
  <c r="O1742" i="3"/>
  <c r="Q1742" i="3" s="1"/>
  <c r="S1742" i="3" s="1"/>
  <c r="T1742" i="3" s="1"/>
  <c r="R1741" i="3"/>
  <c r="P1741" i="3"/>
  <c r="O1741" i="3"/>
  <c r="Q1741" i="3" s="1"/>
  <c r="S1741" i="3" s="1"/>
  <c r="T1741" i="3" s="1"/>
  <c r="R1740" i="3"/>
  <c r="P1740" i="3"/>
  <c r="O1740" i="3"/>
  <c r="Q1740" i="3" s="1"/>
  <c r="S1740" i="3" s="1"/>
  <c r="T1740" i="3" s="1"/>
  <c r="R1739" i="3"/>
  <c r="P1739" i="3"/>
  <c r="O1739" i="3"/>
  <c r="Q1739" i="3" s="1"/>
  <c r="S1739" i="3" s="1"/>
  <c r="T1739" i="3" s="1"/>
  <c r="R1738" i="3"/>
  <c r="P1738" i="3"/>
  <c r="O1738" i="3"/>
  <c r="Q1738" i="3" s="1"/>
  <c r="S1738" i="3" s="1"/>
  <c r="T1738" i="3" s="1"/>
  <c r="R1737" i="3"/>
  <c r="P1737" i="3"/>
  <c r="O1737" i="3"/>
  <c r="Q1737" i="3" s="1"/>
  <c r="S1737" i="3" s="1"/>
  <c r="T1737" i="3" s="1"/>
  <c r="R1736" i="3"/>
  <c r="P1736" i="3"/>
  <c r="O1736" i="3"/>
  <c r="Q1736" i="3" s="1"/>
  <c r="S1736" i="3" s="1"/>
  <c r="T1736" i="3" s="1"/>
  <c r="R1735" i="3"/>
  <c r="P1735" i="3"/>
  <c r="O1735" i="3"/>
  <c r="Q1735" i="3" s="1"/>
  <c r="S1735" i="3" s="1"/>
  <c r="T1735" i="3" s="1"/>
  <c r="R1734" i="3"/>
  <c r="P1734" i="3"/>
  <c r="O1734" i="3"/>
  <c r="Q1734" i="3" s="1"/>
  <c r="S1734" i="3" s="1"/>
  <c r="T1734" i="3" s="1"/>
  <c r="R1733" i="3"/>
  <c r="P1733" i="3"/>
  <c r="O1733" i="3"/>
  <c r="Q1733" i="3" s="1"/>
  <c r="S1733" i="3" s="1"/>
  <c r="T1733" i="3" s="1"/>
  <c r="R1732" i="3"/>
  <c r="P1732" i="3"/>
  <c r="O1732" i="3"/>
  <c r="Q1732" i="3" s="1"/>
  <c r="S1732" i="3" s="1"/>
  <c r="T1732" i="3" s="1"/>
  <c r="R1731" i="3"/>
  <c r="P1731" i="3"/>
  <c r="O1731" i="3"/>
  <c r="Q1731" i="3" s="1"/>
  <c r="S1731" i="3" s="1"/>
  <c r="T1731" i="3" s="1"/>
  <c r="R1730" i="3"/>
  <c r="P1730" i="3"/>
  <c r="O1730" i="3"/>
  <c r="Q1730" i="3" s="1"/>
  <c r="S1730" i="3" s="1"/>
  <c r="T1730" i="3" s="1"/>
  <c r="R1729" i="3"/>
  <c r="P1729" i="3"/>
  <c r="O1729" i="3"/>
  <c r="Q1729" i="3" s="1"/>
  <c r="S1729" i="3" s="1"/>
  <c r="T1729" i="3" s="1"/>
  <c r="R1728" i="3"/>
  <c r="P1728" i="3"/>
  <c r="O1728" i="3"/>
  <c r="Q1728" i="3" s="1"/>
  <c r="S1728" i="3" s="1"/>
  <c r="T1728" i="3" s="1"/>
  <c r="R1727" i="3"/>
  <c r="P1727" i="3"/>
  <c r="O1727" i="3"/>
  <c r="Q1727" i="3" s="1"/>
  <c r="S1727" i="3" s="1"/>
  <c r="T1727" i="3" s="1"/>
  <c r="R1726" i="3"/>
  <c r="P1726" i="3"/>
  <c r="O1726" i="3"/>
  <c r="Q1726" i="3" s="1"/>
  <c r="S1726" i="3" s="1"/>
  <c r="T1726" i="3" s="1"/>
  <c r="R1725" i="3"/>
  <c r="P1725" i="3"/>
  <c r="O1725" i="3"/>
  <c r="Q1725" i="3" s="1"/>
  <c r="S1725" i="3" s="1"/>
  <c r="T1725" i="3" s="1"/>
  <c r="R1724" i="3"/>
  <c r="P1724" i="3"/>
  <c r="O1724" i="3"/>
  <c r="Q1724" i="3" s="1"/>
  <c r="S1724" i="3" s="1"/>
  <c r="T1724" i="3" s="1"/>
  <c r="R1723" i="3"/>
  <c r="P1723" i="3"/>
  <c r="O1723" i="3"/>
  <c r="Q1723" i="3" s="1"/>
  <c r="S1723" i="3" s="1"/>
  <c r="T1723" i="3" s="1"/>
  <c r="R1722" i="3"/>
  <c r="P1722" i="3"/>
  <c r="O1722" i="3"/>
  <c r="Q1722" i="3" s="1"/>
  <c r="S1722" i="3" s="1"/>
  <c r="T1722" i="3" s="1"/>
  <c r="R1721" i="3"/>
  <c r="P1721" i="3"/>
  <c r="O1721" i="3"/>
  <c r="Q1721" i="3" s="1"/>
  <c r="S1721" i="3" s="1"/>
  <c r="T1721" i="3" s="1"/>
  <c r="R1720" i="3"/>
  <c r="P1720" i="3"/>
  <c r="O1720" i="3"/>
  <c r="Q1720" i="3" s="1"/>
  <c r="S1720" i="3" s="1"/>
  <c r="T1720" i="3" s="1"/>
  <c r="R1719" i="3"/>
  <c r="P1719" i="3"/>
  <c r="O1719" i="3"/>
  <c r="Q1719" i="3" s="1"/>
  <c r="S1719" i="3" s="1"/>
  <c r="T1719" i="3" s="1"/>
  <c r="R1718" i="3"/>
  <c r="P1718" i="3"/>
  <c r="O1718" i="3"/>
  <c r="Q1718" i="3" s="1"/>
  <c r="S1718" i="3" s="1"/>
  <c r="T1718" i="3" s="1"/>
  <c r="R1717" i="3"/>
  <c r="P1717" i="3"/>
  <c r="O1717" i="3"/>
  <c r="Q1717" i="3" s="1"/>
  <c r="S1717" i="3" s="1"/>
  <c r="T1717" i="3" s="1"/>
  <c r="R1716" i="3"/>
  <c r="P1716" i="3"/>
  <c r="O1716" i="3"/>
  <c r="Q1716" i="3" s="1"/>
  <c r="S1716" i="3" s="1"/>
  <c r="T1716" i="3" s="1"/>
  <c r="R1715" i="3"/>
  <c r="P1715" i="3"/>
  <c r="O1715" i="3"/>
  <c r="Q1715" i="3" s="1"/>
  <c r="S1715" i="3" s="1"/>
  <c r="T1715" i="3" s="1"/>
  <c r="R1714" i="3"/>
  <c r="P1714" i="3"/>
  <c r="O1714" i="3"/>
  <c r="Q1714" i="3" s="1"/>
  <c r="S1714" i="3" s="1"/>
  <c r="T1714" i="3" s="1"/>
  <c r="R1713" i="3"/>
  <c r="P1713" i="3"/>
  <c r="O1713" i="3"/>
  <c r="Q1713" i="3" s="1"/>
  <c r="S1713" i="3" s="1"/>
  <c r="T1713" i="3" s="1"/>
  <c r="R1712" i="3"/>
  <c r="P1712" i="3"/>
  <c r="O1712" i="3"/>
  <c r="Q1712" i="3" s="1"/>
  <c r="S1712" i="3" s="1"/>
  <c r="T1712" i="3" s="1"/>
  <c r="R1711" i="3"/>
  <c r="P1711" i="3"/>
  <c r="O1711" i="3"/>
  <c r="Q1711" i="3" s="1"/>
  <c r="S1711" i="3" s="1"/>
  <c r="T1711" i="3" s="1"/>
  <c r="R1710" i="3"/>
  <c r="P1710" i="3"/>
  <c r="O1710" i="3"/>
  <c r="Q1710" i="3" s="1"/>
  <c r="S1710" i="3" s="1"/>
  <c r="T1710" i="3" s="1"/>
  <c r="R1709" i="3"/>
  <c r="P1709" i="3"/>
  <c r="O1709" i="3"/>
  <c r="Q1709" i="3" s="1"/>
  <c r="S1709" i="3" s="1"/>
  <c r="T1709" i="3" s="1"/>
  <c r="R1708" i="3"/>
  <c r="P1708" i="3"/>
  <c r="O1708" i="3"/>
  <c r="Q1708" i="3" s="1"/>
  <c r="S1708" i="3" s="1"/>
  <c r="T1708" i="3" s="1"/>
  <c r="R1707" i="3"/>
  <c r="P1707" i="3"/>
  <c r="O1707" i="3"/>
  <c r="Q1707" i="3" s="1"/>
  <c r="S1707" i="3" s="1"/>
  <c r="T1707" i="3" s="1"/>
  <c r="R1706" i="3"/>
  <c r="P1706" i="3"/>
  <c r="O1706" i="3"/>
  <c r="Q1706" i="3" s="1"/>
  <c r="S1706" i="3" s="1"/>
  <c r="T1706" i="3" s="1"/>
  <c r="R1705" i="3"/>
  <c r="P1705" i="3"/>
  <c r="O1705" i="3"/>
  <c r="Q1705" i="3" s="1"/>
  <c r="S1705" i="3" s="1"/>
  <c r="T1705" i="3" s="1"/>
  <c r="R1704" i="3"/>
  <c r="P1704" i="3"/>
  <c r="O1704" i="3"/>
  <c r="Q1704" i="3" s="1"/>
  <c r="S1704" i="3" s="1"/>
  <c r="T1704" i="3" s="1"/>
  <c r="R1703" i="3"/>
  <c r="P1703" i="3"/>
  <c r="O1703" i="3"/>
  <c r="Q1703" i="3" s="1"/>
  <c r="S1703" i="3" s="1"/>
  <c r="T1703" i="3" s="1"/>
  <c r="R1702" i="3"/>
  <c r="P1702" i="3"/>
  <c r="O1702" i="3"/>
  <c r="Q1702" i="3" s="1"/>
  <c r="S1702" i="3" s="1"/>
  <c r="T1702" i="3" s="1"/>
  <c r="R1701" i="3"/>
  <c r="P1701" i="3"/>
  <c r="O1701" i="3"/>
  <c r="Q1701" i="3" s="1"/>
  <c r="S1701" i="3" s="1"/>
  <c r="T1701" i="3" s="1"/>
  <c r="R1700" i="3"/>
  <c r="P1700" i="3"/>
  <c r="O1700" i="3"/>
  <c r="Q1700" i="3" s="1"/>
  <c r="S1700" i="3" s="1"/>
  <c r="T1700" i="3" s="1"/>
  <c r="R1699" i="3"/>
  <c r="P1699" i="3"/>
  <c r="O1699" i="3"/>
  <c r="Q1699" i="3" s="1"/>
  <c r="S1699" i="3" s="1"/>
  <c r="T1699" i="3" s="1"/>
  <c r="R1698" i="3"/>
  <c r="P1698" i="3"/>
  <c r="O1698" i="3"/>
  <c r="Q1698" i="3" s="1"/>
  <c r="S1698" i="3" s="1"/>
  <c r="T1698" i="3" s="1"/>
  <c r="R1697" i="3"/>
  <c r="P1697" i="3"/>
  <c r="O1697" i="3"/>
  <c r="Q1697" i="3" s="1"/>
  <c r="S1697" i="3" s="1"/>
  <c r="T1697" i="3" s="1"/>
  <c r="R1696" i="3"/>
  <c r="P1696" i="3"/>
  <c r="O1696" i="3"/>
  <c r="Q1696" i="3" s="1"/>
  <c r="S1696" i="3" s="1"/>
  <c r="T1696" i="3" s="1"/>
  <c r="R1695" i="3"/>
  <c r="P1695" i="3"/>
  <c r="O1695" i="3"/>
  <c r="Q1695" i="3" s="1"/>
  <c r="S1695" i="3" s="1"/>
  <c r="T1695" i="3" s="1"/>
  <c r="R1694" i="3"/>
  <c r="P1694" i="3"/>
  <c r="O1694" i="3"/>
  <c r="Q1694" i="3" s="1"/>
  <c r="S1694" i="3" s="1"/>
  <c r="T1694" i="3" s="1"/>
  <c r="R1693" i="3"/>
  <c r="P1693" i="3"/>
  <c r="O1693" i="3"/>
  <c r="Q1693" i="3" s="1"/>
  <c r="S1693" i="3" s="1"/>
  <c r="T1693" i="3" s="1"/>
  <c r="R1692" i="3"/>
  <c r="P1692" i="3"/>
  <c r="O1692" i="3"/>
  <c r="Q1692" i="3" s="1"/>
  <c r="S1692" i="3" s="1"/>
  <c r="T1692" i="3" s="1"/>
  <c r="R1691" i="3"/>
  <c r="P1691" i="3"/>
  <c r="O1691" i="3"/>
  <c r="Q1691" i="3" s="1"/>
  <c r="S1691" i="3" s="1"/>
  <c r="T1691" i="3" s="1"/>
  <c r="R1690" i="3"/>
  <c r="P1690" i="3"/>
  <c r="O1690" i="3"/>
  <c r="Q1690" i="3" s="1"/>
  <c r="S1690" i="3" s="1"/>
  <c r="T1690" i="3" s="1"/>
  <c r="R1689" i="3"/>
  <c r="P1689" i="3"/>
  <c r="O1689" i="3"/>
  <c r="Q1689" i="3" s="1"/>
  <c r="S1689" i="3" s="1"/>
  <c r="T1689" i="3" s="1"/>
  <c r="R1688" i="3"/>
  <c r="P1688" i="3"/>
  <c r="O1688" i="3"/>
  <c r="Q1688" i="3" s="1"/>
  <c r="S1688" i="3" s="1"/>
  <c r="T1688" i="3" s="1"/>
  <c r="R1687" i="3"/>
  <c r="P1687" i="3"/>
  <c r="O1687" i="3"/>
  <c r="Q1687" i="3" s="1"/>
  <c r="S1687" i="3" s="1"/>
  <c r="T1687" i="3" s="1"/>
  <c r="R1686" i="3"/>
  <c r="P1686" i="3"/>
  <c r="O1686" i="3"/>
  <c r="Q1686" i="3" s="1"/>
  <c r="S1686" i="3" s="1"/>
  <c r="T1686" i="3" s="1"/>
  <c r="R1685" i="3"/>
  <c r="P1685" i="3"/>
  <c r="O1685" i="3"/>
  <c r="Q1685" i="3" s="1"/>
  <c r="S1685" i="3" s="1"/>
  <c r="T1685" i="3" s="1"/>
  <c r="R1684" i="3"/>
  <c r="P1684" i="3"/>
  <c r="O1684" i="3"/>
  <c r="Q1684" i="3" s="1"/>
  <c r="S1684" i="3" s="1"/>
  <c r="T1684" i="3" s="1"/>
  <c r="R1683" i="3"/>
  <c r="P1683" i="3"/>
  <c r="O1683" i="3"/>
  <c r="Q1683" i="3" s="1"/>
  <c r="S1683" i="3" s="1"/>
  <c r="T1683" i="3" s="1"/>
  <c r="R1682" i="3"/>
  <c r="P1682" i="3"/>
  <c r="O1682" i="3"/>
  <c r="Q1682" i="3" s="1"/>
  <c r="S1682" i="3" s="1"/>
  <c r="T1682" i="3" s="1"/>
  <c r="R1681" i="3"/>
  <c r="P1681" i="3"/>
  <c r="O1681" i="3"/>
  <c r="Q1681" i="3" s="1"/>
  <c r="S1681" i="3" s="1"/>
  <c r="T1681" i="3" s="1"/>
  <c r="R1680" i="3"/>
  <c r="P1680" i="3"/>
  <c r="O1680" i="3"/>
  <c r="Q1680" i="3" s="1"/>
  <c r="S1680" i="3" s="1"/>
  <c r="T1680" i="3" s="1"/>
  <c r="R1679" i="3"/>
  <c r="P1679" i="3"/>
  <c r="O1679" i="3"/>
  <c r="Q1679" i="3" s="1"/>
  <c r="S1679" i="3" s="1"/>
  <c r="T1679" i="3" s="1"/>
  <c r="R1678" i="3"/>
  <c r="P1678" i="3"/>
  <c r="O1678" i="3"/>
  <c r="Q1678" i="3" s="1"/>
  <c r="S1678" i="3" s="1"/>
  <c r="T1678" i="3" s="1"/>
  <c r="R1677" i="3"/>
  <c r="P1677" i="3"/>
  <c r="O1677" i="3"/>
  <c r="Q1677" i="3" s="1"/>
  <c r="S1677" i="3" s="1"/>
  <c r="T1677" i="3" s="1"/>
  <c r="R1676" i="3"/>
  <c r="P1676" i="3"/>
  <c r="O1676" i="3"/>
  <c r="Q1676" i="3" s="1"/>
  <c r="S1676" i="3" s="1"/>
  <c r="T1676" i="3" s="1"/>
  <c r="R1675" i="3"/>
  <c r="P1675" i="3"/>
  <c r="O1675" i="3"/>
  <c r="Q1675" i="3" s="1"/>
  <c r="S1675" i="3" s="1"/>
  <c r="T1675" i="3" s="1"/>
  <c r="R1674" i="3"/>
  <c r="P1674" i="3"/>
  <c r="O1674" i="3"/>
  <c r="Q1674" i="3" s="1"/>
  <c r="S1674" i="3" s="1"/>
  <c r="T1674" i="3" s="1"/>
  <c r="R1673" i="3"/>
  <c r="P1673" i="3"/>
  <c r="O1673" i="3"/>
  <c r="Q1673" i="3" s="1"/>
  <c r="S1673" i="3" s="1"/>
  <c r="T1673" i="3" s="1"/>
  <c r="R1672" i="3"/>
  <c r="P1672" i="3"/>
  <c r="O1672" i="3"/>
  <c r="Q1672" i="3" s="1"/>
  <c r="S1672" i="3" s="1"/>
  <c r="T1672" i="3" s="1"/>
  <c r="R1671" i="3"/>
  <c r="P1671" i="3"/>
  <c r="O1671" i="3"/>
  <c r="Q1671" i="3" s="1"/>
  <c r="S1671" i="3" s="1"/>
  <c r="T1671" i="3" s="1"/>
  <c r="R1670" i="3"/>
  <c r="P1670" i="3"/>
  <c r="O1670" i="3"/>
  <c r="Q1670" i="3" s="1"/>
  <c r="S1670" i="3" s="1"/>
  <c r="T1670" i="3" s="1"/>
  <c r="R1669" i="3"/>
  <c r="P1669" i="3"/>
  <c r="O1669" i="3"/>
  <c r="Q1669" i="3" s="1"/>
  <c r="S1669" i="3" s="1"/>
  <c r="T1669" i="3" s="1"/>
  <c r="R1668" i="3"/>
  <c r="P1668" i="3"/>
  <c r="O1668" i="3"/>
  <c r="Q1668" i="3" s="1"/>
  <c r="S1668" i="3" s="1"/>
  <c r="T1668" i="3" s="1"/>
  <c r="R1667" i="3"/>
  <c r="P1667" i="3"/>
  <c r="O1667" i="3"/>
  <c r="Q1667" i="3" s="1"/>
  <c r="S1667" i="3" s="1"/>
  <c r="T1667" i="3" s="1"/>
  <c r="R1666" i="3"/>
  <c r="P1666" i="3"/>
  <c r="O1666" i="3"/>
  <c r="Q1666" i="3" s="1"/>
  <c r="S1666" i="3" s="1"/>
  <c r="T1666" i="3" s="1"/>
  <c r="R1665" i="3"/>
  <c r="P1665" i="3"/>
  <c r="O1665" i="3"/>
  <c r="Q1665" i="3" s="1"/>
  <c r="S1665" i="3" s="1"/>
  <c r="T1665" i="3" s="1"/>
  <c r="R1664" i="3"/>
  <c r="P1664" i="3"/>
  <c r="O1664" i="3"/>
  <c r="Q1664" i="3" s="1"/>
  <c r="S1664" i="3" s="1"/>
  <c r="T1664" i="3" s="1"/>
  <c r="R1663" i="3"/>
  <c r="P1663" i="3"/>
  <c r="O1663" i="3"/>
  <c r="Q1663" i="3" s="1"/>
  <c r="S1663" i="3" s="1"/>
  <c r="T1663" i="3" s="1"/>
  <c r="R1662" i="3"/>
  <c r="P1662" i="3"/>
  <c r="O1662" i="3"/>
  <c r="Q1662" i="3" s="1"/>
  <c r="S1662" i="3" s="1"/>
  <c r="T1662" i="3" s="1"/>
  <c r="R1661" i="3"/>
  <c r="P1661" i="3"/>
  <c r="O1661" i="3"/>
  <c r="Q1661" i="3" s="1"/>
  <c r="S1661" i="3" s="1"/>
  <c r="T1661" i="3" s="1"/>
  <c r="R1660" i="3"/>
  <c r="P1660" i="3"/>
  <c r="O1660" i="3"/>
  <c r="Q1660" i="3" s="1"/>
  <c r="S1660" i="3" s="1"/>
  <c r="T1660" i="3" s="1"/>
  <c r="R1659" i="3"/>
  <c r="P1659" i="3"/>
  <c r="O1659" i="3"/>
  <c r="Q1659" i="3" s="1"/>
  <c r="S1659" i="3" s="1"/>
  <c r="T1659" i="3" s="1"/>
  <c r="R1658" i="3"/>
  <c r="P1658" i="3"/>
  <c r="O1658" i="3"/>
  <c r="Q1658" i="3" s="1"/>
  <c r="S1658" i="3" s="1"/>
  <c r="T1658" i="3" s="1"/>
  <c r="R1657" i="3"/>
  <c r="P1657" i="3"/>
  <c r="O1657" i="3"/>
  <c r="Q1657" i="3" s="1"/>
  <c r="S1657" i="3" s="1"/>
  <c r="T1657" i="3" s="1"/>
  <c r="R1656" i="3"/>
  <c r="P1656" i="3"/>
  <c r="O1656" i="3"/>
  <c r="Q1656" i="3" s="1"/>
  <c r="S1656" i="3" s="1"/>
  <c r="T1656" i="3" s="1"/>
  <c r="R1655" i="3"/>
  <c r="P1655" i="3"/>
  <c r="O1655" i="3"/>
  <c r="Q1655" i="3" s="1"/>
  <c r="S1655" i="3" s="1"/>
  <c r="T1655" i="3" s="1"/>
  <c r="R1654" i="3"/>
  <c r="P1654" i="3"/>
  <c r="O1654" i="3"/>
  <c r="Q1654" i="3" s="1"/>
  <c r="S1654" i="3" s="1"/>
  <c r="T1654" i="3" s="1"/>
  <c r="R1653" i="3"/>
  <c r="P1653" i="3"/>
  <c r="O1653" i="3"/>
  <c r="Q1653" i="3" s="1"/>
  <c r="S1653" i="3" s="1"/>
  <c r="T1653" i="3" s="1"/>
  <c r="R1652" i="3"/>
  <c r="P1652" i="3"/>
  <c r="O1652" i="3"/>
  <c r="Q1652" i="3" s="1"/>
  <c r="S1652" i="3" s="1"/>
  <c r="T1652" i="3" s="1"/>
  <c r="R1651" i="3"/>
  <c r="P1651" i="3"/>
  <c r="O1651" i="3"/>
  <c r="Q1651" i="3" s="1"/>
  <c r="S1651" i="3" s="1"/>
  <c r="T1651" i="3" s="1"/>
  <c r="R1650" i="3"/>
  <c r="P1650" i="3"/>
  <c r="O1650" i="3"/>
  <c r="Q1650" i="3" s="1"/>
  <c r="S1650" i="3" s="1"/>
  <c r="T1650" i="3" s="1"/>
  <c r="R1649" i="3"/>
  <c r="P1649" i="3"/>
  <c r="O1649" i="3"/>
  <c r="Q1649" i="3" s="1"/>
  <c r="S1649" i="3" s="1"/>
  <c r="T1649" i="3" s="1"/>
  <c r="R1648" i="3"/>
  <c r="P1648" i="3"/>
  <c r="O1648" i="3"/>
  <c r="Q1648" i="3" s="1"/>
  <c r="S1648" i="3" s="1"/>
  <c r="T1648" i="3" s="1"/>
  <c r="R1647" i="3"/>
  <c r="P1647" i="3"/>
  <c r="O1647" i="3"/>
  <c r="Q1647" i="3" s="1"/>
  <c r="S1647" i="3" s="1"/>
  <c r="T1647" i="3" s="1"/>
  <c r="R1646" i="3"/>
  <c r="P1646" i="3"/>
  <c r="O1646" i="3"/>
  <c r="Q1646" i="3" s="1"/>
  <c r="S1646" i="3" s="1"/>
  <c r="T1646" i="3" s="1"/>
  <c r="R1645" i="3"/>
  <c r="P1645" i="3"/>
  <c r="O1645" i="3"/>
  <c r="Q1645" i="3" s="1"/>
  <c r="S1645" i="3" s="1"/>
  <c r="T1645" i="3" s="1"/>
  <c r="R1644" i="3"/>
  <c r="P1644" i="3"/>
  <c r="O1644" i="3"/>
  <c r="Q1644" i="3" s="1"/>
  <c r="S1644" i="3" s="1"/>
  <c r="T1644" i="3" s="1"/>
  <c r="R1643" i="3"/>
  <c r="P1643" i="3"/>
  <c r="O1643" i="3"/>
  <c r="Q1643" i="3" s="1"/>
  <c r="S1643" i="3" s="1"/>
  <c r="T1643" i="3" s="1"/>
  <c r="R1642" i="3"/>
  <c r="P1642" i="3"/>
  <c r="O1642" i="3"/>
  <c r="Q1642" i="3" s="1"/>
  <c r="S1642" i="3" s="1"/>
  <c r="T1642" i="3" s="1"/>
  <c r="R1641" i="3"/>
  <c r="P1641" i="3"/>
  <c r="O1641" i="3"/>
  <c r="Q1641" i="3" s="1"/>
  <c r="S1641" i="3" s="1"/>
  <c r="T1641" i="3" s="1"/>
  <c r="R1640" i="3"/>
  <c r="P1640" i="3"/>
  <c r="O1640" i="3"/>
  <c r="Q1640" i="3" s="1"/>
  <c r="S1640" i="3" s="1"/>
  <c r="T1640" i="3" s="1"/>
  <c r="R1639" i="3"/>
  <c r="P1639" i="3"/>
  <c r="O1639" i="3"/>
  <c r="Q1639" i="3" s="1"/>
  <c r="S1639" i="3" s="1"/>
  <c r="T1639" i="3" s="1"/>
  <c r="R1638" i="3"/>
  <c r="P1638" i="3"/>
  <c r="O1638" i="3"/>
  <c r="Q1638" i="3" s="1"/>
  <c r="S1638" i="3" s="1"/>
  <c r="T1638" i="3" s="1"/>
  <c r="R1637" i="3"/>
  <c r="P1637" i="3"/>
  <c r="O1637" i="3"/>
  <c r="Q1637" i="3" s="1"/>
  <c r="S1637" i="3" s="1"/>
  <c r="T1637" i="3" s="1"/>
  <c r="R1636" i="3"/>
  <c r="P1636" i="3"/>
  <c r="O1636" i="3"/>
  <c r="Q1636" i="3" s="1"/>
  <c r="S1636" i="3" s="1"/>
  <c r="T1636" i="3" s="1"/>
  <c r="R1635" i="3"/>
  <c r="P1635" i="3"/>
  <c r="O1635" i="3"/>
  <c r="Q1635" i="3" s="1"/>
  <c r="S1635" i="3" s="1"/>
  <c r="T1635" i="3" s="1"/>
  <c r="R1634" i="3"/>
  <c r="P1634" i="3"/>
  <c r="O1634" i="3"/>
  <c r="Q1634" i="3" s="1"/>
  <c r="S1634" i="3" s="1"/>
  <c r="T1634" i="3" s="1"/>
  <c r="R1633" i="3"/>
  <c r="P1633" i="3"/>
  <c r="O1633" i="3"/>
  <c r="Q1633" i="3" s="1"/>
  <c r="S1633" i="3" s="1"/>
  <c r="T1633" i="3" s="1"/>
  <c r="R1632" i="3"/>
  <c r="P1632" i="3"/>
  <c r="O1632" i="3"/>
  <c r="Q1632" i="3" s="1"/>
  <c r="S1632" i="3" s="1"/>
  <c r="T1632" i="3" s="1"/>
  <c r="R1631" i="3"/>
  <c r="P1631" i="3"/>
  <c r="O1631" i="3"/>
  <c r="Q1631" i="3" s="1"/>
  <c r="S1631" i="3" s="1"/>
  <c r="T1631" i="3" s="1"/>
  <c r="R1630" i="3"/>
  <c r="P1630" i="3"/>
  <c r="O1630" i="3"/>
  <c r="Q1630" i="3" s="1"/>
  <c r="S1630" i="3" s="1"/>
  <c r="T1630" i="3" s="1"/>
  <c r="R1629" i="3"/>
  <c r="P1629" i="3"/>
  <c r="O1629" i="3"/>
  <c r="Q1629" i="3" s="1"/>
  <c r="S1629" i="3" s="1"/>
  <c r="T1629" i="3" s="1"/>
  <c r="R1628" i="3"/>
  <c r="P1628" i="3"/>
  <c r="O1628" i="3"/>
  <c r="Q1628" i="3" s="1"/>
  <c r="S1628" i="3" s="1"/>
  <c r="T1628" i="3" s="1"/>
  <c r="R1627" i="3"/>
  <c r="P1627" i="3"/>
  <c r="O1627" i="3"/>
  <c r="Q1627" i="3" s="1"/>
  <c r="S1627" i="3" s="1"/>
  <c r="T1627" i="3" s="1"/>
  <c r="R1626" i="3"/>
  <c r="P1626" i="3"/>
  <c r="O1626" i="3"/>
  <c r="Q1626" i="3" s="1"/>
  <c r="S1626" i="3" s="1"/>
  <c r="T1626" i="3" s="1"/>
  <c r="R1625" i="3"/>
  <c r="P1625" i="3"/>
  <c r="O1625" i="3"/>
  <c r="Q1625" i="3" s="1"/>
  <c r="S1625" i="3" s="1"/>
  <c r="T1625" i="3" s="1"/>
  <c r="R1624" i="3"/>
  <c r="P1624" i="3"/>
  <c r="O1624" i="3"/>
  <c r="Q1624" i="3" s="1"/>
  <c r="S1624" i="3" s="1"/>
  <c r="T1624" i="3" s="1"/>
  <c r="R1623" i="3"/>
  <c r="P1623" i="3"/>
  <c r="O1623" i="3"/>
  <c r="Q1623" i="3" s="1"/>
  <c r="S1623" i="3" s="1"/>
  <c r="T1623" i="3" s="1"/>
  <c r="R1622" i="3"/>
  <c r="P1622" i="3"/>
  <c r="O1622" i="3"/>
  <c r="Q1622" i="3" s="1"/>
  <c r="S1622" i="3" s="1"/>
  <c r="T1622" i="3" s="1"/>
  <c r="R1621" i="3"/>
  <c r="P1621" i="3"/>
  <c r="O1621" i="3"/>
  <c r="Q1621" i="3" s="1"/>
  <c r="S1621" i="3" s="1"/>
  <c r="T1621" i="3" s="1"/>
  <c r="R1620" i="3"/>
  <c r="P1620" i="3"/>
  <c r="O1620" i="3"/>
  <c r="Q1620" i="3" s="1"/>
  <c r="S1620" i="3" s="1"/>
  <c r="T1620" i="3" s="1"/>
  <c r="R1619" i="3"/>
  <c r="P1619" i="3"/>
  <c r="O1619" i="3"/>
  <c r="Q1619" i="3" s="1"/>
  <c r="S1619" i="3" s="1"/>
  <c r="T1619" i="3" s="1"/>
  <c r="R1618" i="3"/>
  <c r="P1618" i="3"/>
  <c r="O1618" i="3"/>
  <c r="Q1618" i="3" s="1"/>
  <c r="S1618" i="3" s="1"/>
  <c r="T1618" i="3" s="1"/>
  <c r="R1617" i="3"/>
  <c r="P1617" i="3"/>
  <c r="O1617" i="3"/>
  <c r="Q1617" i="3" s="1"/>
  <c r="S1617" i="3" s="1"/>
  <c r="T1617" i="3" s="1"/>
  <c r="R1616" i="3"/>
  <c r="P1616" i="3"/>
  <c r="O1616" i="3"/>
  <c r="Q1616" i="3" s="1"/>
  <c r="S1616" i="3" s="1"/>
  <c r="T1616" i="3" s="1"/>
  <c r="R1615" i="3"/>
  <c r="P1615" i="3"/>
  <c r="O1615" i="3"/>
  <c r="Q1615" i="3" s="1"/>
  <c r="S1615" i="3" s="1"/>
  <c r="T1615" i="3" s="1"/>
  <c r="R1614" i="3"/>
  <c r="P1614" i="3"/>
  <c r="O1614" i="3"/>
  <c r="Q1614" i="3" s="1"/>
  <c r="S1614" i="3" s="1"/>
  <c r="T1614" i="3" s="1"/>
  <c r="R1613" i="3"/>
  <c r="P1613" i="3"/>
  <c r="O1613" i="3"/>
  <c r="Q1613" i="3" s="1"/>
  <c r="S1613" i="3" s="1"/>
  <c r="T1613" i="3" s="1"/>
  <c r="R1612" i="3"/>
  <c r="P1612" i="3"/>
  <c r="O1612" i="3"/>
  <c r="Q1612" i="3" s="1"/>
  <c r="S1612" i="3" s="1"/>
  <c r="T1612" i="3" s="1"/>
  <c r="R1611" i="3"/>
  <c r="P1611" i="3"/>
  <c r="O1611" i="3"/>
  <c r="Q1611" i="3" s="1"/>
  <c r="S1611" i="3" s="1"/>
  <c r="T1611" i="3" s="1"/>
  <c r="R1610" i="3"/>
  <c r="P1610" i="3"/>
  <c r="O1610" i="3"/>
  <c r="Q1610" i="3" s="1"/>
  <c r="S1610" i="3" s="1"/>
  <c r="T1610" i="3" s="1"/>
  <c r="R1609" i="3"/>
  <c r="P1609" i="3"/>
  <c r="O1609" i="3"/>
  <c r="Q1609" i="3" s="1"/>
  <c r="S1609" i="3" s="1"/>
  <c r="T1609" i="3" s="1"/>
  <c r="R1608" i="3"/>
  <c r="P1608" i="3"/>
  <c r="O1608" i="3"/>
  <c r="Q1608" i="3" s="1"/>
  <c r="S1608" i="3" s="1"/>
  <c r="T1608" i="3" s="1"/>
  <c r="R1607" i="3"/>
  <c r="P1607" i="3"/>
  <c r="O1607" i="3"/>
  <c r="Q1607" i="3" s="1"/>
  <c r="S1607" i="3" s="1"/>
  <c r="T1607" i="3" s="1"/>
  <c r="R1606" i="3"/>
  <c r="P1606" i="3"/>
  <c r="O1606" i="3"/>
  <c r="Q1606" i="3" s="1"/>
  <c r="S1606" i="3" s="1"/>
  <c r="T1606" i="3" s="1"/>
  <c r="R1605" i="3"/>
  <c r="P1605" i="3"/>
  <c r="O1605" i="3"/>
  <c r="Q1605" i="3" s="1"/>
  <c r="S1605" i="3" s="1"/>
  <c r="T1605" i="3" s="1"/>
  <c r="R1604" i="3"/>
  <c r="P1604" i="3"/>
  <c r="O1604" i="3"/>
  <c r="Q1604" i="3" s="1"/>
  <c r="S1604" i="3" s="1"/>
  <c r="T1604" i="3" s="1"/>
  <c r="R1603" i="3"/>
  <c r="P1603" i="3"/>
  <c r="O1603" i="3"/>
  <c r="Q1603" i="3" s="1"/>
  <c r="S1603" i="3" s="1"/>
  <c r="T1603" i="3" s="1"/>
  <c r="R1602" i="3"/>
  <c r="P1602" i="3"/>
  <c r="O1602" i="3"/>
  <c r="Q1602" i="3" s="1"/>
  <c r="S1602" i="3" s="1"/>
  <c r="T1602" i="3" s="1"/>
  <c r="R1601" i="3"/>
  <c r="P1601" i="3"/>
  <c r="O1601" i="3"/>
  <c r="Q1601" i="3" s="1"/>
  <c r="S1601" i="3" s="1"/>
  <c r="T1601" i="3" s="1"/>
  <c r="R1600" i="3"/>
  <c r="P1600" i="3"/>
  <c r="O1600" i="3"/>
  <c r="Q1600" i="3" s="1"/>
  <c r="S1600" i="3" s="1"/>
  <c r="T1600" i="3" s="1"/>
  <c r="R1599" i="3"/>
  <c r="P1599" i="3"/>
  <c r="O1599" i="3"/>
  <c r="Q1599" i="3" s="1"/>
  <c r="S1599" i="3" s="1"/>
  <c r="T1599" i="3" s="1"/>
  <c r="R1598" i="3"/>
  <c r="P1598" i="3"/>
  <c r="O1598" i="3"/>
  <c r="Q1598" i="3" s="1"/>
  <c r="S1598" i="3" s="1"/>
  <c r="T1598" i="3" s="1"/>
  <c r="R1597" i="3"/>
  <c r="P1597" i="3"/>
  <c r="O1597" i="3"/>
  <c r="Q1597" i="3" s="1"/>
  <c r="S1597" i="3" s="1"/>
  <c r="T1597" i="3" s="1"/>
  <c r="R1596" i="3"/>
  <c r="P1596" i="3"/>
  <c r="O1596" i="3"/>
  <c r="Q1596" i="3" s="1"/>
  <c r="S1596" i="3" s="1"/>
  <c r="T1596" i="3" s="1"/>
  <c r="R1595" i="3"/>
  <c r="P1595" i="3"/>
  <c r="O1595" i="3"/>
  <c r="Q1595" i="3" s="1"/>
  <c r="S1595" i="3" s="1"/>
  <c r="T1595" i="3" s="1"/>
  <c r="R1594" i="3"/>
  <c r="P1594" i="3"/>
  <c r="O1594" i="3"/>
  <c r="Q1594" i="3" s="1"/>
  <c r="S1594" i="3" s="1"/>
  <c r="T1594" i="3" s="1"/>
  <c r="R1593" i="3"/>
  <c r="P1593" i="3"/>
  <c r="O1593" i="3"/>
  <c r="Q1593" i="3" s="1"/>
  <c r="S1593" i="3" s="1"/>
  <c r="T1593" i="3" s="1"/>
  <c r="R1592" i="3"/>
  <c r="P1592" i="3"/>
  <c r="O1592" i="3"/>
  <c r="Q1592" i="3" s="1"/>
  <c r="S1592" i="3" s="1"/>
  <c r="T1592" i="3" s="1"/>
  <c r="R1591" i="3"/>
  <c r="P1591" i="3"/>
  <c r="O1591" i="3"/>
  <c r="Q1591" i="3" s="1"/>
  <c r="S1591" i="3" s="1"/>
  <c r="T1591" i="3" s="1"/>
  <c r="R1590" i="3"/>
  <c r="P1590" i="3"/>
  <c r="O1590" i="3"/>
  <c r="Q1590" i="3" s="1"/>
  <c r="S1590" i="3" s="1"/>
  <c r="T1590" i="3" s="1"/>
  <c r="R1589" i="3"/>
  <c r="P1589" i="3"/>
  <c r="O1589" i="3"/>
  <c r="Q1589" i="3" s="1"/>
  <c r="S1589" i="3" s="1"/>
  <c r="T1589" i="3" s="1"/>
  <c r="R1588" i="3"/>
  <c r="P1588" i="3"/>
  <c r="O1588" i="3"/>
  <c r="Q1588" i="3" s="1"/>
  <c r="S1588" i="3" s="1"/>
  <c r="T1588" i="3" s="1"/>
  <c r="R1587" i="3"/>
  <c r="P1587" i="3"/>
  <c r="O1587" i="3"/>
  <c r="Q1587" i="3" s="1"/>
  <c r="S1587" i="3" s="1"/>
  <c r="T1587" i="3" s="1"/>
  <c r="R1586" i="3"/>
  <c r="P1586" i="3"/>
  <c r="O1586" i="3"/>
  <c r="Q1586" i="3" s="1"/>
  <c r="S1586" i="3" s="1"/>
  <c r="T1586" i="3" s="1"/>
  <c r="R1585" i="3"/>
  <c r="P1585" i="3"/>
  <c r="O1585" i="3"/>
  <c r="Q1585" i="3" s="1"/>
  <c r="S1585" i="3" s="1"/>
  <c r="T1585" i="3" s="1"/>
  <c r="R1584" i="3"/>
  <c r="P1584" i="3"/>
  <c r="O1584" i="3"/>
  <c r="Q1584" i="3" s="1"/>
  <c r="S1584" i="3" s="1"/>
  <c r="T1584" i="3" s="1"/>
  <c r="R1583" i="3"/>
  <c r="P1583" i="3"/>
  <c r="O1583" i="3"/>
  <c r="Q1583" i="3" s="1"/>
  <c r="S1583" i="3" s="1"/>
  <c r="T1583" i="3" s="1"/>
  <c r="R1582" i="3"/>
  <c r="P1582" i="3"/>
  <c r="O1582" i="3"/>
  <c r="Q1582" i="3" s="1"/>
  <c r="S1582" i="3" s="1"/>
  <c r="T1582" i="3" s="1"/>
  <c r="R1581" i="3"/>
  <c r="P1581" i="3"/>
  <c r="O1581" i="3"/>
  <c r="Q1581" i="3" s="1"/>
  <c r="S1581" i="3" s="1"/>
  <c r="T1581" i="3" s="1"/>
  <c r="R1580" i="3"/>
  <c r="P1580" i="3"/>
  <c r="O1580" i="3"/>
  <c r="Q1580" i="3" s="1"/>
  <c r="S1580" i="3" s="1"/>
  <c r="T1580" i="3" s="1"/>
  <c r="R1579" i="3"/>
  <c r="P1579" i="3"/>
  <c r="O1579" i="3"/>
  <c r="Q1579" i="3" s="1"/>
  <c r="S1579" i="3" s="1"/>
  <c r="T1579" i="3" s="1"/>
  <c r="R1578" i="3"/>
  <c r="P1578" i="3"/>
  <c r="O1578" i="3"/>
  <c r="Q1578" i="3" s="1"/>
  <c r="S1578" i="3" s="1"/>
  <c r="T1578" i="3" s="1"/>
  <c r="R1577" i="3"/>
  <c r="P1577" i="3"/>
  <c r="O1577" i="3"/>
  <c r="Q1577" i="3" s="1"/>
  <c r="S1577" i="3" s="1"/>
  <c r="T1577" i="3" s="1"/>
  <c r="R1576" i="3"/>
  <c r="P1576" i="3"/>
  <c r="O1576" i="3"/>
  <c r="Q1576" i="3" s="1"/>
  <c r="S1576" i="3" s="1"/>
  <c r="T1576" i="3" s="1"/>
  <c r="R1575" i="3"/>
  <c r="P1575" i="3"/>
  <c r="O1575" i="3"/>
  <c r="Q1575" i="3" s="1"/>
  <c r="S1575" i="3" s="1"/>
  <c r="T1575" i="3" s="1"/>
  <c r="R1574" i="3"/>
  <c r="P1574" i="3"/>
  <c r="O1574" i="3"/>
  <c r="Q1574" i="3" s="1"/>
  <c r="S1574" i="3" s="1"/>
  <c r="T1574" i="3" s="1"/>
  <c r="R1573" i="3"/>
  <c r="P1573" i="3"/>
  <c r="O1573" i="3"/>
  <c r="Q1573" i="3" s="1"/>
  <c r="S1573" i="3" s="1"/>
  <c r="T1573" i="3" s="1"/>
  <c r="R1572" i="3"/>
  <c r="P1572" i="3"/>
  <c r="O1572" i="3"/>
  <c r="Q1572" i="3" s="1"/>
  <c r="S1572" i="3" s="1"/>
  <c r="T1572" i="3" s="1"/>
  <c r="R1571" i="3"/>
  <c r="P1571" i="3"/>
  <c r="O1571" i="3"/>
  <c r="Q1571" i="3" s="1"/>
  <c r="S1571" i="3" s="1"/>
  <c r="T1571" i="3" s="1"/>
  <c r="R1570" i="3"/>
  <c r="P1570" i="3"/>
  <c r="O1570" i="3"/>
  <c r="Q1570" i="3" s="1"/>
  <c r="S1570" i="3" s="1"/>
  <c r="T1570" i="3" s="1"/>
  <c r="R1569" i="3"/>
  <c r="P1569" i="3"/>
  <c r="O1569" i="3"/>
  <c r="Q1569" i="3" s="1"/>
  <c r="S1569" i="3" s="1"/>
  <c r="T1569" i="3" s="1"/>
  <c r="R1568" i="3"/>
  <c r="P1568" i="3"/>
  <c r="O1568" i="3"/>
  <c r="Q1568" i="3" s="1"/>
  <c r="S1568" i="3" s="1"/>
  <c r="T1568" i="3" s="1"/>
  <c r="R1567" i="3"/>
  <c r="P1567" i="3"/>
  <c r="O1567" i="3"/>
  <c r="Q1567" i="3" s="1"/>
  <c r="S1567" i="3" s="1"/>
  <c r="T1567" i="3" s="1"/>
  <c r="R1566" i="3"/>
  <c r="P1566" i="3"/>
  <c r="O1566" i="3"/>
  <c r="Q1566" i="3" s="1"/>
  <c r="S1566" i="3" s="1"/>
  <c r="T1566" i="3" s="1"/>
  <c r="R1565" i="3"/>
  <c r="P1565" i="3"/>
  <c r="O1565" i="3"/>
  <c r="Q1565" i="3" s="1"/>
  <c r="S1565" i="3" s="1"/>
  <c r="T1565" i="3" s="1"/>
  <c r="R1564" i="3"/>
  <c r="P1564" i="3"/>
  <c r="O1564" i="3"/>
  <c r="Q1564" i="3" s="1"/>
  <c r="S1564" i="3" s="1"/>
  <c r="T1564" i="3" s="1"/>
  <c r="R1563" i="3"/>
  <c r="P1563" i="3"/>
  <c r="O1563" i="3"/>
  <c r="Q1563" i="3" s="1"/>
  <c r="S1563" i="3" s="1"/>
  <c r="T1563" i="3" s="1"/>
  <c r="R1562" i="3"/>
  <c r="P1562" i="3"/>
  <c r="O1562" i="3"/>
  <c r="Q1562" i="3" s="1"/>
  <c r="S1562" i="3" s="1"/>
  <c r="T1562" i="3" s="1"/>
  <c r="R1561" i="3"/>
  <c r="P1561" i="3"/>
  <c r="O1561" i="3"/>
  <c r="Q1561" i="3" s="1"/>
  <c r="S1561" i="3" s="1"/>
  <c r="T1561" i="3" s="1"/>
  <c r="R1560" i="3"/>
  <c r="P1560" i="3"/>
  <c r="O1560" i="3"/>
  <c r="Q1560" i="3" s="1"/>
  <c r="S1560" i="3" s="1"/>
  <c r="T1560" i="3" s="1"/>
  <c r="R1559" i="3"/>
  <c r="P1559" i="3"/>
  <c r="O1559" i="3"/>
  <c r="Q1559" i="3" s="1"/>
  <c r="S1559" i="3" s="1"/>
  <c r="T1559" i="3" s="1"/>
  <c r="R1558" i="3"/>
  <c r="P1558" i="3"/>
  <c r="O1558" i="3"/>
  <c r="Q1558" i="3" s="1"/>
  <c r="S1558" i="3" s="1"/>
  <c r="T1558" i="3" s="1"/>
  <c r="R1557" i="3"/>
  <c r="P1557" i="3"/>
  <c r="O1557" i="3"/>
  <c r="Q1557" i="3" s="1"/>
  <c r="S1557" i="3" s="1"/>
  <c r="T1557" i="3" s="1"/>
  <c r="R1556" i="3"/>
  <c r="P1556" i="3"/>
  <c r="O1556" i="3"/>
  <c r="Q1556" i="3" s="1"/>
  <c r="S1556" i="3" s="1"/>
  <c r="T1556" i="3" s="1"/>
  <c r="R1555" i="3"/>
  <c r="P1555" i="3"/>
  <c r="O1555" i="3"/>
  <c r="Q1555" i="3" s="1"/>
  <c r="S1555" i="3" s="1"/>
  <c r="T1555" i="3" s="1"/>
  <c r="R1554" i="3"/>
  <c r="P1554" i="3"/>
  <c r="O1554" i="3"/>
  <c r="Q1554" i="3" s="1"/>
  <c r="S1554" i="3" s="1"/>
  <c r="T1554" i="3" s="1"/>
  <c r="R1553" i="3"/>
  <c r="P1553" i="3"/>
  <c r="O1553" i="3"/>
  <c r="Q1553" i="3" s="1"/>
  <c r="S1553" i="3" s="1"/>
  <c r="T1553" i="3" s="1"/>
  <c r="R1552" i="3"/>
  <c r="P1552" i="3"/>
  <c r="O1552" i="3"/>
  <c r="Q1552" i="3" s="1"/>
  <c r="S1552" i="3" s="1"/>
  <c r="T1552" i="3" s="1"/>
  <c r="R1551" i="3"/>
  <c r="P1551" i="3"/>
  <c r="O1551" i="3"/>
  <c r="Q1551" i="3" s="1"/>
  <c r="S1551" i="3" s="1"/>
  <c r="T1551" i="3" s="1"/>
  <c r="R1550" i="3"/>
  <c r="P1550" i="3"/>
  <c r="O1550" i="3"/>
  <c r="Q1550" i="3" s="1"/>
  <c r="S1550" i="3" s="1"/>
  <c r="T1550" i="3" s="1"/>
  <c r="R1549" i="3"/>
  <c r="P1549" i="3"/>
  <c r="O1549" i="3"/>
  <c r="Q1549" i="3" s="1"/>
  <c r="S1549" i="3" s="1"/>
  <c r="T1549" i="3" s="1"/>
  <c r="R1548" i="3"/>
  <c r="P1548" i="3"/>
  <c r="O1548" i="3"/>
  <c r="Q1548" i="3" s="1"/>
  <c r="S1548" i="3" s="1"/>
  <c r="T1548" i="3" s="1"/>
  <c r="R1547" i="3"/>
  <c r="P1547" i="3"/>
  <c r="O1547" i="3"/>
  <c r="Q1547" i="3" s="1"/>
  <c r="S1547" i="3" s="1"/>
  <c r="T1547" i="3" s="1"/>
  <c r="R1546" i="3"/>
  <c r="P1546" i="3"/>
  <c r="O1546" i="3"/>
  <c r="Q1546" i="3" s="1"/>
  <c r="S1546" i="3" s="1"/>
  <c r="T1546" i="3" s="1"/>
  <c r="R1545" i="3"/>
  <c r="P1545" i="3"/>
  <c r="O1545" i="3"/>
  <c r="Q1545" i="3" s="1"/>
  <c r="S1545" i="3" s="1"/>
  <c r="T1545" i="3" s="1"/>
  <c r="R1544" i="3"/>
  <c r="P1544" i="3"/>
  <c r="O1544" i="3"/>
  <c r="Q1544" i="3" s="1"/>
  <c r="S1544" i="3" s="1"/>
  <c r="T1544" i="3" s="1"/>
  <c r="R1543" i="3"/>
  <c r="P1543" i="3"/>
  <c r="O1543" i="3"/>
  <c r="Q1543" i="3" s="1"/>
  <c r="S1543" i="3" s="1"/>
  <c r="T1543" i="3" s="1"/>
  <c r="R1542" i="3"/>
  <c r="P1542" i="3"/>
  <c r="O1542" i="3"/>
  <c r="Q1542" i="3" s="1"/>
  <c r="S1542" i="3" s="1"/>
  <c r="T1542" i="3" s="1"/>
  <c r="R1541" i="3"/>
  <c r="P1541" i="3"/>
  <c r="O1541" i="3"/>
  <c r="Q1541" i="3" s="1"/>
  <c r="S1541" i="3" s="1"/>
  <c r="T1541" i="3" s="1"/>
  <c r="R1540" i="3"/>
  <c r="P1540" i="3"/>
  <c r="O1540" i="3"/>
  <c r="Q1540" i="3" s="1"/>
  <c r="S1540" i="3" s="1"/>
  <c r="T1540" i="3" s="1"/>
  <c r="R1539" i="3"/>
  <c r="P1539" i="3"/>
  <c r="O1539" i="3"/>
  <c r="Q1539" i="3" s="1"/>
  <c r="S1539" i="3" s="1"/>
  <c r="T1539" i="3" s="1"/>
  <c r="R1538" i="3"/>
  <c r="P1538" i="3"/>
  <c r="O1538" i="3"/>
  <c r="Q1538" i="3" s="1"/>
  <c r="S1538" i="3" s="1"/>
  <c r="T1538" i="3" s="1"/>
  <c r="R1537" i="3"/>
  <c r="P1537" i="3"/>
  <c r="O1537" i="3"/>
  <c r="Q1537" i="3" s="1"/>
  <c r="S1537" i="3" s="1"/>
  <c r="T1537" i="3" s="1"/>
  <c r="R1536" i="3"/>
  <c r="P1536" i="3"/>
  <c r="O1536" i="3"/>
  <c r="Q1536" i="3" s="1"/>
  <c r="S1536" i="3" s="1"/>
  <c r="T1536" i="3" s="1"/>
  <c r="R1535" i="3"/>
  <c r="P1535" i="3"/>
  <c r="O1535" i="3"/>
  <c r="Q1535" i="3" s="1"/>
  <c r="S1535" i="3" s="1"/>
  <c r="T1535" i="3" s="1"/>
  <c r="R1534" i="3"/>
  <c r="P1534" i="3"/>
  <c r="O1534" i="3"/>
  <c r="Q1534" i="3" s="1"/>
  <c r="S1534" i="3" s="1"/>
  <c r="T1534" i="3" s="1"/>
  <c r="R1533" i="3"/>
  <c r="P1533" i="3"/>
  <c r="O1533" i="3"/>
  <c r="Q1533" i="3" s="1"/>
  <c r="S1533" i="3" s="1"/>
  <c r="T1533" i="3" s="1"/>
  <c r="R1532" i="3"/>
  <c r="P1532" i="3"/>
  <c r="O1532" i="3"/>
  <c r="Q1532" i="3" s="1"/>
  <c r="S1532" i="3" s="1"/>
  <c r="T1532" i="3" s="1"/>
  <c r="R1531" i="3"/>
  <c r="P1531" i="3"/>
  <c r="O1531" i="3"/>
  <c r="Q1531" i="3" s="1"/>
  <c r="S1531" i="3" s="1"/>
  <c r="T1531" i="3" s="1"/>
  <c r="R1530" i="3"/>
  <c r="P1530" i="3"/>
  <c r="O1530" i="3"/>
  <c r="Q1530" i="3" s="1"/>
  <c r="S1530" i="3" s="1"/>
  <c r="T1530" i="3" s="1"/>
  <c r="R1529" i="3"/>
  <c r="P1529" i="3"/>
  <c r="O1529" i="3"/>
  <c r="Q1529" i="3" s="1"/>
  <c r="S1529" i="3" s="1"/>
  <c r="T1529" i="3" s="1"/>
  <c r="R1528" i="3"/>
  <c r="P1528" i="3"/>
  <c r="O1528" i="3"/>
  <c r="Q1528" i="3" s="1"/>
  <c r="S1528" i="3" s="1"/>
  <c r="T1528" i="3" s="1"/>
  <c r="R1527" i="3"/>
  <c r="P1527" i="3"/>
  <c r="O1527" i="3"/>
  <c r="Q1527" i="3" s="1"/>
  <c r="S1527" i="3" s="1"/>
  <c r="T1527" i="3" s="1"/>
  <c r="R1526" i="3"/>
  <c r="P1526" i="3"/>
  <c r="O1526" i="3"/>
  <c r="Q1526" i="3" s="1"/>
  <c r="S1526" i="3" s="1"/>
  <c r="T1526" i="3" s="1"/>
  <c r="R1525" i="3"/>
  <c r="P1525" i="3"/>
  <c r="O1525" i="3"/>
  <c r="Q1525" i="3" s="1"/>
  <c r="S1525" i="3" s="1"/>
  <c r="T1525" i="3" s="1"/>
  <c r="R1524" i="3"/>
  <c r="P1524" i="3"/>
  <c r="O1524" i="3"/>
  <c r="Q1524" i="3" s="1"/>
  <c r="S1524" i="3" s="1"/>
  <c r="T1524" i="3" s="1"/>
  <c r="R1523" i="3"/>
  <c r="P1523" i="3"/>
  <c r="O1523" i="3"/>
  <c r="Q1523" i="3" s="1"/>
  <c r="S1523" i="3" s="1"/>
  <c r="T1523" i="3" s="1"/>
  <c r="R1522" i="3"/>
  <c r="P1522" i="3"/>
  <c r="O1522" i="3"/>
  <c r="Q1522" i="3" s="1"/>
  <c r="S1522" i="3" s="1"/>
  <c r="T1522" i="3" s="1"/>
  <c r="R1521" i="3"/>
  <c r="P1521" i="3"/>
  <c r="O1521" i="3"/>
  <c r="Q1521" i="3" s="1"/>
  <c r="S1521" i="3" s="1"/>
  <c r="T1521" i="3" s="1"/>
  <c r="R1520" i="3"/>
  <c r="P1520" i="3"/>
  <c r="O1520" i="3"/>
  <c r="Q1520" i="3" s="1"/>
  <c r="S1520" i="3" s="1"/>
  <c r="T1520" i="3" s="1"/>
  <c r="R1519" i="3"/>
  <c r="P1519" i="3"/>
  <c r="O1519" i="3"/>
  <c r="Q1519" i="3" s="1"/>
  <c r="S1519" i="3" s="1"/>
  <c r="T1519" i="3" s="1"/>
  <c r="R1518" i="3"/>
  <c r="P1518" i="3"/>
  <c r="O1518" i="3"/>
  <c r="Q1518" i="3" s="1"/>
  <c r="S1518" i="3" s="1"/>
  <c r="T1518" i="3" s="1"/>
  <c r="R1517" i="3"/>
  <c r="P1517" i="3"/>
  <c r="O1517" i="3"/>
  <c r="Q1517" i="3" s="1"/>
  <c r="S1517" i="3" s="1"/>
  <c r="T1517" i="3" s="1"/>
  <c r="R1516" i="3"/>
  <c r="P1516" i="3"/>
  <c r="O1516" i="3"/>
  <c r="Q1516" i="3" s="1"/>
  <c r="S1516" i="3" s="1"/>
  <c r="T1516" i="3" s="1"/>
  <c r="R1515" i="3"/>
  <c r="P1515" i="3"/>
  <c r="O1515" i="3"/>
  <c r="Q1515" i="3" s="1"/>
  <c r="S1515" i="3" s="1"/>
  <c r="T1515" i="3" s="1"/>
  <c r="R1514" i="3"/>
  <c r="P1514" i="3"/>
  <c r="O1514" i="3"/>
  <c r="Q1514" i="3" s="1"/>
  <c r="S1514" i="3" s="1"/>
  <c r="T1514" i="3" s="1"/>
  <c r="R1513" i="3"/>
  <c r="P1513" i="3"/>
  <c r="O1513" i="3"/>
  <c r="Q1513" i="3" s="1"/>
  <c r="S1513" i="3" s="1"/>
  <c r="T1513" i="3" s="1"/>
  <c r="R1512" i="3"/>
  <c r="P1512" i="3"/>
  <c r="O1512" i="3"/>
  <c r="Q1512" i="3" s="1"/>
  <c r="S1512" i="3" s="1"/>
  <c r="T1512" i="3" s="1"/>
  <c r="R1511" i="3"/>
  <c r="P1511" i="3"/>
  <c r="O1511" i="3"/>
  <c r="Q1511" i="3" s="1"/>
  <c r="S1511" i="3" s="1"/>
  <c r="T1511" i="3" s="1"/>
  <c r="R1510" i="3"/>
  <c r="P1510" i="3"/>
  <c r="O1510" i="3"/>
  <c r="Q1510" i="3" s="1"/>
  <c r="S1510" i="3" s="1"/>
  <c r="T1510" i="3" s="1"/>
  <c r="R1509" i="3"/>
  <c r="P1509" i="3"/>
  <c r="O1509" i="3"/>
  <c r="Q1509" i="3" s="1"/>
  <c r="S1509" i="3" s="1"/>
  <c r="T1509" i="3" s="1"/>
  <c r="R1508" i="3"/>
  <c r="P1508" i="3"/>
  <c r="O1508" i="3"/>
  <c r="Q1508" i="3" s="1"/>
  <c r="S1508" i="3" s="1"/>
  <c r="T1508" i="3" s="1"/>
  <c r="R1507" i="3"/>
  <c r="P1507" i="3"/>
  <c r="O1507" i="3"/>
  <c r="Q1507" i="3" s="1"/>
  <c r="S1507" i="3" s="1"/>
  <c r="T1507" i="3" s="1"/>
  <c r="R1506" i="3"/>
  <c r="P1506" i="3"/>
  <c r="O1506" i="3"/>
  <c r="Q1506" i="3" s="1"/>
  <c r="S1506" i="3" s="1"/>
  <c r="T1506" i="3" s="1"/>
  <c r="R1505" i="3"/>
  <c r="P1505" i="3"/>
  <c r="O1505" i="3"/>
  <c r="Q1505" i="3" s="1"/>
  <c r="S1505" i="3" s="1"/>
  <c r="T1505" i="3" s="1"/>
  <c r="R1504" i="3"/>
  <c r="P1504" i="3"/>
  <c r="O1504" i="3"/>
  <c r="Q1504" i="3" s="1"/>
  <c r="S1504" i="3" s="1"/>
  <c r="T1504" i="3" s="1"/>
  <c r="R1503" i="3"/>
  <c r="P1503" i="3"/>
  <c r="O1503" i="3"/>
  <c r="Q1503" i="3" s="1"/>
  <c r="S1503" i="3" s="1"/>
  <c r="T1503" i="3" s="1"/>
  <c r="R1502" i="3"/>
  <c r="P1502" i="3"/>
  <c r="O1502" i="3"/>
  <c r="Q1502" i="3" s="1"/>
  <c r="S1502" i="3" s="1"/>
  <c r="T1502" i="3" s="1"/>
  <c r="R1501" i="3"/>
  <c r="P1501" i="3"/>
  <c r="O1501" i="3"/>
  <c r="Q1501" i="3" s="1"/>
  <c r="S1501" i="3" s="1"/>
  <c r="T1501" i="3" s="1"/>
  <c r="R1500" i="3"/>
  <c r="P1500" i="3"/>
  <c r="O1500" i="3"/>
  <c r="Q1500" i="3" s="1"/>
  <c r="S1500" i="3" s="1"/>
  <c r="T1500" i="3" s="1"/>
  <c r="R1499" i="3"/>
  <c r="P1499" i="3"/>
  <c r="O1499" i="3"/>
  <c r="Q1499" i="3" s="1"/>
  <c r="S1499" i="3" s="1"/>
  <c r="T1499" i="3" s="1"/>
  <c r="R1498" i="3"/>
  <c r="P1498" i="3"/>
  <c r="O1498" i="3"/>
  <c r="Q1498" i="3" s="1"/>
  <c r="S1498" i="3" s="1"/>
  <c r="T1498" i="3" s="1"/>
  <c r="R1497" i="3"/>
  <c r="P1497" i="3"/>
  <c r="O1497" i="3"/>
  <c r="Q1497" i="3" s="1"/>
  <c r="S1497" i="3" s="1"/>
  <c r="T1497" i="3" s="1"/>
  <c r="R1496" i="3"/>
  <c r="P1496" i="3"/>
  <c r="O1496" i="3"/>
  <c r="Q1496" i="3" s="1"/>
  <c r="S1496" i="3" s="1"/>
  <c r="T1496" i="3" s="1"/>
  <c r="R1495" i="3"/>
  <c r="P1495" i="3"/>
  <c r="O1495" i="3"/>
  <c r="Q1495" i="3" s="1"/>
  <c r="S1495" i="3" s="1"/>
  <c r="T1495" i="3" s="1"/>
  <c r="R1494" i="3"/>
  <c r="P1494" i="3"/>
  <c r="O1494" i="3"/>
  <c r="Q1494" i="3" s="1"/>
  <c r="S1494" i="3" s="1"/>
  <c r="T1494" i="3" s="1"/>
  <c r="R1493" i="3"/>
  <c r="P1493" i="3"/>
  <c r="O1493" i="3"/>
  <c r="Q1493" i="3" s="1"/>
  <c r="S1493" i="3" s="1"/>
  <c r="T1493" i="3" s="1"/>
  <c r="R1492" i="3"/>
  <c r="P1492" i="3"/>
  <c r="O1492" i="3"/>
  <c r="Q1492" i="3" s="1"/>
  <c r="S1492" i="3" s="1"/>
  <c r="T1492" i="3" s="1"/>
  <c r="R1491" i="3"/>
  <c r="P1491" i="3"/>
  <c r="O1491" i="3"/>
  <c r="Q1491" i="3" s="1"/>
  <c r="S1491" i="3" s="1"/>
  <c r="T1491" i="3" s="1"/>
  <c r="R1490" i="3"/>
  <c r="P1490" i="3"/>
  <c r="O1490" i="3"/>
  <c r="Q1490" i="3" s="1"/>
  <c r="S1490" i="3" s="1"/>
  <c r="T1490" i="3" s="1"/>
  <c r="R1489" i="3"/>
  <c r="P1489" i="3"/>
  <c r="O1489" i="3"/>
  <c r="Q1489" i="3" s="1"/>
  <c r="S1489" i="3" s="1"/>
  <c r="T1489" i="3" s="1"/>
  <c r="R1488" i="3"/>
  <c r="P1488" i="3"/>
  <c r="O1488" i="3"/>
  <c r="Q1488" i="3" s="1"/>
  <c r="S1488" i="3" s="1"/>
  <c r="T1488" i="3" s="1"/>
  <c r="R1487" i="3"/>
  <c r="P1487" i="3"/>
  <c r="O1487" i="3"/>
  <c r="Q1487" i="3" s="1"/>
  <c r="S1487" i="3" s="1"/>
  <c r="T1487" i="3" s="1"/>
  <c r="R1486" i="3"/>
  <c r="P1486" i="3"/>
  <c r="O1486" i="3"/>
  <c r="Q1486" i="3" s="1"/>
  <c r="S1486" i="3" s="1"/>
  <c r="T1486" i="3" s="1"/>
  <c r="R1485" i="3"/>
  <c r="P1485" i="3"/>
  <c r="O1485" i="3"/>
  <c r="Q1485" i="3" s="1"/>
  <c r="S1485" i="3" s="1"/>
  <c r="T1485" i="3" s="1"/>
  <c r="R1484" i="3"/>
  <c r="P1484" i="3"/>
  <c r="O1484" i="3"/>
  <c r="Q1484" i="3" s="1"/>
  <c r="S1484" i="3" s="1"/>
  <c r="T1484" i="3" s="1"/>
  <c r="R1483" i="3"/>
  <c r="P1483" i="3"/>
  <c r="O1483" i="3"/>
  <c r="Q1483" i="3" s="1"/>
  <c r="S1483" i="3" s="1"/>
  <c r="T1483" i="3" s="1"/>
  <c r="R1482" i="3"/>
  <c r="P1482" i="3"/>
  <c r="O1482" i="3"/>
  <c r="Q1482" i="3" s="1"/>
  <c r="S1482" i="3" s="1"/>
  <c r="T1482" i="3" s="1"/>
  <c r="R1481" i="3"/>
  <c r="P1481" i="3"/>
  <c r="O1481" i="3"/>
  <c r="Q1481" i="3" s="1"/>
  <c r="S1481" i="3" s="1"/>
  <c r="T1481" i="3" s="1"/>
  <c r="R1480" i="3"/>
  <c r="P1480" i="3"/>
  <c r="O1480" i="3"/>
  <c r="Q1480" i="3" s="1"/>
  <c r="S1480" i="3" s="1"/>
  <c r="T1480" i="3" s="1"/>
  <c r="R1479" i="3"/>
  <c r="P1479" i="3"/>
  <c r="O1479" i="3"/>
  <c r="Q1479" i="3" s="1"/>
  <c r="S1479" i="3" s="1"/>
  <c r="T1479" i="3" s="1"/>
  <c r="R1478" i="3"/>
  <c r="P1478" i="3"/>
  <c r="O1478" i="3"/>
  <c r="Q1478" i="3" s="1"/>
  <c r="S1478" i="3" s="1"/>
  <c r="T1478" i="3" s="1"/>
  <c r="R1477" i="3"/>
  <c r="P1477" i="3"/>
  <c r="O1477" i="3"/>
  <c r="Q1477" i="3" s="1"/>
  <c r="S1477" i="3" s="1"/>
  <c r="T1477" i="3" s="1"/>
  <c r="R1476" i="3"/>
  <c r="P1476" i="3"/>
  <c r="O1476" i="3"/>
  <c r="Q1476" i="3" s="1"/>
  <c r="S1476" i="3" s="1"/>
  <c r="T1476" i="3" s="1"/>
  <c r="R1475" i="3"/>
  <c r="P1475" i="3"/>
  <c r="O1475" i="3"/>
  <c r="Q1475" i="3" s="1"/>
  <c r="S1475" i="3" s="1"/>
  <c r="T1475" i="3" s="1"/>
  <c r="R1474" i="3"/>
  <c r="P1474" i="3"/>
  <c r="O1474" i="3"/>
  <c r="Q1474" i="3" s="1"/>
  <c r="S1474" i="3" s="1"/>
  <c r="T1474" i="3" s="1"/>
  <c r="R1473" i="3"/>
  <c r="P1473" i="3"/>
  <c r="O1473" i="3"/>
  <c r="Q1473" i="3" s="1"/>
  <c r="S1473" i="3" s="1"/>
  <c r="T1473" i="3" s="1"/>
  <c r="R1472" i="3"/>
  <c r="P1472" i="3"/>
  <c r="O1472" i="3"/>
  <c r="Q1472" i="3" s="1"/>
  <c r="S1472" i="3" s="1"/>
  <c r="T1472" i="3" s="1"/>
  <c r="R1471" i="3"/>
  <c r="P1471" i="3"/>
  <c r="O1471" i="3"/>
  <c r="Q1471" i="3" s="1"/>
  <c r="S1471" i="3" s="1"/>
  <c r="T1471" i="3" s="1"/>
  <c r="R1470" i="3"/>
  <c r="P1470" i="3"/>
  <c r="O1470" i="3"/>
  <c r="Q1470" i="3" s="1"/>
  <c r="S1470" i="3" s="1"/>
  <c r="T1470" i="3" s="1"/>
  <c r="R1469" i="3"/>
  <c r="P1469" i="3"/>
  <c r="O1469" i="3"/>
  <c r="Q1469" i="3" s="1"/>
  <c r="S1469" i="3" s="1"/>
  <c r="T1469" i="3" s="1"/>
  <c r="R1468" i="3"/>
  <c r="P1468" i="3"/>
  <c r="O1468" i="3"/>
  <c r="Q1468" i="3" s="1"/>
  <c r="S1468" i="3" s="1"/>
  <c r="T1468" i="3" s="1"/>
  <c r="R1467" i="3"/>
  <c r="P1467" i="3"/>
  <c r="O1467" i="3"/>
  <c r="Q1467" i="3" s="1"/>
  <c r="S1467" i="3" s="1"/>
  <c r="T1467" i="3" s="1"/>
  <c r="R1466" i="3"/>
  <c r="P1466" i="3"/>
  <c r="O1466" i="3"/>
  <c r="Q1466" i="3" s="1"/>
  <c r="S1466" i="3" s="1"/>
  <c r="T1466" i="3" s="1"/>
  <c r="R1465" i="3"/>
  <c r="P1465" i="3"/>
  <c r="O1465" i="3"/>
  <c r="Q1465" i="3" s="1"/>
  <c r="S1465" i="3" s="1"/>
  <c r="T1465" i="3" s="1"/>
  <c r="R1464" i="3"/>
  <c r="P1464" i="3"/>
  <c r="O1464" i="3"/>
  <c r="Q1464" i="3" s="1"/>
  <c r="S1464" i="3" s="1"/>
  <c r="T1464" i="3" s="1"/>
  <c r="R1463" i="3"/>
  <c r="P1463" i="3"/>
  <c r="O1463" i="3"/>
  <c r="Q1463" i="3" s="1"/>
  <c r="S1463" i="3" s="1"/>
  <c r="T1463" i="3" s="1"/>
  <c r="R1462" i="3"/>
  <c r="P1462" i="3"/>
  <c r="O1462" i="3"/>
  <c r="Q1462" i="3" s="1"/>
  <c r="S1462" i="3" s="1"/>
  <c r="T1462" i="3" s="1"/>
  <c r="R1461" i="3"/>
  <c r="P1461" i="3"/>
  <c r="O1461" i="3"/>
  <c r="Q1461" i="3" s="1"/>
  <c r="S1461" i="3" s="1"/>
  <c r="T1461" i="3" s="1"/>
  <c r="R1460" i="3"/>
  <c r="P1460" i="3"/>
  <c r="O1460" i="3"/>
  <c r="Q1460" i="3" s="1"/>
  <c r="S1460" i="3" s="1"/>
  <c r="T1460" i="3" s="1"/>
  <c r="R1459" i="3"/>
  <c r="P1459" i="3"/>
  <c r="O1459" i="3"/>
  <c r="Q1459" i="3" s="1"/>
  <c r="S1459" i="3" s="1"/>
  <c r="T1459" i="3" s="1"/>
  <c r="R1458" i="3"/>
  <c r="P1458" i="3"/>
  <c r="O1458" i="3"/>
  <c r="Q1458" i="3" s="1"/>
  <c r="S1458" i="3" s="1"/>
  <c r="T1458" i="3" s="1"/>
  <c r="R1457" i="3"/>
  <c r="P1457" i="3"/>
  <c r="O1457" i="3"/>
  <c r="Q1457" i="3" s="1"/>
  <c r="S1457" i="3" s="1"/>
  <c r="T1457" i="3" s="1"/>
  <c r="R1456" i="3"/>
  <c r="P1456" i="3"/>
  <c r="O1456" i="3"/>
  <c r="Q1456" i="3" s="1"/>
  <c r="S1456" i="3" s="1"/>
  <c r="T1456" i="3" s="1"/>
  <c r="R1455" i="3"/>
  <c r="P1455" i="3"/>
  <c r="O1455" i="3"/>
  <c r="Q1455" i="3" s="1"/>
  <c r="S1455" i="3" s="1"/>
  <c r="T1455" i="3" s="1"/>
  <c r="R1454" i="3"/>
  <c r="P1454" i="3"/>
  <c r="O1454" i="3"/>
  <c r="Q1454" i="3" s="1"/>
  <c r="S1454" i="3" s="1"/>
  <c r="T1454" i="3" s="1"/>
  <c r="R1453" i="3"/>
  <c r="P1453" i="3"/>
  <c r="O1453" i="3"/>
  <c r="Q1453" i="3" s="1"/>
  <c r="S1453" i="3" s="1"/>
  <c r="T1453" i="3" s="1"/>
  <c r="R1452" i="3"/>
  <c r="P1452" i="3"/>
  <c r="O1452" i="3"/>
  <c r="Q1452" i="3" s="1"/>
  <c r="S1452" i="3" s="1"/>
  <c r="T1452" i="3" s="1"/>
  <c r="R1451" i="3"/>
  <c r="P1451" i="3"/>
  <c r="O1451" i="3"/>
  <c r="Q1451" i="3" s="1"/>
  <c r="S1451" i="3" s="1"/>
  <c r="T1451" i="3" s="1"/>
  <c r="R1450" i="3"/>
  <c r="P1450" i="3"/>
  <c r="O1450" i="3"/>
  <c r="Q1450" i="3" s="1"/>
  <c r="S1450" i="3" s="1"/>
  <c r="T1450" i="3" s="1"/>
  <c r="R1449" i="3"/>
  <c r="P1449" i="3"/>
  <c r="O1449" i="3"/>
  <c r="Q1449" i="3" s="1"/>
  <c r="S1449" i="3" s="1"/>
  <c r="T1449" i="3" s="1"/>
  <c r="R1448" i="3"/>
  <c r="P1448" i="3"/>
  <c r="O1448" i="3"/>
  <c r="Q1448" i="3" s="1"/>
  <c r="S1448" i="3" s="1"/>
  <c r="T1448" i="3" s="1"/>
  <c r="R1447" i="3"/>
  <c r="P1447" i="3"/>
  <c r="O1447" i="3"/>
  <c r="Q1447" i="3" s="1"/>
  <c r="S1447" i="3" s="1"/>
  <c r="T1447" i="3" s="1"/>
  <c r="R1446" i="3"/>
  <c r="P1446" i="3"/>
  <c r="O1446" i="3"/>
  <c r="Q1446" i="3" s="1"/>
  <c r="S1446" i="3" s="1"/>
  <c r="T1446" i="3" s="1"/>
  <c r="R1445" i="3"/>
  <c r="P1445" i="3"/>
  <c r="O1445" i="3"/>
  <c r="Q1445" i="3" s="1"/>
  <c r="S1445" i="3" s="1"/>
  <c r="T1445" i="3" s="1"/>
  <c r="R1444" i="3"/>
  <c r="P1444" i="3"/>
  <c r="O1444" i="3"/>
  <c r="Q1444" i="3" s="1"/>
  <c r="S1444" i="3" s="1"/>
  <c r="T1444" i="3" s="1"/>
  <c r="R1443" i="3"/>
  <c r="P1443" i="3"/>
  <c r="O1443" i="3"/>
  <c r="Q1443" i="3" s="1"/>
  <c r="S1443" i="3" s="1"/>
  <c r="T1443" i="3" s="1"/>
  <c r="R1442" i="3"/>
  <c r="P1442" i="3"/>
  <c r="O1442" i="3"/>
  <c r="Q1442" i="3" s="1"/>
  <c r="S1442" i="3" s="1"/>
  <c r="T1442" i="3" s="1"/>
  <c r="R1441" i="3"/>
  <c r="P1441" i="3"/>
  <c r="O1441" i="3"/>
  <c r="Q1441" i="3" s="1"/>
  <c r="S1441" i="3" s="1"/>
  <c r="T1441" i="3" s="1"/>
  <c r="R1440" i="3"/>
  <c r="P1440" i="3"/>
  <c r="O1440" i="3"/>
  <c r="Q1440" i="3" s="1"/>
  <c r="S1440" i="3" s="1"/>
  <c r="T1440" i="3" s="1"/>
  <c r="R1439" i="3"/>
  <c r="P1439" i="3"/>
  <c r="O1439" i="3"/>
  <c r="Q1439" i="3" s="1"/>
  <c r="S1439" i="3" s="1"/>
  <c r="T1439" i="3" s="1"/>
  <c r="R1438" i="3"/>
  <c r="P1438" i="3"/>
  <c r="O1438" i="3"/>
  <c r="Q1438" i="3" s="1"/>
  <c r="S1438" i="3" s="1"/>
  <c r="T1438" i="3" s="1"/>
  <c r="R1437" i="3"/>
  <c r="P1437" i="3"/>
  <c r="O1437" i="3"/>
  <c r="Q1437" i="3" s="1"/>
  <c r="S1437" i="3" s="1"/>
  <c r="T1437" i="3" s="1"/>
  <c r="R1436" i="3"/>
  <c r="P1436" i="3"/>
  <c r="O1436" i="3"/>
  <c r="Q1436" i="3" s="1"/>
  <c r="S1436" i="3" s="1"/>
  <c r="T1436" i="3" s="1"/>
  <c r="R1435" i="3"/>
  <c r="P1435" i="3"/>
  <c r="O1435" i="3"/>
  <c r="Q1435" i="3" s="1"/>
  <c r="S1435" i="3" s="1"/>
  <c r="T1435" i="3" s="1"/>
  <c r="R1434" i="3"/>
  <c r="P1434" i="3"/>
  <c r="O1434" i="3"/>
  <c r="Q1434" i="3" s="1"/>
  <c r="S1434" i="3" s="1"/>
  <c r="T1434" i="3" s="1"/>
  <c r="R1433" i="3"/>
  <c r="P1433" i="3"/>
  <c r="O1433" i="3"/>
  <c r="Q1433" i="3" s="1"/>
  <c r="S1433" i="3" s="1"/>
  <c r="T1433" i="3" s="1"/>
  <c r="R1432" i="3"/>
  <c r="P1432" i="3"/>
  <c r="O1432" i="3"/>
  <c r="Q1432" i="3" s="1"/>
  <c r="S1432" i="3" s="1"/>
  <c r="T1432" i="3" s="1"/>
  <c r="R1431" i="3"/>
  <c r="P1431" i="3"/>
  <c r="O1431" i="3"/>
  <c r="Q1431" i="3" s="1"/>
  <c r="S1431" i="3" s="1"/>
  <c r="T1431" i="3" s="1"/>
  <c r="R1430" i="3"/>
  <c r="P1430" i="3"/>
  <c r="O1430" i="3"/>
  <c r="Q1430" i="3" s="1"/>
  <c r="S1430" i="3" s="1"/>
  <c r="T1430" i="3" s="1"/>
  <c r="R1429" i="3"/>
  <c r="P1429" i="3"/>
  <c r="O1429" i="3"/>
  <c r="Q1429" i="3" s="1"/>
  <c r="S1429" i="3" s="1"/>
  <c r="T1429" i="3" s="1"/>
  <c r="R1428" i="3"/>
  <c r="P1428" i="3"/>
  <c r="O1428" i="3"/>
  <c r="Q1428" i="3" s="1"/>
  <c r="S1428" i="3" s="1"/>
  <c r="T1428" i="3" s="1"/>
  <c r="R1427" i="3"/>
  <c r="P1427" i="3"/>
  <c r="O1427" i="3"/>
  <c r="Q1427" i="3" s="1"/>
  <c r="S1427" i="3" s="1"/>
  <c r="T1427" i="3" s="1"/>
  <c r="R1426" i="3"/>
  <c r="P1426" i="3"/>
  <c r="O1426" i="3"/>
  <c r="Q1426" i="3" s="1"/>
  <c r="S1426" i="3" s="1"/>
  <c r="T1426" i="3" s="1"/>
  <c r="R1425" i="3"/>
  <c r="P1425" i="3"/>
  <c r="O1425" i="3"/>
  <c r="Q1425" i="3" s="1"/>
  <c r="S1425" i="3" s="1"/>
  <c r="T1425" i="3" s="1"/>
  <c r="R1424" i="3"/>
  <c r="P1424" i="3"/>
  <c r="O1424" i="3"/>
  <c r="Q1424" i="3" s="1"/>
  <c r="S1424" i="3" s="1"/>
  <c r="T1424" i="3" s="1"/>
  <c r="R1423" i="3"/>
  <c r="P1423" i="3"/>
  <c r="O1423" i="3"/>
  <c r="Q1423" i="3" s="1"/>
  <c r="S1423" i="3" s="1"/>
  <c r="T1423" i="3" s="1"/>
  <c r="R1422" i="3"/>
  <c r="P1422" i="3"/>
  <c r="O1422" i="3"/>
  <c r="Q1422" i="3" s="1"/>
  <c r="S1422" i="3" s="1"/>
  <c r="T1422" i="3" s="1"/>
  <c r="R1421" i="3"/>
  <c r="P1421" i="3"/>
  <c r="O1421" i="3"/>
  <c r="Q1421" i="3" s="1"/>
  <c r="S1421" i="3" s="1"/>
  <c r="T1421" i="3" s="1"/>
  <c r="R1420" i="3"/>
  <c r="P1420" i="3"/>
  <c r="O1420" i="3"/>
  <c r="Q1420" i="3" s="1"/>
  <c r="S1420" i="3" s="1"/>
  <c r="T1420" i="3" s="1"/>
  <c r="R1419" i="3"/>
  <c r="P1419" i="3"/>
  <c r="O1419" i="3"/>
  <c r="Q1419" i="3" s="1"/>
  <c r="S1419" i="3" s="1"/>
  <c r="T1419" i="3" s="1"/>
  <c r="R1418" i="3"/>
  <c r="P1418" i="3"/>
  <c r="O1418" i="3"/>
  <c r="Q1418" i="3" s="1"/>
  <c r="S1418" i="3" s="1"/>
  <c r="T1418" i="3" s="1"/>
  <c r="R1417" i="3"/>
  <c r="P1417" i="3"/>
  <c r="O1417" i="3"/>
  <c r="Q1417" i="3" s="1"/>
  <c r="S1417" i="3" s="1"/>
  <c r="T1417" i="3" s="1"/>
  <c r="R1416" i="3"/>
  <c r="P1416" i="3"/>
  <c r="O1416" i="3"/>
  <c r="Q1416" i="3" s="1"/>
  <c r="S1416" i="3" s="1"/>
  <c r="T1416" i="3" s="1"/>
  <c r="R1415" i="3"/>
  <c r="P1415" i="3"/>
  <c r="O1415" i="3"/>
  <c r="Q1415" i="3" s="1"/>
  <c r="S1415" i="3" s="1"/>
  <c r="T1415" i="3" s="1"/>
  <c r="R1414" i="3"/>
  <c r="P1414" i="3"/>
  <c r="O1414" i="3"/>
  <c r="Q1414" i="3" s="1"/>
  <c r="S1414" i="3" s="1"/>
  <c r="T1414" i="3" s="1"/>
  <c r="R1413" i="3"/>
  <c r="P1413" i="3"/>
  <c r="O1413" i="3"/>
  <c r="Q1413" i="3" s="1"/>
  <c r="S1413" i="3" s="1"/>
  <c r="T1413" i="3" s="1"/>
  <c r="R1412" i="3"/>
  <c r="P1412" i="3"/>
  <c r="O1412" i="3"/>
  <c r="Q1412" i="3" s="1"/>
  <c r="S1412" i="3" s="1"/>
  <c r="T1412" i="3" s="1"/>
  <c r="R1411" i="3"/>
  <c r="P1411" i="3"/>
  <c r="O1411" i="3"/>
  <c r="Q1411" i="3" s="1"/>
  <c r="S1411" i="3" s="1"/>
  <c r="T1411" i="3" s="1"/>
  <c r="R1410" i="3"/>
  <c r="P1410" i="3"/>
  <c r="O1410" i="3"/>
  <c r="Q1410" i="3" s="1"/>
  <c r="S1410" i="3" s="1"/>
  <c r="T1410" i="3" s="1"/>
  <c r="R1409" i="3"/>
  <c r="P1409" i="3"/>
  <c r="O1409" i="3"/>
  <c r="Q1409" i="3" s="1"/>
  <c r="S1409" i="3" s="1"/>
  <c r="T1409" i="3" s="1"/>
  <c r="R1408" i="3"/>
  <c r="P1408" i="3"/>
  <c r="O1408" i="3"/>
  <c r="Q1408" i="3" s="1"/>
  <c r="S1408" i="3" s="1"/>
  <c r="T1408" i="3" s="1"/>
  <c r="R1407" i="3"/>
  <c r="P1407" i="3"/>
  <c r="O1407" i="3"/>
  <c r="Q1407" i="3" s="1"/>
  <c r="S1407" i="3" s="1"/>
  <c r="T1407" i="3" s="1"/>
  <c r="R1406" i="3"/>
  <c r="P1406" i="3"/>
  <c r="O1406" i="3"/>
  <c r="Q1406" i="3" s="1"/>
  <c r="S1406" i="3" s="1"/>
  <c r="T1406" i="3" s="1"/>
  <c r="R1405" i="3"/>
  <c r="P1405" i="3"/>
  <c r="O1405" i="3"/>
  <c r="Q1405" i="3" s="1"/>
  <c r="S1405" i="3" s="1"/>
  <c r="T1405" i="3" s="1"/>
  <c r="R1404" i="3"/>
  <c r="P1404" i="3"/>
  <c r="O1404" i="3"/>
  <c r="Q1404" i="3" s="1"/>
  <c r="S1404" i="3" s="1"/>
  <c r="T1404" i="3" s="1"/>
  <c r="R1403" i="3"/>
  <c r="P1403" i="3"/>
  <c r="O1403" i="3"/>
  <c r="Q1403" i="3" s="1"/>
  <c r="S1403" i="3" s="1"/>
  <c r="T1403" i="3" s="1"/>
  <c r="R1402" i="3"/>
  <c r="P1402" i="3"/>
  <c r="O1402" i="3"/>
  <c r="Q1402" i="3" s="1"/>
  <c r="S1402" i="3" s="1"/>
  <c r="T1402" i="3" s="1"/>
  <c r="R1401" i="3"/>
  <c r="P1401" i="3"/>
  <c r="O1401" i="3"/>
  <c r="Q1401" i="3" s="1"/>
  <c r="S1401" i="3" s="1"/>
  <c r="T1401" i="3" s="1"/>
  <c r="R1400" i="3"/>
  <c r="P1400" i="3"/>
  <c r="O1400" i="3"/>
  <c r="Q1400" i="3" s="1"/>
  <c r="S1400" i="3" s="1"/>
  <c r="T1400" i="3" s="1"/>
  <c r="R1399" i="3"/>
  <c r="P1399" i="3"/>
  <c r="O1399" i="3"/>
  <c r="Q1399" i="3" s="1"/>
  <c r="S1399" i="3" s="1"/>
  <c r="T1399" i="3" s="1"/>
  <c r="R1398" i="3"/>
  <c r="P1398" i="3"/>
  <c r="O1398" i="3"/>
  <c r="Q1398" i="3" s="1"/>
  <c r="S1398" i="3" s="1"/>
  <c r="T1398" i="3" s="1"/>
  <c r="R1397" i="3"/>
  <c r="P1397" i="3"/>
  <c r="O1397" i="3"/>
  <c r="Q1397" i="3" s="1"/>
  <c r="S1397" i="3" s="1"/>
  <c r="T1397" i="3" s="1"/>
  <c r="R1396" i="3"/>
  <c r="P1396" i="3"/>
  <c r="O1396" i="3"/>
  <c r="Q1396" i="3" s="1"/>
  <c r="S1396" i="3" s="1"/>
  <c r="T1396" i="3" s="1"/>
  <c r="R1395" i="3"/>
  <c r="P1395" i="3"/>
  <c r="O1395" i="3"/>
  <c r="Q1395" i="3" s="1"/>
  <c r="S1395" i="3" s="1"/>
  <c r="T1395" i="3" s="1"/>
  <c r="R1394" i="3"/>
  <c r="P1394" i="3"/>
  <c r="O1394" i="3"/>
  <c r="Q1394" i="3" s="1"/>
  <c r="S1394" i="3" s="1"/>
  <c r="T1394" i="3" s="1"/>
  <c r="R1393" i="3"/>
  <c r="P1393" i="3"/>
  <c r="O1393" i="3"/>
  <c r="Q1393" i="3" s="1"/>
  <c r="S1393" i="3" s="1"/>
  <c r="T1393" i="3" s="1"/>
  <c r="R1392" i="3"/>
  <c r="P1392" i="3"/>
  <c r="O1392" i="3"/>
  <c r="Q1392" i="3" s="1"/>
  <c r="S1392" i="3" s="1"/>
  <c r="T1392" i="3" s="1"/>
  <c r="R1391" i="3"/>
  <c r="P1391" i="3"/>
  <c r="O1391" i="3"/>
  <c r="Q1391" i="3" s="1"/>
  <c r="S1391" i="3" s="1"/>
  <c r="T1391" i="3" s="1"/>
  <c r="R1390" i="3"/>
  <c r="P1390" i="3"/>
  <c r="O1390" i="3"/>
  <c r="Q1390" i="3" s="1"/>
  <c r="S1390" i="3" s="1"/>
  <c r="T1390" i="3" s="1"/>
  <c r="R1389" i="3"/>
  <c r="P1389" i="3"/>
  <c r="O1389" i="3"/>
  <c r="Q1389" i="3" s="1"/>
  <c r="S1389" i="3" s="1"/>
  <c r="T1389" i="3" s="1"/>
  <c r="R1388" i="3"/>
  <c r="P1388" i="3"/>
  <c r="O1388" i="3"/>
  <c r="Q1388" i="3" s="1"/>
  <c r="S1388" i="3" s="1"/>
  <c r="T1388" i="3" s="1"/>
  <c r="R1387" i="3"/>
  <c r="P1387" i="3"/>
  <c r="O1387" i="3"/>
  <c r="Q1387" i="3" s="1"/>
  <c r="S1387" i="3" s="1"/>
  <c r="T1387" i="3" s="1"/>
  <c r="R1386" i="3"/>
  <c r="P1386" i="3"/>
  <c r="O1386" i="3"/>
  <c r="Q1386" i="3" s="1"/>
  <c r="S1386" i="3" s="1"/>
  <c r="T1386" i="3" s="1"/>
  <c r="R1385" i="3"/>
  <c r="P1385" i="3"/>
  <c r="O1385" i="3"/>
  <c r="Q1385" i="3" s="1"/>
  <c r="S1385" i="3" s="1"/>
  <c r="T1385" i="3" s="1"/>
  <c r="R1384" i="3"/>
  <c r="P1384" i="3"/>
  <c r="O1384" i="3"/>
  <c r="Q1384" i="3" s="1"/>
  <c r="S1384" i="3" s="1"/>
  <c r="T1384" i="3" s="1"/>
  <c r="R1383" i="3"/>
  <c r="P1383" i="3"/>
  <c r="O1383" i="3"/>
  <c r="Q1383" i="3" s="1"/>
  <c r="S1383" i="3" s="1"/>
  <c r="T1383" i="3" s="1"/>
  <c r="R1382" i="3"/>
  <c r="P1382" i="3"/>
  <c r="O1382" i="3"/>
  <c r="Q1382" i="3" s="1"/>
  <c r="S1382" i="3" s="1"/>
  <c r="T1382" i="3" s="1"/>
  <c r="R1381" i="3"/>
  <c r="P1381" i="3"/>
  <c r="O1381" i="3"/>
  <c r="Q1381" i="3" s="1"/>
  <c r="S1381" i="3" s="1"/>
  <c r="T1381" i="3" s="1"/>
  <c r="R1380" i="3"/>
  <c r="P1380" i="3"/>
  <c r="O1380" i="3"/>
  <c r="Q1380" i="3" s="1"/>
  <c r="S1380" i="3" s="1"/>
  <c r="T1380" i="3" s="1"/>
  <c r="R1379" i="3"/>
  <c r="P1379" i="3"/>
  <c r="O1379" i="3"/>
  <c r="Q1379" i="3" s="1"/>
  <c r="S1379" i="3" s="1"/>
  <c r="T1379" i="3" s="1"/>
  <c r="R1378" i="3"/>
  <c r="P1378" i="3"/>
  <c r="O1378" i="3"/>
  <c r="Q1378" i="3" s="1"/>
  <c r="S1378" i="3" s="1"/>
  <c r="T1378" i="3" s="1"/>
  <c r="R1377" i="3"/>
  <c r="P1377" i="3"/>
  <c r="O1377" i="3"/>
  <c r="Q1377" i="3" s="1"/>
  <c r="S1377" i="3" s="1"/>
  <c r="T1377" i="3" s="1"/>
  <c r="R1376" i="3"/>
  <c r="P1376" i="3"/>
  <c r="O1376" i="3"/>
  <c r="Q1376" i="3" s="1"/>
  <c r="S1376" i="3" s="1"/>
  <c r="T1376" i="3" s="1"/>
  <c r="R1375" i="3"/>
  <c r="P1375" i="3"/>
  <c r="O1375" i="3"/>
  <c r="Q1375" i="3" s="1"/>
  <c r="S1375" i="3" s="1"/>
  <c r="T1375" i="3" s="1"/>
  <c r="R1374" i="3"/>
  <c r="P1374" i="3"/>
  <c r="O1374" i="3"/>
  <c r="Q1374" i="3" s="1"/>
  <c r="S1374" i="3" s="1"/>
  <c r="T1374" i="3" s="1"/>
  <c r="R1373" i="3"/>
  <c r="P1373" i="3"/>
  <c r="O1373" i="3"/>
  <c r="Q1373" i="3" s="1"/>
  <c r="S1373" i="3" s="1"/>
  <c r="T1373" i="3" s="1"/>
  <c r="R1372" i="3"/>
  <c r="P1372" i="3"/>
  <c r="O1372" i="3"/>
  <c r="Q1372" i="3" s="1"/>
  <c r="S1372" i="3" s="1"/>
  <c r="T1372" i="3" s="1"/>
  <c r="R1371" i="3"/>
  <c r="P1371" i="3"/>
  <c r="O1371" i="3"/>
  <c r="Q1371" i="3" s="1"/>
  <c r="S1371" i="3" s="1"/>
  <c r="T1371" i="3" s="1"/>
  <c r="R1370" i="3"/>
  <c r="P1370" i="3"/>
  <c r="O1370" i="3"/>
  <c r="Q1370" i="3" s="1"/>
  <c r="S1370" i="3" s="1"/>
  <c r="T1370" i="3" s="1"/>
  <c r="R1369" i="3"/>
  <c r="P1369" i="3"/>
  <c r="O1369" i="3"/>
  <c r="Q1369" i="3" s="1"/>
  <c r="S1369" i="3" s="1"/>
  <c r="T1369" i="3" s="1"/>
  <c r="R1368" i="3"/>
  <c r="P1368" i="3"/>
  <c r="O1368" i="3"/>
  <c r="Q1368" i="3" s="1"/>
  <c r="S1368" i="3" s="1"/>
  <c r="T1368" i="3" s="1"/>
  <c r="R1367" i="3"/>
  <c r="P1367" i="3"/>
  <c r="O1367" i="3"/>
  <c r="Q1367" i="3" s="1"/>
  <c r="S1367" i="3" s="1"/>
  <c r="T1367" i="3" s="1"/>
  <c r="R1366" i="3"/>
  <c r="P1366" i="3"/>
  <c r="O1366" i="3"/>
  <c r="Q1366" i="3" s="1"/>
  <c r="S1366" i="3" s="1"/>
  <c r="T1366" i="3" s="1"/>
  <c r="R1365" i="3"/>
  <c r="P1365" i="3"/>
  <c r="O1365" i="3"/>
  <c r="Q1365" i="3" s="1"/>
  <c r="S1365" i="3" s="1"/>
  <c r="T1365" i="3" s="1"/>
  <c r="R1364" i="3"/>
  <c r="P1364" i="3"/>
  <c r="O1364" i="3"/>
  <c r="Q1364" i="3" s="1"/>
  <c r="S1364" i="3" s="1"/>
  <c r="T1364" i="3" s="1"/>
  <c r="R1363" i="3"/>
  <c r="P1363" i="3"/>
  <c r="O1363" i="3"/>
  <c r="Q1363" i="3" s="1"/>
  <c r="S1363" i="3" s="1"/>
  <c r="T1363" i="3" s="1"/>
  <c r="R1362" i="3"/>
  <c r="P1362" i="3"/>
  <c r="O1362" i="3"/>
  <c r="Q1362" i="3" s="1"/>
  <c r="S1362" i="3" s="1"/>
  <c r="T1362" i="3" s="1"/>
  <c r="R1361" i="3"/>
  <c r="P1361" i="3"/>
  <c r="O1361" i="3"/>
  <c r="Q1361" i="3" s="1"/>
  <c r="S1361" i="3" s="1"/>
  <c r="T1361" i="3" s="1"/>
  <c r="R1360" i="3"/>
  <c r="P1360" i="3"/>
  <c r="O1360" i="3"/>
  <c r="Q1360" i="3" s="1"/>
  <c r="S1360" i="3" s="1"/>
  <c r="T1360" i="3" s="1"/>
  <c r="R1359" i="3"/>
  <c r="P1359" i="3"/>
  <c r="O1359" i="3"/>
  <c r="Q1359" i="3" s="1"/>
  <c r="S1359" i="3" s="1"/>
  <c r="T1359" i="3" s="1"/>
  <c r="R1358" i="3"/>
  <c r="P1358" i="3"/>
  <c r="O1358" i="3"/>
  <c r="Q1358" i="3" s="1"/>
  <c r="S1358" i="3" s="1"/>
  <c r="T1358" i="3" s="1"/>
  <c r="R1357" i="3"/>
  <c r="P1357" i="3"/>
  <c r="O1357" i="3"/>
  <c r="Q1357" i="3" s="1"/>
  <c r="S1357" i="3" s="1"/>
  <c r="T1357" i="3" s="1"/>
  <c r="R1356" i="3"/>
  <c r="P1356" i="3"/>
  <c r="O1356" i="3"/>
  <c r="Q1356" i="3" s="1"/>
  <c r="S1356" i="3" s="1"/>
  <c r="T1356" i="3" s="1"/>
  <c r="R1355" i="3"/>
  <c r="P1355" i="3"/>
  <c r="O1355" i="3"/>
  <c r="Q1355" i="3" s="1"/>
  <c r="S1355" i="3" s="1"/>
  <c r="T1355" i="3" s="1"/>
  <c r="R1354" i="3"/>
  <c r="P1354" i="3"/>
  <c r="O1354" i="3"/>
  <c r="Q1354" i="3" s="1"/>
  <c r="S1354" i="3" s="1"/>
  <c r="T1354" i="3" s="1"/>
  <c r="R1353" i="3"/>
  <c r="P1353" i="3"/>
  <c r="O1353" i="3"/>
  <c r="Q1353" i="3" s="1"/>
  <c r="S1353" i="3" s="1"/>
  <c r="T1353" i="3" s="1"/>
  <c r="R1352" i="3"/>
  <c r="P1352" i="3"/>
  <c r="O1352" i="3"/>
  <c r="Q1352" i="3" s="1"/>
  <c r="S1352" i="3" s="1"/>
  <c r="T1352" i="3" s="1"/>
  <c r="R1351" i="3"/>
  <c r="P1351" i="3"/>
  <c r="O1351" i="3"/>
  <c r="Q1351" i="3" s="1"/>
  <c r="S1351" i="3" s="1"/>
  <c r="T1351" i="3" s="1"/>
  <c r="R1350" i="3"/>
  <c r="P1350" i="3"/>
  <c r="O1350" i="3"/>
  <c r="Q1350" i="3" s="1"/>
  <c r="S1350" i="3" s="1"/>
  <c r="T1350" i="3" s="1"/>
  <c r="R1349" i="3"/>
  <c r="P1349" i="3"/>
  <c r="O1349" i="3"/>
  <c r="Q1349" i="3" s="1"/>
  <c r="S1349" i="3" s="1"/>
  <c r="T1349" i="3" s="1"/>
  <c r="R1348" i="3"/>
  <c r="P1348" i="3"/>
  <c r="O1348" i="3"/>
  <c r="Q1348" i="3" s="1"/>
  <c r="S1348" i="3" s="1"/>
  <c r="T1348" i="3" s="1"/>
  <c r="R1347" i="3"/>
  <c r="P1347" i="3"/>
  <c r="O1347" i="3"/>
  <c r="Q1347" i="3" s="1"/>
  <c r="S1347" i="3" s="1"/>
  <c r="T1347" i="3" s="1"/>
  <c r="R1346" i="3"/>
  <c r="P1346" i="3"/>
  <c r="O1346" i="3"/>
  <c r="Q1346" i="3" s="1"/>
  <c r="S1346" i="3" s="1"/>
  <c r="T1346" i="3" s="1"/>
  <c r="R1345" i="3"/>
  <c r="P1345" i="3"/>
  <c r="O1345" i="3"/>
  <c r="Q1345" i="3" s="1"/>
  <c r="S1345" i="3" s="1"/>
  <c r="T1345" i="3" s="1"/>
  <c r="R1344" i="3"/>
  <c r="P1344" i="3"/>
  <c r="O1344" i="3"/>
  <c r="Q1344" i="3" s="1"/>
  <c r="S1344" i="3" s="1"/>
  <c r="T1344" i="3" s="1"/>
  <c r="R1343" i="3"/>
  <c r="P1343" i="3"/>
  <c r="O1343" i="3"/>
  <c r="Q1343" i="3" s="1"/>
  <c r="S1343" i="3" s="1"/>
  <c r="T1343" i="3" s="1"/>
  <c r="R1342" i="3"/>
  <c r="P1342" i="3"/>
  <c r="O1342" i="3"/>
  <c r="Q1342" i="3" s="1"/>
  <c r="S1342" i="3" s="1"/>
  <c r="T1342" i="3" s="1"/>
  <c r="R1341" i="3"/>
  <c r="P1341" i="3"/>
  <c r="O1341" i="3"/>
  <c r="Q1341" i="3" s="1"/>
  <c r="S1341" i="3" s="1"/>
  <c r="T1341" i="3" s="1"/>
  <c r="R1340" i="3"/>
  <c r="P1340" i="3"/>
  <c r="O1340" i="3"/>
  <c r="Q1340" i="3" s="1"/>
  <c r="S1340" i="3" s="1"/>
  <c r="T1340" i="3" s="1"/>
  <c r="R1339" i="3"/>
  <c r="P1339" i="3"/>
  <c r="O1339" i="3"/>
  <c r="Q1339" i="3" s="1"/>
  <c r="S1339" i="3" s="1"/>
  <c r="T1339" i="3" s="1"/>
  <c r="R1338" i="3"/>
  <c r="P1338" i="3"/>
  <c r="O1338" i="3"/>
  <c r="Q1338" i="3" s="1"/>
  <c r="S1338" i="3" s="1"/>
  <c r="T1338" i="3" s="1"/>
  <c r="R1337" i="3"/>
  <c r="P1337" i="3"/>
  <c r="O1337" i="3"/>
  <c r="Q1337" i="3" s="1"/>
  <c r="S1337" i="3" s="1"/>
  <c r="T1337" i="3" s="1"/>
  <c r="R1336" i="3"/>
  <c r="P1336" i="3"/>
  <c r="O1336" i="3"/>
  <c r="Q1336" i="3" s="1"/>
  <c r="S1336" i="3" s="1"/>
  <c r="T1336" i="3" s="1"/>
  <c r="R1335" i="3"/>
  <c r="P1335" i="3"/>
  <c r="O1335" i="3"/>
  <c r="Q1335" i="3" s="1"/>
  <c r="S1335" i="3" s="1"/>
  <c r="T1335" i="3" s="1"/>
  <c r="R1334" i="3"/>
  <c r="P1334" i="3"/>
  <c r="O1334" i="3"/>
  <c r="Q1334" i="3" s="1"/>
  <c r="S1334" i="3" s="1"/>
  <c r="T1334" i="3" s="1"/>
  <c r="R1333" i="3"/>
  <c r="P1333" i="3"/>
  <c r="O1333" i="3"/>
  <c r="Q1333" i="3" s="1"/>
  <c r="S1333" i="3" s="1"/>
  <c r="T1333" i="3" s="1"/>
  <c r="R1332" i="3"/>
  <c r="P1332" i="3"/>
  <c r="O1332" i="3"/>
  <c r="Q1332" i="3" s="1"/>
  <c r="S1332" i="3" s="1"/>
  <c r="T1332" i="3" s="1"/>
  <c r="R1331" i="3"/>
  <c r="P1331" i="3"/>
  <c r="O1331" i="3"/>
  <c r="Q1331" i="3" s="1"/>
  <c r="S1331" i="3" s="1"/>
  <c r="T1331" i="3" s="1"/>
  <c r="R1330" i="3"/>
  <c r="P1330" i="3"/>
  <c r="O1330" i="3"/>
  <c r="Q1330" i="3" s="1"/>
  <c r="S1330" i="3" s="1"/>
  <c r="T1330" i="3" s="1"/>
  <c r="R1329" i="3"/>
  <c r="P1329" i="3"/>
  <c r="O1329" i="3"/>
  <c r="Q1329" i="3" s="1"/>
  <c r="S1329" i="3" s="1"/>
  <c r="T1329" i="3" s="1"/>
  <c r="R1328" i="3"/>
  <c r="P1328" i="3"/>
  <c r="O1328" i="3"/>
  <c r="Q1328" i="3" s="1"/>
  <c r="S1328" i="3" s="1"/>
  <c r="T1328" i="3" s="1"/>
  <c r="R1327" i="3"/>
  <c r="P1327" i="3"/>
  <c r="O1327" i="3"/>
  <c r="Q1327" i="3" s="1"/>
  <c r="S1327" i="3" s="1"/>
  <c r="T1327" i="3" s="1"/>
  <c r="R1326" i="3"/>
  <c r="P1326" i="3"/>
  <c r="O1326" i="3"/>
  <c r="Q1326" i="3" s="1"/>
  <c r="S1326" i="3" s="1"/>
  <c r="T1326" i="3" s="1"/>
  <c r="R1325" i="3"/>
  <c r="P1325" i="3"/>
  <c r="O1325" i="3"/>
  <c r="Q1325" i="3" s="1"/>
  <c r="S1325" i="3" s="1"/>
  <c r="T1325" i="3" s="1"/>
  <c r="R1324" i="3"/>
  <c r="P1324" i="3"/>
  <c r="O1324" i="3"/>
  <c r="Q1324" i="3" s="1"/>
  <c r="S1324" i="3" s="1"/>
  <c r="T1324" i="3" s="1"/>
  <c r="R1323" i="3"/>
  <c r="P1323" i="3"/>
  <c r="O1323" i="3"/>
  <c r="Q1323" i="3" s="1"/>
  <c r="S1323" i="3" s="1"/>
  <c r="T1323" i="3" s="1"/>
  <c r="R1322" i="3"/>
  <c r="P1322" i="3"/>
  <c r="O1322" i="3"/>
  <c r="Q1322" i="3" s="1"/>
  <c r="S1322" i="3" s="1"/>
  <c r="T1322" i="3" s="1"/>
  <c r="R1321" i="3"/>
  <c r="P1321" i="3"/>
  <c r="O1321" i="3"/>
  <c r="Q1321" i="3" s="1"/>
  <c r="S1321" i="3" s="1"/>
  <c r="T1321" i="3" s="1"/>
  <c r="R1320" i="3"/>
  <c r="P1320" i="3"/>
  <c r="O1320" i="3"/>
  <c r="Q1320" i="3" s="1"/>
  <c r="S1320" i="3" s="1"/>
  <c r="T1320" i="3" s="1"/>
  <c r="R1319" i="3"/>
  <c r="P1319" i="3"/>
  <c r="O1319" i="3"/>
  <c r="Q1319" i="3" s="1"/>
  <c r="S1319" i="3" s="1"/>
  <c r="T1319" i="3" s="1"/>
  <c r="R1318" i="3"/>
  <c r="P1318" i="3"/>
  <c r="O1318" i="3"/>
  <c r="Q1318" i="3" s="1"/>
  <c r="S1318" i="3" s="1"/>
  <c r="T1318" i="3" s="1"/>
  <c r="R1317" i="3"/>
  <c r="P1317" i="3"/>
  <c r="O1317" i="3"/>
  <c r="Q1317" i="3" s="1"/>
  <c r="S1317" i="3" s="1"/>
  <c r="T1317" i="3" s="1"/>
  <c r="R1316" i="3"/>
  <c r="P1316" i="3"/>
  <c r="O1316" i="3"/>
  <c r="Q1316" i="3" s="1"/>
  <c r="S1316" i="3" s="1"/>
  <c r="T1316" i="3" s="1"/>
  <c r="R1315" i="3"/>
  <c r="P1315" i="3"/>
  <c r="O1315" i="3"/>
  <c r="Q1315" i="3" s="1"/>
  <c r="S1315" i="3" s="1"/>
  <c r="T1315" i="3" s="1"/>
  <c r="R1314" i="3"/>
  <c r="P1314" i="3"/>
  <c r="O1314" i="3"/>
  <c r="Q1314" i="3" s="1"/>
  <c r="S1314" i="3" s="1"/>
  <c r="T1314" i="3" s="1"/>
  <c r="R1313" i="3"/>
  <c r="P1313" i="3"/>
  <c r="O1313" i="3"/>
  <c r="Q1313" i="3" s="1"/>
  <c r="S1313" i="3" s="1"/>
  <c r="T1313" i="3" s="1"/>
  <c r="R1312" i="3"/>
  <c r="P1312" i="3"/>
  <c r="O1312" i="3"/>
  <c r="Q1312" i="3" s="1"/>
  <c r="S1312" i="3" s="1"/>
  <c r="T1312" i="3" s="1"/>
  <c r="R1311" i="3"/>
  <c r="P1311" i="3"/>
  <c r="O1311" i="3"/>
  <c r="Q1311" i="3" s="1"/>
  <c r="S1311" i="3" s="1"/>
  <c r="T1311" i="3" s="1"/>
  <c r="R1310" i="3"/>
  <c r="P1310" i="3"/>
  <c r="O1310" i="3"/>
  <c r="Q1310" i="3" s="1"/>
  <c r="S1310" i="3" s="1"/>
  <c r="T1310" i="3" s="1"/>
  <c r="R1309" i="3"/>
  <c r="P1309" i="3"/>
  <c r="O1309" i="3"/>
  <c r="Q1309" i="3" s="1"/>
  <c r="S1309" i="3" s="1"/>
  <c r="T1309" i="3" s="1"/>
  <c r="R1308" i="3"/>
  <c r="P1308" i="3"/>
  <c r="O1308" i="3"/>
  <c r="Q1308" i="3" s="1"/>
  <c r="S1308" i="3" s="1"/>
  <c r="T1308" i="3" s="1"/>
  <c r="R1307" i="3"/>
  <c r="P1307" i="3"/>
  <c r="O1307" i="3"/>
  <c r="Q1307" i="3" s="1"/>
  <c r="S1307" i="3" s="1"/>
  <c r="T1307" i="3" s="1"/>
  <c r="R1306" i="3"/>
  <c r="P1306" i="3"/>
  <c r="O1306" i="3"/>
  <c r="Q1306" i="3" s="1"/>
  <c r="S1306" i="3" s="1"/>
  <c r="T1306" i="3" s="1"/>
  <c r="R1305" i="3"/>
  <c r="P1305" i="3"/>
  <c r="O1305" i="3"/>
  <c r="Q1305" i="3" s="1"/>
  <c r="S1305" i="3" s="1"/>
  <c r="T1305" i="3" s="1"/>
  <c r="R1304" i="3"/>
  <c r="P1304" i="3"/>
  <c r="O1304" i="3"/>
  <c r="Q1304" i="3" s="1"/>
  <c r="S1304" i="3" s="1"/>
  <c r="T1304" i="3" s="1"/>
  <c r="R1303" i="3"/>
  <c r="P1303" i="3"/>
  <c r="O1303" i="3"/>
  <c r="Q1303" i="3" s="1"/>
  <c r="S1303" i="3" s="1"/>
  <c r="T1303" i="3" s="1"/>
  <c r="R1302" i="3"/>
  <c r="P1302" i="3"/>
  <c r="O1302" i="3"/>
  <c r="Q1302" i="3" s="1"/>
  <c r="S1302" i="3" s="1"/>
  <c r="T1302" i="3" s="1"/>
  <c r="R1301" i="3"/>
  <c r="P1301" i="3"/>
  <c r="O1301" i="3"/>
  <c r="Q1301" i="3" s="1"/>
  <c r="S1301" i="3" s="1"/>
  <c r="T1301" i="3" s="1"/>
  <c r="R1300" i="3"/>
  <c r="P1300" i="3"/>
  <c r="O1300" i="3"/>
  <c r="Q1300" i="3" s="1"/>
  <c r="S1300" i="3" s="1"/>
  <c r="T1300" i="3" s="1"/>
  <c r="R1299" i="3"/>
  <c r="P1299" i="3"/>
  <c r="O1299" i="3"/>
  <c r="Q1299" i="3" s="1"/>
  <c r="S1299" i="3" s="1"/>
  <c r="T1299" i="3" s="1"/>
  <c r="R1298" i="3"/>
  <c r="P1298" i="3"/>
  <c r="O1298" i="3"/>
  <c r="Q1298" i="3" s="1"/>
  <c r="S1298" i="3" s="1"/>
  <c r="T1298" i="3" s="1"/>
  <c r="R1297" i="3"/>
  <c r="P1297" i="3"/>
  <c r="O1297" i="3"/>
  <c r="Q1297" i="3" s="1"/>
  <c r="S1297" i="3" s="1"/>
  <c r="T1297" i="3" s="1"/>
  <c r="R1296" i="3"/>
  <c r="P1296" i="3"/>
  <c r="O1296" i="3"/>
  <c r="Q1296" i="3" s="1"/>
  <c r="S1296" i="3" s="1"/>
  <c r="T1296" i="3" s="1"/>
  <c r="R1295" i="3"/>
  <c r="P1295" i="3"/>
  <c r="O1295" i="3"/>
  <c r="Q1295" i="3" s="1"/>
  <c r="S1295" i="3" s="1"/>
  <c r="T1295" i="3" s="1"/>
  <c r="R1294" i="3"/>
  <c r="P1294" i="3"/>
  <c r="O1294" i="3"/>
  <c r="Q1294" i="3" s="1"/>
  <c r="S1294" i="3" s="1"/>
  <c r="T1294" i="3" s="1"/>
  <c r="R1293" i="3"/>
  <c r="P1293" i="3"/>
  <c r="O1293" i="3"/>
  <c r="Q1293" i="3" s="1"/>
  <c r="S1293" i="3" s="1"/>
  <c r="T1293" i="3" s="1"/>
  <c r="R1292" i="3"/>
  <c r="P1292" i="3"/>
  <c r="O1292" i="3"/>
  <c r="Q1292" i="3" s="1"/>
  <c r="S1292" i="3" s="1"/>
  <c r="T1292" i="3" s="1"/>
  <c r="R1291" i="3"/>
  <c r="P1291" i="3"/>
  <c r="O1291" i="3"/>
  <c r="Q1291" i="3" s="1"/>
  <c r="S1291" i="3" s="1"/>
  <c r="T1291" i="3" s="1"/>
  <c r="R1290" i="3"/>
  <c r="P1290" i="3"/>
  <c r="O1290" i="3"/>
  <c r="Q1290" i="3" s="1"/>
  <c r="S1290" i="3" s="1"/>
  <c r="T1290" i="3" s="1"/>
  <c r="R1289" i="3"/>
  <c r="P1289" i="3"/>
  <c r="O1289" i="3"/>
  <c r="Q1289" i="3" s="1"/>
  <c r="S1289" i="3" s="1"/>
  <c r="T1289" i="3" s="1"/>
  <c r="R1288" i="3"/>
  <c r="P1288" i="3"/>
  <c r="O1288" i="3"/>
  <c r="Q1288" i="3" s="1"/>
  <c r="S1288" i="3" s="1"/>
  <c r="T1288" i="3" s="1"/>
  <c r="R1287" i="3"/>
  <c r="P1287" i="3"/>
  <c r="O1287" i="3"/>
  <c r="Q1287" i="3" s="1"/>
  <c r="S1287" i="3" s="1"/>
  <c r="T1287" i="3" s="1"/>
  <c r="R1286" i="3"/>
  <c r="P1286" i="3"/>
  <c r="O1286" i="3"/>
  <c r="Q1286" i="3" s="1"/>
  <c r="S1286" i="3" s="1"/>
  <c r="T1286" i="3" s="1"/>
  <c r="R1285" i="3"/>
  <c r="P1285" i="3"/>
  <c r="O1285" i="3"/>
  <c r="Q1285" i="3" s="1"/>
  <c r="S1285" i="3" s="1"/>
  <c r="T1285" i="3" s="1"/>
  <c r="R1284" i="3"/>
  <c r="P1284" i="3"/>
  <c r="O1284" i="3"/>
  <c r="Q1284" i="3" s="1"/>
  <c r="S1284" i="3" s="1"/>
  <c r="T1284" i="3" s="1"/>
  <c r="R1283" i="3"/>
  <c r="P1283" i="3"/>
  <c r="O1283" i="3"/>
  <c r="Q1283" i="3" s="1"/>
  <c r="S1283" i="3" s="1"/>
  <c r="T1283" i="3" s="1"/>
  <c r="R1282" i="3"/>
  <c r="P1282" i="3"/>
  <c r="O1282" i="3"/>
  <c r="Q1282" i="3" s="1"/>
  <c r="S1282" i="3" s="1"/>
  <c r="T1282" i="3" s="1"/>
  <c r="R1281" i="3"/>
  <c r="P1281" i="3"/>
  <c r="O1281" i="3"/>
  <c r="Q1281" i="3" s="1"/>
  <c r="S1281" i="3" s="1"/>
  <c r="T1281" i="3" s="1"/>
  <c r="R1280" i="3"/>
  <c r="P1280" i="3"/>
  <c r="O1280" i="3"/>
  <c r="Q1280" i="3" s="1"/>
  <c r="S1280" i="3" s="1"/>
  <c r="T1280" i="3" s="1"/>
  <c r="R1279" i="3"/>
  <c r="P1279" i="3"/>
  <c r="O1279" i="3"/>
  <c r="Q1279" i="3" s="1"/>
  <c r="S1279" i="3" s="1"/>
  <c r="T1279" i="3" s="1"/>
  <c r="R1278" i="3"/>
  <c r="P1278" i="3"/>
  <c r="O1278" i="3"/>
  <c r="Q1278" i="3" s="1"/>
  <c r="S1278" i="3" s="1"/>
  <c r="T1278" i="3" s="1"/>
  <c r="R1277" i="3"/>
  <c r="P1277" i="3"/>
  <c r="O1277" i="3"/>
  <c r="Q1277" i="3" s="1"/>
  <c r="S1277" i="3" s="1"/>
  <c r="T1277" i="3" s="1"/>
  <c r="R1276" i="3"/>
  <c r="P1276" i="3"/>
  <c r="O1276" i="3"/>
  <c r="Q1276" i="3" s="1"/>
  <c r="S1276" i="3" s="1"/>
  <c r="T1276" i="3" s="1"/>
  <c r="R1275" i="3"/>
  <c r="P1275" i="3"/>
  <c r="O1275" i="3"/>
  <c r="Q1275" i="3" s="1"/>
  <c r="S1275" i="3" s="1"/>
  <c r="T1275" i="3" s="1"/>
  <c r="R1274" i="3"/>
  <c r="P1274" i="3"/>
  <c r="O1274" i="3"/>
  <c r="Q1274" i="3" s="1"/>
  <c r="S1274" i="3" s="1"/>
  <c r="T1274" i="3" s="1"/>
  <c r="R1273" i="3"/>
  <c r="P1273" i="3"/>
  <c r="O1273" i="3"/>
  <c r="Q1273" i="3" s="1"/>
  <c r="S1273" i="3" s="1"/>
  <c r="T1273" i="3" s="1"/>
  <c r="R1272" i="3"/>
  <c r="P1272" i="3"/>
  <c r="O1272" i="3"/>
  <c r="Q1272" i="3" s="1"/>
  <c r="S1272" i="3" s="1"/>
  <c r="T1272" i="3" s="1"/>
  <c r="R1271" i="3"/>
  <c r="P1271" i="3"/>
  <c r="O1271" i="3"/>
  <c r="Q1271" i="3" s="1"/>
  <c r="S1271" i="3" s="1"/>
  <c r="T1271" i="3" s="1"/>
  <c r="R1270" i="3"/>
  <c r="P1270" i="3"/>
  <c r="O1270" i="3"/>
  <c r="Q1270" i="3" s="1"/>
  <c r="S1270" i="3" s="1"/>
  <c r="T1270" i="3" s="1"/>
  <c r="R1269" i="3"/>
  <c r="P1269" i="3"/>
  <c r="O1269" i="3"/>
  <c r="Q1269" i="3" s="1"/>
  <c r="S1269" i="3" s="1"/>
  <c r="T1269" i="3" s="1"/>
  <c r="R1268" i="3"/>
  <c r="P1268" i="3"/>
  <c r="O1268" i="3"/>
  <c r="Q1268" i="3" s="1"/>
  <c r="S1268" i="3" s="1"/>
  <c r="T1268" i="3" s="1"/>
  <c r="R1267" i="3"/>
  <c r="P1267" i="3"/>
  <c r="O1267" i="3"/>
  <c r="Q1267" i="3" s="1"/>
  <c r="S1267" i="3" s="1"/>
  <c r="T1267" i="3" s="1"/>
  <c r="R1266" i="3"/>
  <c r="P1266" i="3"/>
  <c r="O1266" i="3"/>
  <c r="Q1266" i="3" s="1"/>
  <c r="S1266" i="3" s="1"/>
  <c r="T1266" i="3" s="1"/>
  <c r="R1265" i="3"/>
  <c r="P1265" i="3"/>
  <c r="O1265" i="3"/>
  <c r="Q1265" i="3" s="1"/>
  <c r="S1265" i="3" s="1"/>
  <c r="T1265" i="3" s="1"/>
  <c r="R1264" i="3"/>
  <c r="P1264" i="3"/>
  <c r="O1264" i="3"/>
  <c r="Q1264" i="3" s="1"/>
  <c r="S1264" i="3" s="1"/>
  <c r="T1264" i="3" s="1"/>
  <c r="R1263" i="3"/>
  <c r="P1263" i="3"/>
  <c r="O1263" i="3"/>
  <c r="Q1263" i="3" s="1"/>
  <c r="S1263" i="3" s="1"/>
  <c r="T1263" i="3" s="1"/>
  <c r="R1262" i="3"/>
  <c r="P1262" i="3"/>
  <c r="O1262" i="3"/>
  <c r="Q1262" i="3" s="1"/>
  <c r="S1262" i="3" s="1"/>
  <c r="T1262" i="3" s="1"/>
  <c r="R1261" i="3"/>
  <c r="P1261" i="3"/>
  <c r="O1261" i="3"/>
  <c r="Q1261" i="3" s="1"/>
  <c r="S1261" i="3" s="1"/>
  <c r="T1261" i="3" s="1"/>
  <c r="R1260" i="3"/>
  <c r="P1260" i="3"/>
  <c r="O1260" i="3"/>
  <c r="Q1260" i="3" s="1"/>
  <c r="S1260" i="3" s="1"/>
  <c r="T1260" i="3" s="1"/>
  <c r="R1259" i="3"/>
  <c r="P1259" i="3"/>
  <c r="O1259" i="3"/>
  <c r="Q1259" i="3" s="1"/>
  <c r="S1259" i="3" s="1"/>
  <c r="T1259" i="3" s="1"/>
  <c r="R1258" i="3"/>
  <c r="P1258" i="3"/>
  <c r="O1258" i="3"/>
  <c r="Q1258" i="3" s="1"/>
  <c r="S1258" i="3" s="1"/>
  <c r="T1258" i="3" s="1"/>
  <c r="R1257" i="3"/>
  <c r="P1257" i="3"/>
  <c r="O1257" i="3"/>
  <c r="Q1257" i="3" s="1"/>
  <c r="S1257" i="3" s="1"/>
  <c r="T1257" i="3" s="1"/>
  <c r="R1256" i="3"/>
  <c r="P1256" i="3"/>
  <c r="O1256" i="3"/>
  <c r="Q1256" i="3" s="1"/>
  <c r="S1256" i="3" s="1"/>
  <c r="T1256" i="3" s="1"/>
  <c r="R1255" i="3"/>
  <c r="P1255" i="3"/>
  <c r="O1255" i="3"/>
  <c r="Q1255" i="3" s="1"/>
  <c r="S1255" i="3" s="1"/>
  <c r="T1255" i="3" s="1"/>
  <c r="R1254" i="3"/>
  <c r="P1254" i="3"/>
  <c r="O1254" i="3"/>
  <c r="Q1254" i="3" s="1"/>
  <c r="S1254" i="3" s="1"/>
  <c r="T1254" i="3" s="1"/>
  <c r="R1253" i="3"/>
  <c r="P1253" i="3"/>
  <c r="O1253" i="3"/>
  <c r="Q1253" i="3" s="1"/>
  <c r="S1253" i="3" s="1"/>
  <c r="T1253" i="3" s="1"/>
  <c r="R1252" i="3"/>
  <c r="P1252" i="3"/>
  <c r="O1252" i="3"/>
  <c r="Q1252" i="3" s="1"/>
  <c r="S1252" i="3" s="1"/>
  <c r="T1252" i="3" s="1"/>
  <c r="R1251" i="3"/>
  <c r="P1251" i="3"/>
  <c r="O1251" i="3"/>
  <c r="Q1251" i="3" s="1"/>
  <c r="S1251" i="3" s="1"/>
  <c r="T1251" i="3" s="1"/>
  <c r="R1250" i="3"/>
  <c r="P1250" i="3"/>
  <c r="O1250" i="3"/>
  <c r="Q1250" i="3" s="1"/>
  <c r="S1250" i="3" s="1"/>
  <c r="T1250" i="3" s="1"/>
  <c r="R1249" i="3"/>
  <c r="P1249" i="3"/>
  <c r="O1249" i="3"/>
  <c r="Q1249" i="3" s="1"/>
  <c r="S1249" i="3" s="1"/>
  <c r="T1249" i="3" s="1"/>
  <c r="R1248" i="3"/>
  <c r="P1248" i="3"/>
  <c r="O1248" i="3"/>
  <c r="Q1248" i="3" s="1"/>
  <c r="S1248" i="3" s="1"/>
  <c r="T1248" i="3" s="1"/>
  <c r="R1247" i="3"/>
  <c r="P1247" i="3"/>
  <c r="O1247" i="3"/>
  <c r="Q1247" i="3" s="1"/>
  <c r="S1247" i="3" s="1"/>
  <c r="T1247" i="3" s="1"/>
  <c r="R1246" i="3"/>
  <c r="P1246" i="3"/>
  <c r="O1246" i="3"/>
  <c r="Q1246" i="3" s="1"/>
  <c r="S1246" i="3" s="1"/>
  <c r="T1246" i="3" s="1"/>
  <c r="R1245" i="3"/>
  <c r="P1245" i="3"/>
  <c r="O1245" i="3"/>
  <c r="Q1245" i="3" s="1"/>
  <c r="S1245" i="3" s="1"/>
  <c r="T1245" i="3" s="1"/>
  <c r="R1244" i="3"/>
  <c r="P1244" i="3"/>
  <c r="O1244" i="3"/>
  <c r="Q1244" i="3" s="1"/>
  <c r="S1244" i="3" s="1"/>
  <c r="T1244" i="3" s="1"/>
  <c r="R1243" i="3"/>
  <c r="P1243" i="3"/>
  <c r="O1243" i="3"/>
  <c r="Q1243" i="3" s="1"/>
  <c r="S1243" i="3" s="1"/>
  <c r="T1243" i="3" s="1"/>
  <c r="R1242" i="3"/>
  <c r="P1242" i="3"/>
  <c r="O1242" i="3"/>
  <c r="Q1242" i="3" s="1"/>
  <c r="S1242" i="3" s="1"/>
  <c r="T1242" i="3" s="1"/>
  <c r="R1241" i="3"/>
  <c r="P1241" i="3"/>
  <c r="O1241" i="3"/>
  <c r="Q1241" i="3" s="1"/>
  <c r="S1241" i="3" s="1"/>
  <c r="T1241" i="3" s="1"/>
  <c r="R1240" i="3"/>
  <c r="P1240" i="3"/>
  <c r="O1240" i="3"/>
  <c r="Q1240" i="3" s="1"/>
  <c r="S1240" i="3" s="1"/>
  <c r="T1240" i="3" s="1"/>
  <c r="R1239" i="3"/>
  <c r="P1239" i="3"/>
  <c r="O1239" i="3"/>
  <c r="Q1239" i="3" s="1"/>
  <c r="S1239" i="3" s="1"/>
  <c r="T1239" i="3" s="1"/>
  <c r="R1238" i="3"/>
  <c r="P1238" i="3"/>
  <c r="O1238" i="3"/>
  <c r="Q1238" i="3" s="1"/>
  <c r="S1238" i="3" s="1"/>
  <c r="T1238" i="3" s="1"/>
  <c r="R1237" i="3"/>
  <c r="P1237" i="3"/>
  <c r="O1237" i="3"/>
  <c r="Q1237" i="3" s="1"/>
  <c r="S1237" i="3" s="1"/>
  <c r="T1237" i="3" s="1"/>
  <c r="R1236" i="3"/>
  <c r="P1236" i="3"/>
  <c r="O1236" i="3"/>
  <c r="Q1236" i="3" s="1"/>
  <c r="S1236" i="3" s="1"/>
  <c r="T1236" i="3" s="1"/>
  <c r="R1235" i="3"/>
  <c r="P1235" i="3"/>
  <c r="O1235" i="3"/>
  <c r="Q1235" i="3" s="1"/>
  <c r="S1235" i="3" s="1"/>
  <c r="T1235" i="3" s="1"/>
  <c r="R1234" i="3"/>
  <c r="P1234" i="3"/>
  <c r="O1234" i="3"/>
  <c r="Q1234" i="3" s="1"/>
  <c r="S1234" i="3" s="1"/>
  <c r="T1234" i="3" s="1"/>
  <c r="R1233" i="3"/>
  <c r="P1233" i="3"/>
  <c r="O1233" i="3"/>
  <c r="Q1233" i="3" s="1"/>
  <c r="S1233" i="3" s="1"/>
  <c r="T1233" i="3" s="1"/>
  <c r="R1232" i="3"/>
  <c r="P1232" i="3"/>
  <c r="O1232" i="3"/>
  <c r="Q1232" i="3" s="1"/>
  <c r="S1232" i="3" s="1"/>
  <c r="T1232" i="3" s="1"/>
  <c r="R1231" i="3"/>
  <c r="P1231" i="3"/>
  <c r="O1231" i="3"/>
  <c r="Q1231" i="3" s="1"/>
  <c r="S1231" i="3" s="1"/>
  <c r="T1231" i="3" s="1"/>
  <c r="R1230" i="3"/>
  <c r="P1230" i="3"/>
  <c r="O1230" i="3"/>
  <c r="Q1230" i="3" s="1"/>
  <c r="S1230" i="3" s="1"/>
  <c r="T1230" i="3" s="1"/>
  <c r="R1229" i="3"/>
  <c r="P1229" i="3"/>
  <c r="O1229" i="3"/>
  <c r="Q1229" i="3" s="1"/>
  <c r="S1229" i="3" s="1"/>
  <c r="T1229" i="3" s="1"/>
  <c r="R1228" i="3"/>
  <c r="P1228" i="3"/>
  <c r="O1228" i="3"/>
  <c r="Q1228" i="3" s="1"/>
  <c r="S1228" i="3" s="1"/>
  <c r="T1228" i="3" s="1"/>
  <c r="R1227" i="3"/>
  <c r="P1227" i="3"/>
  <c r="O1227" i="3"/>
  <c r="Q1227" i="3" s="1"/>
  <c r="S1227" i="3" s="1"/>
  <c r="T1227" i="3" s="1"/>
  <c r="R1226" i="3"/>
  <c r="P1226" i="3"/>
  <c r="O1226" i="3"/>
  <c r="Q1226" i="3" s="1"/>
  <c r="S1226" i="3" s="1"/>
  <c r="T1226" i="3" s="1"/>
  <c r="R1225" i="3"/>
  <c r="P1225" i="3"/>
  <c r="O1225" i="3"/>
  <c r="Q1225" i="3" s="1"/>
  <c r="S1225" i="3" s="1"/>
  <c r="T1225" i="3" s="1"/>
  <c r="R1224" i="3"/>
  <c r="P1224" i="3"/>
  <c r="O1224" i="3"/>
  <c r="Q1224" i="3" s="1"/>
  <c r="S1224" i="3" s="1"/>
  <c r="T1224" i="3" s="1"/>
  <c r="R1223" i="3"/>
  <c r="P1223" i="3"/>
  <c r="O1223" i="3"/>
  <c r="Q1223" i="3" s="1"/>
  <c r="S1223" i="3" s="1"/>
  <c r="T1223" i="3" s="1"/>
  <c r="R1222" i="3"/>
  <c r="P1222" i="3"/>
  <c r="O1222" i="3"/>
  <c r="Q1222" i="3" s="1"/>
  <c r="S1222" i="3" s="1"/>
  <c r="T1222" i="3" s="1"/>
  <c r="R1221" i="3"/>
  <c r="P1221" i="3"/>
  <c r="O1221" i="3"/>
  <c r="Q1221" i="3" s="1"/>
  <c r="S1221" i="3" s="1"/>
  <c r="T1221" i="3" s="1"/>
  <c r="R1220" i="3"/>
  <c r="P1220" i="3"/>
  <c r="O1220" i="3"/>
  <c r="Q1220" i="3" s="1"/>
  <c r="S1220" i="3" s="1"/>
  <c r="T1220" i="3" s="1"/>
  <c r="R1219" i="3"/>
  <c r="P1219" i="3"/>
  <c r="O1219" i="3"/>
  <c r="Q1219" i="3" s="1"/>
  <c r="S1219" i="3" s="1"/>
  <c r="T1219" i="3" s="1"/>
  <c r="R1218" i="3"/>
  <c r="P1218" i="3"/>
  <c r="O1218" i="3"/>
  <c r="Q1218" i="3" s="1"/>
  <c r="S1218" i="3" s="1"/>
  <c r="T1218" i="3" s="1"/>
  <c r="R1217" i="3"/>
  <c r="P1217" i="3"/>
  <c r="O1217" i="3"/>
  <c r="Q1217" i="3" s="1"/>
  <c r="S1217" i="3" s="1"/>
  <c r="T1217" i="3" s="1"/>
  <c r="R1216" i="3"/>
  <c r="P1216" i="3"/>
  <c r="O1216" i="3"/>
  <c r="Q1216" i="3" s="1"/>
  <c r="S1216" i="3" s="1"/>
  <c r="T1216" i="3" s="1"/>
  <c r="R1215" i="3"/>
  <c r="P1215" i="3"/>
  <c r="O1215" i="3"/>
  <c r="Q1215" i="3" s="1"/>
  <c r="S1215" i="3" s="1"/>
  <c r="T1215" i="3" s="1"/>
  <c r="R1214" i="3"/>
  <c r="P1214" i="3"/>
  <c r="O1214" i="3"/>
  <c r="Q1214" i="3" s="1"/>
  <c r="S1214" i="3" s="1"/>
  <c r="T1214" i="3" s="1"/>
  <c r="R1213" i="3"/>
  <c r="P1213" i="3"/>
  <c r="O1213" i="3"/>
  <c r="Q1213" i="3" s="1"/>
  <c r="S1213" i="3" s="1"/>
  <c r="T1213" i="3" s="1"/>
  <c r="R1212" i="3"/>
  <c r="P1212" i="3"/>
  <c r="O1212" i="3"/>
  <c r="Q1212" i="3" s="1"/>
  <c r="S1212" i="3" s="1"/>
  <c r="T1212" i="3" s="1"/>
  <c r="R1211" i="3"/>
  <c r="P1211" i="3"/>
  <c r="O1211" i="3"/>
  <c r="Q1211" i="3" s="1"/>
  <c r="S1211" i="3" s="1"/>
  <c r="T1211" i="3" s="1"/>
  <c r="R1210" i="3"/>
  <c r="P1210" i="3"/>
  <c r="O1210" i="3"/>
  <c r="Q1210" i="3" s="1"/>
  <c r="S1210" i="3" s="1"/>
  <c r="T1210" i="3" s="1"/>
  <c r="R1209" i="3"/>
  <c r="P1209" i="3"/>
  <c r="O1209" i="3"/>
  <c r="Q1209" i="3" s="1"/>
  <c r="S1209" i="3" s="1"/>
  <c r="T1209" i="3" s="1"/>
  <c r="R1208" i="3"/>
  <c r="P1208" i="3"/>
  <c r="O1208" i="3"/>
  <c r="Q1208" i="3" s="1"/>
  <c r="S1208" i="3" s="1"/>
  <c r="T1208" i="3" s="1"/>
  <c r="R1207" i="3"/>
  <c r="P1207" i="3"/>
  <c r="O1207" i="3"/>
  <c r="Q1207" i="3" s="1"/>
  <c r="S1207" i="3" s="1"/>
  <c r="T1207" i="3" s="1"/>
  <c r="R1206" i="3"/>
  <c r="P1206" i="3"/>
  <c r="O1206" i="3"/>
  <c r="Q1206" i="3" s="1"/>
  <c r="S1206" i="3" s="1"/>
  <c r="T1206" i="3" s="1"/>
  <c r="R1205" i="3"/>
  <c r="P1205" i="3"/>
  <c r="O1205" i="3"/>
  <c r="Q1205" i="3" s="1"/>
  <c r="S1205" i="3" s="1"/>
  <c r="T1205" i="3" s="1"/>
  <c r="R1204" i="3"/>
  <c r="P1204" i="3"/>
  <c r="O1204" i="3"/>
  <c r="Q1204" i="3" s="1"/>
  <c r="S1204" i="3" s="1"/>
  <c r="T1204" i="3" s="1"/>
  <c r="R1203" i="3"/>
  <c r="P1203" i="3"/>
  <c r="O1203" i="3"/>
  <c r="Q1203" i="3" s="1"/>
  <c r="S1203" i="3" s="1"/>
  <c r="T1203" i="3" s="1"/>
  <c r="R1202" i="3"/>
  <c r="P1202" i="3"/>
  <c r="O1202" i="3"/>
  <c r="Q1202" i="3" s="1"/>
  <c r="S1202" i="3" s="1"/>
  <c r="T1202" i="3" s="1"/>
  <c r="R1201" i="3"/>
  <c r="P1201" i="3"/>
  <c r="O1201" i="3"/>
  <c r="Q1201" i="3" s="1"/>
  <c r="S1201" i="3" s="1"/>
  <c r="T1201" i="3" s="1"/>
  <c r="R1200" i="3"/>
  <c r="P1200" i="3"/>
  <c r="O1200" i="3"/>
  <c r="Q1200" i="3" s="1"/>
  <c r="S1200" i="3" s="1"/>
  <c r="T1200" i="3" s="1"/>
  <c r="R1199" i="3"/>
  <c r="P1199" i="3"/>
  <c r="O1199" i="3"/>
  <c r="Q1199" i="3" s="1"/>
  <c r="S1199" i="3" s="1"/>
  <c r="T1199" i="3" s="1"/>
  <c r="R1198" i="3"/>
  <c r="P1198" i="3"/>
  <c r="O1198" i="3"/>
  <c r="Q1198" i="3" s="1"/>
  <c r="S1198" i="3" s="1"/>
  <c r="T1198" i="3" s="1"/>
  <c r="R1197" i="3"/>
  <c r="P1197" i="3"/>
  <c r="O1197" i="3"/>
  <c r="Q1197" i="3" s="1"/>
  <c r="S1197" i="3" s="1"/>
  <c r="T1197" i="3" s="1"/>
  <c r="R1196" i="3"/>
  <c r="P1196" i="3"/>
  <c r="O1196" i="3"/>
  <c r="Q1196" i="3" s="1"/>
  <c r="S1196" i="3" s="1"/>
  <c r="T1196" i="3" s="1"/>
  <c r="R1195" i="3"/>
  <c r="P1195" i="3"/>
  <c r="O1195" i="3"/>
  <c r="Q1195" i="3" s="1"/>
  <c r="S1195" i="3" s="1"/>
  <c r="T1195" i="3" s="1"/>
  <c r="R1194" i="3"/>
  <c r="P1194" i="3"/>
  <c r="O1194" i="3"/>
  <c r="Q1194" i="3" s="1"/>
  <c r="S1194" i="3" s="1"/>
  <c r="T1194" i="3" s="1"/>
  <c r="R1193" i="3"/>
  <c r="P1193" i="3"/>
  <c r="O1193" i="3"/>
  <c r="Q1193" i="3" s="1"/>
  <c r="S1193" i="3" s="1"/>
  <c r="T1193" i="3" s="1"/>
  <c r="R1192" i="3"/>
  <c r="P1192" i="3"/>
  <c r="O1192" i="3"/>
  <c r="Q1192" i="3" s="1"/>
  <c r="S1192" i="3" s="1"/>
  <c r="T1192" i="3" s="1"/>
  <c r="R1191" i="3"/>
  <c r="P1191" i="3"/>
  <c r="O1191" i="3"/>
  <c r="Q1191" i="3" s="1"/>
  <c r="S1191" i="3" s="1"/>
  <c r="T1191" i="3" s="1"/>
  <c r="R1190" i="3"/>
  <c r="P1190" i="3"/>
  <c r="O1190" i="3"/>
  <c r="Q1190" i="3" s="1"/>
  <c r="S1190" i="3" s="1"/>
  <c r="T1190" i="3" s="1"/>
  <c r="R1189" i="3"/>
  <c r="P1189" i="3"/>
  <c r="O1189" i="3"/>
  <c r="Q1189" i="3" s="1"/>
  <c r="S1189" i="3" s="1"/>
  <c r="T1189" i="3" s="1"/>
  <c r="R1188" i="3"/>
  <c r="P1188" i="3"/>
  <c r="O1188" i="3"/>
  <c r="Q1188" i="3" s="1"/>
  <c r="S1188" i="3" s="1"/>
  <c r="T1188" i="3" s="1"/>
  <c r="R1187" i="3"/>
  <c r="P1187" i="3"/>
  <c r="O1187" i="3"/>
  <c r="Q1187" i="3" s="1"/>
  <c r="S1187" i="3" s="1"/>
  <c r="T1187" i="3" s="1"/>
  <c r="R1186" i="3"/>
  <c r="P1186" i="3"/>
  <c r="O1186" i="3"/>
  <c r="Q1186" i="3" s="1"/>
  <c r="S1186" i="3" s="1"/>
  <c r="T1186" i="3" s="1"/>
  <c r="R1185" i="3"/>
  <c r="P1185" i="3"/>
  <c r="O1185" i="3"/>
  <c r="Q1185" i="3" s="1"/>
  <c r="S1185" i="3" s="1"/>
  <c r="T1185" i="3" s="1"/>
  <c r="R1184" i="3"/>
  <c r="P1184" i="3"/>
  <c r="O1184" i="3"/>
  <c r="Q1184" i="3" s="1"/>
  <c r="S1184" i="3" s="1"/>
  <c r="T1184" i="3" s="1"/>
  <c r="R1183" i="3"/>
  <c r="P1183" i="3"/>
  <c r="O1183" i="3"/>
  <c r="Q1183" i="3" s="1"/>
  <c r="S1183" i="3" s="1"/>
  <c r="T1183" i="3" s="1"/>
  <c r="R1182" i="3"/>
  <c r="P1182" i="3"/>
  <c r="O1182" i="3"/>
  <c r="Q1182" i="3" s="1"/>
  <c r="S1182" i="3" s="1"/>
  <c r="T1182" i="3" s="1"/>
  <c r="R1181" i="3"/>
  <c r="P1181" i="3"/>
  <c r="O1181" i="3"/>
  <c r="Q1181" i="3" s="1"/>
  <c r="S1181" i="3" s="1"/>
  <c r="T1181" i="3" s="1"/>
  <c r="R1180" i="3"/>
  <c r="P1180" i="3"/>
  <c r="O1180" i="3"/>
  <c r="Q1180" i="3" s="1"/>
  <c r="S1180" i="3" s="1"/>
  <c r="T1180" i="3" s="1"/>
  <c r="R1179" i="3"/>
  <c r="P1179" i="3"/>
  <c r="O1179" i="3"/>
  <c r="Q1179" i="3" s="1"/>
  <c r="S1179" i="3" s="1"/>
  <c r="T1179" i="3" s="1"/>
  <c r="R1178" i="3"/>
  <c r="P1178" i="3"/>
  <c r="O1178" i="3"/>
  <c r="Q1178" i="3" s="1"/>
  <c r="S1178" i="3" s="1"/>
  <c r="T1178" i="3" s="1"/>
  <c r="R1177" i="3"/>
  <c r="P1177" i="3"/>
  <c r="O1177" i="3"/>
  <c r="Q1177" i="3" s="1"/>
  <c r="S1177" i="3" s="1"/>
  <c r="T1177" i="3" s="1"/>
  <c r="R1176" i="3"/>
  <c r="P1176" i="3"/>
  <c r="O1176" i="3"/>
  <c r="Q1176" i="3" s="1"/>
  <c r="S1176" i="3" s="1"/>
  <c r="T1176" i="3" s="1"/>
  <c r="R1175" i="3"/>
  <c r="P1175" i="3"/>
  <c r="O1175" i="3"/>
  <c r="Q1175" i="3" s="1"/>
  <c r="S1175" i="3" s="1"/>
  <c r="T1175" i="3" s="1"/>
  <c r="R1174" i="3"/>
  <c r="P1174" i="3"/>
  <c r="O1174" i="3"/>
  <c r="Q1174" i="3" s="1"/>
  <c r="S1174" i="3" s="1"/>
  <c r="T1174" i="3" s="1"/>
  <c r="R1173" i="3"/>
  <c r="P1173" i="3"/>
  <c r="O1173" i="3"/>
  <c r="Q1173" i="3" s="1"/>
  <c r="S1173" i="3" s="1"/>
  <c r="T1173" i="3" s="1"/>
  <c r="R1172" i="3"/>
  <c r="P1172" i="3"/>
  <c r="O1172" i="3"/>
  <c r="Q1172" i="3" s="1"/>
  <c r="S1172" i="3" s="1"/>
  <c r="T1172" i="3" s="1"/>
  <c r="R1171" i="3"/>
  <c r="P1171" i="3"/>
  <c r="O1171" i="3"/>
  <c r="Q1171" i="3" s="1"/>
  <c r="S1171" i="3" s="1"/>
  <c r="T1171" i="3" s="1"/>
  <c r="R1170" i="3"/>
  <c r="P1170" i="3"/>
  <c r="O1170" i="3"/>
  <c r="Q1170" i="3" s="1"/>
  <c r="S1170" i="3" s="1"/>
  <c r="T1170" i="3" s="1"/>
  <c r="R1169" i="3"/>
  <c r="P1169" i="3"/>
  <c r="O1169" i="3"/>
  <c r="Q1169" i="3" s="1"/>
  <c r="S1169" i="3" s="1"/>
  <c r="T1169" i="3" s="1"/>
  <c r="R1168" i="3"/>
  <c r="P1168" i="3"/>
  <c r="O1168" i="3"/>
  <c r="Q1168" i="3" s="1"/>
  <c r="S1168" i="3" s="1"/>
  <c r="T1168" i="3" s="1"/>
  <c r="R1167" i="3"/>
  <c r="P1167" i="3"/>
  <c r="O1167" i="3"/>
  <c r="Q1167" i="3" s="1"/>
  <c r="S1167" i="3" s="1"/>
  <c r="T1167" i="3" s="1"/>
  <c r="R1166" i="3"/>
  <c r="P1166" i="3"/>
  <c r="O1166" i="3"/>
  <c r="Q1166" i="3" s="1"/>
  <c r="S1166" i="3" s="1"/>
  <c r="T1166" i="3" s="1"/>
  <c r="R1165" i="3"/>
  <c r="P1165" i="3"/>
  <c r="O1165" i="3"/>
  <c r="Q1165" i="3" s="1"/>
  <c r="S1165" i="3" s="1"/>
  <c r="T1165" i="3" s="1"/>
  <c r="R1164" i="3"/>
  <c r="P1164" i="3"/>
  <c r="O1164" i="3"/>
  <c r="Q1164" i="3" s="1"/>
  <c r="S1164" i="3" s="1"/>
  <c r="T1164" i="3" s="1"/>
  <c r="R1163" i="3"/>
  <c r="P1163" i="3"/>
  <c r="O1163" i="3"/>
  <c r="Q1163" i="3" s="1"/>
  <c r="S1163" i="3" s="1"/>
  <c r="T1163" i="3" s="1"/>
  <c r="R1162" i="3"/>
  <c r="P1162" i="3"/>
  <c r="O1162" i="3"/>
  <c r="Q1162" i="3" s="1"/>
  <c r="S1162" i="3" s="1"/>
  <c r="T1162" i="3" s="1"/>
  <c r="R1161" i="3"/>
  <c r="P1161" i="3"/>
  <c r="O1161" i="3"/>
  <c r="Q1161" i="3" s="1"/>
  <c r="S1161" i="3" s="1"/>
  <c r="T1161" i="3" s="1"/>
  <c r="R1160" i="3"/>
  <c r="P1160" i="3"/>
  <c r="O1160" i="3"/>
  <c r="Q1160" i="3" s="1"/>
  <c r="S1160" i="3" s="1"/>
  <c r="T1160" i="3" s="1"/>
  <c r="R1159" i="3"/>
  <c r="P1159" i="3"/>
  <c r="O1159" i="3"/>
  <c r="Q1159" i="3" s="1"/>
  <c r="S1159" i="3" s="1"/>
  <c r="T1159" i="3" s="1"/>
  <c r="R1158" i="3"/>
  <c r="P1158" i="3"/>
  <c r="O1158" i="3"/>
  <c r="Q1158" i="3" s="1"/>
  <c r="S1158" i="3" s="1"/>
  <c r="T1158" i="3" s="1"/>
  <c r="R1157" i="3"/>
  <c r="P1157" i="3"/>
  <c r="O1157" i="3"/>
  <c r="Q1157" i="3" s="1"/>
  <c r="S1157" i="3" s="1"/>
  <c r="T1157" i="3" s="1"/>
  <c r="R1156" i="3"/>
  <c r="P1156" i="3"/>
  <c r="O1156" i="3"/>
  <c r="Q1156" i="3" s="1"/>
  <c r="S1156" i="3" s="1"/>
  <c r="T1156" i="3" s="1"/>
  <c r="R1155" i="3"/>
  <c r="P1155" i="3"/>
  <c r="O1155" i="3"/>
  <c r="Q1155" i="3" s="1"/>
  <c r="S1155" i="3" s="1"/>
  <c r="T1155" i="3" s="1"/>
  <c r="R1154" i="3"/>
  <c r="P1154" i="3"/>
  <c r="O1154" i="3"/>
  <c r="Q1154" i="3" s="1"/>
  <c r="S1154" i="3" s="1"/>
  <c r="T1154" i="3" s="1"/>
  <c r="R1153" i="3"/>
  <c r="P1153" i="3"/>
  <c r="O1153" i="3"/>
  <c r="Q1153" i="3" s="1"/>
  <c r="S1153" i="3" s="1"/>
  <c r="T1153" i="3" s="1"/>
  <c r="R1152" i="3"/>
  <c r="P1152" i="3"/>
  <c r="O1152" i="3"/>
  <c r="Q1152" i="3" s="1"/>
  <c r="S1152" i="3" s="1"/>
  <c r="T1152" i="3" s="1"/>
  <c r="R1151" i="3"/>
  <c r="P1151" i="3"/>
  <c r="O1151" i="3"/>
  <c r="Q1151" i="3" s="1"/>
  <c r="S1151" i="3" s="1"/>
  <c r="T1151" i="3" s="1"/>
  <c r="R1150" i="3"/>
  <c r="P1150" i="3"/>
  <c r="O1150" i="3"/>
  <c r="Q1150" i="3" s="1"/>
  <c r="S1150" i="3" s="1"/>
  <c r="T1150" i="3" s="1"/>
  <c r="R1149" i="3"/>
  <c r="P1149" i="3"/>
  <c r="O1149" i="3"/>
  <c r="Q1149" i="3" s="1"/>
  <c r="S1149" i="3" s="1"/>
  <c r="T1149" i="3" s="1"/>
  <c r="R1148" i="3"/>
  <c r="P1148" i="3"/>
  <c r="O1148" i="3"/>
  <c r="Q1148" i="3" s="1"/>
  <c r="S1148" i="3" s="1"/>
  <c r="T1148" i="3" s="1"/>
  <c r="R1147" i="3"/>
  <c r="P1147" i="3"/>
  <c r="O1147" i="3"/>
  <c r="Q1147" i="3" s="1"/>
  <c r="S1147" i="3" s="1"/>
  <c r="T1147" i="3" s="1"/>
  <c r="R1146" i="3"/>
  <c r="P1146" i="3"/>
  <c r="O1146" i="3"/>
  <c r="Q1146" i="3" s="1"/>
  <c r="S1146" i="3" s="1"/>
  <c r="T1146" i="3" s="1"/>
  <c r="R1145" i="3"/>
  <c r="P1145" i="3"/>
  <c r="O1145" i="3"/>
  <c r="Q1145" i="3" s="1"/>
  <c r="S1145" i="3" s="1"/>
  <c r="T1145" i="3" s="1"/>
  <c r="R1144" i="3"/>
  <c r="P1144" i="3"/>
  <c r="O1144" i="3"/>
  <c r="Q1144" i="3" s="1"/>
  <c r="S1144" i="3" s="1"/>
  <c r="T1144" i="3" s="1"/>
  <c r="R1143" i="3"/>
  <c r="P1143" i="3"/>
  <c r="O1143" i="3"/>
  <c r="Q1143" i="3" s="1"/>
  <c r="S1143" i="3" s="1"/>
  <c r="T1143" i="3" s="1"/>
  <c r="R1142" i="3"/>
  <c r="P1142" i="3"/>
  <c r="O1142" i="3"/>
  <c r="Q1142" i="3" s="1"/>
  <c r="S1142" i="3" s="1"/>
  <c r="T1142" i="3" s="1"/>
  <c r="R1141" i="3"/>
  <c r="P1141" i="3"/>
  <c r="O1141" i="3"/>
  <c r="Q1141" i="3" s="1"/>
  <c r="S1141" i="3" s="1"/>
  <c r="T1141" i="3" s="1"/>
  <c r="R1140" i="3"/>
  <c r="P1140" i="3"/>
  <c r="O1140" i="3"/>
  <c r="Q1140" i="3" s="1"/>
  <c r="S1140" i="3" s="1"/>
  <c r="T1140" i="3" s="1"/>
  <c r="R1139" i="3"/>
  <c r="P1139" i="3"/>
  <c r="O1139" i="3"/>
  <c r="Q1139" i="3" s="1"/>
  <c r="S1139" i="3" s="1"/>
  <c r="T1139" i="3" s="1"/>
  <c r="R1138" i="3"/>
  <c r="P1138" i="3"/>
  <c r="O1138" i="3"/>
  <c r="Q1138" i="3" s="1"/>
  <c r="S1138" i="3" s="1"/>
  <c r="T1138" i="3" s="1"/>
  <c r="R1137" i="3"/>
  <c r="P1137" i="3"/>
  <c r="O1137" i="3"/>
  <c r="Q1137" i="3" s="1"/>
  <c r="S1137" i="3" s="1"/>
  <c r="T1137" i="3" s="1"/>
  <c r="R1136" i="3"/>
  <c r="P1136" i="3"/>
  <c r="O1136" i="3"/>
  <c r="Q1136" i="3" s="1"/>
  <c r="S1136" i="3" s="1"/>
  <c r="T1136" i="3" s="1"/>
  <c r="R1135" i="3"/>
  <c r="P1135" i="3"/>
  <c r="O1135" i="3"/>
  <c r="Q1135" i="3" s="1"/>
  <c r="S1135" i="3" s="1"/>
  <c r="T1135" i="3" s="1"/>
  <c r="R1134" i="3"/>
  <c r="P1134" i="3"/>
  <c r="O1134" i="3"/>
  <c r="Q1134" i="3" s="1"/>
  <c r="S1134" i="3" s="1"/>
  <c r="T1134" i="3" s="1"/>
  <c r="R1133" i="3"/>
  <c r="P1133" i="3"/>
  <c r="O1133" i="3"/>
  <c r="Q1133" i="3" s="1"/>
  <c r="S1133" i="3" s="1"/>
  <c r="T1133" i="3" s="1"/>
  <c r="R1132" i="3"/>
  <c r="P1132" i="3"/>
  <c r="O1132" i="3"/>
  <c r="Q1132" i="3" s="1"/>
  <c r="S1132" i="3" s="1"/>
  <c r="T1132" i="3" s="1"/>
  <c r="R1131" i="3"/>
  <c r="P1131" i="3"/>
  <c r="O1131" i="3"/>
  <c r="Q1131" i="3" s="1"/>
  <c r="S1131" i="3" s="1"/>
  <c r="T1131" i="3" s="1"/>
  <c r="R1130" i="3"/>
  <c r="P1130" i="3"/>
  <c r="O1130" i="3"/>
  <c r="Q1130" i="3" s="1"/>
  <c r="S1130" i="3" s="1"/>
  <c r="T1130" i="3" s="1"/>
  <c r="R1129" i="3"/>
  <c r="P1129" i="3"/>
  <c r="O1129" i="3"/>
  <c r="Q1129" i="3" s="1"/>
  <c r="S1129" i="3" s="1"/>
  <c r="T1129" i="3" s="1"/>
  <c r="R1128" i="3"/>
  <c r="P1128" i="3"/>
  <c r="O1128" i="3"/>
  <c r="Q1128" i="3" s="1"/>
  <c r="S1128" i="3" s="1"/>
  <c r="T1128" i="3" s="1"/>
  <c r="R1127" i="3"/>
  <c r="P1127" i="3"/>
  <c r="O1127" i="3"/>
  <c r="Q1127" i="3" s="1"/>
  <c r="S1127" i="3" s="1"/>
  <c r="T1127" i="3" s="1"/>
  <c r="R1126" i="3"/>
  <c r="P1126" i="3"/>
  <c r="O1126" i="3"/>
  <c r="Q1126" i="3" s="1"/>
  <c r="S1126" i="3" s="1"/>
  <c r="T1126" i="3" s="1"/>
  <c r="R1125" i="3"/>
  <c r="P1125" i="3"/>
  <c r="O1125" i="3"/>
  <c r="Q1125" i="3" s="1"/>
  <c r="S1125" i="3" s="1"/>
  <c r="T1125" i="3" s="1"/>
  <c r="R1124" i="3"/>
  <c r="P1124" i="3"/>
  <c r="O1124" i="3"/>
  <c r="Q1124" i="3" s="1"/>
  <c r="S1124" i="3" s="1"/>
  <c r="T1124" i="3" s="1"/>
  <c r="R1123" i="3"/>
  <c r="P1123" i="3"/>
  <c r="O1123" i="3"/>
  <c r="Q1123" i="3" s="1"/>
  <c r="S1123" i="3" s="1"/>
  <c r="T1123" i="3" s="1"/>
  <c r="R1122" i="3"/>
  <c r="P1122" i="3"/>
  <c r="O1122" i="3"/>
  <c r="Q1122" i="3" s="1"/>
  <c r="S1122" i="3" s="1"/>
  <c r="T1122" i="3" s="1"/>
  <c r="R1121" i="3"/>
  <c r="P1121" i="3"/>
  <c r="O1121" i="3"/>
  <c r="Q1121" i="3" s="1"/>
  <c r="S1121" i="3" s="1"/>
  <c r="T1121" i="3" s="1"/>
  <c r="R1120" i="3"/>
  <c r="P1120" i="3"/>
  <c r="O1120" i="3"/>
  <c r="Q1120" i="3" s="1"/>
  <c r="S1120" i="3" s="1"/>
  <c r="T1120" i="3" s="1"/>
  <c r="R1119" i="3"/>
  <c r="P1119" i="3"/>
  <c r="O1119" i="3"/>
  <c r="Q1119" i="3" s="1"/>
  <c r="S1119" i="3" s="1"/>
  <c r="T1119" i="3" s="1"/>
  <c r="R1118" i="3"/>
  <c r="P1118" i="3"/>
  <c r="O1118" i="3"/>
  <c r="Q1118" i="3" s="1"/>
  <c r="S1118" i="3" s="1"/>
  <c r="T1118" i="3" s="1"/>
  <c r="R1117" i="3"/>
  <c r="P1117" i="3"/>
  <c r="O1117" i="3"/>
  <c r="Q1117" i="3" s="1"/>
  <c r="S1117" i="3" s="1"/>
  <c r="T1117" i="3" s="1"/>
  <c r="R1116" i="3"/>
  <c r="P1116" i="3"/>
  <c r="O1116" i="3"/>
  <c r="Q1116" i="3" s="1"/>
  <c r="S1116" i="3" s="1"/>
  <c r="T1116" i="3" s="1"/>
  <c r="R1115" i="3"/>
  <c r="P1115" i="3"/>
  <c r="O1115" i="3"/>
  <c r="Q1115" i="3" s="1"/>
  <c r="S1115" i="3" s="1"/>
  <c r="T1115" i="3" s="1"/>
  <c r="R1114" i="3"/>
  <c r="P1114" i="3"/>
  <c r="O1114" i="3"/>
  <c r="Q1114" i="3" s="1"/>
  <c r="S1114" i="3" s="1"/>
  <c r="T1114" i="3" s="1"/>
  <c r="R1113" i="3"/>
  <c r="P1113" i="3"/>
  <c r="O1113" i="3"/>
  <c r="Q1113" i="3" s="1"/>
  <c r="S1113" i="3" s="1"/>
  <c r="T1113" i="3" s="1"/>
  <c r="R1112" i="3"/>
  <c r="P1112" i="3"/>
  <c r="O1112" i="3"/>
  <c r="Q1112" i="3" s="1"/>
  <c r="S1112" i="3" s="1"/>
  <c r="T1112" i="3" s="1"/>
  <c r="R1111" i="3"/>
  <c r="P1111" i="3"/>
  <c r="O1111" i="3"/>
  <c r="Q1111" i="3" s="1"/>
  <c r="S1111" i="3" s="1"/>
  <c r="T1111" i="3" s="1"/>
  <c r="R1110" i="3"/>
  <c r="P1110" i="3"/>
  <c r="O1110" i="3"/>
  <c r="Q1110" i="3" s="1"/>
  <c r="S1110" i="3" s="1"/>
  <c r="T1110" i="3" s="1"/>
  <c r="R1109" i="3"/>
  <c r="P1109" i="3"/>
  <c r="O1109" i="3"/>
  <c r="Q1109" i="3" s="1"/>
  <c r="S1109" i="3" s="1"/>
  <c r="T1109" i="3" s="1"/>
  <c r="R1108" i="3"/>
  <c r="P1108" i="3"/>
  <c r="O1108" i="3"/>
  <c r="Q1108" i="3" s="1"/>
  <c r="S1108" i="3" s="1"/>
  <c r="T1108" i="3" s="1"/>
  <c r="R1107" i="3"/>
  <c r="P1107" i="3"/>
  <c r="O1107" i="3"/>
  <c r="Q1107" i="3" s="1"/>
  <c r="S1107" i="3" s="1"/>
  <c r="T1107" i="3" s="1"/>
  <c r="R1106" i="3"/>
  <c r="P1106" i="3"/>
  <c r="O1106" i="3"/>
  <c r="Q1106" i="3" s="1"/>
  <c r="S1106" i="3" s="1"/>
  <c r="T1106" i="3" s="1"/>
  <c r="R1105" i="3"/>
  <c r="P1105" i="3"/>
  <c r="O1105" i="3"/>
  <c r="Q1105" i="3" s="1"/>
  <c r="S1105" i="3" s="1"/>
  <c r="T1105" i="3" s="1"/>
  <c r="R1104" i="3"/>
  <c r="P1104" i="3"/>
  <c r="O1104" i="3"/>
  <c r="Q1104" i="3" s="1"/>
  <c r="S1104" i="3" s="1"/>
  <c r="T1104" i="3" s="1"/>
  <c r="R1103" i="3"/>
  <c r="P1103" i="3"/>
  <c r="O1103" i="3"/>
  <c r="Q1103" i="3" s="1"/>
  <c r="S1103" i="3" s="1"/>
  <c r="T1103" i="3" s="1"/>
  <c r="R1102" i="3"/>
  <c r="P1102" i="3"/>
  <c r="O1102" i="3"/>
  <c r="Q1102" i="3" s="1"/>
  <c r="S1102" i="3" s="1"/>
  <c r="T1102" i="3" s="1"/>
  <c r="R1101" i="3"/>
  <c r="P1101" i="3"/>
  <c r="O1101" i="3"/>
  <c r="Q1101" i="3" s="1"/>
  <c r="S1101" i="3" s="1"/>
  <c r="T1101" i="3" s="1"/>
  <c r="R1100" i="3"/>
  <c r="P1100" i="3"/>
  <c r="O1100" i="3"/>
  <c r="Q1100" i="3" s="1"/>
  <c r="S1100" i="3" s="1"/>
  <c r="T1100" i="3" s="1"/>
  <c r="R1099" i="3"/>
  <c r="P1099" i="3"/>
  <c r="O1099" i="3"/>
  <c r="Q1099" i="3" s="1"/>
  <c r="S1099" i="3" s="1"/>
  <c r="T1099" i="3" s="1"/>
  <c r="R1098" i="3"/>
  <c r="P1098" i="3"/>
  <c r="O1098" i="3"/>
  <c r="Q1098" i="3" s="1"/>
  <c r="S1098" i="3" s="1"/>
  <c r="T1098" i="3" s="1"/>
  <c r="R1097" i="3"/>
  <c r="P1097" i="3"/>
  <c r="O1097" i="3"/>
  <c r="Q1097" i="3" s="1"/>
  <c r="S1097" i="3" s="1"/>
  <c r="T1097" i="3" s="1"/>
  <c r="R1096" i="3"/>
  <c r="P1096" i="3"/>
  <c r="O1096" i="3"/>
  <c r="Q1096" i="3" s="1"/>
  <c r="S1096" i="3" s="1"/>
  <c r="T1096" i="3" s="1"/>
  <c r="R1095" i="3"/>
  <c r="P1095" i="3"/>
  <c r="O1095" i="3"/>
  <c r="Q1095" i="3" s="1"/>
  <c r="S1095" i="3" s="1"/>
  <c r="T1095" i="3" s="1"/>
  <c r="R1094" i="3"/>
  <c r="P1094" i="3"/>
  <c r="O1094" i="3"/>
  <c r="Q1094" i="3" s="1"/>
  <c r="S1094" i="3" s="1"/>
  <c r="T1094" i="3" s="1"/>
  <c r="R1093" i="3"/>
  <c r="P1093" i="3"/>
  <c r="O1093" i="3"/>
  <c r="Q1093" i="3" s="1"/>
  <c r="S1093" i="3" s="1"/>
  <c r="T1093" i="3" s="1"/>
  <c r="R1092" i="3"/>
  <c r="P1092" i="3"/>
  <c r="O1092" i="3"/>
  <c r="Q1092" i="3" s="1"/>
  <c r="S1092" i="3" s="1"/>
  <c r="T1092" i="3" s="1"/>
  <c r="R1091" i="3"/>
  <c r="P1091" i="3"/>
  <c r="O1091" i="3"/>
  <c r="Q1091" i="3" s="1"/>
  <c r="S1091" i="3" s="1"/>
  <c r="T1091" i="3" s="1"/>
  <c r="R1090" i="3"/>
  <c r="P1090" i="3"/>
  <c r="O1090" i="3"/>
  <c r="Q1090" i="3" s="1"/>
  <c r="S1090" i="3" s="1"/>
  <c r="T1090" i="3" s="1"/>
  <c r="R1089" i="3"/>
  <c r="P1089" i="3"/>
  <c r="O1089" i="3"/>
  <c r="Q1089" i="3" s="1"/>
  <c r="S1089" i="3" s="1"/>
  <c r="T1089" i="3" s="1"/>
  <c r="R1088" i="3"/>
  <c r="P1088" i="3"/>
  <c r="O1088" i="3"/>
  <c r="Q1088" i="3" s="1"/>
  <c r="S1088" i="3" s="1"/>
  <c r="T1088" i="3" s="1"/>
  <c r="R1087" i="3"/>
  <c r="P1087" i="3"/>
  <c r="O1087" i="3"/>
  <c r="Q1087" i="3" s="1"/>
  <c r="S1087" i="3" s="1"/>
  <c r="T1087" i="3" s="1"/>
  <c r="R1086" i="3"/>
  <c r="P1086" i="3"/>
  <c r="O1086" i="3"/>
  <c r="Q1086" i="3" s="1"/>
  <c r="S1086" i="3" s="1"/>
  <c r="T1086" i="3" s="1"/>
  <c r="R1085" i="3"/>
  <c r="P1085" i="3"/>
  <c r="O1085" i="3"/>
  <c r="Q1085" i="3" s="1"/>
  <c r="S1085" i="3" s="1"/>
  <c r="T1085" i="3" s="1"/>
  <c r="R1084" i="3"/>
  <c r="P1084" i="3"/>
  <c r="O1084" i="3"/>
  <c r="Q1084" i="3" s="1"/>
  <c r="S1084" i="3" s="1"/>
  <c r="T1084" i="3" s="1"/>
  <c r="R1083" i="3"/>
  <c r="P1083" i="3"/>
  <c r="O1083" i="3"/>
  <c r="Q1083" i="3" s="1"/>
  <c r="S1083" i="3" s="1"/>
  <c r="T1083" i="3" s="1"/>
  <c r="R1082" i="3"/>
  <c r="P1082" i="3"/>
  <c r="O1082" i="3"/>
  <c r="Q1082" i="3" s="1"/>
  <c r="S1082" i="3" s="1"/>
  <c r="T1082" i="3" s="1"/>
  <c r="R1081" i="3"/>
  <c r="P1081" i="3"/>
  <c r="O1081" i="3"/>
  <c r="Q1081" i="3" s="1"/>
  <c r="S1081" i="3" s="1"/>
  <c r="T1081" i="3" s="1"/>
  <c r="R1080" i="3"/>
  <c r="P1080" i="3"/>
  <c r="O1080" i="3"/>
  <c r="Q1080" i="3" s="1"/>
  <c r="S1080" i="3" s="1"/>
  <c r="T1080" i="3" s="1"/>
  <c r="R1079" i="3"/>
  <c r="P1079" i="3"/>
  <c r="O1079" i="3"/>
  <c r="Q1079" i="3" s="1"/>
  <c r="S1079" i="3" s="1"/>
  <c r="T1079" i="3" s="1"/>
  <c r="R1078" i="3"/>
  <c r="P1078" i="3"/>
  <c r="O1078" i="3"/>
  <c r="Q1078" i="3" s="1"/>
  <c r="S1078" i="3" s="1"/>
  <c r="T1078" i="3" s="1"/>
  <c r="R1077" i="3"/>
  <c r="P1077" i="3"/>
  <c r="O1077" i="3"/>
  <c r="Q1077" i="3" s="1"/>
  <c r="S1077" i="3" s="1"/>
  <c r="T1077" i="3" s="1"/>
  <c r="R1076" i="3"/>
  <c r="P1076" i="3"/>
  <c r="O1076" i="3"/>
  <c r="Q1076" i="3" s="1"/>
  <c r="S1076" i="3" s="1"/>
  <c r="T1076" i="3" s="1"/>
  <c r="R1075" i="3"/>
  <c r="P1075" i="3"/>
  <c r="O1075" i="3"/>
  <c r="Q1075" i="3" s="1"/>
  <c r="S1075" i="3" s="1"/>
  <c r="T1075" i="3" s="1"/>
  <c r="R1074" i="3"/>
  <c r="P1074" i="3"/>
  <c r="O1074" i="3"/>
  <c r="Q1074" i="3" s="1"/>
  <c r="S1074" i="3" s="1"/>
  <c r="T1074" i="3" s="1"/>
  <c r="R1073" i="3"/>
  <c r="P1073" i="3"/>
  <c r="O1073" i="3"/>
  <c r="Q1073" i="3" s="1"/>
  <c r="S1073" i="3" s="1"/>
  <c r="T1073" i="3" s="1"/>
  <c r="R1072" i="3"/>
  <c r="P1072" i="3"/>
  <c r="O1072" i="3"/>
  <c r="Q1072" i="3" s="1"/>
  <c r="S1072" i="3" s="1"/>
  <c r="T1072" i="3" s="1"/>
  <c r="R1071" i="3"/>
  <c r="P1071" i="3"/>
  <c r="O1071" i="3"/>
  <c r="Q1071" i="3" s="1"/>
  <c r="S1071" i="3" s="1"/>
  <c r="T1071" i="3" s="1"/>
  <c r="R1070" i="3"/>
  <c r="P1070" i="3"/>
  <c r="O1070" i="3"/>
  <c r="Q1070" i="3" s="1"/>
  <c r="S1070" i="3" s="1"/>
  <c r="T1070" i="3" s="1"/>
  <c r="R1069" i="3"/>
  <c r="P1069" i="3"/>
  <c r="O1069" i="3"/>
  <c r="Q1069" i="3" s="1"/>
  <c r="S1069" i="3" s="1"/>
  <c r="T1069" i="3" s="1"/>
  <c r="R1068" i="3"/>
  <c r="P1068" i="3"/>
  <c r="O1068" i="3"/>
  <c r="Q1068" i="3" s="1"/>
  <c r="S1068" i="3" s="1"/>
  <c r="T1068" i="3" s="1"/>
  <c r="R1067" i="3"/>
  <c r="P1067" i="3"/>
  <c r="O1067" i="3"/>
  <c r="Q1067" i="3" s="1"/>
  <c r="S1067" i="3" s="1"/>
  <c r="T1067" i="3" s="1"/>
  <c r="R1066" i="3"/>
  <c r="P1066" i="3"/>
  <c r="O1066" i="3"/>
  <c r="Q1066" i="3" s="1"/>
  <c r="S1066" i="3" s="1"/>
  <c r="T1066" i="3" s="1"/>
  <c r="R1065" i="3"/>
  <c r="P1065" i="3"/>
  <c r="O1065" i="3"/>
  <c r="Q1065" i="3" s="1"/>
  <c r="S1065" i="3" s="1"/>
  <c r="T1065" i="3" s="1"/>
  <c r="R1064" i="3"/>
  <c r="P1064" i="3"/>
  <c r="O1064" i="3"/>
  <c r="Q1064" i="3" s="1"/>
  <c r="S1064" i="3" s="1"/>
  <c r="T1064" i="3" s="1"/>
  <c r="R1063" i="3"/>
  <c r="P1063" i="3"/>
  <c r="O1063" i="3"/>
  <c r="Q1063" i="3" s="1"/>
  <c r="S1063" i="3" s="1"/>
  <c r="T1063" i="3" s="1"/>
  <c r="R1062" i="3"/>
  <c r="P1062" i="3"/>
  <c r="O1062" i="3"/>
  <c r="Q1062" i="3" s="1"/>
  <c r="S1062" i="3" s="1"/>
  <c r="T1062" i="3" s="1"/>
  <c r="R1061" i="3"/>
  <c r="P1061" i="3"/>
  <c r="O1061" i="3"/>
  <c r="Q1061" i="3" s="1"/>
  <c r="S1061" i="3" s="1"/>
  <c r="T1061" i="3" s="1"/>
  <c r="R1060" i="3"/>
  <c r="P1060" i="3"/>
  <c r="O1060" i="3"/>
  <c r="Q1060" i="3" s="1"/>
  <c r="S1060" i="3" s="1"/>
  <c r="T1060" i="3" s="1"/>
  <c r="R1059" i="3"/>
  <c r="P1059" i="3"/>
  <c r="O1059" i="3"/>
  <c r="Q1059" i="3" s="1"/>
  <c r="S1059" i="3" s="1"/>
  <c r="T1059" i="3" s="1"/>
  <c r="R1058" i="3"/>
  <c r="P1058" i="3"/>
  <c r="O1058" i="3"/>
  <c r="Q1058" i="3" s="1"/>
  <c r="S1058" i="3" s="1"/>
  <c r="T1058" i="3" s="1"/>
  <c r="R1057" i="3"/>
  <c r="P1057" i="3"/>
  <c r="O1057" i="3"/>
  <c r="Q1057" i="3" s="1"/>
  <c r="S1057" i="3" s="1"/>
  <c r="T1057" i="3" s="1"/>
  <c r="R1056" i="3"/>
  <c r="P1056" i="3"/>
  <c r="O1056" i="3"/>
  <c r="Q1056" i="3" s="1"/>
  <c r="S1056" i="3" s="1"/>
  <c r="T1056" i="3" s="1"/>
  <c r="R1055" i="3"/>
  <c r="P1055" i="3"/>
  <c r="O1055" i="3"/>
  <c r="Q1055" i="3" s="1"/>
  <c r="S1055" i="3" s="1"/>
  <c r="T1055" i="3" s="1"/>
  <c r="R1054" i="3"/>
  <c r="P1054" i="3"/>
  <c r="O1054" i="3"/>
  <c r="Q1054" i="3" s="1"/>
  <c r="S1054" i="3" s="1"/>
  <c r="T1054" i="3" s="1"/>
  <c r="R1053" i="3"/>
  <c r="P1053" i="3"/>
  <c r="O1053" i="3"/>
  <c r="Q1053" i="3" s="1"/>
  <c r="S1053" i="3" s="1"/>
  <c r="T1053" i="3" s="1"/>
  <c r="R1052" i="3"/>
  <c r="P1052" i="3"/>
  <c r="O1052" i="3"/>
  <c r="Q1052" i="3" s="1"/>
  <c r="S1052" i="3" s="1"/>
  <c r="T1052" i="3" s="1"/>
  <c r="R1051" i="3"/>
  <c r="P1051" i="3"/>
  <c r="O1051" i="3"/>
  <c r="Q1051" i="3" s="1"/>
  <c r="S1051" i="3" s="1"/>
  <c r="T1051" i="3" s="1"/>
  <c r="R1050" i="3"/>
  <c r="P1050" i="3"/>
  <c r="O1050" i="3"/>
  <c r="Q1050" i="3" s="1"/>
  <c r="S1050" i="3" s="1"/>
  <c r="T1050" i="3" s="1"/>
  <c r="R1049" i="3"/>
  <c r="P1049" i="3"/>
  <c r="O1049" i="3"/>
  <c r="Q1049" i="3" s="1"/>
  <c r="S1049" i="3" s="1"/>
  <c r="T1049" i="3" s="1"/>
  <c r="R1048" i="3"/>
  <c r="P1048" i="3"/>
  <c r="O1048" i="3"/>
  <c r="Q1048" i="3" s="1"/>
  <c r="S1048" i="3" s="1"/>
  <c r="T1048" i="3" s="1"/>
  <c r="R1047" i="3"/>
  <c r="P1047" i="3"/>
  <c r="O1047" i="3"/>
  <c r="Q1047" i="3" s="1"/>
  <c r="S1047" i="3" s="1"/>
  <c r="T1047" i="3" s="1"/>
  <c r="R1046" i="3"/>
  <c r="P1046" i="3"/>
  <c r="O1046" i="3"/>
  <c r="Q1046" i="3" s="1"/>
  <c r="S1046" i="3" s="1"/>
  <c r="T1046" i="3" s="1"/>
  <c r="R1045" i="3"/>
  <c r="P1045" i="3"/>
  <c r="O1045" i="3"/>
  <c r="Q1045" i="3" s="1"/>
  <c r="S1045" i="3" s="1"/>
  <c r="T1045" i="3" s="1"/>
  <c r="R1044" i="3"/>
  <c r="P1044" i="3"/>
  <c r="O1044" i="3"/>
  <c r="Q1044" i="3" s="1"/>
  <c r="S1044" i="3" s="1"/>
  <c r="T1044" i="3" s="1"/>
  <c r="R1043" i="3"/>
  <c r="P1043" i="3"/>
  <c r="O1043" i="3"/>
  <c r="Q1043" i="3" s="1"/>
  <c r="S1043" i="3" s="1"/>
  <c r="T1043" i="3" s="1"/>
  <c r="R1042" i="3"/>
  <c r="P1042" i="3"/>
  <c r="O1042" i="3"/>
  <c r="Q1042" i="3" s="1"/>
  <c r="S1042" i="3" s="1"/>
  <c r="T1042" i="3" s="1"/>
  <c r="R1041" i="3"/>
  <c r="P1041" i="3"/>
  <c r="O1041" i="3"/>
  <c r="Q1041" i="3" s="1"/>
  <c r="S1041" i="3" s="1"/>
  <c r="T1041" i="3" s="1"/>
  <c r="R1040" i="3"/>
  <c r="P1040" i="3"/>
  <c r="O1040" i="3"/>
  <c r="Q1040" i="3" s="1"/>
  <c r="S1040" i="3" s="1"/>
  <c r="T1040" i="3" s="1"/>
  <c r="R1039" i="3"/>
  <c r="P1039" i="3"/>
  <c r="O1039" i="3"/>
  <c r="Q1039" i="3" s="1"/>
  <c r="S1039" i="3" s="1"/>
  <c r="T1039" i="3" s="1"/>
  <c r="R1038" i="3"/>
  <c r="P1038" i="3"/>
  <c r="O1038" i="3"/>
  <c r="Q1038" i="3" s="1"/>
  <c r="S1038" i="3" s="1"/>
  <c r="T1038" i="3" s="1"/>
  <c r="R1037" i="3"/>
  <c r="P1037" i="3"/>
  <c r="O1037" i="3"/>
  <c r="Q1037" i="3" s="1"/>
  <c r="S1037" i="3" s="1"/>
  <c r="T1037" i="3" s="1"/>
  <c r="R1036" i="3"/>
  <c r="P1036" i="3"/>
  <c r="O1036" i="3"/>
  <c r="Q1036" i="3" s="1"/>
  <c r="S1036" i="3" s="1"/>
  <c r="T1036" i="3" s="1"/>
  <c r="R1035" i="3"/>
  <c r="P1035" i="3"/>
  <c r="O1035" i="3"/>
  <c r="Q1035" i="3" s="1"/>
  <c r="S1035" i="3" s="1"/>
  <c r="T1035" i="3" s="1"/>
  <c r="R1034" i="3"/>
  <c r="P1034" i="3"/>
  <c r="O1034" i="3"/>
  <c r="Q1034" i="3" s="1"/>
  <c r="S1034" i="3" s="1"/>
  <c r="T1034" i="3" s="1"/>
  <c r="R1033" i="3"/>
  <c r="P1033" i="3"/>
  <c r="O1033" i="3"/>
  <c r="Q1033" i="3" s="1"/>
  <c r="S1033" i="3" s="1"/>
  <c r="T1033" i="3" s="1"/>
  <c r="R1032" i="3"/>
  <c r="P1032" i="3"/>
  <c r="O1032" i="3"/>
  <c r="Q1032" i="3" s="1"/>
  <c r="S1032" i="3" s="1"/>
  <c r="T1032" i="3" s="1"/>
  <c r="R1031" i="3"/>
  <c r="P1031" i="3"/>
  <c r="O1031" i="3"/>
  <c r="Q1031" i="3" s="1"/>
  <c r="S1031" i="3" s="1"/>
  <c r="T1031" i="3" s="1"/>
  <c r="R1030" i="3"/>
  <c r="P1030" i="3"/>
  <c r="O1030" i="3"/>
  <c r="Q1030" i="3" s="1"/>
  <c r="S1030" i="3" s="1"/>
  <c r="T1030" i="3" s="1"/>
  <c r="R1029" i="3"/>
  <c r="P1029" i="3"/>
  <c r="O1029" i="3"/>
  <c r="Q1029" i="3" s="1"/>
  <c r="S1029" i="3" s="1"/>
  <c r="T1029" i="3" s="1"/>
  <c r="R1028" i="3"/>
  <c r="P1028" i="3"/>
  <c r="O1028" i="3"/>
  <c r="Q1028" i="3" s="1"/>
  <c r="S1028" i="3" s="1"/>
  <c r="T1028" i="3" s="1"/>
  <c r="R1027" i="3"/>
  <c r="P1027" i="3"/>
  <c r="O1027" i="3"/>
  <c r="Q1027" i="3" s="1"/>
  <c r="S1027" i="3" s="1"/>
  <c r="T1027" i="3" s="1"/>
  <c r="R1026" i="3"/>
  <c r="P1026" i="3"/>
  <c r="O1026" i="3"/>
  <c r="Q1026" i="3" s="1"/>
  <c r="S1026" i="3" s="1"/>
  <c r="T1026" i="3" s="1"/>
  <c r="R1025" i="3"/>
  <c r="P1025" i="3"/>
  <c r="O1025" i="3"/>
  <c r="Q1025" i="3" s="1"/>
  <c r="S1025" i="3" s="1"/>
  <c r="T1025" i="3" s="1"/>
  <c r="R1024" i="3"/>
  <c r="P1024" i="3"/>
  <c r="O1024" i="3"/>
  <c r="Q1024" i="3" s="1"/>
  <c r="S1024" i="3" s="1"/>
  <c r="T1024" i="3" s="1"/>
  <c r="R1023" i="3"/>
  <c r="P1023" i="3"/>
  <c r="O1023" i="3"/>
  <c r="Q1023" i="3" s="1"/>
  <c r="S1023" i="3" s="1"/>
  <c r="T1023" i="3" s="1"/>
  <c r="R1022" i="3"/>
  <c r="P1022" i="3"/>
  <c r="O1022" i="3"/>
  <c r="Q1022" i="3" s="1"/>
  <c r="S1022" i="3" s="1"/>
  <c r="T1022" i="3" s="1"/>
  <c r="R1021" i="3"/>
  <c r="P1021" i="3"/>
  <c r="O1021" i="3"/>
  <c r="Q1021" i="3" s="1"/>
  <c r="S1021" i="3" s="1"/>
  <c r="T1021" i="3" s="1"/>
  <c r="R1020" i="3"/>
  <c r="P1020" i="3"/>
  <c r="O1020" i="3"/>
  <c r="Q1020" i="3" s="1"/>
  <c r="S1020" i="3" s="1"/>
  <c r="T1020" i="3" s="1"/>
  <c r="R1019" i="3"/>
  <c r="P1019" i="3"/>
  <c r="O1019" i="3"/>
  <c r="Q1019" i="3" s="1"/>
  <c r="S1019" i="3" s="1"/>
  <c r="T1019" i="3" s="1"/>
  <c r="R1018" i="3"/>
  <c r="P1018" i="3"/>
  <c r="O1018" i="3"/>
  <c r="Q1018" i="3" s="1"/>
  <c r="S1018" i="3" s="1"/>
  <c r="T1018" i="3" s="1"/>
  <c r="R1017" i="3"/>
  <c r="P1017" i="3"/>
  <c r="O1017" i="3"/>
  <c r="Q1017" i="3" s="1"/>
  <c r="S1017" i="3" s="1"/>
  <c r="T1017" i="3" s="1"/>
  <c r="R1016" i="3"/>
  <c r="P1016" i="3"/>
  <c r="O1016" i="3"/>
  <c r="Q1016" i="3" s="1"/>
  <c r="S1016" i="3" s="1"/>
  <c r="T1016" i="3" s="1"/>
  <c r="R1015" i="3"/>
  <c r="P1015" i="3"/>
  <c r="O1015" i="3"/>
  <c r="Q1015" i="3" s="1"/>
  <c r="S1015" i="3" s="1"/>
  <c r="T1015" i="3" s="1"/>
  <c r="R1014" i="3"/>
  <c r="P1014" i="3"/>
  <c r="O1014" i="3"/>
  <c r="Q1014" i="3" s="1"/>
  <c r="S1014" i="3" s="1"/>
  <c r="T1014" i="3" s="1"/>
  <c r="R1013" i="3"/>
  <c r="P1013" i="3"/>
  <c r="O1013" i="3"/>
  <c r="Q1013" i="3" s="1"/>
  <c r="S1013" i="3" s="1"/>
  <c r="T1013" i="3" s="1"/>
  <c r="R1012" i="3"/>
  <c r="P1012" i="3"/>
  <c r="O1012" i="3"/>
  <c r="Q1012" i="3" s="1"/>
  <c r="S1012" i="3" s="1"/>
  <c r="T1012" i="3" s="1"/>
  <c r="R1011" i="3"/>
  <c r="P1011" i="3"/>
  <c r="O1011" i="3"/>
  <c r="Q1011" i="3" s="1"/>
  <c r="S1011" i="3" s="1"/>
  <c r="T1011" i="3" s="1"/>
  <c r="R1010" i="3"/>
  <c r="P1010" i="3"/>
  <c r="O1010" i="3"/>
  <c r="Q1010" i="3" s="1"/>
  <c r="S1010" i="3" s="1"/>
  <c r="T1010" i="3" s="1"/>
  <c r="R1009" i="3"/>
  <c r="P1009" i="3"/>
  <c r="O1009" i="3"/>
  <c r="Q1009" i="3" s="1"/>
  <c r="S1009" i="3" s="1"/>
  <c r="T1009" i="3" s="1"/>
  <c r="R1008" i="3"/>
  <c r="P1008" i="3"/>
  <c r="O1008" i="3"/>
  <c r="Q1008" i="3" s="1"/>
  <c r="S1008" i="3" s="1"/>
  <c r="T1008" i="3" s="1"/>
  <c r="R1007" i="3"/>
  <c r="P1007" i="3"/>
  <c r="O1007" i="3"/>
  <c r="Q1007" i="3" s="1"/>
  <c r="S1007" i="3" s="1"/>
  <c r="T1007" i="3" s="1"/>
  <c r="R1006" i="3"/>
  <c r="P1006" i="3"/>
  <c r="O1006" i="3"/>
  <c r="Q1006" i="3" s="1"/>
  <c r="S1006" i="3" s="1"/>
  <c r="T1006" i="3" s="1"/>
  <c r="R1005" i="3"/>
  <c r="P1005" i="3"/>
  <c r="O1005" i="3"/>
  <c r="Q1005" i="3" s="1"/>
  <c r="S1005" i="3" s="1"/>
  <c r="T1005" i="3" s="1"/>
  <c r="R1004" i="3"/>
  <c r="P1004" i="3"/>
  <c r="O1004" i="3"/>
  <c r="Q1004" i="3" s="1"/>
  <c r="S1004" i="3" s="1"/>
  <c r="T1004" i="3" s="1"/>
  <c r="R1003" i="3"/>
  <c r="P1003" i="3"/>
  <c r="O1003" i="3"/>
  <c r="Q1003" i="3" s="1"/>
  <c r="S1003" i="3" s="1"/>
  <c r="T1003" i="3" s="1"/>
  <c r="R1002" i="3"/>
  <c r="P1002" i="3"/>
  <c r="O1002" i="3"/>
  <c r="Q1002" i="3" s="1"/>
  <c r="S1002" i="3" s="1"/>
  <c r="T1002" i="3" s="1"/>
  <c r="R1001" i="3"/>
  <c r="P1001" i="3"/>
  <c r="O1001" i="3"/>
  <c r="Q1001" i="3" s="1"/>
  <c r="S1001" i="3" s="1"/>
  <c r="T1001" i="3" s="1"/>
  <c r="R1000" i="3"/>
  <c r="P1000" i="3"/>
  <c r="O1000" i="3"/>
  <c r="Q1000" i="3" s="1"/>
  <c r="S1000" i="3" s="1"/>
  <c r="T1000" i="3" s="1"/>
  <c r="R999" i="3"/>
  <c r="P999" i="3"/>
  <c r="O999" i="3"/>
  <c r="Q999" i="3" s="1"/>
  <c r="S999" i="3" s="1"/>
  <c r="T999" i="3" s="1"/>
  <c r="R998" i="3"/>
  <c r="P998" i="3"/>
  <c r="O998" i="3"/>
  <c r="Q998" i="3" s="1"/>
  <c r="S998" i="3" s="1"/>
  <c r="T998" i="3" s="1"/>
  <c r="R997" i="3"/>
  <c r="P997" i="3"/>
  <c r="O997" i="3"/>
  <c r="Q997" i="3" s="1"/>
  <c r="S997" i="3" s="1"/>
  <c r="T997" i="3" s="1"/>
  <c r="R996" i="3"/>
  <c r="P996" i="3"/>
  <c r="O996" i="3"/>
  <c r="Q996" i="3" s="1"/>
  <c r="S996" i="3" s="1"/>
  <c r="T996" i="3" s="1"/>
  <c r="R995" i="3"/>
  <c r="P995" i="3"/>
  <c r="O995" i="3"/>
  <c r="Q995" i="3" s="1"/>
  <c r="S995" i="3" s="1"/>
  <c r="T995" i="3" s="1"/>
  <c r="R994" i="3"/>
  <c r="P994" i="3"/>
  <c r="O994" i="3"/>
  <c r="Q994" i="3" s="1"/>
  <c r="S994" i="3" s="1"/>
  <c r="T994" i="3" s="1"/>
  <c r="R993" i="3"/>
  <c r="P993" i="3"/>
  <c r="O993" i="3"/>
  <c r="Q993" i="3" s="1"/>
  <c r="S993" i="3" s="1"/>
  <c r="T993" i="3" s="1"/>
  <c r="R992" i="3"/>
  <c r="P992" i="3"/>
  <c r="O992" i="3"/>
  <c r="Q992" i="3" s="1"/>
  <c r="S992" i="3" s="1"/>
  <c r="T992" i="3" s="1"/>
  <c r="R991" i="3"/>
  <c r="P991" i="3"/>
  <c r="O991" i="3"/>
  <c r="Q991" i="3" s="1"/>
  <c r="S991" i="3" s="1"/>
  <c r="T991" i="3" s="1"/>
  <c r="R990" i="3"/>
  <c r="P990" i="3"/>
  <c r="O990" i="3"/>
  <c r="Q990" i="3" s="1"/>
  <c r="S990" i="3" s="1"/>
  <c r="T990" i="3" s="1"/>
  <c r="R989" i="3"/>
  <c r="P989" i="3"/>
  <c r="O989" i="3"/>
  <c r="Q989" i="3" s="1"/>
  <c r="S989" i="3" s="1"/>
  <c r="T989" i="3" s="1"/>
  <c r="R988" i="3"/>
  <c r="P988" i="3"/>
  <c r="O988" i="3"/>
  <c r="Q988" i="3" s="1"/>
  <c r="S988" i="3" s="1"/>
  <c r="T988" i="3" s="1"/>
  <c r="R987" i="3"/>
  <c r="P987" i="3"/>
  <c r="O987" i="3"/>
  <c r="Q987" i="3" s="1"/>
  <c r="S987" i="3" s="1"/>
  <c r="T987" i="3" s="1"/>
  <c r="R986" i="3"/>
  <c r="P986" i="3"/>
  <c r="O986" i="3"/>
  <c r="Q986" i="3" s="1"/>
  <c r="S986" i="3" s="1"/>
  <c r="T986" i="3" s="1"/>
  <c r="R985" i="3"/>
  <c r="P985" i="3"/>
  <c r="O985" i="3"/>
  <c r="Q985" i="3" s="1"/>
  <c r="S985" i="3" s="1"/>
  <c r="T985" i="3" s="1"/>
  <c r="R984" i="3"/>
  <c r="P984" i="3"/>
  <c r="O984" i="3"/>
  <c r="Q984" i="3" s="1"/>
  <c r="S984" i="3" s="1"/>
  <c r="T984" i="3" s="1"/>
  <c r="R983" i="3"/>
  <c r="P983" i="3"/>
  <c r="O983" i="3"/>
  <c r="Q983" i="3" s="1"/>
  <c r="S983" i="3" s="1"/>
  <c r="T983" i="3" s="1"/>
  <c r="R982" i="3"/>
  <c r="P982" i="3"/>
  <c r="O982" i="3"/>
  <c r="Q982" i="3" s="1"/>
  <c r="S982" i="3" s="1"/>
  <c r="T982" i="3" s="1"/>
  <c r="R981" i="3"/>
  <c r="P981" i="3"/>
  <c r="O981" i="3"/>
  <c r="Q981" i="3" s="1"/>
  <c r="S981" i="3" s="1"/>
  <c r="T981" i="3" s="1"/>
  <c r="R980" i="3"/>
  <c r="P980" i="3"/>
  <c r="O980" i="3"/>
  <c r="Q980" i="3" s="1"/>
  <c r="S980" i="3" s="1"/>
  <c r="T980" i="3" s="1"/>
  <c r="R979" i="3"/>
  <c r="P979" i="3"/>
  <c r="O979" i="3"/>
  <c r="Q979" i="3" s="1"/>
  <c r="S979" i="3" s="1"/>
  <c r="T979" i="3" s="1"/>
  <c r="R978" i="3"/>
  <c r="P978" i="3"/>
  <c r="O978" i="3"/>
  <c r="Q978" i="3" s="1"/>
  <c r="S978" i="3" s="1"/>
  <c r="T978" i="3" s="1"/>
  <c r="R977" i="3"/>
  <c r="P977" i="3"/>
  <c r="O977" i="3"/>
  <c r="Q977" i="3" s="1"/>
  <c r="S977" i="3" s="1"/>
  <c r="T977" i="3" s="1"/>
  <c r="R976" i="3"/>
  <c r="P976" i="3"/>
  <c r="O976" i="3"/>
  <c r="Q976" i="3" s="1"/>
  <c r="S976" i="3" s="1"/>
  <c r="T976" i="3" s="1"/>
  <c r="R975" i="3"/>
  <c r="P975" i="3"/>
  <c r="O975" i="3"/>
  <c r="Q975" i="3" s="1"/>
  <c r="S975" i="3" s="1"/>
  <c r="T975" i="3" s="1"/>
  <c r="R974" i="3"/>
  <c r="P974" i="3"/>
  <c r="O974" i="3"/>
  <c r="Q974" i="3" s="1"/>
  <c r="S974" i="3" s="1"/>
  <c r="T974" i="3" s="1"/>
  <c r="R973" i="3"/>
  <c r="P973" i="3"/>
  <c r="O973" i="3"/>
  <c r="Q973" i="3" s="1"/>
  <c r="S973" i="3" s="1"/>
  <c r="T973" i="3" s="1"/>
  <c r="R972" i="3"/>
  <c r="P972" i="3"/>
  <c r="O972" i="3"/>
  <c r="Q972" i="3" s="1"/>
  <c r="S972" i="3" s="1"/>
  <c r="T972" i="3" s="1"/>
  <c r="R971" i="3"/>
  <c r="P971" i="3"/>
  <c r="O971" i="3"/>
  <c r="Q971" i="3" s="1"/>
  <c r="S971" i="3" s="1"/>
  <c r="T971" i="3" s="1"/>
  <c r="R970" i="3"/>
  <c r="P970" i="3"/>
  <c r="O970" i="3"/>
  <c r="Q970" i="3" s="1"/>
  <c r="S970" i="3" s="1"/>
  <c r="T970" i="3" s="1"/>
  <c r="R969" i="3"/>
  <c r="P969" i="3"/>
  <c r="O969" i="3"/>
  <c r="Q969" i="3" s="1"/>
  <c r="S969" i="3" s="1"/>
  <c r="T969" i="3" s="1"/>
  <c r="R968" i="3"/>
  <c r="P968" i="3"/>
  <c r="O968" i="3"/>
  <c r="Q968" i="3" s="1"/>
  <c r="S968" i="3" s="1"/>
  <c r="T968" i="3" s="1"/>
  <c r="R967" i="3"/>
  <c r="P967" i="3"/>
  <c r="O967" i="3"/>
  <c r="Q967" i="3" s="1"/>
  <c r="S967" i="3" s="1"/>
  <c r="T967" i="3" s="1"/>
  <c r="R966" i="3"/>
  <c r="P966" i="3"/>
  <c r="O966" i="3"/>
  <c r="Q966" i="3" s="1"/>
  <c r="S966" i="3" s="1"/>
  <c r="T966" i="3" s="1"/>
  <c r="R965" i="3"/>
  <c r="P965" i="3"/>
  <c r="O965" i="3"/>
  <c r="Q965" i="3" s="1"/>
  <c r="S965" i="3" s="1"/>
  <c r="T965" i="3" s="1"/>
  <c r="R964" i="3"/>
  <c r="P964" i="3"/>
  <c r="O964" i="3"/>
  <c r="Q964" i="3" s="1"/>
  <c r="S964" i="3" s="1"/>
  <c r="T964" i="3" s="1"/>
  <c r="R963" i="3"/>
  <c r="P963" i="3"/>
  <c r="O963" i="3"/>
  <c r="Q963" i="3" s="1"/>
  <c r="S963" i="3" s="1"/>
  <c r="T963" i="3" s="1"/>
  <c r="R962" i="3"/>
  <c r="P962" i="3"/>
  <c r="O962" i="3"/>
  <c r="Q962" i="3" s="1"/>
  <c r="S962" i="3" s="1"/>
  <c r="T962" i="3" s="1"/>
  <c r="R961" i="3"/>
  <c r="P961" i="3"/>
  <c r="O961" i="3"/>
  <c r="Q961" i="3" s="1"/>
  <c r="S961" i="3" s="1"/>
  <c r="T961" i="3" s="1"/>
  <c r="R960" i="3"/>
  <c r="P960" i="3"/>
  <c r="O960" i="3"/>
  <c r="Q960" i="3" s="1"/>
  <c r="S960" i="3" s="1"/>
  <c r="T960" i="3" s="1"/>
  <c r="R959" i="3"/>
  <c r="P959" i="3"/>
  <c r="O959" i="3"/>
  <c r="Q959" i="3" s="1"/>
  <c r="S959" i="3" s="1"/>
  <c r="T959" i="3" s="1"/>
  <c r="R958" i="3"/>
  <c r="P958" i="3"/>
  <c r="O958" i="3"/>
  <c r="Q958" i="3" s="1"/>
  <c r="S958" i="3" s="1"/>
  <c r="T958" i="3" s="1"/>
  <c r="R957" i="3"/>
  <c r="P957" i="3"/>
  <c r="O957" i="3"/>
  <c r="Q957" i="3" s="1"/>
  <c r="S957" i="3" s="1"/>
  <c r="T957" i="3" s="1"/>
  <c r="R956" i="3"/>
  <c r="P956" i="3"/>
  <c r="O956" i="3"/>
  <c r="Q956" i="3" s="1"/>
  <c r="S956" i="3" s="1"/>
  <c r="T956" i="3" s="1"/>
  <c r="R955" i="3"/>
  <c r="P955" i="3"/>
  <c r="O955" i="3"/>
  <c r="Q955" i="3" s="1"/>
  <c r="S955" i="3" s="1"/>
  <c r="T955" i="3" s="1"/>
  <c r="R954" i="3"/>
  <c r="P954" i="3"/>
  <c r="O954" i="3"/>
  <c r="Q954" i="3" s="1"/>
  <c r="S954" i="3" s="1"/>
  <c r="T954" i="3" s="1"/>
  <c r="R953" i="3"/>
  <c r="P953" i="3"/>
  <c r="O953" i="3"/>
  <c r="Q953" i="3" s="1"/>
  <c r="S953" i="3" s="1"/>
  <c r="T953" i="3" s="1"/>
  <c r="R952" i="3"/>
  <c r="P952" i="3"/>
  <c r="O952" i="3"/>
  <c r="Q952" i="3" s="1"/>
  <c r="S952" i="3" s="1"/>
  <c r="T952" i="3" s="1"/>
  <c r="R951" i="3"/>
  <c r="P951" i="3"/>
  <c r="O951" i="3"/>
  <c r="Q951" i="3" s="1"/>
  <c r="S951" i="3" s="1"/>
  <c r="T951" i="3" s="1"/>
  <c r="R950" i="3"/>
  <c r="P950" i="3"/>
  <c r="O950" i="3"/>
  <c r="Q950" i="3" s="1"/>
  <c r="S950" i="3" s="1"/>
  <c r="T950" i="3" s="1"/>
  <c r="R949" i="3"/>
  <c r="P949" i="3"/>
  <c r="O949" i="3"/>
  <c r="Q949" i="3" s="1"/>
  <c r="S949" i="3" s="1"/>
  <c r="T949" i="3" s="1"/>
  <c r="R948" i="3"/>
  <c r="P948" i="3"/>
  <c r="O948" i="3"/>
  <c r="Q948" i="3" s="1"/>
  <c r="S948" i="3" s="1"/>
  <c r="T948" i="3" s="1"/>
  <c r="R947" i="3"/>
  <c r="P947" i="3"/>
  <c r="O947" i="3"/>
  <c r="Q947" i="3" s="1"/>
  <c r="S947" i="3" s="1"/>
  <c r="T947" i="3" s="1"/>
  <c r="R946" i="3"/>
  <c r="P946" i="3"/>
  <c r="O946" i="3"/>
  <c r="Q946" i="3" s="1"/>
  <c r="S946" i="3" s="1"/>
  <c r="T946" i="3" s="1"/>
  <c r="R945" i="3"/>
  <c r="P945" i="3"/>
  <c r="O945" i="3"/>
  <c r="Q945" i="3" s="1"/>
  <c r="S945" i="3" s="1"/>
  <c r="T945" i="3" s="1"/>
  <c r="R944" i="3"/>
  <c r="P944" i="3"/>
  <c r="O944" i="3"/>
  <c r="Q944" i="3" s="1"/>
  <c r="S944" i="3" s="1"/>
  <c r="T944" i="3" s="1"/>
  <c r="R943" i="3"/>
  <c r="P943" i="3"/>
  <c r="O943" i="3"/>
  <c r="Q943" i="3" s="1"/>
  <c r="S943" i="3" s="1"/>
  <c r="T943" i="3" s="1"/>
  <c r="R942" i="3"/>
  <c r="P942" i="3"/>
  <c r="O942" i="3"/>
  <c r="Q942" i="3" s="1"/>
  <c r="S942" i="3" s="1"/>
  <c r="T942" i="3" s="1"/>
  <c r="R941" i="3"/>
  <c r="P941" i="3"/>
  <c r="O941" i="3"/>
  <c r="Q941" i="3" s="1"/>
  <c r="S941" i="3" s="1"/>
  <c r="T941" i="3" s="1"/>
  <c r="R940" i="3"/>
  <c r="P940" i="3"/>
  <c r="O940" i="3"/>
  <c r="Q940" i="3" s="1"/>
  <c r="S940" i="3" s="1"/>
  <c r="T940" i="3" s="1"/>
  <c r="R939" i="3"/>
  <c r="P939" i="3"/>
  <c r="O939" i="3"/>
  <c r="Q939" i="3" s="1"/>
  <c r="S939" i="3" s="1"/>
  <c r="T939" i="3" s="1"/>
  <c r="R938" i="3"/>
  <c r="P938" i="3"/>
  <c r="O938" i="3"/>
  <c r="Q938" i="3" s="1"/>
  <c r="S938" i="3" s="1"/>
  <c r="T938" i="3" s="1"/>
  <c r="R937" i="3"/>
  <c r="P937" i="3"/>
  <c r="O937" i="3"/>
  <c r="Q937" i="3" s="1"/>
  <c r="S937" i="3" s="1"/>
  <c r="T937" i="3" s="1"/>
  <c r="R936" i="3"/>
  <c r="P936" i="3"/>
  <c r="O936" i="3"/>
  <c r="Q936" i="3" s="1"/>
  <c r="S936" i="3" s="1"/>
  <c r="T936" i="3" s="1"/>
  <c r="R935" i="3"/>
  <c r="P935" i="3"/>
  <c r="O935" i="3"/>
  <c r="Q935" i="3" s="1"/>
  <c r="S935" i="3" s="1"/>
  <c r="T935" i="3" s="1"/>
  <c r="R934" i="3"/>
  <c r="P934" i="3"/>
  <c r="O934" i="3"/>
  <c r="Q934" i="3" s="1"/>
  <c r="S934" i="3" s="1"/>
  <c r="T934" i="3" s="1"/>
  <c r="R933" i="3"/>
  <c r="P933" i="3"/>
  <c r="O933" i="3"/>
  <c r="Q933" i="3" s="1"/>
  <c r="S933" i="3" s="1"/>
  <c r="T933" i="3" s="1"/>
  <c r="R932" i="3"/>
  <c r="P932" i="3"/>
  <c r="O932" i="3"/>
  <c r="Q932" i="3" s="1"/>
  <c r="S932" i="3" s="1"/>
  <c r="T932" i="3" s="1"/>
  <c r="R931" i="3"/>
  <c r="P931" i="3"/>
  <c r="O931" i="3"/>
  <c r="Q931" i="3" s="1"/>
  <c r="S931" i="3" s="1"/>
  <c r="T931" i="3" s="1"/>
  <c r="R930" i="3"/>
  <c r="P930" i="3"/>
  <c r="O930" i="3"/>
  <c r="Q930" i="3" s="1"/>
  <c r="S930" i="3" s="1"/>
  <c r="T930" i="3" s="1"/>
  <c r="R929" i="3"/>
  <c r="P929" i="3"/>
  <c r="O929" i="3"/>
  <c r="Q929" i="3" s="1"/>
  <c r="S929" i="3" s="1"/>
  <c r="T929" i="3" s="1"/>
  <c r="R928" i="3"/>
  <c r="P928" i="3"/>
  <c r="O928" i="3"/>
  <c r="Q928" i="3" s="1"/>
  <c r="S928" i="3" s="1"/>
  <c r="T928" i="3" s="1"/>
  <c r="R927" i="3"/>
  <c r="P927" i="3"/>
  <c r="O927" i="3"/>
  <c r="Q927" i="3" s="1"/>
  <c r="S927" i="3" s="1"/>
  <c r="T927" i="3" s="1"/>
  <c r="R926" i="3"/>
  <c r="P926" i="3"/>
  <c r="O926" i="3"/>
  <c r="Q926" i="3" s="1"/>
  <c r="S926" i="3" s="1"/>
  <c r="T926" i="3" s="1"/>
  <c r="R925" i="3"/>
  <c r="P925" i="3"/>
  <c r="O925" i="3"/>
  <c r="Q925" i="3" s="1"/>
  <c r="S925" i="3" s="1"/>
  <c r="T925" i="3" s="1"/>
  <c r="R924" i="3"/>
  <c r="P924" i="3"/>
  <c r="O924" i="3"/>
  <c r="Q924" i="3" s="1"/>
  <c r="S924" i="3" s="1"/>
  <c r="T924" i="3" s="1"/>
  <c r="R923" i="3"/>
  <c r="P923" i="3"/>
  <c r="O923" i="3"/>
  <c r="Q923" i="3" s="1"/>
  <c r="S923" i="3" s="1"/>
  <c r="T923" i="3" s="1"/>
  <c r="R922" i="3"/>
  <c r="P922" i="3"/>
  <c r="O922" i="3"/>
  <c r="Q922" i="3" s="1"/>
  <c r="S922" i="3" s="1"/>
  <c r="T922" i="3" s="1"/>
  <c r="R921" i="3"/>
  <c r="P921" i="3"/>
  <c r="O921" i="3"/>
  <c r="Q921" i="3" s="1"/>
  <c r="S921" i="3" s="1"/>
  <c r="T921" i="3" s="1"/>
  <c r="R920" i="3"/>
  <c r="P920" i="3"/>
  <c r="O920" i="3"/>
  <c r="Q920" i="3" s="1"/>
  <c r="S920" i="3" s="1"/>
  <c r="T920" i="3" s="1"/>
  <c r="R919" i="3"/>
  <c r="P919" i="3"/>
  <c r="O919" i="3"/>
  <c r="Q919" i="3" s="1"/>
  <c r="S919" i="3" s="1"/>
  <c r="T919" i="3" s="1"/>
  <c r="R918" i="3"/>
  <c r="P918" i="3"/>
  <c r="O918" i="3"/>
  <c r="Q918" i="3" s="1"/>
  <c r="S918" i="3" s="1"/>
  <c r="T918" i="3" s="1"/>
  <c r="R917" i="3"/>
  <c r="P917" i="3"/>
  <c r="O917" i="3"/>
  <c r="Q917" i="3" s="1"/>
  <c r="S917" i="3" s="1"/>
  <c r="T917" i="3" s="1"/>
  <c r="R916" i="3"/>
  <c r="P916" i="3"/>
  <c r="O916" i="3"/>
  <c r="Q916" i="3" s="1"/>
  <c r="S916" i="3" s="1"/>
  <c r="T916" i="3" s="1"/>
  <c r="R915" i="3"/>
  <c r="P915" i="3"/>
  <c r="O915" i="3"/>
  <c r="Q915" i="3" s="1"/>
  <c r="S915" i="3" s="1"/>
  <c r="T915" i="3" s="1"/>
  <c r="R914" i="3"/>
  <c r="P914" i="3"/>
  <c r="O914" i="3"/>
  <c r="Q914" i="3" s="1"/>
  <c r="S914" i="3" s="1"/>
  <c r="T914" i="3" s="1"/>
  <c r="R913" i="3"/>
  <c r="P913" i="3"/>
  <c r="O913" i="3"/>
  <c r="Q913" i="3" s="1"/>
  <c r="S913" i="3" s="1"/>
  <c r="T913" i="3" s="1"/>
  <c r="R912" i="3"/>
  <c r="P912" i="3"/>
  <c r="O912" i="3"/>
  <c r="Q912" i="3" s="1"/>
  <c r="S912" i="3" s="1"/>
  <c r="T912" i="3" s="1"/>
  <c r="R911" i="3"/>
  <c r="P911" i="3"/>
  <c r="O911" i="3"/>
  <c r="Q911" i="3" s="1"/>
  <c r="S911" i="3" s="1"/>
  <c r="T911" i="3" s="1"/>
  <c r="R910" i="3"/>
  <c r="P910" i="3"/>
  <c r="O910" i="3"/>
  <c r="Q910" i="3" s="1"/>
  <c r="S910" i="3" s="1"/>
  <c r="T910" i="3" s="1"/>
  <c r="R909" i="3"/>
  <c r="P909" i="3"/>
  <c r="O909" i="3"/>
  <c r="Q909" i="3" s="1"/>
  <c r="S909" i="3" s="1"/>
  <c r="T909" i="3" s="1"/>
  <c r="R908" i="3"/>
  <c r="P908" i="3"/>
  <c r="O908" i="3"/>
  <c r="Q908" i="3" s="1"/>
  <c r="S908" i="3" s="1"/>
  <c r="T908" i="3" s="1"/>
  <c r="R907" i="3"/>
  <c r="P907" i="3"/>
  <c r="O907" i="3"/>
  <c r="Q907" i="3" s="1"/>
  <c r="S907" i="3" s="1"/>
  <c r="T907" i="3" s="1"/>
  <c r="R906" i="3"/>
  <c r="P906" i="3"/>
  <c r="O906" i="3"/>
  <c r="Q906" i="3" s="1"/>
  <c r="S906" i="3" s="1"/>
  <c r="T906" i="3" s="1"/>
  <c r="R905" i="3"/>
  <c r="P905" i="3"/>
  <c r="O905" i="3"/>
  <c r="Q905" i="3" s="1"/>
  <c r="S905" i="3" s="1"/>
  <c r="T905" i="3" s="1"/>
  <c r="R904" i="3"/>
  <c r="P904" i="3"/>
  <c r="O904" i="3"/>
  <c r="Q904" i="3" s="1"/>
  <c r="S904" i="3" s="1"/>
  <c r="T904" i="3" s="1"/>
  <c r="R903" i="3"/>
  <c r="P903" i="3"/>
  <c r="O903" i="3"/>
  <c r="Q903" i="3" s="1"/>
  <c r="S903" i="3" s="1"/>
  <c r="T903" i="3" s="1"/>
  <c r="R902" i="3"/>
  <c r="P902" i="3"/>
  <c r="O902" i="3"/>
  <c r="Q902" i="3" s="1"/>
  <c r="S902" i="3" s="1"/>
  <c r="T902" i="3" s="1"/>
  <c r="R901" i="3"/>
  <c r="P901" i="3"/>
  <c r="O901" i="3"/>
  <c r="Q901" i="3" s="1"/>
  <c r="S901" i="3" s="1"/>
  <c r="T901" i="3" s="1"/>
  <c r="R900" i="3"/>
  <c r="P900" i="3"/>
  <c r="O900" i="3"/>
  <c r="Q900" i="3" s="1"/>
  <c r="S900" i="3" s="1"/>
  <c r="T900" i="3" s="1"/>
  <c r="R899" i="3"/>
  <c r="P899" i="3"/>
  <c r="O899" i="3"/>
  <c r="Q899" i="3" s="1"/>
  <c r="S899" i="3" s="1"/>
  <c r="T899" i="3" s="1"/>
  <c r="R898" i="3"/>
  <c r="P898" i="3"/>
  <c r="O898" i="3"/>
  <c r="Q898" i="3" s="1"/>
  <c r="S898" i="3" s="1"/>
  <c r="T898" i="3" s="1"/>
  <c r="R897" i="3"/>
  <c r="P897" i="3"/>
  <c r="O897" i="3"/>
  <c r="Q897" i="3" s="1"/>
  <c r="S897" i="3" s="1"/>
  <c r="T897" i="3" s="1"/>
  <c r="R896" i="3"/>
  <c r="P896" i="3"/>
  <c r="O896" i="3"/>
  <c r="Q896" i="3" s="1"/>
  <c r="S896" i="3" s="1"/>
  <c r="T896" i="3" s="1"/>
  <c r="R895" i="3"/>
  <c r="P895" i="3"/>
  <c r="O895" i="3"/>
  <c r="Q895" i="3" s="1"/>
  <c r="S895" i="3" s="1"/>
  <c r="T895" i="3" s="1"/>
  <c r="R894" i="3"/>
  <c r="P894" i="3"/>
  <c r="O894" i="3"/>
  <c r="Q894" i="3" s="1"/>
  <c r="S894" i="3" s="1"/>
  <c r="T894" i="3" s="1"/>
  <c r="R893" i="3"/>
  <c r="P893" i="3"/>
  <c r="O893" i="3"/>
  <c r="Q893" i="3" s="1"/>
  <c r="S893" i="3" s="1"/>
  <c r="T893" i="3" s="1"/>
  <c r="R892" i="3"/>
  <c r="P892" i="3"/>
  <c r="O892" i="3"/>
  <c r="Q892" i="3" s="1"/>
  <c r="S892" i="3" s="1"/>
  <c r="T892" i="3" s="1"/>
  <c r="R891" i="3"/>
  <c r="P891" i="3"/>
  <c r="O891" i="3"/>
  <c r="Q891" i="3" s="1"/>
  <c r="S891" i="3" s="1"/>
  <c r="T891" i="3" s="1"/>
  <c r="R890" i="3"/>
  <c r="P890" i="3"/>
  <c r="O890" i="3"/>
  <c r="Q890" i="3" s="1"/>
  <c r="S890" i="3" s="1"/>
  <c r="T890" i="3" s="1"/>
  <c r="R889" i="3"/>
  <c r="P889" i="3"/>
  <c r="O889" i="3"/>
  <c r="Q889" i="3" s="1"/>
  <c r="S889" i="3" s="1"/>
  <c r="T889" i="3" s="1"/>
  <c r="R888" i="3"/>
  <c r="P888" i="3"/>
  <c r="O888" i="3"/>
  <c r="Q888" i="3" s="1"/>
  <c r="S888" i="3" s="1"/>
  <c r="T888" i="3" s="1"/>
  <c r="R887" i="3"/>
  <c r="P887" i="3"/>
  <c r="O887" i="3"/>
  <c r="Q887" i="3" s="1"/>
  <c r="S887" i="3" s="1"/>
  <c r="T887" i="3" s="1"/>
  <c r="R886" i="3"/>
  <c r="P886" i="3"/>
  <c r="O886" i="3"/>
  <c r="Q886" i="3" s="1"/>
  <c r="S886" i="3" s="1"/>
  <c r="T886" i="3" s="1"/>
  <c r="R885" i="3"/>
  <c r="P885" i="3"/>
  <c r="O885" i="3"/>
  <c r="Q885" i="3" s="1"/>
  <c r="S885" i="3" s="1"/>
  <c r="T885" i="3" s="1"/>
  <c r="R884" i="3"/>
  <c r="P884" i="3"/>
  <c r="O884" i="3"/>
  <c r="Q884" i="3" s="1"/>
  <c r="S884" i="3" s="1"/>
  <c r="T884" i="3" s="1"/>
  <c r="R883" i="3"/>
  <c r="P883" i="3"/>
  <c r="O883" i="3"/>
  <c r="Q883" i="3" s="1"/>
  <c r="S883" i="3" s="1"/>
  <c r="T883" i="3" s="1"/>
  <c r="R882" i="3"/>
  <c r="P882" i="3"/>
  <c r="O882" i="3"/>
  <c r="Q882" i="3" s="1"/>
  <c r="S882" i="3" s="1"/>
  <c r="T882" i="3" s="1"/>
  <c r="R881" i="3"/>
  <c r="P881" i="3"/>
  <c r="O881" i="3"/>
  <c r="Q881" i="3" s="1"/>
  <c r="S881" i="3" s="1"/>
  <c r="T881" i="3" s="1"/>
  <c r="R880" i="3"/>
  <c r="P880" i="3"/>
  <c r="O880" i="3"/>
  <c r="Q880" i="3" s="1"/>
  <c r="S880" i="3" s="1"/>
  <c r="T880" i="3" s="1"/>
  <c r="R879" i="3"/>
  <c r="P879" i="3"/>
  <c r="O879" i="3"/>
  <c r="Q879" i="3" s="1"/>
  <c r="S879" i="3" s="1"/>
  <c r="T879" i="3" s="1"/>
  <c r="R878" i="3"/>
  <c r="P878" i="3"/>
  <c r="O878" i="3"/>
  <c r="Q878" i="3" s="1"/>
  <c r="S878" i="3" s="1"/>
  <c r="T878" i="3" s="1"/>
  <c r="R877" i="3"/>
  <c r="P877" i="3"/>
  <c r="O877" i="3"/>
  <c r="Q877" i="3" s="1"/>
  <c r="S877" i="3" s="1"/>
  <c r="T877" i="3" s="1"/>
  <c r="R876" i="3"/>
  <c r="P876" i="3"/>
  <c r="O876" i="3"/>
  <c r="Q876" i="3" s="1"/>
  <c r="S876" i="3" s="1"/>
  <c r="T876" i="3" s="1"/>
  <c r="R875" i="3"/>
  <c r="P875" i="3"/>
  <c r="O875" i="3"/>
  <c r="Q875" i="3" s="1"/>
  <c r="S875" i="3" s="1"/>
  <c r="T875" i="3" s="1"/>
  <c r="R874" i="3"/>
  <c r="P874" i="3"/>
  <c r="O874" i="3"/>
  <c r="Q874" i="3" s="1"/>
  <c r="S874" i="3" s="1"/>
  <c r="T874" i="3" s="1"/>
  <c r="R873" i="3"/>
  <c r="P873" i="3"/>
  <c r="O873" i="3"/>
  <c r="Q873" i="3" s="1"/>
  <c r="S873" i="3" s="1"/>
  <c r="T873" i="3" s="1"/>
  <c r="R872" i="3"/>
  <c r="P872" i="3"/>
  <c r="O872" i="3"/>
  <c r="Q872" i="3" s="1"/>
  <c r="S872" i="3" s="1"/>
  <c r="T872" i="3" s="1"/>
  <c r="R871" i="3"/>
  <c r="P871" i="3"/>
  <c r="O871" i="3"/>
  <c r="Q871" i="3" s="1"/>
  <c r="S871" i="3" s="1"/>
  <c r="T871" i="3" s="1"/>
  <c r="R870" i="3"/>
  <c r="P870" i="3"/>
  <c r="O870" i="3"/>
  <c r="Q870" i="3" s="1"/>
  <c r="S870" i="3" s="1"/>
  <c r="T870" i="3" s="1"/>
  <c r="R869" i="3"/>
  <c r="P869" i="3"/>
  <c r="O869" i="3"/>
  <c r="Q869" i="3" s="1"/>
  <c r="S869" i="3" s="1"/>
  <c r="T869" i="3" s="1"/>
  <c r="R868" i="3"/>
  <c r="P868" i="3"/>
  <c r="O868" i="3"/>
  <c r="Q868" i="3" s="1"/>
  <c r="S868" i="3" s="1"/>
  <c r="T868" i="3" s="1"/>
  <c r="R867" i="3"/>
  <c r="P867" i="3"/>
  <c r="O867" i="3"/>
  <c r="Q867" i="3" s="1"/>
  <c r="S867" i="3" s="1"/>
  <c r="T867" i="3" s="1"/>
  <c r="R866" i="3"/>
  <c r="P866" i="3"/>
  <c r="O866" i="3"/>
  <c r="Q866" i="3" s="1"/>
  <c r="S866" i="3" s="1"/>
  <c r="T866" i="3" s="1"/>
  <c r="R865" i="3"/>
  <c r="P865" i="3"/>
  <c r="O865" i="3"/>
  <c r="Q865" i="3" s="1"/>
  <c r="S865" i="3" s="1"/>
  <c r="T865" i="3" s="1"/>
  <c r="R864" i="3"/>
  <c r="P864" i="3"/>
  <c r="O864" i="3"/>
  <c r="Q864" i="3" s="1"/>
  <c r="S864" i="3" s="1"/>
  <c r="T864" i="3" s="1"/>
  <c r="R863" i="3"/>
  <c r="P863" i="3"/>
  <c r="O863" i="3"/>
  <c r="Q863" i="3" s="1"/>
  <c r="S863" i="3" s="1"/>
  <c r="T863" i="3" s="1"/>
  <c r="R862" i="3"/>
  <c r="P862" i="3"/>
  <c r="O862" i="3"/>
  <c r="Q862" i="3" s="1"/>
  <c r="S862" i="3" s="1"/>
  <c r="T862" i="3" s="1"/>
  <c r="R861" i="3"/>
  <c r="P861" i="3"/>
  <c r="O861" i="3"/>
  <c r="Q861" i="3" s="1"/>
  <c r="S861" i="3" s="1"/>
  <c r="T861" i="3" s="1"/>
  <c r="R860" i="3"/>
  <c r="P860" i="3"/>
  <c r="O860" i="3"/>
  <c r="Q860" i="3" s="1"/>
  <c r="S860" i="3" s="1"/>
  <c r="T860" i="3" s="1"/>
  <c r="R859" i="3"/>
  <c r="P859" i="3"/>
  <c r="O859" i="3"/>
  <c r="Q859" i="3" s="1"/>
  <c r="S859" i="3" s="1"/>
  <c r="T859" i="3" s="1"/>
  <c r="R858" i="3"/>
  <c r="P858" i="3"/>
  <c r="O858" i="3"/>
  <c r="Q858" i="3" s="1"/>
  <c r="S858" i="3" s="1"/>
  <c r="T858" i="3" s="1"/>
  <c r="R857" i="3"/>
  <c r="P857" i="3"/>
  <c r="O857" i="3"/>
  <c r="Q857" i="3" s="1"/>
  <c r="S857" i="3" s="1"/>
  <c r="T857" i="3" s="1"/>
  <c r="R856" i="3"/>
  <c r="P856" i="3"/>
  <c r="O856" i="3"/>
  <c r="Q856" i="3" s="1"/>
  <c r="S856" i="3" s="1"/>
  <c r="T856" i="3" s="1"/>
  <c r="R855" i="3"/>
  <c r="P855" i="3"/>
  <c r="O855" i="3"/>
  <c r="Q855" i="3" s="1"/>
  <c r="S855" i="3" s="1"/>
  <c r="T855" i="3" s="1"/>
  <c r="R854" i="3"/>
  <c r="P854" i="3"/>
  <c r="O854" i="3"/>
  <c r="Q854" i="3" s="1"/>
  <c r="S854" i="3" s="1"/>
  <c r="T854" i="3" s="1"/>
  <c r="R853" i="3"/>
  <c r="P853" i="3"/>
  <c r="O853" i="3"/>
  <c r="Q853" i="3" s="1"/>
  <c r="S853" i="3" s="1"/>
  <c r="T853" i="3" s="1"/>
  <c r="R852" i="3"/>
  <c r="P852" i="3"/>
  <c r="O852" i="3"/>
  <c r="Q852" i="3" s="1"/>
  <c r="S852" i="3" s="1"/>
  <c r="T852" i="3" s="1"/>
  <c r="R851" i="3"/>
  <c r="P851" i="3"/>
  <c r="O851" i="3"/>
  <c r="Q851" i="3" s="1"/>
  <c r="S851" i="3" s="1"/>
  <c r="T851" i="3" s="1"/>
  <c r="R850" i="3"/>
  <c r="P850" i="3"/>
  <c r="O850" i="3"/>
  <c r="Q850" i="3" s="1"/>
  <c r="S850" i="3" s="1"/>
  <c r="T850" i="3" s="1"/>
  <c r="R849" i="3"/>
  <c r="P849" i="3"/>
  <c r="O849" i="3"/>
  <c r="Q849" i="3" s="1"/>
  <c r="S849" i="3" s="1"/>
  <c r="T849" i="3" s="1"/>
  <c r="R848" i="3"/>
  <c r="P848" i="3"/>
  <c r="O848" i="3"/>
  <c r="Q848" i="3" s="1"/>
  <c r="S848" i="3" s="1"/>
  <c r="T848" i="3" s="1"/>
  <c r="R847" i="3"/>
  <c r="P847" i="3"/>
  <c r="O847" i="3"/>
  <c r="Q847" i="3" s="1"/>
  <c r="S847" i="3" s="1"/>
  <c r="T847" i="3" s="1"/>
  <c r="R846" i="3"/>
  <c r="P846" i="3"/>
  <c r="O846" i="3"/>
  <c r="Q846" i="3" s="1"/>
  <c r="S846" i="3" s="1"/>
  <c r="T846" i="3" s="1"/>
  <c r="R845" i="3"/>
  <c r="P845" i="3"/>
  <c r="O845" i="3"/>
  <c r="Q845" i="3" s="1"/>
  <c r="S845" i="3" s="1"/>
  <c r="T845" i="3" s="1"/>
  <c r="R844" i="3"/>
  <c r="P844" i="3"/>
  <c r="O844" i="3"/>
  <c r="Q844" i="3" s="1"/>
  <c r="S844" i="3" s="1"/>
  <c r="T844" i="3" s="1"/>
  <c r="R843" i="3"/>
  <c r="P843" i="3"/>
  <c r="O843" i="3"/>
  <c r="Q843" i="3" s="1"/>
  <c r="S843" i="3" s="1"/>
  <c r="T843" i="3" s="1"/>
  <c r="R842" i="3"/>
  <c r="P842" i="3"/>
  <c r="O842" i="3"/>
  <c r="Q842" i="3" s="1"/>
  <c r="S842" i="3" s="1"/>
  <c r="T842" i="3" s="1"/>
  <c r="R841" i="3"/>
  <c r="P841" i="3"/>
  <c r="O841" i="3"/>
  <c r="Q841" i="3" s="1"/>
  <c r="S841" i="3" s="1"/>
  <c r="T841" i="3" s="1"/>
  <c r="R840" i="3"/>
  <c r="P840" i="3"/>
  <c r="O840" i="3"/>
  <c r="Q840" i="3" s="1"/>
  <c r="S840" i="3" s="1"/>
  <c r="T840" i="3" s="1"/>
  <c r="R839" i="3"/>
  <c r="P839" i="3"/>
  <c r="O839" i="3"/>
  <c r="Q839" i="3" s="1"/>
  <c r="S839" i="3" s="1"/>
  <c r="T839" i="3" s="1"/>
  <c r="R838" i="3"/>
  <c r="P838" i="3"/>
  <c r="O838" i="3"/>
  <c r="Q838" i="3" s="1"/>
  <c r="S838" i="3" s="1"/>
  <c r="T838" i="3" s="1"/>
  <c r="R837" i="3"/>
  <c r="P837" i="3"/>
  <c r="O837" i="3"/>
  <c r="Q837" i="3" s="1"/>
  <c r="S837" i="3" s="1"/>
  <c r="T837" i="3" s="1"/>
  <c r="R836" i="3"/>
  <c r="P836" i="3"/>
  <c r="O836" i="3"/>
  <c r="Q836" i="3" s="1"/>
  <c r="S836" i="3" s="1"/>
  <c r="T836" i="3" s="1"/>
  <c r="R835" i="3"/>
  <c r="P835" i="3"/>
  <c r="O835" i="3"/>
  <c r="Q835" i="3" s="1"/>
  <c r="S835" i="3" s="1"/>
  <c r="T835" i="3" s="1"/>
  <c r="R834" i="3"/>
  <c r="P834" i="3"/>
  <c r="O834" i="3"/>
  <c r="Q834" i="3" s="1"/>
  <c r="S834" i="3" s="1"/>
  <c r="T834" i="3" s="1"/>
  <c r="R833" i="3"/>
  <c r="P833" i="3"/>
  <c r="O833" i="3"/>
  <c r="Q833" i="3" s="1"/>
  <c r="S833" i="3" s="1"/>
  <c r="T833" i="3" s="1"/>
  <c r="R832" i="3"/>
  <c r="P832" i="3"/>
  <c r="O832" i="3"/>
  <c r="Q832" i="3" s="1"/>
  <c r="S832" i="3" s="1"/>
  <c r="T832" i="3" s="1"/>
  <c r="R831" i="3"/>
  <c r="P831" i="3"/>
  <c r="O831" i="3"/>
  <c r="Q831" i="3" s="1"/>
  <c r="S831" i="3" s="1"/>
  <c r="T831" i="3" s="1"/>
  <c r="R830" i="3"/>
  <c r="P830" i="3"/>
  <c r="O830" i="3"/>
  <c r="Q830" i="3" s="1"/>
  <c r="S830" i="3" s="1"/>
  <c r="T830" i="3" s="1"/>
  <c r="R829" i="3"/>
  <c r="P829" i="3"/>
  <c r="O829" i="3"/>
  <c r="Q829" i="3" s="1"/>
  <c r="S829" i="3" s="1"/>
  <c r="T829" i="3" s="1"/>
  <c r="R828" i="3"/>
  <c r="P828" i="3"/>
  <c r="O828" i="3"/>
  <c r="Q828" i="3" s="1"/>
  <c r="S828" i="3" s="1"/>
  <c r="T828" i="3" s="1"/>
  <c r="R827" i="3"/>
  <c r="P827" i="3"/>
  <c r="O827" i="3"/>
  <c r="Q827" i="3" s="1"/>
  <c r="S827" i="3" s="1"/>
  <c r="T827" i="3" s="1"/>
  <c r="R826" i="3"/>
  <c r="P826" i="3"/>
  <c r="O826" i="3"/>
  <c r="Q826" i="3" s="1"/>
  <c r="S826" i="3" s="1"/>
  <c r="T826" i="3" s="1"/>
  <c r="R825" i="3"/>
  <c r="P825" i="3"/>
  <c r="O825" i="3"/>
  <c r="Q825" i="3" s="1"/>
  <c r="S825" i="3" s="1"/>
  <c r="T825" i="3" s="1"/>
  <c r="R824" i="3"/>
  <c r="P824" i="3"/>
  <c r="O824" i="3"/>
  <c r="Q824" i="3" s="1"/>
  <c r="S824" i="3" s="1"/>
  <c r="T824" i="3" s="1"/>
  <c r="R823" i="3"/>
  <c r="P823" i="3"/>
  <c r="O823" i="3"/>
  <c r="Q823" i="3" s="1"/>
  <c r="S823" i="3" s="1"/>
  <c r="T823" i="3" s="1"/>
  <c r="R822" i="3"/>
  <c r="P822" i="3"/>
  <c r="O822" i="3"/>
  <c r="Q822" i="3" s="1"/>
  <c r="S822" i="3" s="1"/>
  <c r="T822" i="3" s="1"/>
  <c r="R821" i="3"/>
  <c r="P821" i="3"/>
  <c r="O821" i="3"/>
  <c r="Q821" i="3" s="1"/>
  <c r="S821" i="3" s="1"/>
  <c r="T821" i="3" s="1"/>
  <c r="R820" i="3"/>
  <c r="P820" i="3"/>
  <c r="O820" i="3"/>
  <c r="Q820" i="3" s="1"/>
  <c r="S820" i="3" s="1"/>
  <c r="T820" i="3" s="1"/>
  <c r="R819" i="3"/>
  <c r="P819" i="3"/>
  <c r="O819" i="3"/>
  <c r="Q819" i="3" s="1"/>
  <c r="S819" i="3" s="1"/>
  <c r="T819" i="3" s="1"/>
  <c r="R818" i="3"/>
  <c r="P818" i="3"/>
  <c r="O818" i="3"/>
  <c r="Q818" i="3" s="1"/>
  <c r="S818" i="3" s="1"/>
  <c r="T818" i="3" s="1"/>
  <c r="R817" i="3"/>
  <c r="P817" i="3"/>
  <c r="O817" i="3"/>
  <c r="Q817" i="3" s="1"/>
  <c r="S817" i="3" s="1"/>
  <c r="T817" i="3" s="1"/>
  <c r="R816" i="3"/>
  <c r="P816" i="3"/>
  <c r="O816" i="3"/>
  <c r="Q816" i="3" s="1"/>
  <c r="S816" i="3" s="1"/>
  <c r="T816" i="3" s="1"/>
  <c r="R815" i="3"/>
  <c r="P815" i="3"/>
  <c r="O815" i="3"/>
  <c r="Q815" i="3" s="1"/>
  <c r="S815" i="3" s="1"/>
  <c r="T815" i="3" s="1"/>
  <c r="R814" i="3"/>
  <c r="P814" i="3"/>
  <c r="O814" i="3"/>
  <c r="Q814" i="3" s="1"/>
  <c r="S814" i="3" s="1"/>
  <c r="T814" i="3" s="1"/>
  <c r="R813" i="3"/>
  <c r="P813" i="3"/>
  <c r="O813" i="3"/>
  <c r="Q813" i="3" s="1"/>
  <c r="S813" i="3" s="1"/>
  <c r="T813" i="3" s="1"/>
  <c r="R812" i="3"/>
  <c r="P812" i="3"/>
  <c r="O812" i="3"/>
  <c r="Q812" i="3" s="1"/>
  <c r="S812" i="3" s="1"/>
  <c r="T812" i="3" s="1"/>
  <c r="R811" i="3"/>
  <c r="P811" i="3"/>
  <c r="O811" i="3"/>
  <c r="Q811" i="3" s="1"/>
  <c r="S811" i="3" s="1"/>
  <c r="T811" i="3" s="1"/>
  <c r="R810" i="3"/>
  <c r="P810" i="3"/>
  <c r="O810" i="3"/>
  <c r="Q810" i="3" s="1"/>
  <c r="S810" i="3" s="1"/>
  <c r="T810" i="3" s="1"/>
  <c r="R809" i="3"/>
  <c r="P809" i="3"/>
  <c r="O809" i="3"/>
  <c r="Q809" i="3" s="1"/>
  <c r="S809" i="3" s="1"/>
  <c r="T809" i="3" s="1"/>
  <c r="R808" i="3"/>
  <c r="P808" i="3"/>
  <c r="O808" i="3"/>
  <c r="Q808" i="3" s="1"/>
  <c r="S808" i="3" s="1"/>
  <c r="T808" i="3" s="1"/>
  <c r="R807" i="3"/>
  <c r="P807" i="3"/>
  <c r="O807" i="3"/>
  <c r="Q807" i="3" s="1"/>
  <c r="S807" i="3" s="1"/>
  <c r="T807" i="3" s="1"/>
  <c r="R806" i="3"/>
  <c r="P806" i="3"/>
  <c r="O806" i="3"/>
  <c r="Q806" i="3" s="1"/>
  <c r="S806" i="3" s="1"/>
  <c r="T806" i="3" s="1"/>
  <c r="R805" i="3"/>
  <c r="P805" i="3"/>
  <c r="O805" i="3"/>
  <c r="Q805" i="3" s="1"/>
  <c r="S805" i="3" s="1"/>
  <c r="T805" i="3" s="1"/>
  <c r="R804" i="3"/>
  <c r="P804" i="3"/>
  <c r="O804" i="3"/>
  <c r="Q804" i="3" s="1"/>
  <c r="S804" i="3" s="1"/>
  <c r="T804" i="3" s="1"/>
  <c r="R803" i="3"/>
  <c r="P803" i="3"/>
  <c r="O803" i="3"/>
  <c r="Q803" i="3" s="1"/>
  <c r="S803" i="3" s="1"/>
  <c r="T803" i="3" s="1"/>
  <c r="R802" i="3"/>
  <c r="P802" i="3"/>
  <c r="O802" i="3"/>
  <c r="Q802" i="3" s="1"/>
  <c r="S802" i="3" s="1"/>
  <c r="T802" i="3" s="1"/>
  <c r="R801" i="3"/>
  <c r="P801" i="3"/>
  <c r="O801" i="3"/>
  <c r="Q801" i="3" s="1"/>
  <c r="S801" i="3" s="1"/>
  <c r="T801" i="3" s="1"/>
  <c r="R800" i="3"/>
  <c r="P800" i="3"/>
  <c r="O800" i="3"/>
  <c r="Q800" i="3" s="1"/>
  <c r="S800" i="3" s="1"/>
  <c r="T800" i="3" s="1"/>
  <c r="R799" i="3"/>
  <c r="P799" i="3"/>
  <c r="O799" i="3"/>
  <c r="Q799" i="3" s="1"/>
  <c r="S799" i="3" s="1"/>
  <c r="T799" i="3" s="1"/>
  <c r="R798" i="3"/>
  <c r="P798" i="3"/>
  <c r="O798" i="3"/>
  <c r="Q798" i="3" s="1"/>
  <c r="S798" i="3" s="1"/>
  <c r="T798" i="3" s="1"/>
  <c r="R797" i="3"/>
  <c r="P797" i="3"/>
  <c r="O797" i="3"/>
  <c r="Q797" i="3" s="1"/>
  <c r="S797" i="3" s="1"/>
  <c r="T797" i="3" s="1"/>
  <c r="R796" i="3"/>
  <c r="P796" i="3"/>
  <c r="O796" i="3"/>
  <c r="Q796" i="3" s="1"/>
  <c r="S796" i="3" s="1"/>
  <c r="T796" i="3" s="1"/>
  <c r="R795" i="3"/>
  <c r="P795" i="3"/>
  <c r="O795" i="3"/>
  <c r="Q795" i="3" s="1"/>
  <c r="S795" i="3" s="1"/>
  <c r="T795" i="3" s="1"/>
  <c r="R794" i="3"/>
  <c r="P794" i="3"/>
  <c r="O794" i="3"/>
  <c r="Q794" i="3" s="1"/>
  <c r="S794" i="3" s="1"/>
  <c r="T794" i="3" s="1"/>
  <c r="R793" i="3"/>
  <c r="P793" i="3"/>
  <c r="O793" i="3"/>
  <c r="Q793" i="3" s="1"/>
  <c r="S793" i="3" s="1"/>
  <c r="T793" i="3" s="1"/>
  <c r="R792" i="3"/>
  <c r="P792" i="3"/>
  <c r="O792" i="3"/>
  <c r="Q792" i="3" s="1"/>
  <c r="S792" i="3" s="1"/>
  <c r="T792" i="3" s="1"/>
  <c r="R791" i="3"/>
  <c r="P791" i="3"/>
  <c r="O791" i="3"/>
  <c r="Q791" i="3" s="1"/>
  <c r="S791" i="3" s="1"/>
  <c r="T791" i="3" s="1"/>
  <c r="R790" i="3"/>
  <c r="P790" i="3"/>
  <c r="O790" i="3"/>
  <c r="Q790" i="3" s="1"/>
  <c r="S790" i="3" s="1"/>
  <c r="T790" i="3" s="1"/>
  <c r="R789" i="3"/>
  <c r="P789" i="3"/>
  <c r="O789" i="3"/>
  <c r="Q789" i="3" s="1"/>
  <c r="S789" i="3" s="1"/>
  <c r="T789" i="3" s="1"/>
  <c r="R788" i="3"/>
  <c r="P788" i="3"/>
  <c r="O788" i="3"/>
  <c r="Q788" i="3" s="1"/>
  <c r="S788" i="3" s="1"/>
  <c r="T788" i="3" s="1"/>
  <c r="R787" i="3"/>
  <c r="P787" i="3"/>
  <c r="O787" i="3"/>
  <c r="Q787" i="3" s="1"/>
  <c r="S787" i="3" s="1"/>
  <c r="T787" i="3" s="1"/>
  <c r="R786" i="3"/>
  <c r="P786" i="3"/>
  <c r="O786" i="3"/>
  <c r="Q786" i="3" s="1"/>
  <c r="S786" i="3" s="1"/>
  <c r="T786" i="3" s="1"/>
  <c r="R785" i="3"/>
  <c r="P785" i="3"/>
  <c r="O785" i="3"/>
  <c r="Q785" i="3" s="1"/>
  <c r="S785" i="3" s="1"/>
  <c r="T785" i="3" s="1"/>
  <c r="R784" i="3"/>
  <c r="P784" i="3"/>
  <c r="O784" i="3"/>
  <c r="Q784" i="3" s="1"/>
  <c r="S784" i="3" s="1"/>
  <c r="T784" i="3" s="1"/>
  <c r="R783" i="3"/>
  <c r="P783" i="3"/>
  <c r="O783" i="3"/>
  <c r="Q783" i="3" s="1"/>
  <c r="S783" i="3" s="1"/>
  <c r="T783" i="3" s="1"/>
  <c r="R782" i="3"/>
  <c r="P782" i="3"/>
  <c r="O782" i="3"/>
  <c r="Q782" i="3" s="1"/>
  <c r="S782" i="3" s="1"/>
  <c r="T782" i="3" s="1"/>
  <c r="R781" i="3"/>
  <c r="P781" i="3"/>
  <c r="O781" i="3"/>
  <c r="Q781" i="3" s="1"/>
  <c r="S781" i="3" s="1"/>
  <c r="T781" i="3" s="1"/>
  <c r="R780" i="3"/>
  <c r="P780" i="3"/>
  <c r="O780" i="3"/>
  <c r="Q780" i="3" s="1"/>
  <c r="S780" i="3" s="1"/>
  <c r="T780" i="3" s="1"/>
  <c r="R779" i="3"/>
  <c r="P779" i="3"/>
  <c r="O779" i="3"/>
  <c r="Q779" i="3" s="1"/>
  <c r="S779" i="3" s="1"/>
  <c r="T779" i="3" s="1"/>
  <c r="R778" i="3"/>
  <c r="P778" i="3"/>
  <c r="O778" i="3"/>
  <c r="Q778" i="3" s="1"/>
  <c r="S778" i="3" s="1"/>
  <c r="T778" i="3" s="1"/>
  <c r="R777" i="3"/>
  <c r="P777" i="3"/>
  <c r="O777" i="3"/>
  <c r="Q777" i="3" s="1"/>
  <c r="S777" i="3" s="1"/>
  <c r="T777" i="3" s="1"/>
  <c r="R776" i="3"/>
  <c r="P776" i="3"/>
  <c r="O776" i="3"/>
  <c r="Q776" i="3" s="1"/>
  <c r="S776" i="3" s="1"/>
  <c r="T776" i="3" s="1"/>
  <c r="R775" i="3"/>
  <c r="P775" i="3"/>
  <c r="O775" i="3"/>
  <c r="Q775" i="3" s="1"/>
  <c r="S775" i="3" s="1"/>
  <c r="T775" i="3" s="1"/>
  <c r="R774" i="3"/>
  <c r="P774" i="3"/>
  <c r="O774" i="3"/>
  <c r="Q774" i="3" s="1"/>
  <c r="S774" i="3" s="1"/>
  <c r="T774" i="3" s="1"/>
  <c r="R773" i="3"/>
  <c r="P773" i="3"/>
  <c r="O773" i="3"/>
  <c r="Q773" i="3" s="1"/>
  <c r="S773" i="3" s="1"/>
  <c r="T773" i="3" s="1"/>
  <c r="R772" i="3"/>
  <c r="P772" i="3"/>
  <c r="O772" i="3"/>
  <c r="Q772" i="3" s="1"/>
  <c r="S772" i="3" s="1"/>
  <c r="T772" i="3" s="1"/>
  <c r="R771" i="3"/>
  <c r="P771" i="3"/>
  <c r="O771" i="3"/>
  <c r="Q771" i="3" s="1"/>
  <c r="S771" i="3" s="1"/>
  <c r="T771" i="3" s="1"/>
  <c r="R770" i="3"/>
  <c r="P770" i="3"/>
  <c r="O770" i="3"/>
  <c r="Q770" i="3" s="1"/>
  <c r="S770" i="3" s="1"/>
  <c r="T770" i="3" s="1"/>
  <c r="R769" i="3"/>
  <c r="P769" i="3"/>
  <c r="O769" i="3"/>
  <c r="Q769" i="3" s="1"/>
  <c r="S769" i="3" s="1"/>
  <c r="T769" i="3" s="1"/>
  <c r="R768" i="3"/>
  <c r="P768" i="3"/>
  <c r="O768" i="3"/>
  <c r="Q768" i="3" s="1"/>
  <c r="S768" i="3" s="1"/>
  <c r="T768" i="3" s="1"/>
  <c r="R767" i="3"/>
  <c r="P767" i="3"/>
  <c r="O767" i="3"/>
  <c r="Q767" i="3" s="1"/>
  <c r="S767" i="3" s="1"/>
  <c r="T767" i="3" s="1"/>
  <c r="R766" i="3"/>
  <c r="P766" i="3"/>
  <c r="O766" i="3"/>
  <c r="Q766" i="3" s="1"/>
  <c r="S766" i="3" s="1"/>
  <c r="T766" i="3" s="1"/>
  <c r="R765" i="3"/>
  <c r="P765" i="3"/>
  <c r="O765" i="3"/>
  <c r="Q765" i="3" s="1"/>
  <c r="S765" i="3" s="1"/>
  <c r="T765" i="3" s="1"/>
  <c r="R764" i="3"/>
  <c r="P764" i="3"/>
  <c r="O764" i="3"/>
  <c r="Q764" i="3" s="1"/>
  <c r="S764" i="3" s="1"/>
  <c r="T764" i="3" s="1"/>
  <c r="R763" i="3"/>
  <c r="P763" i="3"/>
  <c r="O763" i="3"/>
  <c r="Q763" i="3" s="1"/>
  <c r="S763" i="3" s="1"/>
  <c r="T763" i="3" s="1"/>
  <c r="R762" i="3"/>
  <c r="P762" i="3"/>
  <c r="O762" i="3"/>
  <c r="Q762" i="3" s="1"/>
  <c r="S762" i="3" s="1"/>
  <c r="T762" i="3" s="1"/>
  <c r="R761" i="3"/>
  <c r="P761" i="3"/>
  <c r="O761" i="3"/>
  <c r="Q761" i="3" s="1"/>
  <c r="S761" i="3" s="1"/>
  <c r="T761" i="3" s="1"/>
  <c r="R760" i="3"/>
  <c r="P760" i="3"/>
  <c r="O760" i="3"/>
  <c r="Q760" i="3" s="1"/>
  <c r="S760" i="3" s="1"/>
  <c r="T760" i="3" s="1"/>
  <c r="R759" i="3"/>
  <c r="P759" i="3"/>
  <c r="O759" i="3"/>
  <c r="Q759" i="3" s="1"/>
  <c r="S759" i="3" s="1"/>
  <c r="T759" i="3" s="1"/>
  <c r="R758" i="3"/>
  <c r="P758" i="3"/>
  <c r="O758" i="3"/>
  <c r="Q758" i="3" s="1"/>
  <c r="S758" i="3" s="1"/>
  <c r="T758" i="3" s="1"/>
  <c r="R757" i="3"/>
  <c r="P757" i="3"/>
  <c r="O757" i="3"/>
  <c r="Q757" i="3" s="1"/>
  <c r="S757" i="3" s="1"/>
  <c r="T757" i="3" s="1"/>
  <c r="R756" i="3"/>
  <c r="P756" i="3"/>
  <c r="O756" i="3"/>
  <c r="Q756" i="3" s="1"/>
  <c r="S756" i="3" s="1"/>
  <c r="T756" i="3" s="1"/>
  <c r="R755" i="3"/>
  <c r="P755" i="3"/>
  <c r="O755" i="3"/>
  <c r="Q755" i="3" s="1"/>
  <c r="S755" i="3" s="1"/>
  <c r="T755" i="3" s="1"/>
  <c r="R754" i="3"/>
  <c r="P754" i="3"/>
  <c r="O754" i="3"/>
  <c r="Q754" i="3" s="1"/>
  <c r="S754" i="3" s="1"/>
  <c r="T754" i="3" s="1"/>
  <c r="R753" i="3"/>
  <c r="P753" i="3"/>
  <c r="O753" i="3"/>
  <c r="Q753" i="3" s="1"/>
  <c r="S753" i="3" s="1"/>
  <c r="T753" i="3" s="1"/>
  <c r="R752" i="3"/>
  <c r="P752" i="3"/>
  <c r="O752" i="3"/>
  <c r="Q752" i="3" s="1"/>
  <c r="S752" i="3" s="1"/>
  <c r="T752" i="3" s="1"/>
  <c r="R751" i="3"/>
  <c r="P751" i="3"/>
  <c r="O751" i="3"/>
  <c r="Q751" i="3" s="1"/>
  <c r="S751" i="3" s="1"/>
  <c r="T751" i="3" s="1"/>
  <c r="R750" i="3"/>
  <c r="P750" i="3"/>
  <c r="O750" i="3"/>
  <c r="Q750" i="3" s="1"/>
  <c r="S750" i="3" s="1"/>
  <c r="T750" i="3" s="1"/>
  <c r="R749" i="3"/>
  <c r="P749" i="3"/>
  <c r="O749" i="3"/>
  <c r="Q749" i="3" s="1"/>
  <c r="S749" i="3" s="1"/>
  <c r="T749" i="3" s="1"/>
  <c r="R748" i="3"/>
  <c r="P748" i="3"/>
  <c r="O748" i="3"/>
  <c r="Q748" i="3" s="1"/>
  <c r="S748" i="3" s="1"/>
  <c r="T748" i="3" s="1"/>
  <c r="R747" i="3"/>
  <c r="P747" i="3"/>
  <c r="O747" i="3"/>
  <c r="Q747" i="3" s="1"/>
  <c r="S747" i="3" s="1"/>
  <c r="T747" i="3" s="1"/>
  <c r="R746" i="3"/>
  <c r="P746" i="3"/>
  <c r="O746" i="3"/>
  <c r="Q746" i="3" s="1"/>
  <c r="S746" i="3" s="1"/>
  <c r="T746" i="3" s="1"/>
  <c r="R745" i="3"/>
  <c r="P745" i="3"/>
  <c r="O745" i="3"/>
  <c r="Q745" i="3" s="1"/>
  <c r="S745" i="3" s="1"/>
  <c r="T745" i="3" s="1"/>
  <c r="R744" i="3"/>
  <c r="P744" i="3"/>
  <c r="O744" i="3"/>
  <c r="Q744" i="3" s="1"/>
  <c r="S744" i="3" s="1"/>
  <c r="T744" i="3" s="1"/>
  <c r="R743" i="3"/>
  <c r="P743" i="3"/>
  <c r="O743" i="3"/>
  <c r="Q743" i="3" s="1"/>
  <c r="S743" i="3" s="1"/>
  <c r="T743" i="3" s="1"/>
  <c r="R742" i="3"/>
  <c r="P742" i="3"/>
  <c r="O742" i="3"/>
  <c r="Q742" i="3" s="1"/>
  <c r="S742" i="3" s="1"/>
  <c r="T742" i="3" s="1"/>
  <c r="R741" i="3"/>
  <c r="P741" i="3"/>
  <c r="O741" i="3"/>
  <c r="Q741" i="3" s="1"/>
  <c r="S741" i="3" s="1"/>
  <c r="T741" i="3" s="1"/>
  <c r="R740" i="3"/>
  <c r="P740" i="3"/>
  <c r="O740" i="3"/>
  <c r="Q740" i="3" s="1"/>
  <c r="S740" i="3" s="1"/>
  <c r="T740" i="3" s="1"/>
  <c r="R739" i="3"/>
  <c r="P739" i="3"/>
  <c r="O739" i="3"/>
  <c r="Q739" i="3" s="1"/>
  <c r="S739" i="3" s="1"/>
  <c r="T739" i="3" s="1"/>
  <c r="R738" i="3"/>
  <c r="P738" i="3"/>
  <c r="O738" i="3"/>
  <c r="Q738" i="3" s="1"/>
  <c r="S738" i="3" s="1"/>
  <c r="T738" i="3" s="1"/>
  <c r="R737" i="3"/>
  <c r="P737" i="3"/>
  <c r="O737" i="3"/>
  <c r="Q737" i="3" s="1"/>
  <c r="S737" i="3" s="1"/>
  <c r="T737" i="3" s="1"/>
  <c r="R736" i="3"/>
  <c r="P736" i="3"/>
  <c r="O736" i="3"/>
  <c r="Q736" i="3" s="1"/>
  <c r="S736" i="3" s="1"/>
  <c r="T736" i="3" s="1"/>
  <c r="R735" i="3"/>
  <c r="P735" i="3"/>
  <c r="O735" i="3"/>
  <c r="Q735" i="3" s="1"/>
  <c r="S735" i="3" s="1"/>
  <c r="T735" i="3" s="1"/>
  <c r="R734" i="3"/>
  <c r="P734" i="3"/>
  <c r="O734" i="3"/>
  <c r="Q734" i="3" s="1"/>
  <c r="S734" i="3" s="1"/>
  <c r="T734" i="3" s="1"/>
  <c r="R733" i="3"/>
  <c r="P733" i="3"/>
  <c r="O733" i="3"/>
  <c r="Q733" i="3" s="1"/>
  <c r="S733" i="3" s="1"/>
  <c r="T733" i="3" s="1"/>
  <c r="R732" i="3"/>
  <c r="P732" i="3"/>
  <c r="O732" i="3"/>
  <c r="Q732" i="3" s="1"/>
  <c r="S732" i="3" s="1"/>
  <c r="T732" i="3" s="1"/>
  <c r="R731" i="3"/>
  <c r="P731" i="3"/>
  <c r="O731" i="3"/>
  <c r="Q731" i="3" s="1"/>
  <c r="S731" i="3" s="1"/>
  <c r="T731" i="3" s="1"/>
  <c r="R730" i="3"/>
  <c r="P730" i="3"/>
  <c r="O730" i="3"/>
  <c r="Q730" i="3" s="1"/>
  <c r="S730" i="3" s="1"/>
  <c r="T730" i="3" s="1"/>
  <c r="R729" i="3"/>
  <c r="P729" i="3"/>
  <c r="O729" i="3"/>
  <c r="Q729" i="3" s="1"/>
  <c r="S729" i="3" s="1"/>
  <c r="T729" i="3" s="1"/>
  <c r="R728" i="3"/>
  <c r="P728" i="3"/>
  <c r="O728" i="3"/>
  <c r="Q728" i="3" s="1"/>
  <c r="S728" i="3" s="1"/>
  <c r="T728" i="3" s="1"/>
  <c r="R727" i="3"/>
  <c r="P727" i="3"/>
  <c r="O727" i="3"/>
  <c r="Q727" i="3" s="1"/>
  <c r="S727" i="3" s="1"/>
  <c r="T727" i="3" s="1"/>
  <c r="R726" i="3"/>
  <c r="P726" i="3"/>
  <c r="O726" i="3"/>
  <c r="Q726" i="3" s="1"/>
  <c r="S726" i="3" s="1"/>
  <c r="T726" i="3" s="1"/>
  <c r="R725" i="3"/>
  <c r="P725" i="3"/>
  <c r="O725" i="3"/>
  <c r="Q725" i="3" s="1"/>
  <c r="S725" i="3" s="1"/>
  <c r="T725" i="3" s="1"/>
  <c r="R724" i="3"/>
  <c r="P724" i="3"/>
  <c r="O724" i="3"/>
  <c r="Q724" i="3" s="1"/>
  <c r="S724" i="3" s="1"/>
  <c r="T724" i="3" s="1"/>
  <c r="R723" i="3"/>
  <c r="P723" i="3"/>
  <c r="O723" i="3"/>
  <c r="Q723" i="3" s="1"/>
  <c r="S723" i="3" s="1"/>
  <c r="T723" i="3" s="1"/>
  <c r="R722" i="3"/>
  <c r="P722" i="3"/>
  <c r="O722" i="3"/>
  <c r="Q722" i="3" s="1"/>
  <c r="S722" i="3" s="1"/>
  <c r="T722" i="3" s="1"/>
  <c r="R721" i="3"/>
  <c r="P721" i="3"/>
  <c r="O721" i="3"/>
  <c r="Q721" i="3" s="1"/>
  <c r="S721" i="3" s="1"/>
  <c r="T721" i="3" s="1"/>
  <c r="R720" i="3"/>
  <c r="P720" i="3"/>
  <c r="O720" i="3"/>
  <c r="Q720" i="3" s="1"/>
  <c r="S720" i="3" s="1"/>
  <c r="T720" i="3" s="1"/>
  <c r="R719" i="3"/>
  <c r="P719" i="3"/>
  <c r="O719" i="3"/>
  <c r="Q719" i="3" s="1"/>
  <c r="S719" i="3" s="1"/>
  <c r="T719" i="3" s="1"/>
  <c r="R718" i="3"/>
  <c r="P718" i="3"/>
  <c r="O718" i="3"/>
  <c r="Q718" i="3" s="1"/>
  <c r="S718" i="3" s="1"/>
  <c r="T718" i="3" s="1"/>
  <c r="R717" i="3"/>
  <c r="P717" i="3"/>
  <c r="O717" i="3"/>
  <c r="Q717" i="3" s="1"/>
  <c r="S717" i="3" s="1"/>
  <c r="T717" i="3" s="1"/>
  <c r="R716" i="3"/>
  <c r="P716" i="3"/>
  <c r="O716" i="3"/>
  <c r="Q716" i="3" s="1"/>
  <c r="S716" i="3" s="1"/>
  <c r="T716" i="3" s="1"/>
  <c r="R715" i="3"/>
  <c r="P715" i="3"/>
  <c r="O715" i="3"/>
  <c r="Q715" i="3" s="1"/>
  <c r="S715" i="3" s="1"/>
  <c r="T715" i="3" s="1"/>
  <c r="R714" i="3"/>
  <c r="P714" i="3"/>
  <c r="O714" i="3"/>
  <c r="Q714" i="3" s="1"/>
  <c r="S714" i="3" s="1"/>
  <c r="T714" i="3" s="1"/>
  <c r="R713" i="3"/>
  <c r="P713" i="3"/>
  <c r="O713" i="3"/>
  <c r="Q713" i="3" s="1"/>
  <c r="S713" i="3" s="1"/>
  <c r="T713" i="3" s="1"/>
  <c r="R712" i="3"/>
  <c r="P712" i="3"/>
  <c r="O712" i="3"/>
  <c r="Q712" i="3" s="1"/>
  <c r="S712" i="3" s="1"/>
  <c r="T712" i="3" s="1"/>
  <c r="R711" i="3"/>
  <c r="P711" i="3"/>
  <c r="O711" i="3"/>
  <c r="Q711" i="3" s="1"/>
  <c r="S711" i="3" s="1"/>
  <c r="T711" i="3" s="1"/>
  <c r="R710" i="3"/>
  <c r="P710" i="3"/>
  <c r="O710" i="3"/>
  <c r="Q710" i="3" s="1"/>
  <c r="S710" i="3" s="1"/>
  <c r="T710" i="3" s="1"/>
  <c r="R709" i="3"/>
  <c r="P709" i="3"/>
  <c r="O709" i="3"/>
  <c r="Q709" i="3" s="1"/>
  <c r="S709" i="3" s="1"/>
  <c r="T709" i="3" s="1"/>
  <c r="R708" i="3"/>
  <c r="P708" i="3"/>
  <c r="O708" i="3"/>
  <c r="Q708" i="3" s="1"/>
  <c r="S708" i="3" s="1"/>
  <c r="T708" i="3" s="1"/>
  <c r="R707" i="3"/>
  <c r="P707" i="3"/>
  <c r="O707" i="3"/>
  <c r="Q707" i="3" s="1"/>
  <c r="S707" i="3" s="1"/>
  <c r="T707" i="3" s="1"/>
  <c r="R706" i="3"/>
  <c r="P706" i="3"/>
  <c r="O706" i="3"/>
  <c r="Q706" i="3" s="1"/>
  <c r="S706" i="3" s="1"/>
  <c r="T706" i="3" s="1"/>
  <c r="R705" i="3"/>
  <c r="P705" i="3"/>
  <c r="O705" i="3"/>
  <c r="Q705" i="3" s="1"/>
  <c r="S705" i="3" s="1"/>
  <c r="T705" i="3" s="1"/>
  <c r="R704" i="3"/>
  <c r="P704" i="3"/>
  <c r="O704" i="3"/>
  <c r="Q704" i="3" s="1"/>
  <c r="S704" i="3" s="1"/>
  <c r="T704" i="3" s="1"/>
  <c r="R703" i="3"/>
  <c r="P703" i="3"/>
  <c r="O703" i="3"/>
  <c r="Q703" i="3" s="1"/>
  <c r="S703" i="3" s="1"/>
  <c r="T703" i="3" s="1"/>
  <c r="R702" i="3"/>
  <c r="P702" i="3"/>
  <c r="O702" i="3"/>
  <c r="Q702" i="3" s="1"/>
  <c r="S702" i="3" s="1"/>
  <c r="T702" i="3" s="1"/>
  <c r="R701" i="3"/>
  <c r="P701" i="3"/>
  <c r="O701" i="3"/>
  <c r="Q701" i="3" s="1"/>
  <c r="S701" i="3" s="1"/>
  <c r="T701" i="3" s="1"/>
  <c r="R700" i="3"/>
  <c r="P700" i="3"/>
  <c r="O700" i="3"/>
  <c r="Q700" i="3" s="1"/>
  <c r="S700" i="3" s="1"/>
  <c r="T700" i="3" s="1"/>
  <c r="R699" i="3"/>
  <c r="P699" i="3"/>
  <c r="O699" i="3"/>
  <c r="Q699" i="3" s="1"/>
  <c r="S699" i="3" s="1"/>
  <c r="T699" i="3" s="1"/>
  <c r="R698" i="3"/>
  <c r="P698" i="3"/>
  <c r="O698" i="3"/>
  <c r="Q698" i="3" s="1"/>
  <c r="S698" i="3" s="1"/>
  <c r="T698" i="3" s="1"/>
  <c r="R697" i="3"/>
  <c r="P697" i="3"/>
  <c r="O697" i="3"/>
  <c r="Q697" i="3" s="1"/>
  <c r="S697" i="3" s="1"/>
  <c r="T697" i="3" s="1"/>
  <c r="R696" i="3"/>
  <c r="P696" i="3"/>
  <c r="O696" i="3"/>
  <c r="Q696" i="3" s="1"/>
  <c r="S696" i="3" s="1"/>
  <c r="T696" i="3" s="1"/>
  <c r="R695" i="3"/>
  <c r="P695" i="3"/>
  <c r="O695" i="3"/>
  <c r="Q695" i="3" s="1"/>
  <c r="S695" i="3" s="1"/>
  <c r="T695" i="3" s="1"/>
  <c r="R694" i="3"/>
  <c r="P694" i="3"/>
  <c r="O694" i="3"/>
  <c r="Q694" i="3" s="1"/>
  <c r="S694" i="3" s="1"/>
  <c r="T694" i="3" s="1"/>
  <c r="R693" i="3"/>
  <c r="P693" i="3"/>
  <c r="O693" i="3"/>
  <c r="Q693" i="3" s="1"/>
  <c r="S693" i="3" s="1"/>
  <c r="T693" i="3" s="1"/>
  <c r="R692" i="3"/>
  <c r="P692" i="3"/>
  <c r="O692" i="3"/>
  <c r="Q692" i="3" s="1"/>
  <c r="S692" i="3" s="1"/>
  <c r="T692" i="3" s="1"/>
  <c r="R691" i="3"/>
  <c r="P691" i="3"/>
  <c r="O691" i="3"/>
  <c r="Q691" i="3" s="1"/>
  <c r="S691" i="3" s="1"/>
  <c r="T691" i="3" s="1"/>
  <c r="R690" i="3"/>
  <c r="P690" i="3"/>
  <c r="O690" i="3"/>
  <c r="Q690" i="3" s="1"/>
  <c r="S690" i="3" s="1"/>
  <c r="T690" i="3" s="1"/>
  <c r="R689" i="3"/>
  <c r="P689" i="3"/>
  <c r="O689" i="3"/>
  <c r="Q689" i="3" s="1"/>
  <c r="S689" i="3" s="1"/>
  <c r="T689" i="3" s="1"/>
  <c r="R688" i="3"/>
  <c r="P688" i="3"/>
  <c r="O688" i="3"/>
  <c r="Q688" i="3" s="1"/>
  <c r="S688" i="3" s="1"/>
  <c r="T688" i="3" s="1"/>
  <c r="R687" i="3"/>
  <c r="P687" i="3"/>
  <c r="O687" i="3"/>
  <c r="Q687" i="3" s="1"/>
  <c r="S687" i="3" s="1"/>
  <c r="T687" i="3" s="1"/>
  <c r="R686" i="3"/>
  <c r="P686" i="3"/>
  <c r="O686" i="3"/>
  <c r="Q686" i="3" s="1"/>
  <c r="S686" i="3" s="1"/>
  <c r="T686" i="3" s="1"/>
  <c r="R685" i="3"/>
  <c r="P685" i="3"/>
  <c r="O685" i="3"/>
  <c r="Q685" i="3" s="1"/>
  <c r="S685" i="3" s="1"/>
  <c r="T685" i="3" s="1"/>
  <c r="R684" i="3"/>
  <c r="P684" i="3"/>
  <c r="O684" i="3"/>
  <c r="Q684" i="3" s="1"/>
  <c r="S684" i="3" s="1"/>
  <c r="T684" i="3" s="1"/>
  <c r="R683" i="3"/>
  <c r="P683" i="3"/>
  <c r="O683" i="3"/>
  <c r="Q683" i="3" s="1"/>
  <c r="S683" i="3" s="1"/>
  <c r="T683" i="3" s="1"/>
  <c r="R682" i="3"/>
  <c r="P682" i="3"/>
  <c r="O682" i="3"/>
  <c r="Q682" i="3" s="1"/>
  <c r="S682" i="3" s="1"/>
  <c r="T682" i="3" s="1"/>
  <c r="R681" i="3"/>
  <c r="P681" i="3"/>
  <c r="O681" i="3"/>
  <c r="Q681" i="3" s="1"/>
  <c r="S681" i="3" s="1"/>
  <c r="T681" i="3" s="1"/>
  <c r="R680" i="3"/>
  <c r="P680" i="3"/>
  <c r="O680" i="3"/>
  <c r="Q680" i="3" s="1"/>
  <c r="S680" i="3" s="1"/>
  <c r="T680" i="3" s="1"/>
  <c r="R679" i="3"/>
  <c r="P679" i="3"/>
  <c r="O679" i="3"/>
  <c r="Q679" i="3" s="1"/>
  <c r="S679" i="3" s="1"/>
  <c r="T679" i="3" s="1"/>
  <c r="R678" i="3"/>
  <c r="P678" i="3"/>
  <c r="O678" i="3"/>
  <c r="Q678" i="3" s="1"/>
  <c r="S678" i="3" s="1"/>
  <c r="T678" i="3" s="1"/>
  <c r="R677" i="3"/>
  <c r="P677" i="3"/>
  <c r="O677" i="3"/>
  <c r="Q677" i="3" s="1"/>
  <c r="S677" i="3" s="1"/>
  <c r="T677" i="3" s="1"/>
  <c r="R676" i="3"/>
  <c r="P676" i="3"/>
  <c r="O676" i="3"/>
  <c r="Q676" i="3" s="1"/>
  <c r="S676" i="3" s="1"/>
  <c r="T676" i="3" s="1"/>
  <c r="R675" i="3"/>
  <c r="P675" i="3"/>
  <c r="O675" i="3"/>
  <c r="Q675" i="3" s="1"/>
  <c r="S675" i="3" s="1"/>
  <c r="T675" i="3" s="1"/>
  <c r="R674" i="3"/>
  <c r="P674" i="3"/>
  <c r="O674" i="3"/>
  <c r="Q674" i="3" s="1"/>
  <c r="S674" i="3" s="1"/>
  <c r="T674" i="3" s="1"/>
  <c r="R673" i="3"/>
  <c r="P673" i="3"/>
  <c r="O673" i="3"/>
  <c r="Q673" i="3" s="1"/>
  <c r="S673" i="3" s="1"/>
  <c r="T673" i="3" s="1"/>
  <c r="R672" i="3"/>
  <c r="P672" i="3"/>
  <c r="O672" i="3"/>
  <c r="Q672" i="3" s="1"/>
  <c r="S672" i="3" s="1"/>
  <c r="T672" i="3" s="1"/>
  <c r="R671" i="3"/>
  <c r="P671" i="3"/>
  <c r="O671" i="3"/>
  <c r="Q671" i="3" s="1"/>
  <c r="S671" i="3" s="1"/>
  <c r="T671" i="3" s="1"/>
  <c r="R670" i="3"/>
  <c r="P670" i="3"/>
  <c r="O670" i="3"/>
  <c r="Q670" i="3" s="1"/>
  <c r="S670" i="3" s="1"/>
  <c r="T670" i="3" s="1"/>
  <c r="R669" i="3"/>
  <c r="P669" i="3"/>
  <c r="O669" i="3"/>
  <c r="Q669" i="3" s="1"/>
  <c r="S669" i="3" s="1"/>
  <c r="T669" i="3" s="1"/>
  <c r="R668" i="3"/>
  <c r="P668" i="3"/>
  <c r="O668" i="3"/>
  <c r="Q668" i="3" s="1"/>
  <c r="S668" i="3" s="1"/>
  <c r="T668" i="3" s="1"/>
  <c r="R667" i="3"/>
  <c r="P667" i="3"/>
  <c r="O667" i="3"/>
  <c r="Q667" i="3" s="1"/>
  <c r="S667" i="3" s="1"/>
  <c r="T667" i="3" s="1"/>
  <c r="R666" i="3"/>
  <c r="P666" i="3"/>
  <c r="O666" i="3"/>
  <c r="Q666" i="3" s="1"/>
  <c r="S666" i="3" s="1"/>
  <c r="T666" i="3" s="1"/>
  <c r="R665" i="3"/>
  <c r="P665" i="3"/>
  <c r="O665" i="3"/>
  <c r="Q665" i="3" s="1"/>
  <c r="S665" i="3" s="1"/>
  <c r="T665" i="3" s="1"/>
  <c r="R664" i="3"/>
  <c r="P664" i="3"/>
  <c r="O664" i="3"/>
  <c r="Q664" i="3" s="1"/>
  <c r="S664" i="3" s="1"/>
  <c r="T664" i="3" s="1"/>
  <c r="R663" i="3"/>
  <c r="P663" i="3"/>
  <c r="O663" i="3"/>
  <c r="Q663" i="3" s="1"/>
  <c r="S663" i="3" s="1"/>
  <c r="T663" i="3" s="1"/>
  <c r="R662" i="3"/>
  <c r="P662" i="3"/>
  <c r="O662" i="3"/>
  <c r="Q662" i="3" s="1"/>
  <c r="S662" i="3" s="1"/>
  <c r="T662" i="3" s="1"/>
  <c r="R661" i="3"/>
  <c r="P661" i="3"/>
  <c r="O661" i="3"/>
  <c r="Q661" i="3" s="1"/>
  <c r="S661" i="3" s="1"/>
  <c r="T661" i="3" s="1"/>
  <c r="R660" i="3"/>
  <c r="P660" i="3"/>
  <c r="O660" i="3"/>
  <c r="Q660" i="3" s="1"/>
  <c r="S660" i="3" s="1"/>
  <c r="T660" i="3" s="1"/>
  <c r="R659" i="3"/>
  <c r="P659" i="3"/>
  <c r="O659" i="3"/>
  <c r="Q659" i="3" s="1"/>
  <c r="S659" i="3" s="1"/>
  <c r="T659" i="3" s="1"/>
  <c r="R658" i="3"/>
  <c r="P658" i="3"/>
  <c r="O658" i="3"/>
  <c r="Q658" i="3" s="1"/>
  <c r="S658" i="3" s="1"/>
  <c r="T658" i="3" s="1"/>
  <c r="R657" i="3"/>
  <c r="P657" i="3"/>
  <c r="O657" i="3"/>
  <c r="Q657" i="3" s="1"/>
  <c r="S657" i="3" s="1"/>
  <c r="T657" i="3" s="1"/>
  <c r="R656" i="3"/>
  <c r="P656" i="3"/>
  <c r="O656" i="3"/>
  <c r="Q656" i="3" s="1"/>
  <c r="S656" i="3" s="1"/>
  <c r="T656" i="3" s="1"/>
  <c r="R655" i="3"/>
  <c r="P655" i="3"/>
  <c r="O655" i="3"/>
  <c r="Q655" i="3" s="1"/>
  <c r="S655" i="3" s="1"/>
  <c r="T655" i="3" s="1"/>
  <c r="R654" i="3"/>
  <c r="P654" i="3"/>
  <c r="O654" i="3"/>
  <c r="Q654" i="3" s="1"/>
  <c r="S654" i="3" s="1"/>
  <c r="T654" i="3" s="1"/>
  <c r="R653" i="3"/>
  <c r="P653" i="3"/>
  <c r="O653" i="3"/>
  <c r="Q653" i="3" s="1"/>
  <c r="S653" i="3" s="1"/>
  <c r="T653" i="3" s="1"/>
  <c r="R652" i="3"/>
  <c r="P652" i="3"/>
  <c r="O652" i="3"/>
  <c r="Q652" i="3" s="1"/>
  <c r="S652" i="3" s="1"/>
  <c r="T652" i="3" s="1"/>
  <c r="R651" i="3"/>
  <c r="P651" i="3"/>
  <c r="O651" i="3"/>
  <c r="Q651" i="3" s="1"/>
  <c r="S651" i="3" s="1"/>
  <c r="T651" i="3" s="1"/>
  <c r="R650" i="3"/>
  <c r="P650" i="3"/>
  <c r="O650" i="3"/>
  <c r="Q650" i="3" s="1"/>
  <c r="S650" i="3" s="1"/>
  <c r="T650" i="3" s="1"/>
  <c r="R649" i="3"/>
  <c r="P649" i="3"/>
  <c r="O649" i="3"/>
  <c r="Q649" i="3" s="1"/>
  <c r="S649" i="3" s="1"/>
  <c r="T649" i="3" s="1"/>
  <c r="R648" i="3"/>
  <c r="P648" i="3"/>
  <c r="O648" i="3"/>
  <c r="Q648" i="3" s="1"/>
  <c r="S648" i="3" s="1"/>
  <c r="T648" i="3" s="1"/>
  <c r="R647" i="3"/>
  <c r="P647" i="3"/>
  <c r="O647" i="3"/>
  <c r="Q647" i="3" s="1"/>
  <c r="S647" i="3" s="1"/>
  <c r="T647" i="3" s="1"/>
  <c r="R646" i="3"/>
  <c r="P646" i="3"/>
  <c r="O646" i="3"/>
  <c r="Q646" i="3" s="1"/>
  <c r="S646" i="3" s="1"/>
  <c r="T646" i="3" s="1"/>
  <c r="R645" i="3"/>
  <c r="P645" i="3"/>
  <c r="O645" i="3"/>
  <c r="Q645" i="3" s="1"/>
  <c r="S645" i="3" s="1"/>
  <c r="T645" i="3" s="1"/>
  <c r="R644" i="3"/>
  <c r="P644" i="3"/>
  <c r="O644" i="3"/>
  <c r="Q644" i="3" s="1"/>
  <c r="S644" i="3" s="1"/>
  <c r="T644" i="3" s="1"/>
  <c r="R643" i="3"/>
  <c r="P643" i="3"/>
  <c r="O643" i="3"/>
  <c r="Q643" i="3" s="1"/>
  <c r="S643" i="3" s="1"/>
  <c r="T643" i="3" s="1"/>
  <c r="R642" i="3"/>
  <c r="P642" i="3"/>
  <c r="O642" i="3"/>
  <c r="Q642" i="3" s="1"/>
  <c r="S642" i="3" s="1"/>
  <c r="T642" i="3" s="1"/>
  <c r="R641" i="3"/>
  <c r="P641" i="3"/>
  <c r="O641" i="3"/>
  <c r="Q641" i="3" s="1"/>
  <c r="S641" i="3" s="1"/>
  <c r="T641" i="3" s="1"/>
  <c r="R640" i="3"/>
  <c r="P640" i="3"/>
  <c r="O640" i="3"/>
  <c r="Q640" i="3" s="1"/>
  <c r="S640" i="3" s="1"/>
  <c r="T640" i="3" s="1"/>
  <c r="R639" i="3"/>
  <c r="P639" i="3"/>
  <c r="O639" i="3"/>
  <c r="Q639" i="3" s="1"/>
  <c r="S639" i="3" s="1"/>
  <c r="T639" i="3" s="1"/>
  <c r="R638" i="3"/>
  <c r="P638" i="3"/>
  <c r="O638" i="3"/>
  <c r="Q638" i="3" s="1"/>
  <c r="S638" i="3" s="1"/>
  <c r="T638" i="3" s="1"/>
  <c r="R637" i="3"/>
  <c r="P637" i="3"/>
  <c r="O637" i="3"/>
  <c r="Q637" i="3" s="1"/>
  <c r="S637" i="3" s="1"/>
  <c r="T637" i="3" s="1"/>
  <c r="R636" i="3"/>
  <c r="P636" i="3"/>
  <c r="O636" i="3"/>
  <c r="Q636" i="3" s="1"/>
  <c r="S636" i="3" s="1"/>
  <c r="T636" i="3" s="1"/>
  <c r="R635" i="3"/>
  <c r="P635" i="3"/>
  <c r="O635" i="3"/>
  <c r="Q635" i="3" s="1"/>
  <c r="S635" i="3" s="1"/>
  <c r="T635" i="3" s="1"/>
  <c r="R634" i="3"/>
  <c r="P634" i="3"/>
  <c r="O634" i="3"/>
  <c r="Q634" i="3" s="1"/>
  <c r="S634" i="3" s="1"/>
  <c r="T634" i="3" s="1"/>
  <c r="R633" i="3"/>
  <c r="P633" i="3"/>
  <c r="O633" i="3"/>
  <c r="Q633" i="3" s="1"/>
  <c r="S633" i="3" s="1"/>
  <c r="T633" i="3" s="1"/>
  <c r="R632" i="3"/>
  <c r="P632" i="3"/>
  <c r="O632" i="3"/>
  <c r="Q632" i="3" s="1"/>
  <c r="S632" i="3" s="1"/>
  <c r="T632" i="3" s="1"/>
  <c r="R631" i="3"/>
  <c r="P631" i="3"/>
  <c r="O631" i="3"/>
  <c r="Q631" i="3" s="1"/>
  <c r="S631" i="3" s="1"/>
  <c r="T631" i="3" s="1"/>
  <c r="R630" i="3"/>
  <c r="P630" i="3"/>
  <c r="O630" i="3"/>
  <c r="Q630" i="3" s="1"/>
  <c r="S630" i="3" s="1"/>
  <c r="T630" i="3" s="1"/>
  <c r="R629" i="3"/>
  <c r="P629" i="3"/>
  <c r="O629" i="3"/>
  <c r="Q629" i="3" s="1"/>
  <c r="S629" i="3" s="1"/>
  <c r="T629" i="3" s="1"/>
  <c r="R628" i="3"/>
  <c r="P628" i="3"/>
  <c r="O628" i="3"/>
  <c r="Q628" i="3" s="1"/>
  <c r="S628" i="3" s="1"/>
  <c r="T628" i="3" s="1"/>
  <c r="R627" i="3"/>
  <c r="P627" i="3"/>
  <c r="O627" i="3"/>
  <c r="Q627" i="3" s="1"/>
  <c r="S627" i="3" s="1"/>
  <c r="T627" i="3" s="1"/>
  <c r="R626" i="3"/>
  <c r="P626" i="3"/>
  <c r="O626" i="3"/>
  <c r="Q626" i="3" s="1"/>
  <c r="S626" i="3" s="1"/>
  <c r="T626" i="3" s="1"/>
  <c r="R625" i="3"/>
  <c r="P625" i="3"/>
  <c r="O625" i="3"/>
  <c r="Q625" i="3" s="1"/>
  <c r="S625" i="3" s="1"/>
  <c r="T625" i="3" s="1"/>
  <c r="R624" i="3"/>
  <c r="P624" i="3"/>
  <c r="O624" i="3"/>
  <c r="Q624" i="3" s="1"/>
  <c r="S624" i="3" s="1"/>
  <c r="T624" i="3" s="1"/>
  <c r="R623" i="3"/>
  <c r="P623" i="3"/>
  <c r="O623" i="3"/>
  <c r="Q623" i="3" s="1"/>
  <c r="S623" i="3" s="1"/>
  <c r="T623" i="3" s="1"/>
  <c r="R622" i="3"/>
  <c r="P622" i="3"/>
  <c r="O622" i="3"/>
  <c r="Q622" i="3" s="1"/>
  <c r="S622" i="3" s="1"/>
  <c r="T622" i="3" s="1"/>
  <c r="R621" i="3"/>
  <c r="P621" i="3"/>
  <c r="O621" i="3"/>
  <c r="Q621" i="3" s="1"/>
  <c r="S621" i="3" s="1"/>
  <c r="T621" i="3" s="1"/>
  <c r="R620" i="3"/>
  <c r="P620" i="3"/>
  <c r="O620" i="3"/>
  <c r="Q620" i="3" s="1"/>
  <c r="S620" i="3" s="1"/>
  <c r="T620" i="3" s="1"/>
  <c r="R619" i="3"/>
  <c r="P619" i="3"/>
  <c r="O619" i="3"/>
  <c r="Q619" i="3" s="1"/>
  <c r="S619" i="3" s="1"/>
  <c r="T619" i="3" s="1"/>
  <c r="R618" i="3"/>
  <c r="P618" i="3"/>
  <c r="O618" i="3"/>
  <c r="Q618" i="3" s="1"/>
  <c r="S618" i="3" s="1"/>
  <c r="T618" i="3" s="1"/>
  <c r="R617" i="3"/>
  <c r="P617" i="3"/>
  <c r="O617" i="3"/>
  <c r="Q617" i="3" s="1"/>
  <c r="S617" i="3" s="1"/>
  <c r="T617" i="3" s="1"/>
  <c r="R616" i="3"/>
  <c r="P616" i="3"/>
  <c r="O616" i="3"/>
  <c r="Q616" i="3" s="1"/>
  <c r="S616" i="3" s="1"/>
  <c r="T616" i="3" s="1"/>
  <c r="R615" i="3"/>
  <c r="P615" i="3"/>
  <c r="O615" i="3"/>
  <c r="Q615" i="3" s="1"/>
  <c r="S615" i="3" s="1"/>
  <c r="T615" i="3" s="1"/>
  <c r="R614" i="3"/>
  <c r="P614" i="3"/>
  <c r="O614" i="3"/>
  <c r="Q614" i="3" s="1"/>
  <c r="S614" i="3" s="1"/>
  <c r="T614" i="3" s="1"/>
  <c r="R613" i="3"/>
  <c r="P613" i="3"/>
  <c r="O613" i="3"/>
  <c r="Q613" i="3" s="1"/>
  <c r="S613" i="3" s="1"/>
  <c r="T613" i="3" s="1"/>
  <c r="R612" i="3"/>
  <c r="P612" i="3"/>
  <c r="O612" i="3"/>
  <c r="Q612" i="3" s="1"/>
  <c r="S612" i="3" s="1"/>
  <c r="T612" i="3" s="1"/>
  <c r="R611" i="3"/>
  <c r="P611" i="3"/>
  <c r="O611" i="3"/>
  <c r="Q611" i="3" s="1"/>
  <c r="S611" i="3" s="1"/>
  <c r="T611" i="3" s="1"/>
  <c r="R610" i="3"/>
  <c r="P610" i="3"/>
  <c r="O610" i="3"/>
  <c r="Q610" i="3" s="1"/>
  <c r="S610" i="3" s="1"/>
  <c r="T610" i="3" s="1"/>
  <c r="R609" i="3"/>
  <c r="P609" i="3"/>
  <c r="O609" i="3"/>
  <c r="Q609" i="3" s="1"/>
  <c r="S609" i="3" s="1"/>
  <c r="T609" i="3" s="1"/>
  <c r="R608" i="3"/>
  <c r="P608" i="3"/>
  <c r="O608" i="3"/>
  <c r="Q608" i="3" s="1"/>
  <c r="S608" i="3" s="1"/>
  <c r="T608" i="3" s="1"/>
  <c r="R607" i="3"/>
  <c r="P607" i="3"/>
  <c r="O607" i="3"/>
  <c r="Q607" i="3" s="1"/>
  <c r="S607" i="3" s="1"/>
  <c r="T607" i="3" s="1"/>
  <c r="R606" i="3"/>
  <c r="P606" i="3"/>
  <c r="O606" i="3"/>
  <c r="Q606" i="3" s="1"/>
  <c r="S606" i="3" s="1"/>
  <c r="T606" i="3" s="1"/>
  <c r="R605" i="3"/>
  <c r="P605" i="3"/>
  <c r="O605" i="3"/>
  <c r="Q605" i="3" s="1"/>
  <c r="S605" i="3" s="1"/>
  <c r="T605" i="3" s="1"/>
  <c r="R604" i="3"/>
  <c r="P604" i="3"/>
  <c r="O604" i="3"/>
  <c r="Q604" i="3" s="1"/>
  <c r="S604" i="3" s="1"/>
  <c r="T604" i="3" s="1"/>
  <c r="R603" i="3"/>
  <c r="P603" i="3"/>
  <c r="O603" i="3"/>
  <c r="Q603" i="3" s="1"/>
  <c r="S603" i="3" s="1"/>
  <c r="T603" i="3" s="1"/>
  <c r="R602" i="3"/>
  <c r="P602" i="3"/>
  <c r="O602" i="3"/>
  <c r="Q602" i="3" s="1"/>
  <c r="S602" i="3" s="1"/>
  <c r="T602" i="3" s="1"/>
  <c r="R601" i="3"/>
  <c r="P601" i="3"/>
  <c r="O601" i="3"/>
  <c r="Q601" i="3" s="1"/>
  <c r="S601" i="3" s="1"/>
  <c r="T601" i="3" s="1"/>
  <c r="R600" i="3"/>
  <c r="P600" i="3"/>
  <c r="O600" i="3"/>
  <c r="Q600" i="3" s="1"/>
  <c r="S600" i="3" s="1"/>
  <c r="T600" i="3" s="1"/>
  <c r="R599" i="3"/>
  <c r="P599" i="3"/>
  <c r="O599" i="3"/>
  <c r="Q599" i="3" s="1"/>
  <c r="S599" i="3" s="1"/>
  <c r="T599" i="3" s="1"/>
  <c r="R598" i="3"/>
  <c r="P598" i="3"/>
  <c r="O598" i="3"/>
  <c r="Q598" i="3" s="1"/>
  <c r="S598" i="3" s="1"/>
  <c r="T598" i="3" s="1"/>
  <c r="R597" i="3"/>
  <c r="P597" i="3"/>
  <c r="O597" i="3"/>
  <c r="Q597" i="3" s="1"/>
  <c r="S597" i="3" s="1"/>
  <c r="T597" i="3" s="1"/>
  <c r="R596" i="3"/>
  <c r="P596" i="3"/>
  <c r="O596" i="3"/>
  <c r="Q596" i="3" s="1"/>
  <c r="S596" i="3" s="1"/>
  <c r="T596" i="3" s="1"/>
  <c r="R595" i="3"/>
  <c r="P595" i="3"/>
  <c r="O595" i="3"/>
  <c r="Q595" i="3" s="1"/>
  <c r="S595" i="3" s="1"/>
  <c r="T595" i="3" s="1"/>
  <c r="R594" i="3"/>
  <c r="P594" i="3"/>
  <c r="O594" i="3"/>
  <c r="Q594" i="3" s="1"/>
  <c r="S594" i="3" s="1"/>
  <c r="T594" i="3" s="1"/>
  <c r="R593" i="3"/>
  <c r="P593" i="3"/>
  <c r="O593" i="3"/>
  <c r="Q593" i="3" s="1"/>
  <c r="S593" i="3" s="1"/>
  <c r="T593" i="3" s="1"/>
  <c r="R592" i="3"/>
  <c r="P592" i="3"/>
  <c r="O592" i="3"/>
  <c r="Q592" i="3" s="1"/>
  <c r="S592" i="3" s="1"/>
  <c r="T592" i="3" s="1"/>
  <c r="R591" i="3"/>
  <c r="P591" i="3"/>
  <c r="O591" i="3"/>
  <c r="Q591" i="3" s="1"/>
  <c r="S591" i="3" s="1"/>
  <c r="T591" i="3" s="1"/>
  <c r="R590" i="3"/>
  <c r="P590" i="3"/>
  <c r="O590" i="3"/>
  <c r="Q590" i="3" s="1"/>
  <c r="S590" i="3" s="1"/>
  <c r="T590" i="3" s="1"/>
  <c r="R589" i="3"/>
  <c r="P589" i="3"/>
  <c r="O589" i="3"/>
  <c r="Q589" i="3" s="1"/>
  <c r="S589" i="3" s="1"/>
  <c r="T589" i="3" s="1"/>
  <c r="R588" i="3"/>
  <c r="P588" i="3"/>
  <c r="O588" i="3"/>
  <c r="Q588" i="3" s="1"/>
  <c r="S588" i="3" s="1"/>
  <c r="T588" i="3" s="1"/>
  <c r="R587" i="3"/>
  <c r="P587" i="3"/>
  <c r="O587" i="3"/>
  <c r="Q587" i="3" s="1"/>
  <c r="S587" i="3" s="1"/>
  <c r="T587" i="3" s="1"/>
  <c r="R586" i="3"/>
  <c r="P586" i="3"/>
  <c r="O586" i="3"/>
  <c r="Q586" i="3" s="1"/>
  <c r="S586" i="3" s="1"/>
  <c r="T586" i="3" s="1"/>
  <c r="R585" i="3"/>
  <c r="P585" i="3"/>
  <c r="O585" i="3"/>
  <c r="Q585" i="3" s="1"/>
  <c r="S585" i="3" s="1"/>
  <c r="T585" i="3" s="1"/>
  <c r="R584" i="3"/>
  <c r="P584" i="3"/>
  <c r="O584" i="3"/>
  <c r="Q584" i="3" s="1"/>
  <c r="S584" i="3" s="1"/>
  <c r="T584" i="3" s="1"/>
  <c r="R583" i="3"/>
  <c r="P583" i="3"/>
  <c r="O583" i="3"/>
  <c r="Q583" i="3" s="1"/>
  <c r="S583" i="3" s="1"/>
  <c r="T583" i="3" s="1"/>
  <c r="R582" i="3"/>
  <c r="P582" i="3"/>
  <c r="O582" i="3"/>
  <c r="Q582" i="3" s="1"/>
  <c r="S582" i="3" s="1"/>
  <c r="T582" i="3" s="1"/>
  <c r="R581" i="3"/>
  <c r="P581" i="3"/>
  <c r="O581" i="3"/>
  <c r="Q581" i="3" s="1"/>
  <c r="S581" i="3" s="1"/>
  <c r="T581" i="3" s="1"/>
  <c r="R580" i="3"/>
  <c r="P580" i="3"/>
  <c r="O580" i="3"/>
  <c r="Q580" i="3" s="1"/>
  <c r="S580" i="3" s="1"/>
  <c r="T580" i="3" s="1"/>
  <c r="R579" i="3"/>
  <c r="P579" i="3"/>
  <c r="O579" i="3"/>
  <c r="Q579" i="3" s="1"/>
  <c r="S579" i="3" s="1"/>
  <c r="T579" i="3" s="1"/>
  <c r="R578" i="3"/>
  <c r="P578" i="3"/>
  <c r="O578" i="3"/>
  <c r="Q578" i="3" s="1"/>
  <c r="S578" i="3" s="1"/>
  <c r="T578" i="3" s="1"/>
  <c r="R577" i="3"/>
  <c r="P577" i="3"/>
  <c r="O577" i="3"/>
  <c r="Q577" i="3" s="1"/>
  <c r="S577" i="3" s="1"/>
  <c r="T577" i="3" s="1"/>
  <c r="R576" i="3"/>
  <c r="P576" i="3"/>
  <c r="O576" i="3"/>
  <c r="Q576" i="3" s="1"/>
  <c r="S576" i="3" s="1"/>
  <c r="T576" i="3" s="1"/>
  <c r="R575" i="3"/>
  <c r="P575" i="3"/>
  <c r="O575" i="3"/>
  <c r="Q575" i="3" s="1"/>
  <c r="S575" i="3" s="1"/>
  <c r="T575" i="3" s="1"/>
  <c r="R574" i="3"/>
  <c r="P574" i="3"/>
  <c r="O574" i="3"/>
  <c r="Q574" i="3" s="1"/>
  <c r="S574" i="3" s="1"/>
  <c r="T574" i="3" s="1"/>
  <c r="R573" i="3"/>
  <c r="P573" i="3"/>
  <c r="O573" i="3"/>
  <c r="Q573" i="3" s="1"/>
  <c r="S573" i="3" s="1"/>
  <c r="T573" i="3" s="1"/>
  <c r="R572" i="3"/>
  <c r="P572" i="3"/>
  <c r="O572" i="3"/>
  <c r="Q572" i="3" s="1"/>
  <c r="S572" i="3" s="1"/>
  <c r="T572" i="3" s="1"/>
  <c r="R571" i="3"/>
  <c r="P571" i="3"/>
  <c r="O571" i="3"/>
  <c r="Q571" i="3" s="1"/>
  <c r="S571" i="3" s="1"/>
  <c r="T571" i="3" s="1"/>
  <c r="R570" i="3"/>
  <c r="P570" i="3"/>
  <c r="O570" i="3"/>
  <c r="Q570" i="3" s="1"/>
  <c r="S570" i="3" s="1"/>
  <c r="T570" i="3" s="1"/>
  <c r="R569" i="3"/>
  <c r="P569" i="3"/>
  <c r="O569" i="3"/>
  <c r="Q569" i="3" s="1"/>
  <c r="S569" i="3" s="1"/>
  <c r="T569" i="3" s="1"/>
  <c r="R568" i="3"/>
  <c r="P568" i="3"/>
  <c r="O568" i="3"/>
  <c r="Q568" i="3" s="1"/>
  <c r="S568" i="3" s="1"/>
  <c r="T568" i="3" s="1"/>
  <c r="R567" i="3"/>
  <c r="P567" i="3"/>
  <c r="O567" i="3"/>
  <c r="Q567" i="3" s="1"/>
  <c r="S567" i="3" s="1"/>
  <c r="T567" i="3" s="1"/>
  <c r="R566" i="3"/>
  <c r="P566" i="3"/>
  <c r="O566" i="3"/>
  <c r="Q566" i="3" s="1"/>
  <c r="S566" i="3" s="1"/>
  <c r="T566" i="3" s="1"/>
  <c r="R565" i="3"/>
  <c r="P565" i="3"/>
  <c r="O565" i="3"/>
  <c r="Q565" i="3" s="1"/>
  <c r="S565" i="3" s="1"/>
  <c r="T565" i="3" s="1"/>
  <c r="R564" i="3"/>
  <c r="P564" i="3"/>
  <c r="O564" i="3"/>
  <c r="Q564" i="3" s="1"/>
  <c r="S564" i="3" s="1"/>
  <c r="T564" i="3" s="1"/>
  <c r="R563" i="3"/>
  <c r="P563" i="3"/>
  <c r="O563" i="3"/>
  <c r="Q563" i="3" s="1"/>
  <c r="S563" i="3" s="1"/>
  <c r="T563" i="3" s="1"/>
  <c r="R562" i="3"/>
  <c r="P562" i="3"/>
  <c r="O562" i="3"/>
  <c r="Q562" i="3" s="1"/>
  <c r="S562" i="3" s="1"/>
  <c r="T562" i="3" s="1"/>
  <c r="R561" i="3"/>
  <c r="P561" i="3"/>
  <c r="O561" i="3"/>
  <c r="Q561" i="3" s="1"/>
  <c r="S561" i="3" s="1"/>
  <c r="T561" i="3" s="1"/>
  <c r="R560" i="3"/>
  <c r="P560" i="3"/>
  <c r="O560" i="3"/>
  <c r="Q560" i="3" s="1"/>
  <c r="S560" i="3" s="1"/>
  <c r="T560" i="3" s="1"/>
  <c r="R559" i="3"/>
  <c r="P559" i="3"/>
  <c r="O559" i="3"/>
  <c r="Q559" i="3" s="1"/>
  <c r="S559" i="3" s="1"/>
  <c r="T559" i="3" s="1"/>
  <c r="R558" i="3"/>
  <c r="P558" i="3"/>
  <c r="O558" i="3"/>
  <c r="Q558" i="3" s="1"/>
  <c r="S558" i="3" s="1"/>
  <c r="T558" i="3" s="1"/>
  <c r="R557" i="3"/>
  <c r="P557" i="3"/>
  <c r="O557" i="3"/>
  <c r="Q557" i="3" s="1"/>
  <c r="S557" i="3" s="1"/>
  <c r="T557" i="3" s="1"/>
  <c r="R556" i="3"/>
  <c r="P556" i="3"/>
  <c r="O556" i="3"/>
  <c r="Q556" i="3" s="1"/>
  <c r="S556" i="3" s="1"/>
  <c r="T556" i="3" s="1"/>
  <c r="R555" i="3"/>
  <c r="P555" i="3"/>
  <c r="O555" i="3"/>
  <c r="Q555" i="3" s="1"/>
  <c r="S555" i="3" s="1"/>
  <c r="T555" i="3" s="1"/>
  <c r="R554" i="3"/>
  <c r="P554" i="3"/>
  <c r="O554" i="3"/>
  <c r="Q554" i="3" s="1"/>
  <c r="S554" i="3" s="1"/>
  <c r="T554" i="3" s="1"/>
  <c r="R553" i="3"/>
  <c r="P553" i="3"/>
  <c r="O553" i="3"/>
  <c r="Q553" i="3" s="1"/>
  <c r="S553" i="3" s="1"/>
  <c r="T553" i="3" s="1"/>
  <c r="R552" i="3"/>
  <c r="P552" i="3"/>
  <c r="O552" i="3"/>
  <c r="Q552" i="3" s="1"/>
  <c r="S552" i="3" s="1"/>
  <c r="T552" i="3" s="1"/>
  <c r="R551" i="3"/>
  <c r="P551" i="3"/>
  <c r="O551" i="3"/>
  <c r="Q551" i="3" s="1"/>
  <c r="S551" i="3" s="1"/>
  <c r="T551" i="3" s="1"/>
  <c r="R550" i="3"/>
  <c r="P550" i="3"/>
  <c r="O550" i="3"/>
  <c r="Q550" i="3" s="1"/>
  <c r="S550" i="3" s="1"/>
  <c r="T550" i="3" s="1"/>
  <c r="R549" i="3"/>
  <c r="P549" i="3"/>
  <c r="O549" i="3"/>
  <c r="Q549" i="3" s="1"/>
  <c r="S549" i="3" s="1"/>
  <c r="T549" i="3" s="1"/>
  <c r="R548" i="3"/>
  <c r="P548" i="3"/>
  <c r="O548" i="3"/>
  <c r="Q548" i="3" s="1"/>
  <c r="S548" i="3" s="1"/>
  <c r="T548" i="3" s="1"/>
  <c r="R547" i="3"/>
  <c r="P547" i="3"/>
  <c r="O547" i="3"/>
  <c r="Q547" i="3" s="1"/>
  <c r="S547" i="3" s="1"/>
  <c r="T547" i="3" s="1"/>
  <c r="R546" i="3"/>
  <c r="P546" i="3"/>
  <c r="O546" i="3"/>
  <c r="Q546" i="3" s="1"/>
  <c r="S546" i="3" s="1"/>
  <c r="T546" i="3" s="1"/>
  <c r="R545" i="3"/>
  <c r="P545" i="3"/>
  <c r="O545" i="3"/>
  <c r="Q545" i="3" s="1"/>
  <c r="S545" i="3" s="1"/>
  <c r="T545" i="3" s="1"/>
  <c r="R544" i="3"/>
  <c r="P544" i="3"/>
  <c r="O544" i="3"/>
  <c r="Q544" i="3" s="1"/>
  <c r="S544" i="3" s="1"/>
  <c r="T544" i="3" s="1"/>
  <c r="R543" i="3"/>
  <c r="P543" i="3"/>
  <c r="O543" i="3"/>
  <c r="Q543" i="3" s="1"/>
  <c r="S543" i="3" s="1"/>
  <c r="T543" i="3" s="1"/>
  <c r="R542" i="3"/>
  <c r="P542" i="3"/>
  <c r="O542" i="3"/>
  <c r="Q542" i="3" s="1"/>
  <c r="S542" i="3" s="1"/>
  <c r="T542" i="3" s="1"/>
  <c r="R541" i="3"/>
  <c r="P541" i="3"/>
  <c r="O541" i="3"/>
  <c r="Q541" i="3" s="1"/>
  <c r="S541" i="3" s="1"/>
  <c r="T541" i="3" s="1"/>
  <c r="R540" i="3"/>
  <c r="P540" i="3"/>
  <c r="O540" i="3"/>
  <c r="Q540" i="3" s="1"/>
  <c r="S540" i="3" s="1"/>
  <c r="T540" i="3" s="1"/>
  <c r="R539" i="3"/>
  <c r="P539" i="3"/>
  <c r="O539" i="3"/>
  <c r="Q539" i="3" s="1"/>
  <c r="S539" i="3" s="1"/>
  <c r="T539" i="3" s="1"/>
  <c r="R538" i="3"/>
  <c r="P538" i="3"/>
  <c r="O538" i="3"/>
  <c r="Q538" i="3" s="1"/>
  <c r="S538" i="3" s="1"/>
  <c r="T538" i="3" s="1"/>
  <c r="R537" i="3"/>
  <c r="P537" i="3"/>
  <c r="O537" i="3"/>
  <c r="Q537" i="3" s="1"/>
  <c r="S537" i="3" s="1"/>
  <c r="T537" i="3" s="1"/>
  <c r="R536" i="3"/>
  <c r="P536" i="3"/>
  <c r="O536" i="3"/>
  <c r="Q536" i="3" s="1"/>
  <c r="S536" i="3" s="1"/>
  <c r="T536" i="3" s="1"/>
  <c r="R535" i="3"/>
  <c r="P535" i="3"/>
  <c r="O535" i="3"/>
  <c r="Q535" i="3" s="1"/>
  <c r="S535" i="3" s="1"/>
  <c r="T535" i="3" s="1"/>
  <c r="R534" i="3"/>
  <c r="P534" i="3"/>
  <c r="O534" i="3"/>
  <c r="Q534" i="3" s="1"/>
  <c r="S534" i="3" s="1"/>
  <c r="T534" i="3" s="1"/>
  <c r="R533" i="3"/>
  <c r="P533" i="3"/>
  <c r="O533" i="3"/>
  <c r="Q533" i="3" s="1"/>
  <c r="S533" i="3" s="1"/>
  <c r="T533" i="3" s="1"/>
  <c r="R532" i="3"/>
  <c r="P532" i="3"/>
  <c r="O532" i="3"/>
  <c r="Q532" i="3" s="1"/>
  <c r="S532" i="3" s="1"/>
  <c r="T532" i="3" s="1"/>
  <c r="R531" i="3"/>
  <c r="P531" i="3"/>
  <c r="O531" i="3"/>
  <c r="Q531" i="3" s="1"/>
  <c r="S531" i="3" s="1"/>
  <c r="T531" i="3" s="1"/>
  <c r="R530" i="3"/>
  <c r="P530" i="3"/>
  <c r="O530" i="3"/>
  <c r="Q530" i="3" s="1"/>
  <c r="S530" i="3" s="1"/>
  <c r="T530" i="3" s="1"/>
  <c r="R529" i="3"/>
  <c r="P529" i="3"/>
  <c r="O529" i="3"/>
  <c r="Q529" i="3" s="1"/>
  <c r="S529" i="3" s="1"/>
  <c r="T529" i="3" s="1"/>
  <c r="R528" i="3"/>
  <c r="P528" i="3"/>
  <c r="O528" i="3"/>
  <c r="Q528" i="3" s="1"/>
  <c r="S528" i="3" s="1"/>
  <c r="T528" i="3" s="1"/>
  <c r="R527" i="3"/>
  <c r="P527" i="3"/>
  <c r="O527" i="3"/>
  <c r="Q527" i="3" s="1"/>
  <c r="S527" i="3" s="1"/>
  <c r="T527" i="3" s="1"/>
  <c r="R526" i="3"/>
  <c r="P526" i="3"/>
  <c r="O526" i="3"/>
  <c r="Q526" i="3" s="1"/>
  <c r="S526" i="3" s="1"/>
  <c r="T526" i="3" s="1"/>
  <c r="R525" i="3"/>
  <c r="P525" i="3"/>
  <c r="O525" i="3"/>
  <c r="Q525" i="3" s="1"/>
  <c r="S525" i="3" s="1"/>
  <c r="T525" i="3" s="1"/>
  <c r="R524" i="3"/>
  <c r="P524" i="3"/>
  <c r="O524" i="3"/>
  <c r="Q524" i="3" s="1"/>
  <c r="S524" i="3" s="1"/>
  <c r="T524" i="3" s="1"/>
  <c r="R523" i="3"/>
  <c r="P523" i="3"/>
  <c r="O523" i="3"/>
  <c r="Q523" i="3" s="1"/>
  <c r="S523" i="3" s="1"/>
  <c r="T523" i="3" s="1"/>
  <c r="R522" i="3"/>
  <c r="P522" i="3"/>
  <c r="O522" i="3"/>
  <c r="Q522" i="3" s="1"/>
  <c r="S522" i="3" s="1"/>
  <c r="T522" i="3" s="1"/>
  <c r="R521" i="3"/>
  <c r="P521" i="3"/>
  <c r="O521" i="3"/>
  <c r="Q521" i="3" s="1"/>
  <c r="S521" i="3" s="1"/>
  <c r="T521" i="3" s="1"/>
  <c r="R520" i="3"/>
  <c r="P520" i="3"/>
  <c r="O520" i="3"/>
  <c r="Q520" i="3" s="1"/>
  <c r="S520" i="3" s="1"/>
  <c r="T520" i="3" s="1"/>
  <c r="R519" i="3"/>
  <c r="P519" i="3"/>
  <c r="O519" i="3"/>
  <c r="Q519" i="3" s="1"/>
  <c r="S519" i="3" s="1"/>
  <c r="T519" i="3" s="1"/>
  <c r="R518" i="3"/>
  <c r="P518" i="3"/>
  <c r="O518" i="3"/>
  <c r="Q518" i="3" s="1"/>
  <c r="S518" i="3" s="1"/>
  <c r="T518" i="3" s="1"/>
  <c r="R517" i="3"/>
  <c r="P517" i="3"/>
  <c r="O517" i="3"/>
  <c r="Q517" i="3" s="1"/>
  <c r="S517" i="3" s="1"/>
  <c r="T517" i="3" s="1"/>
  <c r="R516" i="3"/>
  <c r="P516" i="3"/>
  <c r="O516" i="3"/>
  <c r="Q516" i="3" s="1"/>
  <c r="S516" i="3" s="1"/>
  <c r="T516" i="3" s="1"/>
  <c r="R515" i="3"/>
  <c r="P515" i="3"/>
  <c r="O515" i="3"/>
  <c r="Q515" i="3" s="1"/>
  <c r="S515" i="3" s="1"/>
  <c r="T515" i="3" s="1"/>
  <c r="R514" i="3"/>
  <c r="P514" i="3"/>
  <c r="O514" i="3"/>
  <c r="Q514" i="3" s="1"/>
  <c r="S514" i="3" s="1"/>
  <c r="T514" i="3" s="1"/>
  <c r="R513" i="3"/>
  <c r="P513" i="3"/>
  <c r="O513" i="3"/>
  <c r="Q513" i="3" s="1"/>
  <c r="S513" i="3" s="1"/>
  <c r="T513" i="3" s="1"/>
  <c r="R512" i="3"/>
  <c r="P512" i="3"/>
  <c r="O512" i="3"/>
  <c r="Q512" i="3" s="1"/>
  <c r="S512" i="3" s="1"/>
  <c r="T512" i="3" s="1"/>
  <c r="R511" i="3"/>
  <c r="P511" i="3"/>
  <c r="O511" i="3"/>
  <c r="Q511" i="3" s="1"/>
  <c r="S511" i="3" s="1"/>
  <c r="T511" i="3" s="1"/>
  <c r="R510" i="3"/>
  <c r="P510" i="3"/>
  <c r="O510" i="3"/>
  <c r="Q510" i="3" s="1"/>
  <c r="S510" i="3" s="1"/>
  <c r="T510" i="3" s="1"/>
  <c r="R509" i="3"/>
  <c r="P509" i="3"/>
  <c r="O509" i="3"/>
  <c r="Q509" i="3" s="1"/>
  <c r="S509" i="3" s="1"/>
  <c r="T509" i="3" s="1"/>
  <c r="R508" i="3"/>
  <c r="P508" i="3"/>
  <c r="O508" i="3"/>
  <c r="Q508" i="3" s="1"/>
  <c r="S508" i="3" s="1"/>
  <c r="T508" i="3" s="1"/>
  <c r="R507" i="3"/>
  <c r="P507" i="3"/>
  <c r="O507" i="3"/>
  <c r="Q507" i="3" s="1"/>
  <c r="S507" i="3" s="1"/>
  <c r="T507" i="3" s="1"/>
  <c r="R506" i="3"/>
  <c r="P506" i="3"/>
  <c r="O506" i="3"/>
  <c r="Q506" i="3" s="1"/>
  <c r="S506" i="3" s="1"/>
  <c r="T506" i="3" s="1"/>
  <c r="R505" i="3"/>
  <c r="P505" i="3"/>
  <c r="O505" i="3"/>
  <c r="Q505" i="3" s="1"/>
  <c r="S505" i="3" s="1"/>
  <c r="T505" i="3" s="1"/>
  <c r="R504" i="3"/>
  <c r="P504" i="3"/>
  <c r="O504" i="3"/>
  <c r="Q504" i="3" s="1"/>
  <c r="S504" i="3" s="1"/>
  <c r="T504" i="3" s="1"/>
  <c r="R503" i="3"/>
  <c r="P503" i="3"/>
  <c r="O503" i="3"/>
  <c r="Q503" i="3" s="1"/>
  <c r="S503" i="3" s="1"/>
  <c r="T503" i="3" s="1"/>
  <c r="R502" i="3"/>
  <c r="P502" i="3"/>
  <c r="O502" i="3"/>
  <c r="Q502" i="3" s="1"/>
  <c r="S502" i="3" s="1"/>
  <c r="T502" i="3" s="1"/>
  <c r="R501" i="3"/>
  <c r="P501" i="3"/>
  <c r="O501" i="3"/>
  <c r="Q501" i="3" s="1"/>
  <c r="S501" i="3" s="1"/>
  <c r="T501" i="3" s="1"/>
  <c r="R500" i="3"/>
  <c r="P500" i="3"/>
  <c r="O500" i="3"/>
  <c r="Q500" i="3" s="1"/>
  <c r="S500" i="3" s="1"/>
  <c r="T500" i="3" s="1"/>
  <c r="R499" i="3"/>
  <c r="P499" i="3"/>
  <c r="O499" i="3"/>
  <c r="Q499" i="3" s="1"/>
  <c r="S499" i="3" s="1"/>
  <c r="T499" i="3" s="1"/>
  <c r="R498" i="3"/>
  <c r="P498" i="3"/>
  <c r="O498" i="3"/>
  <c r="Q498" i="3" s="1"/>
  <c r="S498" i="3" s="1"/>
  <c r="T498" i="3" s="1"/>
  <c r="R497" i="3"/>
  <c r="P497" i="3"/>
  <c r="O497" i="3"/>
  <c r="Q497" i="3" s="1"/>
  <c r="S497" i="3" s="1"/>
  <c r="T497" i="3" s="1"/>
  <c r="R496" i="3"/>
  <c r="P496" i="3"/>
  <c r="O496" i="3"/>
  <c r="Q496" i="3" s="1"/>
  <c r="S496" i="3" s="1"/>
  <c r="T496" i="3" s="1"/>
  <c r="R495" i="3"/>
  <c r="P495" i="3"/>
  <c r="O495" i="3"/>
  <c r="Q495" i="3" s="1"/>
  <c r="S495" i="3" s="1"/>
  <c r="T495" i="3" s="1"/>
  <c r="R494" i="3"/>
  <c r="P494" i="3"/>
  <c r="O494" i="3"/>
  <c r="Q494" i="3" s="1"/>
  <c r="S494" i="3" s="1"/>
  <c r="T494" i="3" s="1"/>
  <c r="R493" i="3"/>
  <c r="P493" i="3"/>
  <c r="O493" i="3"/>
  <c r="Q493" i="3" s="1"/>
  <c r="S493" i="3" s="1"/>
  <c r="T493" i="3" s="1"/>
  <c r="R492" i="3"/>
  <c r="P492" i="3"/>
  <c r="O492" i="3"/>
  <c r="Q492" i="3" s="1"/>
  <c r="S492" i="3" s="1"/>
  <c r="T492" i="3" s="1"/>
  <c r="R491" i="3"/>
  <c r="P491" i="3"/>
  <c r="O491" i="3"/>
  <c r="Q491" i="3" s="1"/>
  <c r="S491" i="3" s="1"/>
  <c r="T491" i="3" s="1"/>
  <c r="R490" i="3"/>
  <c r="P490" i="3"/>
  <c r="O490" i="3"/>
  <c r="Q490" i="3" s="1"/>
  <c r="S490" i="3" s="1"/>
  <c r="T490" i="3" s="1"/>
  <c r="R489" i="3"/>
  <c r="P489" i="3"/>
  <c r="O489" i="3"/>
  <c r="Q489" i="3" s="1"/>
  <c r="S489" i="3" s="1"/>
  <c r="T489" i="3" s="1"/>
  <c r="R488" i="3"/>
  <c r="P488" i="3"/>
  <c r="O488" i="3"/>
  <c r="Q488" i="3" s="1"/>
  <c r="S488" i="3" s="1"/>
  <c r="T488" i="3" s="1"/>
  <c r="R487" i="3"/>
  <c r="P487" i="3"/>
  <c r="O487" i="3"/>
  <c r="Q487" i="3" s="1"/>
  <c r="S487" i="3" s="1"/>
  <c r="T487" i="3" s="1"/>
  <c r="R486" i="3"/>
  <c r="P486" i="3"/>
  <c r="O486" i="3"/>
  <c r="Q486" i="3" s="1"/>
  <c r="S486" i="3" s="1"/>
  <c r="T486" i="3" s="1"/>
  <c r="R485" i="3"/>
  <c r="P485" i="3"/>
  <c r="O485" i="3"/>
  <c r="Q485" i="3" s="1"/>
  <c r="S485" i="3" s="1"/>
  <c r="T485" i="3" s="1"/>
  <c r="R484" i="3"/>
  <c r="P484" i="3"/>
  <c r="O484" i="3"/>
  <c r="Q484" i="3" s="1"/>
  <c r="S484" i="3" s="1"/>
  <c r="T484" i="3" s="1"/>
  <c r="R483" i="3"/>
  <c r="P483" i="3"/>
  <c r="O483" i="3"/>
  <c r="Q483" i="3" s="1"/>
  <c r="S483" i="3" s="1"/>
  <c r="T483" i="3" s="1"/>
  <c r="R482" i="3"/>
  <c r="P482" i="3"/>
  <c r="O482" i="3"/>
  <c r="Q482" i="3" s="1"/>
  <c r="S482" i="3" s="1"/>
  <c r="T482" i="3" s="1"/>
  <c r="R481" i="3"/>
  <c r="P481" i="3"/>
  <c r="O481" i="3"/>
  <c r="Q481" i="3" s="1"/>
  <c r="S481" i="3" s="1"/>
  <c r="T481" i="3" s="1"/>
  <c r="R480" i="3"/>
  <c r="P480" i="3"/>
  <c r="O480" i="3"/>
  <c r="Q480" i="3" s="1"/>
  <c r="S480" i="3" s="1"/>
  <c r="T480" i="3" s="1"/>
  <c r="R479" i="3"/>
  <c r="P479" i="3"/>
  <c r="O479" i="3"/>
  <c r="Q479" i="3" s="1"/>
  <c r="S479" i="3" s="1"/>
  <c r="T479" i="3" s="1"/>
  <c r="R478" i="3"/>
  <c r="P478" i="3"/>
  <c r="O478" i="3"/>
  <c r="Q478" i="3" s="1"/>
  <c r="S478" i="3" s="1"/>
  <c r="T478" i="3" s="1"/>
  <c r="R477" i="3"/>
  <c r="P477" i="3"/>
  <c r="O477" i="3"/>
  <c r="Q477" i="3" s="1"/>
  <c r="S477" i="3" s="1"/>
  <c r="T477" i="3" s="1"/>
  <c r="R476" i="3"/>
  <c r="P476" i="3"/>
  <c r="O476" i="3"/>
  <c r="Q476" i="3" s="1"/>
  <c r="S476" i="3" s="1"/>
  <c r="T476" i="3" s="1"/>
  <c r="R475" i="3"/>
  <c r="P475" i="3"/>
  <c r="O475" i="3"/>
  <c r="Q475" i="3" s="1"/>
  <c r="S475" i="3" s="1"/>
  <c r="T475" i="3" s="1"/>
  <c r="R474" i="3"/>
  <c r="P474" i="3"/>
  <c r="O474" i="3"/>
  <c r="Q474" i="3" s="1"/>
  <c r="S474" i="3" s="1"/>
  <c r="T474" i="3" s="1"/>
  <c r="R473" i="3"/>
  <c r="P473" i="3"/>
  <c r="O473" i="3"/>
  <c r="Q473" i="3" s="1"/>
  <c r="S473" i="3" s="1"/>
  <c r="T473" i="3" s="1"/>
  <c r="R472" i="3"/>
  <c r="P472" i="3"/>
  <c r="O472" i="3"/>
  <c r="Q472" i="3" s="1"/>
  <c r="S472" i="3" s="1"/>
  <c r="T472" i="3" s="1"/>
  <c r="R471" i="3"/>
  <c r="P471" i="3"/>
  <c r="O471" i="3"/>
  <c r="Q471" i="3" s="1"/>
  <c r="S471" i="3" s="1"/>
  <c r="T471" i="3" s="1"/>
  <c r="R470" i="3"/>
  <c r="P470" i="3"/>
  <c r="O470" i="3"/>
  <c r="Q470" i="3" s="1"/>
  <c r="S470" i="3" s="1"/>
  <c r="T470" i="3" s="1"/>
  <c r="R469" i="3"/>
  <c r="P469" i="3"/>
  <c r="O469" i="3"/>
  <c r="Q469" i="3" s="1"/>
  <c r="S469" i="3" s="1"/>
  <c r="T469" i="3" s="1"/>
  <c r="R468" i="3"/>
  <c r="P468" i="3"/>
  <c r="O468" i="3"/>
  <c r="Q468" i="3" s="1"/>
  <c r="S468" i="3" s="1"/>
  <c r="T468" i="3" s="1"/>
  <c r="R467" i="3"/>
  <c r="P467" i="3"/>
  <c r="O467" i="3"/>
  <c r="Q467" i="3" s="1"/>
  <c r="S467" i="3" s="1"/>
  <c r="T467" i="3" s="1"/>
  <c r="R466" i="3"/>
  <c r="P466" i="3"/>
  <c r="O466" i="3"/>
  <c r="Q466" i="3" s="1"/>
  <c r="S466" i="3" s="1"/>
  <c r="T466" i="3" s="1"/>
  <c r="R465" i="3"/>
  <c r="P465" i="3"/>
  <c r="O465" i="3"/>
  <c r="Q465" i="3" s="1"/>
  <c r="S465" i="3" s="1"/>
  <c r="T465" i="3" s="1"/>
  <c r="R464" i="3"/>
  <c r="P464" i="3"/>
  <c r="O464" i="3"/>
  <c r="Q464" i="3" s="1"/>
  <c r="S464" i="3" s="1"/>
  <c r="T464" i="3" s="1"/>
  <c r="R463" i="3"/>
  <c r="P463" i="3"/>
  <c r="O463" i="3"/>
  <c r="Q463" i="3" s="1"/>
  <c r="S463" i="3" s="1"/>
  <c r="T463" i="3" s="1"/>
  <c r="R462" i="3"/>
  <c r="P462" i="3"/>
  <c r="O462" i="3"/>
  <c r="Q462" i="3" s="1"/>
  <c r="S462" i="3" s="1"/>
  <c r="T462" i="3" s="1"/>
  <c r="R461" i="3"/>
  <c r="P461" i="3"/>
  <c r="O461" i="3"/>
  <c r="Q461" i="3" s="1"/>
  <c r="S461" i="3" s="1"/>
  <c r="T461" i="3" s="1"/>
  <c r="R460" i="3"/>
  <c r="P460" i="3"/>
  <c r="O460" i="3"/>
  <c r="Q460" i="3" s="1"/>
  <c r="S460" i="3" s="1"/>
  <c r="T460" i="3" s="1"/>
  <c r="R459" i="3"/>
  <c r="P459" i="3"/>
  <c r="O459" i="3"/>
  <c r="Q459" i="3" s="1"/>
  <c r="S459" i="3" s="1"/>
  <c r="T459" i="3" s="1"/>
  <c r="R458" i="3"/>
  <c r="P458" i="3"/>
  <c r="O458" i="3"/>
  <c r="Q458" i="3" s="1"/>
  <c r="S458" i="3" s="1"/>
  <c r="T458" i="3" s="1"/>
  <c r="R457" i="3"/>
  <c r="P457" i="3"/>
  <c r="O457" i="3"/>
  <c r="Q457" i="3" s="1"/>
  <c r="S457" i="3" s="1"/>
  <c r="T457" i="3" s="1"/>
  <c r="R456" i="3"/>
  <c r="P456" i="3"/>
  <c r="O456" i="3"/>
  <c r="Q456" i="3" s="1"/>
  <c r="S456" i="3" s="1"/>
  <c r="T456" i="3" s="1"/>
  <c r="R455" i="3"/>
  <c r="P455" i="3"/>
  <c r="O455" i="3"/>
  <c r="Q455" i="3" s="1"/>
  <c r="S455" i="3" s="1"/>
  <c r="T455" i="3" s="1"/>
  <c r="R454" i="3"/>
  <c r="P454" i="3"/>
  <c r="O454" i="3"/>
  <c r="Q454" i="3" s="1"/>
  <c r="S454" i="3" s="1"/>
  <c r="T454" i="3" s="1"/>
  <c r="R453" i="3"/>
  <c r="P453" i="3"/>
  <c r="O453" i="3"/>
  <c r="Q453" i="3" s="1"/>
  <c r="S453" i="3" s="1"/>
  <c r="T453" i="3" s="1"/>
  <c r="R452" i="3"/>
  <c r="P452" i="3"/>
  <c r="O452" i="3"/>
  <c r="Q452" i="3" s="1"/>
  <c r="S452" i="3" s="1"/>
  <c r="T452" i="3" s="1"/>
  <c r="R451" i="3"/>
  <c r="P451" i="3"/>
  <c r="O451" i="3"/>
  <c r="Q451" i="3" s="1"/>
  <c r="S451" i="3" s="1"/>
  <c r="T451" i="3" s="1"/>
  <c r="R450" i="3"/>
  <c r="P450" i="3"/>
  <c r="O450" i="3"/>
  <c r="Q450" i="3" s="1"/>
  <c r="S450" i="3" s="1"/>
  <c r="T450" i="3" s="1"/>
  <c r="R449" i="3"/>
  <c r="P449" i="3"/>
  <c r="O449" i="3"/>
  <c r="Q449" i="3" s="1"/>
  <c r="S449" i="3" s="1"/>
  <c r="T449" i="3" s="1"/>
  <c r="R448" i="3"/>
  <c r="P448" i="3"/>
  <c r="O448" i="3"/>
  <c r="Q448" i="3" s="1"/>
  <c r="S448" i="3" s="1"/>
  <c r="T448" i="3" s="1"/>
  <c r="R447" i="3"/>
  <c r="P447" i="3"/>
  <c r="O447" i="3"/>
  <c r="Q447" i="3" s="1"/>
  <c r="S447" i="3" s="1"/>
  <c r="T447" i="3" s="1"/>
  <c r="R446" i="3"/>
  <c r="P446" i="3"/>
  <c r="O446" i="3"/>
  <c r="Q446" i="3" s="1"/>
  <c r="S446" i="3" s="1"/>
  <c r="T446" i="3" s="1"/>
  <c r="R445" i="3"/>
  <c r="P445" i="3"/>
  <c r="O445" i="3"/>
  <c r="Q445" i="3" s="1"/>
  <c r="S445" i="3" s="1"/>
  <c r="T445" i="3" s="1"/>
  <c r="R444" i="3"/>
  <c r="P444" i="3"/>
  <c r="O444" i="3"/>
  <c r="Q444" i="3" s="1"/>
  <c r="S444" i="3" s="1"/>
  <c r="T444" i="3" s="1"/>
  <c r="R443" i="3"/>
  <c r="P443" i="3"/>
  <c r="O443" i="3"/>
  <c r="Q443" i="3" s="1"/>
  <c r="S443" i="3" s="1"/>
  <c r="T443" i="3" s="1"/>
  <c r="R442" i="3"/>
  <c r="P442" i="3"/>
  <c r="O442" i="3"/>
  <c r="Q442" i="3" s="1"/>
  <c r="S442" i="3" s="1"/>
  <c r="T442" i="3" s="1"/>
  <c r="R441" i="3"/>
  <c r="P441" i="3"/>
  <c r="O441" i="3"/>
  <c r="Q441" i="3" s="1"/>
  <c r="S441" i="3" s="1"/>
  <c r="T441" i="3" s="1"/>
  <c r="R440" i="3"/>
  <c r="P440" i="3"/>
  <c r="O440" i="3"/>
  <c r="Q440" i="3" s="1"/>
  <c r="S440" i="3" s="1"/>
  <c r="T440" i="3" s="1"/>
  <c r="R439" i="3"/>
  <c r="P439" i="3"/>
  <c r="O439" i="3"/>
  <c r="Q439" i="3" s="1"/>
  <c r="S439" i="3" s="1"/>
  <c r="T439" i="3" s="1"/>
  <c r="R438" i="3"/>
  <c r="P438" i="3"/>
  <c r="O438" i="3"/>
  <c r="Q438" i="3" s="1"/>
  <c r="S438" i="3" s="1"/>
  <c r="T438" i="3" s="1"/>
  <c r="R437" i="3"/>
  <c r="P437" i="3"/>
  <c r="O437" i="3"/>
  <c r="Q437" i="3" s="1"/>
  <c r="S437" i="3" s="1"/>
  <c r="T437" i="3" s="1"/>
  <c r="R436" i="3"/>
  <c r="P436" i="3"/>
  <c r="O436" i="3"/>
  <c r="Q436" i="3" s="1"/>
  <c r="S436" i="3" s="1"/>
  <c r="T436" i="3" s="1"/>
  <c r="R435" i="3"/>
  <c r="P435" i="3"/>
  <c r="O435" i="3"/>
  <c r="Q435" i="3" s="1"/>
  <c r="S435" i="3" s="1"/>
  <c r="T435" i="3" s="1"/>
  <c r="R434" i="3"/>
  <c r="P434" i="3"/>
  <c r="O434" i="3"/>
  <c r="Q434" i="3" s="1"/>
  <c r="S434" i="3" s="1"/>
  <c r="T434" i="3" s="1"/>
  <c r="R433" i="3"/>
  <c r="P433" i="3"/>
  <c r="O433" i="3"/>
  <c r="Q433" i="3" s="1"/>
  <c r="S433" i="3" s="1"/>
  <c r="T433" i="3" s="1"/>
  <c r="R432" i="3"/>
  <c r="P432" i="3"/>
  <c r="O432" i="3"/>
  <c r="Q432" i="3" s="1"/>
  <c r="S432" i="3" s="1"/>
  <c r="T432" i="3" s="1"/>
  <c r="R431" i="3"/>
  <c r="P431" i="3"/>
  <c r="O431" i="3"/>
  <c r="Q431" i="3" s="1"/>
  <c r="S431" i="3" s="1"/>
  <c r="T431" i="3" s="1"/>
  <c r="R430" i="3"/>
  <c r="P430" i="3"/>
  <c r="O430" i="3"/>
  <c r="Q430" i="3" s="1"/>
  <c r="S430" i="3" s="1"/>
  <c r="T430" i="3" s="1"/>
  <c r="R429" i="3"/>
  <c r="P429" i="3"/>
  <c r="O429" i="3"/>
  <c r="Q429" i="3" s="1"/>
  <c r="S429" i="3" s="1"/>
  <c r="T429" i="3" s="1"/>
  <c r="R428" i="3"/>
  <c r="P428" i="3"/>
  <c r="O428" i="3"/>
  <c r="Q428" i="3" s="1"/>
  <c r="S428" i="3" s="1"/>
  <c r="T428" i="3" s="1"/>
  <c r="R427" i="3"/>
  <c r="P427" i="3"/>
  <c r="O427" i="3"/>
  <c r="Q427" i="3" s="1"/>
  <c r="S427" i="3" s="1"/>
  <c r="T427" i="3" s="1"/>
  <c r="R426" i="3"/>
  <c r="P426" i="3"/>
  <c r="O426" i="3"/>
  <c r="Q426" i="3" s="1"/>
  <c r="S426" i="3" s="1"/>
  <c r="T426" i="3" s="1"/>
  <c r="R425" i="3"/>
  <c r="P425" i="3"/>
  <c r="O425" i="3"/>
  <c r="Q425" i="3" s="1"/>
  <c r="S425" i="3" s="1"/>
  <c r="T425" i="3" s="1"/>
  <c r="R424" i="3"/>
  <c r="P424" i="3"/>
  <c r="O424" i="3"/>
  <c r="Q424" i="3" s="1"/>
  <c r="S424" i="3" s="1"/>
  <c r="T424" i="3" s="1"/>
  <c r="R423" i="3"/>
  <c r="P423" i="3"/>
  <c r="O423" i="3"/>
  <c r="Q423" i="3" s="1"/>
  <c r="S423" i="3" s="1"/>
  <c r="T423" i="3" s="1"/>
  <c r="R422" i="3"/>
  <c r="P422" i="3"/>
  <c r="O422" i="3"/>
  <c r="Q422" i="3" s="1"/>
  <c r="S422" i="3" s="1"/>
  <c r="T422" i="3" s="1"/>
  <c r="R421" i="3"/>
  <c r="P421" i="3"/>
  <c r="O421" i="3"/>
  <c r="Q421" i="3" s="1"/>
  <c r="S421" i="3" s="1"/>
  <c r="T421" i="3" s="1"/>
  <c r="R420" i="3"/>
  <c r="P420" i="3"/>
  <c r="O420" i="3"/>
  <c r="Q420" i="3" s="1"/>
  <c r="S420" i="3" s="1"/>
  <c r="T420" i="3" s="1"/>
  <c r="R419" i="3"/>
  <c r="P419" i="3"/>
  <c r="O419" i="3"/>
  <c r="Q419" i="3" s="1"/>
  <c r="S419" i="3" s="1"/>
  <c r="T419" i="3" s="1"/>
  <c r="R418" i="3"/>
  <c r="P418" i="3"/>
  <c r="O418" i="3"/>
  <c r="Q418" i="3" s="1"/>
  <c r="S418" i="3" s="1"/>
  <c r="T418" i="3" s="1"/>
  <c r="R417" i="3"/>
  <c r="P417" i="3"/>
  <c r="O417" i="3"/>
  <c r="Q417" i="3" s="1"/>
  <c r="S417" i="3" s="1"/>
  <c r="T417" i="3" s="1"/>
  <c r="R416" i="3"/>
  <c r="P416" i="3"/>
  <c r="O416" i="3"/>
  <c r="Q416" i="3" s="1"/>
  <c r="S416" i="3" s="1"/>
  <c r="T416" i="3" s="1"/>
  <c r="R415" i="3"/>
  <c r="P415" i="3"/>
  <c r="O415" i="3"/>
  <c r="Q415" i="3" s="1"/>
  <c r="S415" i="3" s="1"/>
  <c r="T415" i="3" s="1"/>
  <c r="R414" i="3"/>
  <c r="P414" i="3"/>
  <c r="O414" i="3"/>
  <c r="Q414" i="3" s="1"/>
  <c r="S414" i="3" s="1"/>
  <c r="T414" i="3" s="1"/>
  <c r="R413" i="3"/>
  <c r="P413" i="3"/>
  <c r="O413" i="3"/>
  <c r="Q413" i="3" s="1"/>
  <c r="S413" i="3" s="1"/>
  <c r="T413" i="3" s="1"/>
  <c r="R412" i="3"/>
  <c r="P412" i="3"/>
  <c r="O412" i="3"/>
  <c r="Q412" i="3" s="1"/>
  <c r="S412" i="3" s="1"/>
  <c r="T412" i="3" s="1"/>
  <c r="R411" i="3"/>
  <c r="P411" i="3"/>
  <c r="O411" i="3"/>
  <c r="Q411" i="3" s="1"/>
  <c r="S411" i="3" s="1"/>
  <c r="T411" i="3" s="1"/>
  <c r="R410" i="3"/>
  <c r="P410" i="3"/>
  <c r="O410" i="3"/>
  <c r="Q410" i="3" s="1"/>
  <c r="S410" i="3" s="1"/>
  <c r="T410" i="3" s="1"/>
  <c r="R409" i="3"/>
  <c r="P409" i="3"/>
  <c r="O409" i="3"/>
  <c r="Q409" i="3" s="1"/>
  <c r="S409" i="3" s="1"/>
  <c r="T409" i="3" s="1"/>
  <c r="R408" i="3"/>
  <c r="P408" i="3"/>
  <c r="O408" i="3"/>
  <c r="Q408" i="3" s="1"/>
  <c r="S408" i="3" s="1"/>
  <c r="T408" i="3" s="1"/>
  <c r="R407" i="3"/>
  <c r="P407" i="3"/>
  <c r="O407" i="3"/>
  <c r="Q407" i="3" s="1"/>
  <c r="S407" i="3" s="1"/>
  <c r="T407" i="3" s="1"/>
  <c r="R406" i="3"/>
  <c r="P406" i="3"/>
  <c r="O406" i="3"/>
  <c r="Q406" i="3" s="1"/>
  <c r="S406" i="3" s="1"/>
  <c r="T406" i="3" s="1"/>
  <c r="R405" i="3"/>
  <c r="P405" i="3"/>
  <c r="O405" i="3"/>
  <c r="Q405" i="3" s="1"/>
  <c r="S405" i="3" s="1"/>
  <c r="T405" i="3" s="1"/>
  <c r="R404" i="3"/>
  <c r="P404" i="3"/>
  <c r="O404" i="3"/>
  <c r="Q404" i="3" s="1"/>
  <c r="S404" i="3" s="1"/>
  <c r="T404" i="3" s="1"/>
  <c r="R403" i="3"/>
  <c r="P403" i="3"/>
  <c r="O403" i="3"/>
  <c r="Q403" i="3" s="1"/>
  <c r="S403" i="3" s="1"/>
  <c r="T403" i="3" s="1"/>
  <c r="R402" i="3"/>
  <c r="P402" i="3"/>
  <c r="O402" i="3"/>
  <c r="Q402" i="3" s="1"/>
  <c r="S402" i="3" s="1"/>
  <c r="T402" i="3" s="1"/>
  <c r="R401" i="3"/>
  <c r="P401" i="3"/>
  <c r="O401" i="3"/>
  <c r="Q401" i="3" s="1"/>
  <c r="S401" i="3" s="1"/>
  <c r="T401" i="3" s="1"/>
  <c r="R400" i="3"/>
  <c r="P400" i="3"/>
  <c r="O400" i="3"/>
  <c r="Q400" i="3" s="1"/>
  <c r="S400" i="3" s="1"/>
  <c r="T400" i="3" s="1"/>
  <c r="R399" i="3"/>
  <c r="P399" i="3"/>
  <c r="O399" i="3"/>
  <c r="Q399" i="3" s="1"/>
  <c r="S399" i="3" s="1"/>
  <c r="T399" i="3" s="1"/>
  <c r="R398" i="3"/>
  <c r="P398" i="3"/>
  <c r="O398" i="3"/>
  <c r="Q398" i="3" s="1"/>
  <c r="S398" i="3" s="1"/>
  <c r="T398" i="3" s="1"/>
  <c r="R397" i="3"/>
  <c r="P397" i="3"/>
  <c r="O397" i="3"/>
  <c r="Q397" i="3" s="1"/>
  <c r="S397" i="3" s="1"/>
  <c r="T397" i="3" s="1"/>
  <c r="R396" i="3"/>
  <c r="P396" i="3"/>
  <c r="O396" i="3"/>
  <c r="Q396" i="3" s="1"/>
  <c r="S396" i="3" s="1"/>
  <c r="T396" i="3" s="1"/>
  <c r="R395" i="3"/>
  <c r="P395" i="3"/>
  <c r="O395" i="3"/>
  <c r="Q395" i="3" s="1"/>
  <c r="S395" i="3" s="1"/>
  <c r="T395" i="3" s="1"/>
  <c r="R394" i="3"/>
  <c r="P394" i="3"/>
  <c r="O394" i="3"/>
  <c r="Q394" i="3" s="1"/>
  <c r="S394" i="3" s="1"/>
  <c r="T394" i="3" s="1"/>
  <c r="R393" i="3"/>
  <c r="P393" i="3"/>
  <c r="O393" i="3"/>
  <c r="Q393" i="3" s="1"/>
  <c r="S393" i="3" s="1"/>
  <c r="T393" i="3" s="1"/>
  <c r="R392" i="3"/>
  <c r="P392" i="3"/>
  <c r="O392" i="3"/>
  <c r="Q392" i="3" s="1"/>
  <c r="S392" i="3" s="1"/>
  <c r="T392" i="3" s="1"/>
  <c r="R391" i="3"/>
  <c r="P391" i="3"/>
  <c r="O391" i="3"/>
  <c r="Q391" i="3" s="1"/>
  <c r="S391" i="3" s="1"/>
  <c r="T391" i="3" s="1"/>
  <c r="R390" i="3"/>
  <c r="P390" i="3"/>
  <c r="O390" i="3"/>
  <c r="Q390" i="3" s="1"/>
  <c r="S390" i="3" s="1"/>
  <c r="T390" i="3" s="1"/>
  <c r="R389" i="3"/>
  <c r="P389" i="3"/>
  <c r="O389" i="3"/>
  <c r="Q389" i="3" s="1"/>
  <c r="S389" i="3" s="1"/>
  <c r="T389" i="3" s="1"/>
  <c r="R388" i="3"/>
  <c r="P388" i="3"/>
  <c r="O388" i="3"/>
  <c r="Q388" i="3" s="1"/>
  <c r="S388" i="3" s="1"/>
  <c r="T388" i="3" s="1"/>
  <c r="R387" i="3"/>
  <c r="P387" i="3"/>
  <c r="O387" i="3"/>
  <c r="Q387" i="3" s="1"/>
  <c r="S387" i="3" s="1"/>
  <c r="T387" i="3" s="1"/>
  <c r="R386" i="3"/>
  <c r="P386" i="3"/>
  <c r="O386" i="3"/>
  <c r="Q386" i="3" s="1"/>
  <c r="S386" i="3" s="1"/>
  <c r="T386" i="3" s="1"/>
  <c r="R385" i="3"/>
  <c r="P385" i="3"/>
  <c r="O385" i="3"/>
  <c r="Q385" i="3" s="1"/>
  <c r="S385" i="3" s="1"/>
  <c r="T385" i="3" s="1"/>
  <c r="R384" i="3"/>
  <c r="P384" i="3"/>
  <c r="O384" i="3"/>
  <c r="Q384" i="3" s="1"/>
  <c r="S384" i="3" s="1"/>
  <c r="T384" i="3" s="1"/>
  <c r="R383" i="3"/>
  <c r="P383" i="3"/>
  <c r="O383" i="3"/>
  <c r="Q383" i="3" s="1"/>
  <c r="S383" i="3" s="1"/>
  <c r="T383" i="3" s="1"/>
  <c r="R382" i="3"/>
  <c r="P382" i="3"/>
  <c r="O382" i="3"/>
  <c r="Q382" i="3" s="1"/>
  <c r="S382" i="3" s="1"/>
  <c r="T382" i="3" s="1"/>
  <c r="R381" i="3"/>
  <c r="P381" i="3"/>
  <c r="O381" i="3"/>
  <c r="Q381" i="3" s="1"/>
  <c r="S381" i="3" s="1"/>
  <c r="T381" i="3" s="1"/>
  <c r="R380" i="3"/>
  <c r="P380" i="3"/>
  <c r="O380" i="3"/>
  <c r="Q380" i="3" s="1"/>
  <c r="S380" i="3" s="1"/>
  <c r="T380" i="3" s="1"/>
  <c r="R379" i="3"/>
  <c r="P379" i="3"/>
  <c r="O379" i="3"/>
  <c r="Q379" i="3" s="1"/>
  <c r="S379" i="3" s="1"/>
  <c r="T379" i="3" s="1"/>
  <c r="R378" i="3"/>
  <c r="P378" i="3"/>
  <c r="O378" i="3"/>
  <c r="Q378" i="3" s="1"/>
  <c r="S378" i="3" s="1"/>
  <c r="T378" i="3" s="1"/>
  <c r="R377" i="3"/>
  <c r="P377" i="3"/>
  <c r="O377" i="3"/>
  <c r="Q377" i="3" s="1"/>
  <c r="S377" i="3" s="1"/>
  <c r="T377" i="3" s="1"/>
  <c r="R376" i="3"/>
  <c r="P376" i="3"/>
  <c r="O376" i="3"/>
  <c r="Q376" i="3" s="1"/>
  <c r="S376" i="3" s="1"/>
  <c r="T376" i="3" s="1"/>
  <c r="R375" i="3"/>
  <c r="P375" i="3"/>
  <c r="O375" i="3"/>
  <c r="Q375" i="3" s="1"/>
  <c r="S375" i="3" s="1"/>
  <c r="T375" i="3" s="1"/>
  <c r="R374" i="3"/>
  <c r="P374" i="3"/>
  <c r="O374" i="3"/>
  <c r="Q374" i="3" s="1"/>
  <c r="S374" i="3" s="1"/>
  <c r="T374" i="3" s="1"/>
  <c r="R373" i="3"/>
  <c r="P373" i="3"/>
  <c r="O373" i="3"/>
  <c r="Q373" i="3" s="1"/>
  <c r="S373" i="3" s="1"/>
  <c r="T373" i="3" s="1"/>
  <c r="R372" i="3"/>
  <c r="P372" i="3"/>
  <c r="O372" i="3"/>
  <c r="Q372" i="3" s="1"/>
  <c r="S372" i="3" s="1"/>
  <c r="T372" i="3" s="1"/>
  <c r="R371" i="3"/>
  <c r="P371" i="3"/>
  <c r="O371" i="3"/>
  <c r="Q371" i="3" s="1"/>
  <c r="S371" i="3" s="1"/>
  <c r="T371" i="3" s="1"/>
  <c r="R370" i="3"/>
  <c r="P370" i="3"/>
  <c r="O370" i="3"/>
  <c r="Q370" i="3" s="1"/>
  <c r="S370" i="3" s="1"/>
  <c r="T370" i="3" s="1"/>
  <c r="R369" i="3"/>
  <c r="P369" i="3"/>
  <c r="O369" i="3"/>
  <c r="Q369" i="3" s="1"/>
  <c r="S369" i="3" s="1"/>
  <c r="T369" i="3" s="1"/>
  <c r="R368" i="3"/>
  <c r="P368" i="3"/>
  <c r="O368" i="3"/>
  <c r="Q368" i="3" s="1"/>
  <c r="S368" i="3" s="1"/>
  <c r="T368" i="3" s="1"/>
  <c r="R367" i="3"/>
  <c r="P367" i="3"/>
  <c r="O367" i="3"/>
  <c r="Q367" i="3" s="1"/>
  <c r="S367" i="3" s="1"/>
  <c r="T367" i="3" s="1"/>
  <c r="R366" i="3"/>
  <c r="P366" i="3"/>
  <c r="O366" i="3"/>
  <c r="Q366" i="3" s="1"/>
  <c r="S366" i="3" s="1"/>
  <c r="T366" i="3" s="1"/>
  <c r="R365" i="3"/>
  <c r="P365" i="3"/>
  <c r="O365" i="3"/>
  <c r="Q365" i="3" s="1"/>
  <c r="S365" i="3" s="1"/>
  <c r="T365" i="3" s="1"/>
  <c r="R364" i="3"/>
  <c r="P364" i="3"/>
  <c r="O364" i="3"/>
  <c r="Q364" i="3" s="1"/>
  <c r="S364" i="3" s="1"/>
  <c r="T364" i="3" s="1"/>
  <c r="R363" i="3"/>
  <c r="P363" i="3"/>
  <c r="O363" i="3"/>
  <c r="Q363" i="3" s="1"/>
  <c r="S363" i="3" s="1"/>
  <c r="T363" i="3" s="1"/>
  <c r="R362" i="3"/>
  <c r="P362" i="3"/>
  <c r="O362" i="3"/>
  <c r="Q362" i="3" s="1"/>
  <c r="S362" i="3" s="1"/>
  <c r="T362" i="3" s="1"/>
  <c r="R361" i="3"/>
  <c r="P361" i="3"/>
  <c r="O361" i="3"/>
  <c r="Q361" i="3" s="1"/>
  <c r="S361" i="3" s="1"/>
  <c r="T361" i="3" s="1"/>
  <c r="R360" i="3"/>
  <c r="P360" i="3"/>
  <c r="O360" i="3"/>
  <c r="Q360" i="3" s="1"/>
  <c r="S360" i="3" s="1"/>
  <c r="T360" i="3" s="1"/>
  <c r="R359" i="3"/>
  <c r="P359" i="3"/>
  <c r="O359" i="3"/>
  <c r="Q359" i="3" s="1"/>
  <c r="S359" i="3" s="1"/>
  <c r="T359" i="3" s="1"/>
  <c r="R358" i="3"/>
  <c r="P358" i="3"/>
  <c r="O358" i="3"/>
  <c r="Q358" i="3" s="1"/>
  <c r="S358" i="3" s="1"/>
  <c r="T358" i="3" s="1"/>
  <c r="R357" i="3"/>
  <c r="P357" i="3"/>
  <c r="O357" i="3"/>
  <c r="Q357" i="3" s="1"/>
  <c r="S357" i="3" s="1"/>
  <c r="T357" i="3" s="1"/>
  <c r="R356" i="3"/>
  <c r="P356" i="3"/>
  <c r="O356" i="3"/>
  <c r="Q356" i="3" s="1"/>
  <c r="S356" i="3" s="1"/>
  <c r="T356" i="3" s="1"/>
  <c r="R355" i="3"/>
  <c r="P355" i="3"/>
  <c r="O355" i="3"/>
  <c r="Q355" i="3" s="1"/>
  <c r="S355" i="3" s="1"/>
  <c r="T355" i="3" s="1"/>
  <c r="R354" i="3"/>
  <c r="P354" i="3"/>
  <c r="O354" i="3"/>
  <c r="Q354" i="3" s="1"/>
  <c r="S354" i="3" s="1"/>
  <c r="T354" i="3" s="1"/>
  <c r="R353" i="3"/>
  <c r="P353" i="3"/>
  <c r="O353" i="3"/>
  <c r="Q353" i="3" s="1"/>
  <c r="S353" i="3" s="1"/>
  <c r="T353" i="3" s="1"/>
  <c r="R352" i="3"/>
  <c r="P352" i="3"/>
  <c r="O352" i="3"/>
  <c r="Q352" i="3" s="1"/>
  <c r="S352" i="3" s="1"/>
  <c r="T352" i="3" s="1"/>
  <c r="R351" i="3"/>
  <c r="P351" i="3"/>
  <c r="O351" i="3"/>
  <c r="Q351" i="3" s="1"/>
  <c r="S351" i="3" s="1"/>
  <c r="T351" i="3" s="1"/>
  <c r="R350" i="3"/>
  <c r="P350" i="3"/>
  <c r="O350" i="3"/>
  <c r="Q350" i="3" s="1"/>
  <c r="S350" i="3" s="1"/>
  <c r="T350" i="3" s="1"/>
  <c r="R349" i="3"/>
  <c r="P349" i="3"/>
  <c r="O349" i="3"/>
  <c r="Q349" i="3" s="1"/>
  <c r="S349" i="3" s="1"/>
  <c r="T349" i="3" s="1"/>
  <c r="R348" i="3"/>
  <c r="P348" i="3"/>
  <c r="O348" i="3"/>
  <c r="Q348" i="3" s="1"/>
  <c r="S348" i="3" s="1"/>
  <c r="T348" i="3" s="1"/>
  <c r="R347" i="3"/>
  <c r="P347" i="3"/>
  <c r="O347" i="3"/>
  <c r="Q347" i="3" s="1"/>
  <c r="S347" i="3" s="1"/>
  <c r="T347" i="3" s="1"/>
  <c r="R346" i="3"/>
  <c r="P346" i="3"/>
  <c r="O346" i="3"/>
  <c r="Q346" i="3" s="1"/>
  <c r="S346" i="3" s="1"/>
  <c r="T346" i="3" s="1"/>
  <c r="R345" i="3"/>
  <c r="P345" i="3"/>
  <c r="O345" i="3"/>
  <c r="Q345" i="3" s="1"/>
  <c r="S345" i="3" s="1"/>
  <c r="T345" i="3" s="1"/>
  <c r="R344" i="3"/>
  <c r="P344" i="3"/>
  <c r="O344" i="3"/>
  <c r="Q344" i="3" s="1"/>
  <c r="S344" i="3" s="1"/>
  <c r="T344" i="3" s="1"/>
  <c r="R343" i="3"/>
  <c r="P343" i="3"/>
  <c r="O343" i="3"/>
  <c r="Q343" i="3" s="1"/>
  <c r="S343" i="3" s="1"/>
  <c r="T343" i="3" s="1"/>
  <c r="R342" i="3"/>
  <c r="P342" i="3"/>
  <c r="O342" i="3"/>
  <c r="Q342" i="3" s="1"/>
  <c r="S342" i="3" s="1"/>
  <c r="T342" i="3" s="1"/>
  <c r="R341" i="3"/>
  <c r="P341" i="3"/>
  <c r="O341" i="3"/>
  <c r="Q341" i="3" s="1"/>
  <c r="S341" i="3" s="1"/>
  <c r="T341" i="3" s="1"/>
  <c r="R340" i="3"/>
  <c r="P340" i="3"/>
  <c r="O340" i="3"/>
  <c r="Q340" i="3" s="1"/>
  <c r="S340" i="3" s="1"/>
  <c r="T340" i="3" s="1"/>
  <c r="R339" i="3"/>
  <c r="P339" i="3"/>
  <c r="O339" i="3"/>
  <c r="Q339" i="3" s="1"/>
  <c r="S339" i="3" s="1"/>
  <c r="T339" i="3" s="1"/>
  <c r="R338" i="3"/>
  <c r="P338" i="3"/>
  <c r="O338" i="3"/>
  <c r="Q338" i="3" s="1"/>
  <c r="S338" i="3" s="1"/>
  <c r="T338" i="3" s="1"/>
  <c r="R337" i="3"/>
  <c r="P337" i="3"/>
  <c r="O337" i="3"/>
  <c r="Q337" i="3" s="1"/>
  <c r="S337" i="3" s="1"/>
  <c r="T337" i="3" s="1"/>
  <c r="R336" i="3"/>
  <c r="P336" i="3"/>
  <c r="O336" i="3"/>
  <c r="Q336" i="3" s="1"/>
  <c r="S336" i="3" s="1"/>
  <c r="T336" i="3" s="1"/>
  <c r="R335" i="3"/>
  <c r="P335" i="3"/>
  <c r="O335" i="3"/>
  <c r="Q335" i="3" s="1"/>
  <c r="S335" i="3" s="1"/>
  <c r="T335" i="3" s="1"/>
  <c r="R334" i="3"/>
  <c r="P334" i="3"/>
  <c r="O334" i="3"/>
  <c r="Q334" i="3" s="1"/>
  <c r="S334" i="3" s="1"/>
  <c r="T334" i="3" s="1"/>
  <c r="R333" i="3"/>
  <c r="P333" i="3"/>
  <c r="O333" i="3"/>
  <c r="Q333" i="3" s="1"/>
  <c r="S333" i="3" s="1"/>
  <c r="T333" i="3" s="1"/>
  <c r="R332" i="3"/>
  <c r="P332" i="3"/>
  <c r="O332" i="3"/>
  <c r="Q332" i="3" s="1"/>
  <c r="S332" i="3" s="1"/>
  <c r="T332" i="3" s="1"/>
  <c r="R331" i="3"/>
  <c r="P331" i="3"/>
  <c r="O331" i="3"/>
  <c r="Q331" i="3" s="1"/>
  <c r="S331" i="3" s="1"/>
  <c r="T331" i="3" s="1"/>
  <c r="R330" i="3"/>
  <c r="P330" i="3"/>
  <c r="O330" i="3"/>
  <c r="Q330" i="3" s="1"/>
  <c r="S330" i="3" s="1"/>
  <c r="T330" i="3" s="1"/>
  <c r="R329" i="3"/>
  <c r="P329" i="3"/>
  <c r="O329" i="3"/>
  <c r="Q329" i="3" s="1"/>
  <c r="S329" i="3" s="1"/>
  <c r="T329" i="3" s="1"/>
  <c r="R328" i="3"/>
  <c r="P328" i="3"/>
  <c r="O328" i="3"/>
  <c r="Q328" i="3" s="1"/>
  <c r="S328" i="3" s="1"/>
  <c r="T328" i="3" s="1"/>
  <c r="R327" i="3"/>
  <c r="P327" i="3"/>
  <c r="O327" i="3"/>
  <c r="Q327" i="3" s="1"/>
  <c r="S327" i="3" s="1"/>
  <c r="T327" i="3" s="1"/>
  <c r="R326" i="3"/>
  <c r="P326" i="3"/>
  <c r="O326" i="3"/>
  <c r="Q326" i="3" s="1"/>
  <c r="S326" i="3" s="1"/>
  <c r="T326" i="3" s="1"/>
  <c r="R325" i="3"/>
  <c r="P325" i="3"/>
  <c r="O325" i="3"/>
  <c r="Q325" i="3" s="1"/>
  <c r="S325" i="3" s="1"/>
  <c r="T325" i="3" s="1"/>
  <c r="R324" i="3"/>
  <c r="P324" i="3"/>
  <c r="O324" i="3"/>
  <c r="Q324" i="3" s="1"/>
  <c r="S324" i="3" s="1"/>
  <c r="T324" i="3" s="1"/>
  <c r="R323" i="3"/>
  <c r="P323" i="3"/>
  <c r="O323" i="3"/>
  <c r="Q323" i="3" s="1"/>
  <c r="S323" i="3" s="1"/>
  <c r="T323" i="3" s="1"/>
  <c r="R322" i="3"/>
  <c r="P322" i="3"/>
  <c r="O322" i="3"/>
  <c r="Q322" i="3" s="1"/>
  <c r="S322" i="3" s="1"/>
  <c r="T322" i="3" s="1"/>
  <c r="R321" i="3"/>
  <c r="P321" i="3"/>
  <c r="O321" i="3"/>
  <c r="Q321" i="3" s="1"/>
  <c r="S321" i="3" s="1"/>
  <c r="T321" i="3" s="1"/>
  <c r="R320" i="3"/>
  <c r="P320" i="3"/>
  <c r="O320" i="3"/>
  <c r="Q320" i="3" s="1"/>
  <c r="S320" i="3" s="1"/>
  <c r="T320" i="3" s="1"/>
  <c r="R319" i="3"/>
  <c r="P319" i="3"/>
  <c r="O319" i="3"/>
  <c r="Q319" i="3" s="1"/>
  <c r="S319" i="3" s="1"/>
  <c r="T319" i="3" s="1"/>
  <c r="R318" i="3"/>
  <c r="P318" i="3"/>
  <c r="O318" i="3"/>
  <c r="Q318" i="3" s="1"/>
  <c r="S318" i="3" s="1"/>
  <c r="T318" i="3" s="1"/>
  <c r="R317" i="3"/>
  <c r="P317" i="3"/>
  <c r="O317" i="3"/>
  <c r="Q317" i="3" s="1"/>
  <c r="S317" i="3" s="1"/>
  <c r="T317" i="3" s="1"/>
  <c r="R316" i="3"/>
  <c r="P316" i="3"/>
  <c r="O316" i="3"/>
  <c r="Q316" i="3" s="1"/>
  <c r="S316" i="3" s="1"/>
  <c r="T316" i="3" s="1"/>
  <c r="R315" i="3"/>
  <c r="P315" i="3"/>
  <c r="O315" i="3"/>
  <c r="Q315" i="3" s="1"/>
  <c r="S315" i="3" s="1"/>
  <c r="T315" i="3" s="1"/>
  <c r="R314" i="3"/>
  <c r="P314" i="3"/>
  <c r="O314" i="3"/>
  <c r="Q314" i="3" s="1"/>
  <c r="S314" i="3" s="1"/>
  <c r="T314" i="3" s="1"/>
  <c r="R313" i="3"/>
  <c r="P313" i="3"/>
  <c r="O313" i="3"/>
  <c r="Q313" i="3" s="1"/>
  <c r="S313" i="3" s="1"/>
  <c r="T313" i="3" s="1"/>
  <c r="R312" i="3"/>
  <c r="P312" i="3"/>
  <c r="O312" i="3"/>
  <c r="Q312" i="3" s="1"/>
  <c r="S312" i="3" s="1"/>
  <c r="T312" i="3" s="1"/>
  <c r="R311" i="3"/>
  <c r="P311" i="3"/>
  <c r="O311" i="3"/>
  <c r="Q311" i="3" s="1"/>
  <c r="S311" i="3" s="1"/>
  <c r="T311" i="3" s="1"/>
  <c r="R310" i="3"/>
  <c r="P310" i="3"/>
  <c r="O310" i="3"/>
  <c r="Q310" i="3" s="1"/>
  <c r="S310" i="3" s="1"/>
  <c r="T310" i="3" s="1"/>
  <c r="R309" i="3"/>
  <c r="P309" i="3"/>
  <c r="O309" i="3"/>
  <c r="Q309" i="3" s="1"/>
  <c r="S309" i="3" s="1"/>
  <c r="T309" i="3" s="1"/>
  <c r="R308" i="3"/>
  <c r="P308" i="3"/>
  <c r="O308" i="3"/>
  <c r="Q308" i="3" s="1"/>
  <c r="S308" i="3" s="1"/>
  <c r="T308" i="3" s="1"/>
  <c r="R307" i="3"/>
  <c r="P307" i="3"/>
  <c r="O307" i="3"/>
  <c r="Q307" i="3" s="1"/>
  <c r="S307" i="3" s="1"/>
  <c r="T307" i="3" s="1"/>
  <c r="R306" i="3"/>
  <c r="P306" i="3"/>
  <c r="O306" i="3"/>
  <c r="Q306" i="3" s="1"/>
  <c r="S306" i="3" s="1"/>
  <c r="T306" i="3" s="1"/>
  <c r="R305" i="3"/>
  <c r="P305" i="3"/>
  <c r="O305" i="3"/>
  <c r="Q305" i="3" s="1"/>
  <c r="S305" i="3" s="1"/>
  <c r="T305" i="3" s="1"/>
  <c r="R304" i="3"/>
  <c r="P304" i="3"/>
  <c r="O304" i="3"/>
  <c r="Q304" i="3" s="1"/>
  <c r="S304" i="3" s="1"/>
  <c r="T304" i="3" s="1"/>
  <c r="R303" i="3"/>
  <c r="P303" i="3"/>
  <c r="O303" i="3"/>
  <c r="Q303" i="3" s="1"/>
  <c r="S303" i="3" s="1"/>
  <c r="T303" i="3" s="1"/>
  <c r="R302" i="3"/>
  <c r="P302" i="3"/>
  <c r="O302" i="3"/>
  <c r="Q302" i="3" s="1"/>
  <c r="S302" i="3" s="1"/>
  <c r="T302" i="3" s="1"/>
  <c r="R301" i="3"/>
  <c r="P301" i="3"/>
  <c r="O301" i="3"/>
  <c r="Q301" i="3" s="1"/>
  <c r="S301" i="3" s="1"/>
  <c r="T301" i="3" s="1"/>
  <c r="R300" i="3"/>
  <c r="P300" i="3"/>
  <c r="O300" i="3"/>
  <c r="Q300" i="3" s="1"/>
  <c r="S300" i="3" s="1"/>
  <c r="T300" i="3" s="1"/>
  <c r="R299" i="3"/>
  <c r="P299" i="3"/>
  <c r="O299" i="3"/>
  <c r="Q299" i="3" s="1"/>
  <c r="S299" i="3" s="1"/>
  <c r="T299" i="3" s="1"/>
  <c r="R298" i="3"/>
  <c r="P298" i="3"/>
  <c r="O298" i="3"/>
  <c r="Q298" i="3" s="1"/>
  <c r="S298" i="3" s="1"/>
  <c r="T298" i="3" s="1"/>
  <c r="R297" i="3"/>
  <c r="P297" i="3"/>
  <c r="O297" i="3"/>
  <c r="Q297" i="3" s="1"/>
  <c r="S297" i="3" s="1"/>
  <c r="T297" i="3" s="1"/>
  <c r="R296" i="3"/>
  <c r="P296" i="3"/>
  <c r="O296" i="3"/>
  <c r="Q296" i="3" s="1"/>
  <c r="S296" i="3" s="1"/>
  <c r="T296" i="3" s="1"/>
  <c r="R295" i="3"/>
  <c r="P295" i="3"/>
  <c r="O295" i="3"/>
  <c r="Q295" i="3" s="1"/>
  <c r="S295" i="3" s="1"/>
  <c r="T295" i="3" s="1"/>
  <c r="R294" i="3"/>
  <c r="P294" i="3"/>
  <c r="O294" i="3"/>
  <c r="Q294" i="3" s="1"/>
  <c r="S294" i="3" s="1"/>
  <c r="T294" i="3" s="1"/>
  <c r="R293" i="3"/>
  <c r="P293" i="3"/>
  <c r="O293" i="3"/>
  <c r="Q293" i="3" s="1"/>
  <c r="S293" i="3" s="1"/>
  <c r="T293" i="3" s="1"/>
  <c r="R292" i="3"/>
  <c r="P292" i="3"/>
  <c r="O292" i="3"/>
  <c r="Q292" i="3" s="1"/>
  <c r="S292" i="3" s="1"/>
  <c r="T292" i="3" s="1"/>
  <c r="R291" i="3"/>
  <c r="P291" i="3"/>
  <c r="O291" i="3"/>
  <c r="Q291" i="3" s="1"/>
  <c r="S291" i="3" s="1"/>
  <c r="T291" i="3" s="1"/>
  <c r="R290" i="3"/>
  <c r="P290" i="3"/>
  <c r="O290" i="3"/>
  <c r="Q290" i="3" s="1"/>
  <c r="S290" i="3" s="1"/>
  <c r="T290" i="3" s="1"/>
  <c r="R289" i="3"/>
  <c r="P289" i="3"/>
  <c r="O289" i="3"/>
  <c r="Q289" i="3" s="1"/>
  <c r="S289" i="3" s="1"/>
  <c r="T289" i="3" s="1"/>
  <c r="R288" i="3"/>
  <c r="P288" i="3"/>
  <c r="O288" i="3"/>
  <c r="Q288" i="3" s="1"/>
  <c r="S288" i="3" s="1"/>
  <c r="T288" i="3" s="1"/>
  <c r="R287" i="3"/>
  <c r="P287" i="3"/>
  <c r="O287" i="3"/>
  <c r="Q287" i="3" s="1"/>
  <c r="S287" i="3" s="1"/>
  <c r="T287" i="3" s="1"/>
  <c r="R286" i="3"/>
  <c r="P286" i="3"/>
  <c r="O286" i="3"/>
  <c r="Q286" i="3" s="1"/>
  <c r="S286" i="3" s="1"/>
  <c r="T286" i="3" s="1"/>
  <c r="R285" i="3"/>
  <c r="P285" i="3"/>
  <c r="O285" i="3"/>
  <c r="Q285" i="3" s="1"/>
  <c r="S285" i="3" s="1"/>
  <c r="T285" i="3" s="1"/>
  <c r="R284" i="3"/>
  <c r="P284" i="3"/>
  <c r="O284" i="3"/>
  <c r="Q284" i="3" s="1"/>
  <c r="S284" i="3" s="1"/>
  <c r="T284" i="3" s="1"/>
  <c r="R283" i="3"/>
  <c r="P283" i="3"/>
  <c r="O283" i="3"/>
  <c r="Q283" i="3" s="1"/>
  <c r="S283" i="3" s="1"/>
  <c r="T283" i="3" s="1"/>
  <c r="R282" i="3"/>
  <c r="P282" i="3"/>
  <c r="O282" i="3"/>
  <c r="Q282" i="3" s="1"/>
  <c r="S282" i="3" s="1"/>
  <c r="T282" i="3" s="1"/>
  <c r="R281" i="3"/>
  <c r="P281" i="3"/>
  <c r="O281" i="3"/>
  <c r="Q281" i="3" s="1"/>
  <c r="S281" i="3" s="1"/>
  <c r="T281" i="3" s="1"/>
  <c r="R280" i="3"/>
  <c r="P280" i="3"/>
  <c r="O280" i="3"/>
  <c r="Q280" i="3" s="1"/>
  <c r="S280" i="3" s="1"/>
  <c r="T280" i="3" s="1"/>
  <c r="R279" i="3"/>
  <c r="P279" i="3"/>
  <c r="O279" i="3"/>
  <c r="Q279" i="3" s="1"/>
  <c r="S279" i="3" s="1"/>
  <c r="T279" i="3" s="1"/>
  <c r="R278" i="3"/>
  <c r="P278" i="3"/>
  <c r="O278" i="3"/>
  <c r="Q278" i="3" s="1"/>
  <c r="S278" i="3" s="1"/>
  <c r="T278" i="3" s="1"/>
  <c r="R277" i="3"/>
  <c r="P277" i="3"/>
  <c r="O277" i="3"/>
  <c r="Q277" i="3" s="1"/>
  <c r="S277" i="3" s="1"/>
  <c r="T277" i="3" s="1"/>
  <c r="R276" i="3"/>
  <c r="P276" i="3"/>
  <c r="O276" i="3"/>
  <c r="Q276" i="3" s="1"/>
  <c r="S276" i="3" s="1"/>
  <c r="T276" i="3" s="1"/>
  <c r="R275" i="3"/>
  <c r="P275" i="3"/>
  <c r="O275" i="3"/>
  <c r="Q275" i="3" s="1"/>
  <c r="S275" i="3" s="1"/>
  <c r="T275" i="3" s="1"/>
  <c r="R274" i="3"/>
  <c r="P274" i="3"/>
  <c r="O274" i="3"/>
  <c r="Q274" i="3" s="1"/>
  <c r="S274" i="3" s="1"/>
  <c r="T274" i="3" s="1"/>
  <c r="R273" i="3"/>
  <c r="P273" i="3"/>
  <c r="O273" i="3"/>
  <c r="Q273" i="3" s="1"/>
  <c r="S273" i="3" s="1"/>
  <c r="T273" i="3" s="1"/>
  <c r="R272" i="3"/>
  <c r="P272" i="3"/>
  <c r="O272" i="3"/>
  <c r="Q272" i="3" s="1"/>
  <c r="S272" i="3" s="1"/>
  <c r="T272" i="3" s="1"/>
  <c r="R271" i="3"/>
  <c r="P271" i="3"/>
  <c r="O271" i="3"/>
  <c r="Q271" i="3" s="1"/>
  <c r="S271" i="3" s="1"/>
  <c r="T271" i="3" s="1"/>
  <c r="R270" i="3"/>
  <c r="P270" i="3"/>
  <c r="O270" i="3"/>
  <c r="Q270" i="3" s="1"/>
  <c r="S270" i="3" s="1"/>
  <c r="T270" i="3" s="1"/>
  <c r="R269" i="3"/>
  <c r="P269" i="3"/>
  <c r="O269" i="3"/>
  <c r="Q269" i="3" s="1"/>
  <c r="S269" i="3" s="1"/>
  <c r="T269" i="3" s="1"/>
  <c r="R268" i="3"/>
  <c r="P268" i="3"/>
  <c r="O268" i="3"/>
  <c r="Q268" i="3" s="1"/>
  <c r="S268" i="3" s="1"/>
  <c r="T268" i="3" s="1"/>
  <c r="R267" i="3"/>
  <c r="P267" i="3"/>
  <c r="O267" i="3"/>
  <c r="Q267" i="3" s="1"/>
  <c r="S267" i="3" s="1"/>
  <c r="T267" i="3" s="1"/>
  <c r="R266" i="3"/>
  <c r="P266" i="3"/>
  <c r="O266" i="3"/>
  <c r="Q266" i="3" s="1"/>
  <c r="S266" i="3" s="1"/>
  <c r="T266" i="3" s="1"/>
  <c r="R265" i="3"/>
  <c r="P265" i="3"/>
  <c r="O265" i="3"/>
  <c r="Q265" i="3" s="1"/>
  <c r="S265" i="3" s="1"/>
  <c r="T265" i="3" s="1"/>
  <c r="R264" i="3"/>
  <c r="P264" i="3"/>
  <c r="O264" i="3"/>
  <c r="Q264" i="3" s="1"/>
  <c r="S264" i="3" s="1"/>
  <c r="T264" i="3" s="1"/>
  <c r="R263" i="3"/>
  <c r="P263" i="3"/>
  <c r="O263" i="3"/>
  <c r="Q263" i="3" s="1"/>
  <c r="S263" i="3" s="1"/>
  <c r="T263" i="3" s="1"/>
  <c r="R262" i="3"/>
  <c r="P262" i="3"/>
  <c r="O262" i="3"/>
  <c r="Q262" i="3" s="1"/>
  <c r="S262" i="3" s="1"/>
  <c r="T262" i="3" s="1"/>
  <c r="R261" i="3"/>
  <c r="P261" i="3"/>
  <c r="O261" i="3"/>
  <c r="Q261" i="3" s="1"/>
  <c r="S261" i="3" s="1"/>
  <c r="T261" i="3" s="1"/>
  <c r="R260" i="3"/>
  <c r="P260" i="3"/>
  <c r="O260" i="3"/>
  <c r="Q260" i="3" s="1"/>
  <c r="S260" i="3" s="1"/>
  <c r="T260" i="3" s="1"/>
  <c r="R259" i="3"/>
  <c r="P259" i="3"/>
  <c r="O259" i="3"/>
  <c r="Q259" i="3" s="1"/>
  <c r="S259" i="3" s="1"/>
  <c r="T259" i="3" s="1"/>
  <c r="R258" i="3"/>
  <c r="P258" i="3"/>
  <c r="O258" i="3"/>
  <c r="Q258" i="3" s="1"/>
  <c r="S258" i="3" s="1"/>
  <c r="T258" i="3" s="1"/>
  <c r="R257" i="3"/>
  <c r="P257" i="3"/>
  <c r="O257" i="3"/>
  <c r="Q257" i="3" s="1"/>
  <c r="S257" i="3" s="1"/>
  <c r="T257" i="3" s="1"/>
  <c r="R256" i="3"/>
  <c r="P256" i="3"/>
  <c r="O256" i="3"/>
  <c r="Q256" i="3" s="1"/>
  <c r="S256" i="3" s="1"/>
  <c r="T256" i="3" s="1"/>
  <c r="R255" i="3"/>
  <c r="P255" i="3"/>
  <c r="O255" i="3"/>
  <c r="Q255" i="3" s="1"/>
  <c r="S255" i="3" s="1"/>
  <c r="T255" i="3" s="1"/>
  <c r="R254" i="3"/>
  <c r="P254" i="3"/>
  <c r="O254" i="3"/>
  <c r="Q254" i="3" s="1"/>
  <c r="S254" i="3" s="1"/>
  <c r="T254" i="3" s="1"/>
  <c r="R253" i="3"/>
  <c r="P253" i="3"/>
  <c r="O253" i="3"/>
  <c r="Q253" i="3" s="1"/>
  <c r="S253" i="3" s="1"/>
  <c r="T253" i="3" s="1"/>
  <c r="R252" i="3"/>
  <c r="P252" i="3"/>
  <c r="O252" i="3"/>
  <c r="Q252" i="3" s="1"/>
  <c r="S252" i="3" s="1"/>
  <c r="T252" i="3" s="1"/>
  <c r="R251" i="3"/>
  <c r="P251" i="3"/>
  <c r="O251" i="3"/>
  <c r="Q251" i="3" s="1"/>
  <c r="S251" i="3" s="1"/>
  <c r="T251" i="3" s="1"/>
  <c r="R250" i="3"/>
  <c r="P250" i="3"/>
  <c r="O250" i="3"/>
  <c r="Q250" i="3" s="1"/>
  <c r="S250" i="3" s="1"/>
  <c r="T250" i="3" s="1"/>
  <c r="R249" i="3"/>
  <c r="P249" i="3"/>
  <c r="O249" i="3"/>
  <c r="Q249" i="3" s="1"/>
  <c r="S249" i="3" s="1"/>
  <c r="T249" i="3" s="1"/>
  <c r="R248" i="3"/>
  <c r="P248" i="3"/>
  <c r="O248" i="3"/>
  <c r="Q248" i="3" s="1"/>
  <c r="S248" i="3" s="1"/>
  <c r="T248" i="3" s="1"/>
  <c r="R247" i="3"/>
  <c r="P247" i="3"/>
  <c r="O247" i="3"/>
  <c r="Q247" i="3" s="1"/>
  <c r="S247" i="3" s="1"/>
  <c r="T247" i="3" s="1"/>
  <c r="R246" i="3"/>
  <c r="P246" i="3"/>
  <c r="O246" i="3"/>
  <c r="Q246" i="3" s="1"/>
  <c r="S246" i="3" s="1"/>
  <c r="T246" i="3" s="1"/>
  <c r="R245" i="3"/>
  <c r="P245" i="3"/>
  <c r="O245" i="3"/>
  <c r="Q245" i="3" s="1"/>
  <c r="S245" i="3" s="1"/>
  <c r="T245" i="3" s="1"/>
  <c r="R244" i="3"/>
  <c r="P244" i="3"/>
  <c r="O244" i="3"/>
  <c r="Q244" i="3" s="1"/>
  <c r="S244" i="3" s="1"/>
  <c r="T244" i="3" s="1"/>
  <c r="R243" i="3"/>
  <c r="P243" i="3"/>
  <c r="O243" i="3"/>
  <c r="Q243" i="3" s="1"/>
  <c r="S243" i="3" s="1"/>
  <c r="T243" i="3" s="1"/>
  <c r="R242" i="3"/>
  <c r="P242" i="3"/>
  <c r="O242" i="3"/>
  <c r="Q242" i="3" s="1"/>
  <c r="S242" i="3" s="1"/>
  <c r="T242" i="3" s="1"/>
  <c r="R241" i="3"/>
  <c r="P241" i="3"/>
  <c r="O241" i="3"/>
  <c r="Q241" i="3" s="1"/>
  <c r="S241" i="3" s="1"/>
  <c r="T241" i="3" s="1"/>
  <c r="R240" i="3"/>
  <c r="P240" i="3"/>
  <c r="O240" i="3"/>
  <c r="Q240" i="3" s="1"/>
  <c r="S240" i="3" s="1"/>
  <c r="T240" i="3" s="1"/>
  <c r="R239" i="3"/>
  <c r="P239" i="3"/>
  <c r="O239" i="3"/>
  <c r="Q239" i="3" s="1"/>
  <c r="S239" i="3" s="1"/>
  <c r="T239" i="3" s="1"/>
  <c r="R238" i="3"/>
  <c r="P238" i="3"/>
  <c r="O238" i="3"/>
  <c r="Q238" i="3" s="1"/>
  <c r="S238" i="3" s="1"/>
  <c r="T238" i="3" s="1"/>
  <c r="R237" i="3"/>
  <c r="P237" i="3"/>
  <c r="O237" i="3"/>
  <c r="Q237" i="3" s="1"/>
  <c r="S237" i="3" s="1"/>
  <c r="T237" i="3" s="1"/>
  <c r="R236" i="3"/>
  <c r="P236" i="3"/>
  <c r="O236" i="3"/>
  <c r="Q236" i="3" s="1"/>
  <c r="S236" i="3" s="1"/>
  <c r="T236" i="3" s="1"/>
  <c r="R235" i="3"/>
  <c r="P235" i="3"/>
  <c r="O235" i="3"/>
  <c r="Q235" i="3" s="1"/>
  <c r="S235" i="3" s="1"/>
  <c r="T235" i="3" s="1"/>
  <c r="R234" i="3"/>
  <c r="P234" i="3"/>
  <c r="O234" i="3"/>
  <c r="Q234" i="3" s="1"/>
  <c r="S234" i="3" s="1"/>
  <c r="T234" i="3" s="1"/>
  <c r="R233" i="3"/>
  <c r="P233" i="3"/>
  <c r="O233" i="3"/>
  <c r="Q233" i="3" s="1"/>
  <c r="S233" i="3" s="1"/>
  <c r="T233" i="3" s="1"/>
  <c r="R232" i="3"/>
  <c r="P232" i="3"/>
  <c r="O232" i="3"/>
  <c r="Q232" i="3" s="1"/>
  <c r="S232" i="3" s="1"/>
  <c r="T232" i="3" s="1"/>
  <c r="R231" i="3"/>
  <c r="P231" i="3"/>
  <c r="O231" i="3"/>
  <c r="Q231" i="3" s="1"/>
  <c r="S231" i="3" s="1"/>
  <c r="T231" i="3" s="1"/>
  <c r="R230" i="3"/>
  <c r="P230" i="3"/>
  <c r="O230" i="3"/>
  <c r="Q230" i="3" s="1"/>
  <c r="S230" i="3" s="1"/>
  <c r="T230" i="3" s="1"/>
  <c r="R229" i="3"/>
  <c r="P229" i="3"/>
  <c r="O229" i="3"/>
  <c r="Q229" i="3" s="1"/>
  <c r="S229" i="3" s="1"/>
  <c r="T229" i="3" s="1"/>
  <c r="R228" i="3"/>
  <c r="P228" i="3"/>
  <c r="O228" i="3"/>
  <c r="Q228" i="3" s="1"/>
  <c r="S228" i="3" s="1"/>
  <c r="T228" i="3" s="1"/>
  <c r="R227" i="3"/>
  <c r="P227" i="3"/>
  <c r="O227" i="3"/>
  <c r="Q227" i="3" s="1"/>
  <c r="S227" i="3" s="1"/>
  <c r="T227" i="3" s="1"/>
  <c r="R226" i="3"/>
  <c r="P226" i="3"/>
  <c r="O226" i="3"/>
  <c r="Q226" i="3" s="1"/>
  <c r="S226" i="3" s="1"/>
  <c r="T226" i="3" s="1"/>
  <c r="R225" i="3"/>
  <c r="P225" i="3"/>
  <c r="O225" i="3"/>
  <c r="Q225" i="3" s="1"/>
  <c r="S225" i="3" s="1"/>
  <c r="T225" i="3" s="1"/>
  <c r="R224" i="3"/>
  <c r="P224" i="3"/>
  <c r="O224" i="3"/>
  <c r="Q224" i="3" s="1"/>
  <c r="S224" i="3" s="1"/>
  <c r="T224" i="3" s="1"/>
  <c r="R223" i="3"/>
  <c r="P223" i="3"/>
  <c r="O223" i="3"/>
  <c r="Q223" i="3" s="1"/>
  <c r="S223" i="3" s="1"/>
  <c r="T223" i="3" s="1"/>
  <c r="R222" i="3"/>
  <c r="P222" i="3"/>
  <c r="O222" i="3"/>
  <c r="Q222" i="3" s="1"/>
  <c r="S222" i="3" s="1"/>
  <c r="T222" i="3" s="1"/>
  <c r="R221" i="3"/>
  <c r="P221" i="3"/>
  <c r="O221" i="3"/>
  <c r="Q221" i="3" s="1"/>
  <c r="S221" i="3" s="1"/>
  <c r="T221" i="3" s="1"/>
  <c r="R220" i="3"/>
  <c r="P220" i="3"/>
  <c r="O220" i="3"/>
  <c r="Q220" i="3" s="1"/>
  <c r="S220" i="3" s="1"/>
  <c r="T220" i="3" s="1"/>
  <c r="R219" i="3"/>
  <c r="P219" i="3"/>
  <c r="O219" i="3"/>
  <c r="Q219" i="3" s="1"/>
  <c r="S219" i="3" s="1"/>
  <c r="T219" i="3" s="1"/>
  <c r="R218" i="3"/>
  <c r="P218" i="3"/>
  <c r="O218" i="3"/>
  <c r="Q218" i="3" s="1"/>
  <c r="S218" i="3" s="1"/>
  <c r="T218" i="3" s="1"/>
  <c r="R217" i="3"/>
  <c r="P217" i="3"/>
  <c r="O217" i="3"/>
  <c r="Q217" i="3" s="1"/>
  <c r="S217" i="3" s="1"/>
  <c r="T217" i="3" s="1"/>
  <c r="R216" i="3"/>
  <c r="P216" i="3"/>
  <c r="O216" i="3"/>
  <c r="Q216" i="3" s="1"/>
  <c r="S216" i="3" s="1"/>
  <c r="T216" i="3" s="1"/>
  <c r="R215" i="3"/>
  <c r="P215" i="3"/>
  <c r="O215" i="3"/>
  <c r="Q215" i="3" s="1"/>
  <c r="S215" i="3" s="1"/>
  <c r="T215" i="3" s="1"/>
  <c r="R214" i="3"/>
  <c r="P214" i="3"/>
  <c r="O214" i="3"/>
  <c r="Q214" i="3" s="1"/>
  <c r="S214" i="3" s="1"/>
  <c r="T214" i="3" s="1"/>
  <c r="R213" i="3"/>
  <c r="P213" i="3"/>
  <c r="O213" i="3"/>
  <c r="Q213" i="3" s="1"/>
  <c r="S213" i="3" s="1"/>
  <c r="T213" i="3" s="1"/>
  <c r="R212" i="3"/>
  <c r="P212" i="3"/>
  <c r="O212" i="3"/>
  <c r="Q212" i="3" s="1"/>
  <c r="S212" i="3" s="1"/>
  <c r="T212" i="3" s="1"/>
  <c r="R211" i="3"/>
  <c r="P211" i="3"/>
  <c r="O211" i="3"/>
  <c r="Q211" i="3" s="1"/>
  <c r="S211" i="3" s="1"/>
  <c r="T211" i="3" s="1"/>
  <c r="R210" i="3"/>
  <c r="P210" i="3"/>
  <c r="O210" i="3"/>
  <c r="Q210" i="3" s="1"/>
  <c r="S210" i="3" s="1"/>
  <c r="T210" i="3" s="1"/>
  <c r="R209" i="3"/>
  <c r="P209" i="3"/>
  <c r="O209" i="3"/>
  <c r="Q209" i="3" s="1"/>
  <c r="S209" i="3" s="1"/>
  <c r="T209" i="3" s="1"/>
  <c r="R208" i="3"/>
  <c r="P208" i="3"/>
  <c r="O208" i="3"/>
  <c r="Q208" i="3" s="1"/>
  <c r="S208" i="3" s="1"/>
  <c r="T208" i="3" s="1"/>
  <c r="R207" i="3"/>
  <c r="P207" i="3"/>
  <c r="O207" i="3"/>
  <c r="Q207" i="3" s="1"/>
  <c r="S207" i="3" s="1"/>
  <c r="T207" i="3" s="1"/>
  <c r="R206" i="3"/>
  <c r="P206" i="3"/>
  <c r="O206" i="3"/>
  <c r="Q206" i="3" s="1"/>
  <c r="S206" i="3" s="1"/>
  <c r="T206" i="3" s="1"/>
  <c r="R205" i="3"/>
  <c r="P205" i="3"/>
  <c r="O205" i="3"/>
  <c r="Q205" i="3" s="1"/>
  <c r="S205" i="3" s="1"/>
  <c r="T205" i="3" s="1"/>
  <c r="R204" i="3"/>
  <c r="P204" i="3"/>
  <c r="O204" i="3"/>
  <c r="Q204" i="3" s="1"/>
  <c r="S204" i="3" s="1"/>
  <c r="T204" i="3" s="1"/>
  <c r="R203" i="3"/>
  <c r="P203" i="3"/>
  <c r="O203" i="3"/>
  <c r="Q203" i="3" s="1"/>
  <c r="S203" i="3" s="1"/>
  <c r="T203" i="3" s="1"/>
  <c r="R202" i="3"/>
  <c r="P202" i="3"/>
  <c r="O202" i="3"/>
  <c r="Q202" i="3" s="1"/>
  <c r="S202" i="3" s="1"/>
  <c r="T202" i="3" s="1"/>
  <c r="R201" i="3"/>
  <c r="P201" i="3"/>
  <c r="O201" i="3"/>
  <c r="Q201" i="3" s="1"/>
  <c r="S201" i="3" s="1"/>
  <c r="T201" i="3" s="1"/>
  <c r="R200" i="3"/>
  <c r="P200" i="3"/>
  <c r="O200" i="3"/>
  <c r="Q200" i="3" s="1"/>
  <c r="S200" i="3" s="1"/>
  <c r="T200" i="3" s="1"/>
  <c r="R199" i="3"/>
  <c r="P199" i="3"/>
  <c r="O199" i="3"/>
  <c r="Q199" i="3" s="1"/>
  <c r="S199" i="3" s="1"/>
  <c r="T199" i="3" s="1"/>
  <c r="R198" i="3"/>
  <c r="P198" i="3"/>
  <c r="O198" i="3"/>
  <c r="Q198" i="3" s="1"/>
  <c r="S198" i="3" s="1"/>
  <c r="T198" i="3" s="1"/>
  <c r="R197" i="3"/>
  <c r="P197" i="3"/>
  <c r="O197" i="3"/>
  <c r="Q197" i="3" s="1"/>
  <c r="S197" i="3" s="1"/>
  <c r="T197" i="3" s="1"/>
  <c r="R196" i="3"/>
  <c r="P196" i="3"/>
  <c r="O196" i="3"/>
  <c r="Q196" i="3" s="1"/>
  <c r="S196" i="3" s="1"/>
  <c r="T196" i="3" s="1"/>
  <c r="R195" i="3"/>
  <c r="P195" i="3"/>
  <c r="O195" i="3"/>
  <c r="Q195" i="3" s="1"/>
  <c r="S195" i="3" s="1"/>
  <c r="T195" i="3" s="1"/>
  <c r="R194" i="3"/>
  <c r="P194" i="3"/>
  <c r="O194" i="3"/>
  <c r="Q194" i="3" s="1"/>
  <c r="S194" i="3" s="1"/>
  <c r="T194" i="3" s="1"/>
  <c r="R193" i="3"/>
  <c r="P193" i="3"/>
  <c r="O193" i="3"/>
  <c r="Q193" i="3" s="1"/>
  <c r="S193" i="3" s="1"/>
  <c r="T193" i="3" s="1"/>
  <c r="R192" i="3"/>
  <c r="P192" i="3"/>
  <c r="O192" i="3"/>
  <c r="Q192" i="3" s="1"/>
  <c r="S192" i="3" s="1"/>
  <c r="T192" i="3" s="1"/>
  <c r="R191" i="3"/>
  <c r="P191" i="3"/>
  <c r="O191" i="3"/>
  <c r="Q191" i="3" s="1"/>
  <c r="S191" i="3" s="1"/>
  <c r="T191" i="3" s="1"/>
  <c r="R190" i="3"/>
  <c r="P190" i="3"/>
  <c r="O190" i="3"/>
  <c r="Q190" i="3" s="1"/>
  <c r="S190" i="3" s="1"/>
  <c r="T190" i="3" s="1"/>
  <c r="R189" i="3"/>
  <c r="P189" i="3"/>
  <c r="O189" i="3"/>
  <c r="Q189" i="3" s="1"/>
  <c r="S189" i="3" s="1"/>
  <c r="T189" i="3" s="1"/>
  <c r="R188" i="3"/>
  <c r="P188" i="3"/>
  <c r="O188" i="3"/>
  <c r="Q188" i="3" s="1"/>
  <c r="S188" i="3" s="1"/>
  <c r="T188" i="3" s="1"/>
  <c r="R187" i="3"/>
  <c r="P187" i="3"/>
  <c r="O187" i="3"/>
  <c r="Q187" i="3" s="1"/>
  <c r="S187" i="3" s="1"/>
  <c r="T187" i="3" s="1"/>
  <c r="R186" i="3"/>
  <c r="P186" i="3"/>
  <c r="O186" i="3"/>
  <c r="Q186" i="3" s="1"/>
  <c r="S186" i="3" s="1"/>
  <c r="T186" i="3" s="1"/>
  <c r="R185" i="3"/>
  <c r="P185" i="3"/>
  <c r="O185" i="3"/>
  <c r="Q185" i="3" s="1"/>
  <c r="S185" i="3" s="1"/>
  <c r="T185" i="3" s="1"/>
  <c r="R184" i="3"/>
  <c r="P184" i="3"/>
  <c r="O184" i="3"/>
  <c r="Q184" i="3" s="1"/>
  <c r="S184" i="3" s="1"/>
  <c r="T184" i="3" s="1"/>
  <c r="R183" i="3"/>
  <c r="P183" i="3"/>
  <c r="O183" i="3"/>
  <c r="Q183" i="3" s="1"/>
  <c r="S183" i="3" s="1"/>
  <c r="T183" i="3" s="1"/>
  <c r="R182" i="3"/>
  <c r="P182" i="3"/>
  <c r="O182" i="3"/>
  <c r="Q182" i="3" s="1"/>
  <c r="S182" i="3" s="1"/>
  <c r="T182" i="3" s="1"/>
  <c r="R181" i="3"/>
  <c r="P181" i="3"/>
  <c r="O181" i="3"/>
  <c r="Q181" i="3" s="1"/>
  <c r="S181" i="3" s="1"/>
  <c r="T181" i="3" s="1"/>
  <c r="R180" i="3"/>
  <c r="P180" i="3"/>
  <c r="O180" i="3"/>
  <c r="Q180" i="3" s="1"/>
  <c r="S180" i="3" s="1"/>
  <c r="T180" i="3" s="1"/>
  <c r="R179" i="3"/>
  <c r="P179" i="3"/>
  <c r="O179" i="3"/>
  <c r="Q179" i="3" s="1"/>
  <c r="S179" i="3" s="1"/>
  <c r="T179" i="3" s="1"/>
  <c r="R178" i="3"/>
  <c r="P178" i="3"/>
  <c r="O178" i="3"/>
  <c r="Q178" i="3" s="1"/>
  <c r="S178" i="3" s="1"/>
  <c r="T178" i="3" s="1"/>
  <c r="R177" i="3"/>
  <c r="P177" i="3"/>
  <c r="O177" i="3"/>
  <c r="Q177" i="3" s="1"/>
  <c r="S177" i="3" s="1"/>
  <c r="T177" i="3" s="1"/>
  <c r="R176" i="3"/>
  <c r="P176" i="3"/>
  <c r="O176" i="3"/>
  <c r="Q176" i="3" s="1"/>
  <c r="S176" i="3" s="1"/>
  <c r="T176" i="3" s="1"/>
  <c r="R175" i="3"/>
  <c r="P175" i="3"/>
  <c r="O175" i="3"/>
  <c r="Q175" i="3" s="1"/>
  <c r="S175" i="3" s="1"/>
  <c r="T175" i="3" s="1"/>
  <c r="R174" i="3"/>
  <c r="P174" i="3"/>
  <c r="O174" i="3"/>
  <c r="Q174" i="3" s="1"/>
  <c r="S174" i="3" s="1"/>
  <c r="T174" i="3" s="1"/>
  <c r="R173" i="3"/>
  <c r="P173" i="3"/>
  <c r="O173" i="3"/>
  <c r="Q173" i="3" s="1"/>
  <c r="S173" i="3" s="1"/>
  <c r="T173" i="3" s="1"/>
  <c r="R172" i="3"/>
  <c r="P172" i="3"/>
  <c r="O172" i="3"/>
  <c r="Q172" i="3" s="1"/>
  <c r="S172" i="3" s="1"/>
  <c r="T172" i="3" s="1"/>
  <c r="R171" i="3"/>
  <c r="P171" i="3"/>
  <c r="O171" i="3"/>
  <c r="Q171" i="3" s="1"/>
  <c r="S171" i="3" s="1"/>
  <c r="T171" i="3" s="1"/>
  <c r="R170" i="3"/>
  <c r="P170" i="3"/>
  <c r="O170" i="3"/>
  <c r="Q170" i="3" s="1"/>
  <c r="S170" i="3" s="1"/>
  <c r="T170" i="3" s="1"/>
  <c r="R169" i="3"/>
  <c r="P169" i="3"/>
  <c r="O169" i="3"/>
  <c r="Q169" i="3" s="1"/>
  <c r="S169" i="3" s="1"/>
  <c r="T169" i="3" s="1"/>
  <c r="R168" i="3"/>
  <c r="P168" i="3"/>
  <c r="O168" i="3"/>
  <c r="Q168" i="3" s="1"/>
  <c r="S168" i="3" s="1"/>
  <c r="T168" i="3" s="1"/>
  <c r="R167" i="3"/>
  <c r="P167" i="3"/>
  <c r="O167" i="3"/>
  <c r="Q167" i="3" s="1"/>
  <c r="S167" i="3" s="1"/>
  <c r="T167" i="3" s="1"/>
  <c r="R166" i="3"/>
  <c r="P166" i="3"/>
  <c r="O166" i="3"/>
  <c r="Q166" i="3" s="1"/>
  <c r="S166" i="3" s="1"/>
  <c r="T166" i="3" s="1"/>
  <c r="R165" i="3"/>
  <c r="P165" i="3"/>
  <c r="O165" i="3"/>
  <c r="Q165" i="3" s="1"/>
  <c r="S165" i="3" s="1"/>
  <c r="T165" i="3" s="1"/>
  <c r="R164" i="3"/>
  <c r="P164" i="3"/>
  <c r="O164" i="3"/>
  <c r="Q164" i="3" s="1"/>
  <c r="S164" i="3" s="1"/>
  <c r="T164" i="3" s="1"/>
  <c r="R163" i="3"/>
  <c r="P163" i="3"/>
  <c r="O163" i="3"/>
  <c r="Q163" i="3" s="1"/>
  <c r="S163" i="3" s="1"/>
  <c r="T163" i="3" s="1"/>
  <c r="R162" i="3"/>
  <c r="P162" i="3"/>
  <c r="O162" i="3"/>
  <c r="Q162" i="3" s="1"/>
  <c r="S162" i="3" s="1"/>
  <c r="T162" i="3" s="1"/>
  <c r="R161" i="3"/>
  <c r="P161" i="3"/>
  <c r="O161" i="3"/>
  <c r="Q161" i="3" s="1"/>
  <c r="S161" i="3" s="1"/>
  <c r="T161" i="3" s="1"/>
  <c r="R160" i="3"/>
  <c r="P160" i="3"/>
  <c r="O160" i="3"/>
  <c r="Q160" i="3" s="1"/>
  <c r="S160" i="3" s="1"/>
  <c r="T160" i="3" s="1"/>
  <c r="R159" i="3"/>
  <c r="P159" i="3"/>
  <c r="O159" i="3"/>
  <c r="Q159" i="3" s="1"/>
  <c r="S159" i="3" s="1"/>
  <c r="T159" i="3" s="1"/>
  <c r="R158" i="3"/>
  <c r="P158" i="3"/>
  <c r="O158" i="3"/>
  <c r="Q158" i="3" s="1"/>
  <c r="S158" i="3" s="1"/>
  <c r="T158" i="3" s="1"/>
  <c r="R157" i="3"/>
  <c r="P157" i="3"/>
  <c r="O157" i="3"/>
  <c r="Q157" i="3" s="1"/>
  <c r="S157" i="3" s="1"/>
  <c r="T157" i="3" s="1"/>
  <c r="R156" i="3"/>
  <c r="P156" i="3"/>
  <c r="O156" i="3"/>
  <c r="Q156" i="3" s="1"/>
  <c r="S156" i="3" s="1"/>
  <c r="T156" i="3" s="1"/>
  <c r="R155" i="3"/>
  <c r="P155" i="3"/>
  <c r="O155" i="3"/>
  <c r="Q155" i="3" s="1"/>
  <c r="S155" i="3" s="1"/>
  <c r="T155" i="3" s="1"/>
  <c r="R154" i="3"/>
  <c r="P154" i="3"/>
  <c r="O154" i="3"/>
  <c r="Q154" i="3" s="1"/>
  <c r="S154" i="3" s="1"/>
  <c r="T154" i="3" s="1"/>
  <c r="R153" i="3"/>
  <c r="P153" i="3"/>
  <c r="O153" i="3"/>
  <c r="Q153" i="3" s="1"/>
  <c r="S153" i="3" s="1"/>
  <c r="T153" i="3" s="1"/>
  <c r="R152" i="3"/>
  <c r="P152" i="3"/>
  <c r="O152" i="3"/>
  <c r="Q152" i="3" s="1"/>
  <c r="S152" i="3" s="1"/>
  <c r="T152" i="3" s="1"/>
  <c r="R151" i="3"/>
  <c r="P151" i="3"/>
  <c r="O151" i="3"/>
  <c r="Q151" i="3" s="1"/>
  <c r="S151" i="3" s="1"/>
  <c r="T151" i="3" s="1"/>
  <c r="R150" i="3"/>
  <c r="P150" i="3"/>
  <c r="O150" i="3"/>
  <c r="Q150" i="3" s="1"/>
  <c r="S150" i="3" s="1"/>
  <c r="T150" i="3" s="1"/>
  <c r="R149" i="3"/>
  <c r="P149" i="3"/>
  <c r="O149" i="3"/>
  <c r="Q149" i="3" s="1"/>
  <c r="S149" i="3" s="1"/>
  <c r="T149" i="3" s="1"/>
  <c r="R148" i="3"/>
  <c r="P148" i="3"/>
  <c r="O148" i="3"/>
  <c r="Q148" i="3" s="1"/>
  <c r="S148" i="3" s="1"/>
  <c r="T148" i="3" s="1"/>
  <c r="R147" i="3"/>
  <c r="P147" i="3"/>
  <c r="O147" i="3"/>
  <c r="Q147" i="3" s="1"/>
  <c r="S147" i="3" s="1"/>
  <c r="T147" i="3" s="1"/>
  <c r="R146" i="3"/>
  <c r="P146" i="3"/>
  <c r="O146" i="3"/>
  <c r="Q146" i="3" s="1"/>
  <c r="S146" i="3" s="1"/>
  <c r="T146" i="3" s="1"/>
  <c r="R145" i="3"/>
  <c r="P145" i="3"/>
  <c r="O145" i="3"/>
  <c r="Q145" i="3" s="1"/>
  <c r="S145" i="3" s="1"/>
  <c r="T145" i="3" s="1"/>
  <c r="R144" i="3"/>
  <c r="P144" i="3"/>
  <c r="O144" i="3"/>
  <c r="Q144" i="3" s="1"/>
  <c r="S144" i="3" s="1"/>
  <c r="T144" i="3" s="1"/>
  <c r="R143" i="3"/>
  <c r="P143" i="3"/>
  <c r="O143" i="3"/>
  <c r="Q143" i="3" s="1"/>
  <c r="S143" i="3" s="1"/>
  <c r="T143" i="3" s="1"/>
  <c r="R142" i="3"/>
  <c r="P142" i="3"/>
  <c r="O142" i="3"/>
  <c r="Q142" i="3" s="1"/>
  <c r="S142" i="3" s="1"/>
  <c r="T142" i="3" s="1"/>
  <c r="R141" i="3"/>
  <c r="P141" i="3"/>
  <c r="O141" i="3"/>
  <c r="Q141" i="3" s="1"/>
  <c r="S141" i="3" s="1"/>
  <c r="T141" i="3" s="1"/>
  <c r="R140" i="3"/>
  <c r="P140" i="3"/>
  <c r="O140" i="3"/>
  <c r="Q140" i="3" s="1"/>
  <c r="S140" i="3" s="1"/>
  <c r="T140" i="3" s="1"/>
  <c r="R139" i="3"/>
  <c r="P139" i="3"/>
  <c r="O139" i="3"/>
  <c r="Q139" i="3" s="1"/>
  <c r="S139" i="3" s="1"/>
  <c r="T139" i="3" s="1"/>
  <c r="R138" i="3"/>
  <c r="P138" i="3"/>
  <c r="O138" i="3"/>
  <c r="Q138" i="3" s="1"/>
  <c r="S138" i="3" s="1"/>
  <c r="T138" i="3" s="1"/>
  <c r="R137" i="3"/>
  <c r="P137" i="3"/>
  <c r="O137" i="3"/>
  <c r="Q137" i="3" s="1"/>
  <c r="S137" i="3" s="1"/>
  <c r="T137" i="3" s="1"/>
  <c r="R136" i="3"/>
  <c r="P136" i="3"/>
  <c r="O136" i="3"/>
  <c r="Q136" i="3" s="1"/>
  <c r="S136" i="3" s="1"/>
  <c r="T136" i="3" s="1"/>
  <c r="R135" i="3"/>
  <c r="P135" i="3"/>
  <c r="O135" i="3"/>
  <c r="Q135" i="3" s="1"/>
  <c r="S135" i="3" s="1"/>
  <c r="T135" i="3" s="1"/>
  <c r="R134" i="3"/>
  <c r="P134" i="3"/>
  <c r="O134" i="3"/>
  <c r="Q134" i="3" s="1"/>
  <c r="S134" i="3" s="1"/>
  <c r="T134" i="3" s="1"/>
  <c r="R133" i="3"/>
  <c r="P133" i="3"/>
  <c r="O133" i="3"/>
  <c r="Q133" i="3" s="1"/>
  <c r="S133" i="3" s="1"/>
  <c r="T133" i="3" s="1"/>
  <c r="R132" i="3"/>
  <c r="P132" i="3"/>
  <c r="O132" i="3"/>
  <c r="Q132" i="3" s="1"/>
  <c r="S132" i="3" s="1"/>
  <c r="T132" i="3" s="1"/>
  <c r="R131" i="3"/>
  <c r="P131" i="3"/>
  <c r="O131" i="3"/>
  <c r="Q131" i="3" s="1"/>
  <c r="S131" i="3" s="1"/>
  <c r="T131" i="3" s="1"/>
  <c r="R130" i="3"/>
  <c r="P130" i="3"/>
  <c r="O130" i="3"/>
  <c r="Q130" i="3" s="1"/>
  <c r="S130" i="3" s="1"/>
  <c r="T130" i="3" s="1"/>
  <c r="R129" i="3"/>
  <c r="P129" i="3"/>
  <c r="O129" i="3"/>
  <c r="Q129" i="3" s="1"/>
  <c r="S129" i="3" s="1"/>
  <c r="T129" i="3" s="1"/>
  <c r="R128" i="3"/>
  <c r="P128" i="3"/>
  <c r="O128" i="3"/>
  <c r="Q128" i="3" s="1"/>
  <c r="S128" i="3" s="1"/>
  <c r="T128" i="3" s="1"/>
  <c r="R127" i="3"/>
  <c r="P127" i="3"/>
  <c r="O127" i="3"/>
  <c r="Q127" i="3" s="1"/>
  <c r="S127" i="3" s="1"/>
  <c r="T127" i="3" s="1"/>
  <c r="R126" i="3"/>
  <c r="P126" i="3"/>
  <c r="O126" i="3"/>
  <c r="Q126" i="3" s="1"/>
  <c r="S126" i="3" s="1"/>
  <c r="T126" i="3" s="1"/>
  <c r="R125" i="3"/>
  <c r="P125" i="3"/>
  <c r="O125" i="3"/>
  <c r="Q125" i="3" s="1"/>
  <c r="S125" i="3" s="1"/>
  <c r="T125" i="3" s="1"/>
  <c r="R124" i="3"/>
  <c r="P124" i="3"/>
  <c r="O124" i="3"/>
  <c r="Q124" i="3" s="1"/>
  <c r="S124" i="3" s="1"/>
  <c r="T124" i="3" s="1"/>
  <c r="R123" i="3"/>
  <c r="P123" i="3"/>
  <c r="O123" i="3"/>
  <c r="Q123" i="3" s="1"/>
  <c r="S123" i="3" s="1"/>
  <c r="T123" i="3" s="1"/>
  <c r="R122" i="3"/>
  <c r="P122" i="3"/>
  <c r="O122" i="3"/>
  <c r="Q122" i="3" s="1"/>
  <c r="S122" i="3" s="1"/>
  <c r="T122" i="3" s="1"/>
  <c r="R121" i="3"/>
  <c r="P121" i="3"/>
  <c r="O121" i="3"/>
  <c r="Q121" i="3" s="1"/>
  <c r="S121" i="3" s="1"/>
  <c r="T121" i="3" s="1"/>
  <c r="R120" i="3"/>
  <c r="P120" i="3"/>
  <c r="O120" i="3"/>
  <c r="Q120" i="3" s="1"/>
  <c r="S120" i="3" s="1"/>
  <c r="T120" i="3" s="1"/>
  <c r="R119" i="3"/>
  <c r="P119" i="3"/>
  <c r="O119" i="3"/>
  <c r="Q119" i="3" s="1"/>
  <c r="S119" i="3" s="1"/>
  <c r="T119" i="3" s="1"/>
  <c r="R118" i="3"/>
  <c r="P118" i="3"/>
  <c r="O118" i="3"/>
  <c r="Q118" i="3" s="1"/>
  <c r="S118" i="3" s="1"/>
  <c r="T118" i="3" s="1"/>
  <c r="R117" i="3"/>
  <c r="P117" i="3"/>
  <c r="O117" i="3"/>
  <c r="Q117" i="3" s="1"/>
  <c r="S117" i="3" s="1"/>
  <c r="T117" i="3" s="1"/>
  <c r="R116" i="3"/>
  <c r="P116" i="3"/>
  <c r="O116" i="3"/>
  <c r="Q116" i="3" s="1"/>
  <c r="S116" i="3" s="1"/>
  <c r="T116" i="3" s="1"/>
  <c r="R115" i="3"/>
  <c r="P115" i="3"/>
  <c r="O115" i="3"/>
  <c r="Q115" i="3" s="1"/>
  <c r="S115" i="3" s="1"/>
  <c r="T115" i="3" s="1"/>
  <c r="R114" i="3"/>
  <c r="P114" i="3"/>
  <c r="O114" i="3"/>
  <c r="Q114" i="3" s="1"/>
  <c r="S114" i="3" s="1"/>
  <c r="T114" i="3" s="1"/>
  <c r="R113" i="3"/>
  <c r="P113" i="3"/>
  <c r="O113" i="3"/>
  <c r="Q113" i="3" s="1"/>
  <c r="S113" i="3" s="1"/>
  <c r="T113" i="3" s="1"/>
  <c r="R112" i="3"/>
  <c r="P112" i="3"/>
  <c r="O112" i="3"/>
  <c r="Q112" i="3" s="1"/>
  <c r="S112" i="3" s="1"/>
  <c r="T112" i="3" s="1"/>
  <c r="R111" i="3"/>
  <c r="P111" i="3"/>
  <c r="O111" i="3"/>
  <c r="Q111" i="3" s="1"/>
  <c r="S111" i="3" s="1"/>
  <c r="T111" i="3" s="1"/>
  <c r="R110" i="3"/>
  <c r="P110" i="3"/>
  <c r="O110" i="3"/>
  <c r="Q110" i="3" s="1"/>
  <c r="S110" i="3" s="1"/>
  <c r="T110" i="3" s="1"/>
  <c r="R109" i="3"/>
  <c r="P109" i="3"/>
  <c r="O109" i="3"/>
  <c r="Q109" i="3" s="1"/>
  <c r="S109" i="3" s="1"/>
  <c r="T109" i="3" s="1"/>
  <c r="R108" i="3"/>
  <c r="P108" i="3"/>
  <c r="O108" i="3"/>
  <c r="Q108" i="3" s="1"/>
  <c r="S108" i="3" s="1"/>
  <c r="T108" i="3" s="1"/>
  <c r="R107" i="3"/>
  <c r="P107" i="3"/>
  <c r="O107" i="3"/>
  <c r="Q107" i="3" s="1"/>
  <c r="S107" i="3" s="1"/>
  <c r="T107" i="3" s="1"/>
  <c r="R106" i="3"/>
  <c r="P106" i="3"/>
  <c r="O106" i="3"/>
  <c r="Q106" i="3" s="1"/>
  <c r="S106" i="3" s="1"/>
  <c r="T106" i="3" s="1"/>
  <c r="R105" i="3"/>
  <c r="P105" i="3"/>
  <c r="O105" i="3"/>
  <c r="Q105" i="3" s="1"/>
  <c r="S105" i="3" s="1"/>
  <c r="T105" i="3" s="1"/>
  <c r="R104" i="3"/>
  <c r="P104" i="3"/>
  <c r="O104" i="3"/>
  <c r="Q104" i="3" s="1"/>
  <c r="S104" i="3" s="1"/>
  <c r="T104" i="3" s="1"/>
  <c r="R103" i="3"/>
  <c r="P103" i="3"/>
  <c r="O103" i="3"/>
  <c r="Q103" i="3" s="1"/>
  <c r="S103" i="3" s="1"/>
  <c r="T103" i="3" s="1"/>
  <c r="R102" i="3"/>
  <c r="P102" i="3"/>
  <c r="O102" i="3"/>
  <c r="Q102" i="3" s="1"/>
  <c r="S102" i="3" s="1"/>
  <c r="T102" i="3" s="1"/>
  <c r="R101" i="3"/>
  <c r="P101" i="3"/>
  <c r="O101" i="3"/>
  <c r="Q101" i="3" s="1"/>
  <c r="S101" i="3" s="1"/>
  <c r="T101" i="3" s="1"/>
  <c r="R100" i="3"/>
  <c r="P100" i="3"/>
  <c r="O100" i="3"/>
  <c r="Q100" i="3" s="1"/>
  <c r="S100" i="3" s="1"/>
  <c r="T100" i="3" s="1"/>
  <c r="R99" i="3"/>
  <c r="P99" i="3"/>
  <c r="O99" i="3"/>
  <c r="Q99" i="3" s="1"/>
  <c r="S99" i="3" s="1"/>
  <c r="T99" i="3" s="1"/>
  <c r="R98" i="3"/>
  <c r="P98" i="3"/>
  <c r="O98" i="3"/>
  <c r="Q98" i="3" s="1"/>
  <c r="S98" i="3" s="1"/>
  <c r="T98" i="3" s="1"/>
  <c r="R97" i="3"/>
  <c r="P97" i="3"/>
  <c r="O97" i="3"/>
  <c r="Q97" i="3" s="1"/>
  <c r="S97" i="3" s="1"/>
  <c r="T97" i="3" s="1"/>
  <c r="R96" i="3"/>
  <c r="P96" i="3"/>
  <c r="O96" i="3"/>
  <c r="Q96" i="3" s="1"/>
  <c r="S96" i="3" s="1"/>
  <c r="T96" i="3" s="1"/>
  <c r="R95" i="3"/>
  <c r="P95" i="3"/>
  <c r="O95" i="3"/>
  <c r="Q95" i="3" s="1"/>
  <c r="S95" i="3" s="1"/>
  <c r="T95" i="3" s="1"/>
  <c r="R94" i="3"/>
  <c r="P94" i="3"/>
  <c r="O94" i="3"/>
  <c r="Q94" i="3" s="1"/>
  <c r="S94" i="3" s="1"/>
  <c r="T94" i="3" s="1"/>
  <c r="R93" i="3"/>
  <c r="P93" i="3"/>
  <c r="O93" i="3"/>
  <c r="Q93" i="3" s="1"/>
  <c r="S93" i="3" s="1"/>
  <c r="T93" i="3" s="1"/>
  <c r="R92" i="3"/>
  <c r="P92" i="3"/>
  <c r="O92" i="3"/>
  <c r="Q92" i="3" s="1"/>
  <c r="S92" i="3" s="1"/>
  <c r="T92" i="3" s="1"/>
  <c r="R91" i="3"/>
  <c r="P91" i="3"/>
  <c r="O91" i="3"/>
  <c r="Q91" i="3" s="1"/>
  <c r="S91" i="3" s="1"/>
  <c r="T91" i="3" s="1"/>
  <c r="R90" i="3"/>
  <c r="P90" i="3"/>
  <c r="O90" i="3"/>
  <c r="Q90" i="3" s="1"/>
  <c r="S90" i="3" s="1"/>
  <c r="T90" i="3" s="1"/>
  <c r="R89" i="3"/>
  <c r="P89" i="3"/>
  <c r="O89" i="3"/>
  <c r="Q89" i="3" s="1"/>
  <c r="S89" i="3" s="1"/>
  <c r="T89" i="3" s="1"/>
  <c r="R88" i="3"/>
  <c r="P88" i="3"/>
  <c r="O88" i="3"/>
  <c r="Q88" i="3" s="1"/>
  <c r="S88" i="3" s="1"/>
  <c r="T88" i="3" s="1"/>
  <c r="R87" i="3"/>
  <c r="P87" i="3"/>
  <c r="O87" i="3"/>
  <c r="Q87" i="3" s="1"/>
  <c r="S87" i="3" s="1"/>
  <c r="T87" i="3" s="1"/>
  <c r="R86" i="3"/>
  <c r="P86" i="3"/>
  <c r="O86" i="3"/>
  <c r="Q86" i="3" s="1"/>
  <c r="S86" i="3" s="1"/>
  <c r="T86" i="3" s="1"/>
  <c r="R85" i="3"/>
  <c r="P85" i="3"/>
  <c r="O85" i="3"/>
  <c r="Q85" i="3" s="1"/>
  <c r="S85" i="3" s="1"/>
  <c r="T85" i="3" s="1"/>
  <c r="R84" i="3"/>
  <c r="P84" i="3"/>
  <c r="O84" i="3"/>
  <c r="Q84" i="3" s="1"/>
  <c r="S84" i="3" s="1"/>
  <c r="T84" i="3" s="1"/>
  <c r="R83" i="3"/>
  <c r="P83" i="3"/>
  <c r="O83" i="3"/>
  <c r="Q83" i="3" s="1"/>
  <c r="S83" i="3" s="1"/>
  <c r="T83" i="3" s="1"/>
  <c r="R82" i="3"/>
  <c r="P82" i="3"/>
  <c r="O82" i="3"/>
  <c r="Q82" i="3" s="1"/>
  <c r="S82" i="3" s="1"/>
  <c r="T82" i="3" s="1"/>
  <c r="R81" i="3"/>
  <c r="P81" i="3"/>
  <c r="O81" i="3"/>
  <c r="Q81" i="3" s="1"/>
  <c r="S81" i="3" s="1"/>
  <c r="T81" i="3" s="1"/>
  <c r="R80" i="3"/>
  <c r="P80" i="3"/>
  <c r="O80" i="3"/>
  <c r="Q80" i="3" s="1"/>
  <c r="S80" i="3" s="1"/>
  <c r="T80" i="3" s="1"/>
  <c r="R79" i="3"/>
  <c r="P79" i="3"/>
  <c r="O79" i="3"/>
  <c r="Q79" i="3" s="1"/>
  <c r="S79" i="3" s="1"/>
  <c r="T79" i="3" s="1"/>
  <c r="R78" i="3"/>
  <c r="P78" i="3"/>
  <c r="O78" i="3"/>
  <c r="Q78" i="3" s="1"/>
  <c r="S78" i="3" s="1"/>
  <c r="T78" i="3" s="1"/>
  <c r="R77" i="3"/>
  <c r="P77" i="3"/>
  <c r="O77" i="3"/>
  <c r="Q77" i="3" s="1"/>
  <c r="S77" i="3" s="1"/>
  <c r="T77" i="3" s="1"/>
  <c r="R76" i="3"/>
  <c r="P76" i="3"/>
  <c r="O76" i="3"/>
  <c r="Q76" i="3" s="1"/>
  <c r="S76" i="3" s="1"/>
  <c r="T76" i="3" s="1"/>
  <c r="R75" i="3"/>
  <c r="P75" i="3"/>
  <c r="O75" i="3"/>
  <c r="Q75" i="3" s="1"/>
  <c r="S75" i="3" s="1"/>
  <c r="T75" i="3" s="1"/>
  <c r="R74" i="3"/>
  <c r="P74" i="3"/>
  <c r="O74" i="3"/>
  <c r="Q74" i="3" s="1"/>
  <c r="S74" i="3" s="1"/>
  <c r="T74" i="3" s="1"/>
  <c r="R73" i="3"/>
  <c r="P73" i="3"/>
  <c r="O73" i="3"/>
  <c r="Q73" i="3" s="1"/>
  <c r="S73" i="3" s="1"/>
  <c r="T73" i="3" s="1"/>
  <c r="R72" i="3"/>
  <c r="P72" i="3"/>
  <c r="O72" i="3"/>
  <c r="Q72" i="3" s="1"/>
  <c r="S72" i="3" s="1"/>
  <c r="T72" i="3" s="1"/>
  <c r="R71" i="3"/>
  <c r="P71" i="3"/>
  <c r="O71" i="3"/>
  <c r="Q71" i="3" s="1"/>
  <c r="S71" i="3" s="1"/>
  <c r="T71" i="3" s="1"/>
  <c r="R70" i="3"/>
  <c r="P70" i="3"/>
  <c r="O70" i="3"/>
  <c r="Q70" i="3" s="1"/>
  <c r="S70" i="3" s="1"/>
  <c r="T70" i="3" s="1"/>
  <c r="R69" i="3"/>
  <c r="P69" i="3"/>
  <c r="O69" i="3"/>
  <c r="Q69" i="3" s="1"/>
  <c r="S69" i="3" s="1"/>
  <c r="T69" i="3" s="1"/>
  <c r="R68" i="3"/>
  <c r="P68" i="3"/>
  <c r="O68" i="3"/>
  <c r="Q68" i="3" s="1"/>
  <c r="S68" i="3" s="1"/>
  <c r="T68" i="3" s="1"/>
  <c r="R67" i="3"/>
  <c r="P67" i="3"/>
  <c r="O67" i="3"/>
  <c r="Q67" i="3" s="1"/>
  <c r="S67" i="3" s="1"/>
  <c r="T67" i="3" s="1"/>
  <c r="R66" i="3"/>
  <c r="P66" i="3"/>
  <c r="O66" i="3"/>
  <c r="Q66" i="3" s="1"/>
  <c r="S66" i="3" s="1"/>
  <c r="T66" i="3" s="1"/>
  <c r="R65" i="3"/>
  <c r="P65" i="3"/>
  <c r="O65" i="3"/>
  <c r="Q65" i="3" s="1"/>
  <c r="S65" i="3" s="1"/>
  <c r="T65" i="3" s="1"/>
  <c r="R64" i="3"/>
  <c r="P64" i="3"/>
  <c r="O64" i="3"/>
  <c r="Q64" i="3" s="1"/>
  <c r="S64" i="3" s="1"/>
  <c r="T64" i="3" s="1"/>
  <c r="R63" i="3"/>
  <c r="P63" i="3"/>
  <c r="O63" i="3"/>
  <c r="Q63" i="3" s="1"/>
  <c r="S63" i="3" s="1"/>
  <c r="T63" i="3" s="1"/>
  <c r="R62" i="3"/>
  <c r="P62" i="3"/>
  <c r="O62" i="3"/>
  <c r="Q62" i="3" s="1"/>
  <c r="S62" i="3" s="1"/>
  <c r="T62" i="3" s="1"/>
  <c r="R61" i="3"/>
  <c r="P61" i="3"/>
  <c r="O61" i="3"/>
  <c r="Q61" i="3" s="1"/>
  <c r="S61" i="3" s="1"/>
  <c r="T61" i="3" s="1"/>
  <c r="R60" i="3"/>
  <c r="P60" i="3"/>
  <c r="O60" i="3"/>
  <c r="Q60" i="3" s="1"/>
  <c r="S60" i="3" s="1"/>
  <c r="T60" i="3" s="1"/>
  <c r="R59" i="3"/>
  <c r="P59" i="3"/>
  <c r="O59" i="3"/>
  <c r="Q59" i="3" s="1"/>
  <c r="S59" i="3" s="1"/>
  <c r="T59" i="3" s="1"/>
  <c r="R58" i="3"/>
  <c r="P58" i="3"/>
  <c r="O58" i="3"/>
  <c r="Q58" i="3" s="1"/>
  <c r="S58" i="3" s="1"/>
  <c r="T58" i="3" s="1"/>
  <c r="R57" i="3"/>
  <c r="P57" i="3"/>
  <c r="O57" i="3"/>
  <c r="Q57" i="3" s="1"/>
  <c r="S57" i="3" s="1"/>
  <c r="T57" i="3" s="1"/>
  <c r="R56" i="3"/>
  <c r="P56" i="3"/>
  <c r="O56" i="3"/>
  <c r="Q56" i="3" s="1"/>
  <c r="S56" i="3" s="1"/>
  <c r="T56" i="3" s="1"/>
  <c r="R55" i="3"/>
  <c r="P55" i="3"/>
  <c r="O55" i="3"/>
  <c r="Q55" i="3" s="1"/>
  <c r="S55" i="3" s="1"/>
  <c r="T55" i="3" s="1"/>
  <c r="R54" i="3"/>
  <c r="P54" i="3"/>
  <c r="O54" i="3"/>
  <c r="Q54" i="3" s="1"/>
  <c r="S54" i="3" s="1"/>
  <c r="T54" i="3" s="1"/>
  <c r="R53" i="3"/>
  <c r="P53" i="3"/>
  <c r="O53" i="3"/>
  <c r="Q53" i="3" s="1"/>
  <c r="S53" i="3" s="1"/>
  <c r="T53" i="3" s="1"/>
  <c r="R52" i="3"/>
  <c r="P52" i="3"/>
  <c r="O52" i="3"/>
  <c r="Q52" i="3" s="1"/>
  <c r="S52" i="3" s="1"/>
  <c r="T52" i="3" s="1"/>
  <c r="R51" i="3"/>
  <c r="P51" i="3"/>
  <c r="O51" i="3"/>
  <c r="Q51" i="3" s="1"/>
  <c r="S51" i="3" s="1"/>
  <c r="T51" i="3" s="1"/>
  <c r="R50" i="3"/>
  <c r="P50" i="3"/>
  <c r="O50" i="3"/>
  <c r="Q50" i="3" s="1"/>
  <c r="S50" i="3" s="1"/>
  <c r="T50" i="3" s="1"/>
  <c r="R49" i="3"/>
  <c r="P49" i="3"/>
  <c r="O49" i="3"/>
  <c r="Q49" i="3" s="1"/>
  <c r="S49" i="3" s="1"/>
  <c r="T49" i="3" s="1"/>
  <c r="R48" i="3"/>
  <c r="P48" i="3"/>
  <c r="O48" i="3"/>
  <c r="Q48" i="3" s="1"/>
  <c r="S48" i="3" s="1"/>
  <c r="T48" i="3" s="1"/>
  <c r="R47" i="3"/>
  <c r="P47" i="3"/>
  <c r="O47" i="3"/>
  <c r="Q47" i="3" s="1"/>
  <c r="S47" i="3" s="1"/>
  <c r="T47" i="3" s="1"/>
  <c r="R46" i="3"/>
  <c r="P46" i="3"/>
  <c r="O46" i="3"/>
  <c r="Q46" i="3" s="1"/>
  <c r="S46" i="3" s="1"/>
  <c r="T46" i="3" s="1"/>
  <c r="R45" i="3"/>
  <c r="P45" i="3"/>
  <c r="O45" i="3"/>
  <c r="Q45" i="3" s="1"/>
  <c r="S45" i="3" s="1"/>
  <c r="T45" i="3" s="1"/>
  <c r="R44" i="3"/>
  <c r="P44" i="3"/>
  <c r="O44" i="3"/>
  <c r="Q44" i="3" s="1"/>
  <c r="S44" i="3" s="1"/>
  <c r="T44" i="3" s="1"/>
  <c r="R43" i="3"/>
  <c r="P43" i="3"/>
  <c r="O43" i="3"/>
  <c r="Q43" i="3" s="1"/>
  <c r="S43" i="3" s="1"/>
  <c r="T43" i="3" s="1"/>
  <c r="R42" i="3"/>
  <c r="P42" i="3"/>
  <c r="O42" i="3"/>
  <c r="Q42" i="3" s="1"/>
  <c r="S42" i="3" s="1"/>
  <c r="T42" i="3" s="1"/>
  <c r="R41" i="3"/>
  <c r="P41" i="3"/>
  <c r="O41" i="3"/>
  <c r="Q41" i="3" s="1"/>
  <c r="S41" i="3" s="1"/>
  <c r="T41" i="3" s="1"/>
  <c r="R40" i="3"/>
  <c r="P40" i="3"/>
  <c r="O40" i="3"/>
  <c r="Q40" i="3" s="1"/>
  <c r="S40" i="3" s="1"/>
  <c r="T40" i="3" s="1"/>
  <c r="R39" i="3"/>
  <c r="P39" i="3"/>
  <c r="O39" i="3"/>
  <c r="Q39" i="3" s="1"/>
  <c r="S39" i="3" s="1"/>
  <c r="T39" i="3" s="1"/>
  <c r="R38" i="3"/>
  <c r="P38" i="3"/>
  <c r="O38" i="3"/>
  <c r="Q38" i="3" s="1"/>
  <c r="S38" i="3" s="1"/>
  <c r="T38" i="3" s="1"/>
  <c r="R37" i="3"/>
  <c r="P37" i="3"/>
  <c r="O37" i="3"/>
  <c r="Q37" i="3" s="1"/>
  <c r="S37" i="3" s="1"/>
  <c r="T37" i="3" s="1"/>
  <c r="R36" i="3"/>
  <c r="P36" i="3"/>
  <c r="O36" i="3"/>
  <c r="Q36" i="3" s="1"/>
  <c r="S36" i="3" s="1"/>
  <c r="T36" i="3" s="1"/>
  <c r="R35" i="3"/>
  <c r="P35" i="3"/>
  <c r="O35" i="3"/>
  <c r="Q35" i="3" s="1"/>
  <c r="S35" i="3" s="1"/>
  <c r="T35" i="3" s="1"/>
  <c r="R34" i="3"/>
  <c r="P34" i="3"/>
  <c r="O34" i="3"/>
  <c r="Q34" i="3" s="1"/>
  <c r="S34" i="3" s="1"/>
  <c r="T34" i="3" s="1"/>
  <c r="R33" i="3"/>
  <c r="P33" i="3"/>
  <c r="O33" i="3"/>
  <c r="Q33" i="3" s="1"/>
  <c r="S33" i="3" s="1"/>
  <c r="T33" i="3" s="1"/>
  <c r="R32" i="3"/>
  <c r="P32" i="3"/>
  <c r="O32" i="3"/>
  <c r="Q32" i="3" s="1"/>
  <c r="S32" i="3" s="1"/>
  <c r="T32" i="3" s="1"/>
  <c r="R31" i="3"/>
  <c r="P31" i="3"/>
  <c r="O31" i="3"/>
  <c r="Q31" i="3" s="1"/>
  <c r="S31" i="3" s="1"/>
  <c r="T31" i="3" s="1"/>
  <c r="R30" i="3"/>
  <c r="P30" i="3"/>
  <c r="O30" i="3"/>
  <c r="Q30" i="3" s="1"/>
  <c r="S30" i="3" s="1"/>
  <c r="T30" i="3" s="1"/>
  <c r="R29" i="3"/>
  <c r="P29" i="3"/>
  <c r="O29" i="3"/>
  <c r="Q29" i="3" s="1"/>
  <c r="S29" i="3" s="1"/>
  <c r="T29" i="3" s="1"/>
  <c r="R28" i="3"/>
  <c r="P28" i="3"/>
  <c r="O28" i="3"/>
  <c r="Q28" i="3" s="1"/>
  <c r="S28" i="3" s="1"/>
  <c r="T28" i="3" s="1"/>
  <c r="R27" i="3"/>
  <c r="P27" i="3"/>
  <c r="O27" i="3"/>
  <c r="Q27" i="3" s="1"/>
  <c r="S27" i="3" s="1"/>
  <c r="T27" i="3" s="1"/>
  <c r="R26" i="3"/>
  <c r="P26" i="3"/>
  <c r="O26" i="3"/>
  <c r="Q26" i="3" s="1"/>
  <c r="S26" i="3" s="1"/>
  <c r="T26" i="3" s="1"/>
  <c r="R25" i="3"/>
  <c r="P25" i="3"/>
  <c r="O25" i="3"/>
  <c r="Q25" i="3" s="1"/>
  <c r="S25" i="3" s="1"/>
  <c r="T25" i="3" s="1"/>
  <c r="R24" i="3"/>
  <c r="P24" i="3"/>
  <c r="O24" i="3"/>
  <c r="Q24" i="3" s="1"/>
  <c r="S24" i="3" s="1"/>
  <c r="T24" i="3" s="1"/>
  <c r="R23" i="3"/>
  <c r="P23" i="3"/>
  <c r="O23" i="3"/>
  <c r="Q23" i="3" s="1"/>
  <c r="S23" i="3" s="1"/>
  <c r="T23" i="3" s="1"/>
  <c r="R22" i="3"/>
  <c r="P22" i="3"/>
  <c r="O22" i="3"/>
  <c r="Q22" i="3" s="1"/>
  <c r="S22" i="3" s="1"/>
  <c r="T22" i="3" s="1"/>
  <c r="R21" i="3"/>
  <c r="P21" i="3"/>
  <c r="O21" i="3"/>
  <c r="Q21" i="3" s="1"/>
  <c r="S21" i="3" s="1"/>
  <c r="T21" i="3" s="1"/>
  <c r="R20" i="3"/>
  <c r="P20" i="3"/>
  <c r="O20" i="3"/>
  <c r="Q20" i="3" s="1"/>
  <c r="S20" i="3" s="1"/>
  <c r="T20" i="3" s="1"/>
  <c r="R19" i="3"/>
  <c r="P19" i="3"/>
  <c r="O19" i="3"/>
  <c r="Q19" i="3" s="1"/>
  <c r="S19" i="3" s="1"/>
  <c r="T19" i="3" s="1"/>
  <c r="R18" i="3"/>
  <c r="P18" i="3"/>
  <c r="O18" i="3"/>
  <c r="Q18" i="3" s="1"/>
  <c r="S18" i="3" s="1"/>
  <c r="T18" i="3" s="1"/>
  <c r="R17" i="3"/>
  <c r="P17" i="3"/>
  <c r="O17" i="3"/>
  <c r="Q17" i="3" s="1"/>
  <c r="S17" i="3" s="1"/>
  <c r="T17" i="3" s="1"/>
  <c r="R16" i="3"/>
  <c r="P16" i="3"/>
  <c r="O16" i="3"/>
  <c r="Q16" i="3" s="1"/>
  <c r="S16" i="3" s="1"/>
  <c r="T16" i="3" s="1"/>
  <c r="R15" i="3"/>
  <c r="P15" i="3"/>
  <c r="O15" i="3"/>
  <c r="Q15" i="3" s="1"/>
  <c r="S15" i="3" s="1"/>
  <c r="T15" i="3" s="1"/>
  <c r="R14" i="3"/>
  <c r="P14" i="3"/>
  <c r="O14" i="3"/>
  <c r="Q14" i="3" s="1"/>
  <c r="S14" i="3" s="1"/>
  <c r="T14" i="3" s="1"/>
  <c r="R13" i="3"/>
  <c r="P13" i="3"/>
  <c r="O13" i="3"/>
  <c r="Q13" i="3" s="1"/>
  <c r="S13" i="3" s="1"/>
  <c r="T13" i="3" s="1"/>
  <c r="R12" i="3"/>
  <c r="P12" i="3"/>
  <c r="O12" i="3"/>
  <c r="Q12" i="3" s="1"/>
  <c r="S12" i="3" s="1"/>
  <c r="T12" i="3" s="1"/>
  <c r="R11" i="3"/>
  <c r="P11" i="3"/>
  <c r="O11" i="3"/>
  <c r="Q11" i="3" s="1"/>
  <c r="S11" i="3" s="1"/>
  <c r="T11" i="3" s="1"/>
  <c r="R10" i="3"/>
  <c r="P10" i="3"/>
  <c r="O10" i="3"/>
  <c r="Q10" i="3" s="1"/>
  <c r="S10" i="3" s="1"/>
  <c r="T10" i="3" s="1"/>
  <c r="R9" i="3"/>
  <c r="P9" i="3"/>
  <c r="O9" i="3"/>
  <c r="Q9" i="3" s="1"/>
  <c r="S9" i="3" s="1"/>
  <c r="T9" i="3" s="1"/>
  <c r="R8" i="3"/>
  <c r="P8" i="3"/>
  <c r="O8" i="3"/>
  <c r="Q8" i="3" s="1"/>
  <c r="S8" i="3" s="1"/>
  <c r="T8" i="3" s="1"/>
  <c r="R7" i="3"/>
  <c r="P7" i="3"/>
  <c r="O7" i="3"/>
  <c r="Q7" i="3" s="1"/>
  <c r="S7" i="3" s="1"/>
  <c r="T7" i="3" s="1"/>
  <c r="R6" i="3"/>
  <c r="P6" i="3"/>
  <c r="O6" i="3"/>
  <c r="Q6" i="3" s="1"/>
  <c r="S6" i="3" s="1"/>
  <c r="T6" i="3" s="1"/>
  <c r="R5" i="3"/>
  <c r="P5" i="3"/>
  <c r="O5" i="3"/>
  <c r="Q5" i="3" s="1"/>
  <c r="S5" i="3" s="1"/>
  <c r="T5" i="3" s="1"/>
  <c r="R4" i="3"/>
  <c r="P4" i="3"/>
  <c r="O4" i="3"/>
  <c r="Q4" i="3" s="1"/>
  <c r="S4" i="3" s="1"/>
  <c r="T4" i="3" s="1"/>
  <c r="R3" i="3"/>
  <c r="P3" i="3"/>
  <c r="O3" i="3"/>
  <c r="Q3" i="3" s="1"/>
  <c r="S3" i="3" s="1"/>
  <c r="T3" i="3" s="1"/>
  <c r="R2" i="3"/>
  <c r="P2" i="3"/>
  <c r="O2" i="3"/>
  <c r="Q2" i="3" s="1"/>
  <c r="S2" i="3" s="1"/>
  <c r="T2" i="3" s="1"/>
  <c r="B6" i="2"/>
  <c r="B5" i="2"/>
  <c r="B4" i="2"/>
  <c r="B3" i="2"/>
  <c r="B7" i="2" l="1"/>
  <c r="B3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 l="1"/>
</calcChain>
</file>

<file path=xl/sharedStrings.xml><?xml version="1.0" encoding="utf-8"?>
<sst xmlns="http://schemas.openxmlformats.org/spreadsheetml/2006/main" count="45123" uniqueCount="9316">
  <si>
    <t>Risk Quantification Inputs</t>
  </si>
  <si>
    <t>Total Contract Value (EUR)</t>
  </si>
  <si>
    <t>Editable project input</t>
  </si>
  <si>
    <t>Low probability factor</t>
  </si>
  <si>
    <t>Screening assumption</t>
  </si>
  <si>
    <t>Medium probability factor</t>
  </si>
  <si>
    <t>High probability factor</t>
  </si>
  <si>
    <t>Default mitigation effectiveness</t>
  </si>
  <si>
    <t>Editable expected reduction in EMV</t>
  </si>
  <si>
    <t>Portfolio Risk Exposure Summary</t>
  </si>
  <si>
    <t>Total Contract Value</t>
  </si>
  <si>
    <t>Sum of gross exposures</t>
  </si>
  <si>
    <t>Sum of expected monetary values</t>
  </si>
  <si>
    <t>Sum of residual expected exposures</t>
  </si>
  <si>
    <t>Residual exposure / TCV</t>
  </si>
  <si>
    <t>Important aggregation warning</t>
  </si>
  <si>
    <t>The simple sum assumes independent risks and can overstate portfolio exposure where risks overlap or are mutually exclusive. Use Monte Carlo or dependency modelling for contingency setting.</t>
  </si>
  <si>
    <t>Risk ID</t>
  </si>
  <si>
    <t>Risk Statement</t>
  </si>
  <si>
    <t>Risk Category</t>
  </si>
  <si>
    <t>Project Type</t>
  </si>
  <si>
    <t>Energy Segment</t>
  </si>
  <si>
    <t>Geographic Context</t>
  </si>
  <si>
    <t>Lifecycle Phase</t>
  </si>
  <si>
    <t>Employer / Contractor / Shared allocation</t>
  </si>
  <si>
    <t>Probability (L/M/H)</t>
  </si>
  <si>
    <t>Impact (Cost / Time / Quality / HSE)</t>
  </si>
  <si>
    <t>Mitigation Actions</t>
  </si>
  <si>
    <t>Early Warning Indicators</t>
  </si>
  <si>
    <t>Risk Owner</t>
  </si>
  <si>
    <t>Gross Exposure (% TCV)</t>
  </si>
  <si>
    <t>Gross Exposure (EUR)</t>
  </si>
  <si>
    <t>Probability Factor</t>
  </si>
  <si>
    <t>Expected Monetary Value (EUR)</t>
  </si>
  <si>
    <t>Mitigation Effectiveness</t>
  </si>
  <si>
    <t>Residual Exposure (EUR)</t>
  </si>
  <si>
    <t>Residual Exposure (% TCV)</t>
  </si>
  <si>
    <t>Quantification Basis</t>
  </si>
  <si>
    <t>Source Basis</t>
  </si>
  <si>
    <t>GER-0001</t>
  </si>
  <si>
    <t>For a Onshore Wind EPC / Turnkey project in Europe, there is a risk during Feasibility &amp; Concept that ambiguity or conflicting requirements, combined with insufficient planning, may adversely affect project objectives through cost / time consequences.</t>
  </si>
  <si>
    <t>Contractual</t>
  </si>
  <si>
    <t>EPC / Turnkey</t>
  </si>
  <si>
    <t>Onshore Wind</t>
  </si>
  <si>
    <t>Europe</t>
  </si>
  <si>
    <t>Feasibility &amp; Concept</t>
  </si>
  <si>
    <t>Shared</t>
  </si>
  <si>
    <t>M</t>
  </si>
  <si>
    <t>Cost / Time</t>
  </si>
  <si>
    <t>Establish controls for ambiguity or conflicting requirements; assign actions, verify evidence, and review residual exposure at each gate. Tailor the response to Onshore Wind, the Feasibility &amp; Concept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</si>
  <si>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Europe.</t>
  </si>
  <si>
    <t>Contract Manager</t>
  </si>
  <si>
    <t>Parametric screening: exposure % × TCV × probability; residual EMV after mitigation.</t>
  </si>
  <si>
    <t>Research-informed synthesis: FIDIC risk themes and global construction/energy project literature; not verbatim source text.</t>
  </si>
  <si>
    <t>GER-0002</t>
  </si>
  <si>
    <t>For a Biomass / Waste-to-Energy Installation project in Africa, there is a risk during FEED / Basic Design that ambiguity or conflicting requirements, combined with insufficient planning, may adversely affect project objectives through cost / time consequences.</t>
  </si>
  <si>
    <t>Installation</t>
  </si>
  <si>
    <t>Biomass / Waste-to-Energy</t>
  </si>
  <si>
    <t>Africa</t>
  </si>
  <si>
    <t>FEED / Basic Design</t>
  </si>
  <si>
    <t>Establish controls for ambiguity or conflicting requirements; assign actions, verify evidence, and review residual exposure at each gate. Tailor the response to Biomass / Waste-to-Energy, the FEED / Basic Design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</si>
  <si>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Africa.</t>
  </si>
  <si>
    <t>GER-0003</t>
  </si>
  <si>
    <t>For a Oil &amp; Gas Upstream Operations &amp; Maintenance project in East Asia, there is a risk during Detailed Engineering that ambiguity or conflicting requirements, combined with insufficient planning, may adversely affect project objectives through cost / time consequences.</t>
  </si>
  <si>
    <t>Operations &amp; Maintenance</t>
  </si>
  <si>
    <t>Oil &amp; Gas Upstream</t>
  </si>
  <si>
    <t>East Asia</t>
  </si>
  <si>
    <t>Detailed Engineering</t>
  </si>
  <si>
    <t>Establish controls for ambiguity or conflicting requirements; assign actions, verify evidence, and review residual exposure at each gate. Tailor the response to Oil &amp; Gas Upstream, the Detailed Engineering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</si>
  <si>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East Asia.</t>
  </si>
  <si>
    <t>GER-0004</t>
  </si>
  <si>
    <t>For a Offshore Wind Grid Interconnection project in North America, there is a risk during Procurement that ambiguity or conflicting requirements, combined with insufficient planning, may adversely affect project objectives through cost / time consequences.</t>
  </si>
  <si>
    <t>Grid Interconnection</t>
  </si>
  <si>
    <t>Offshore Wind</t>
  </si>
  <si>
    <t>North America</t>
  </si>
  <si>
    <t>Procurement</t>
  </si>
  <si>
    <t>Establish controls for ambiguity or conflicting requirements; assign actions, verify evidence, and review residual exposure at each gate. Tailor the response to Offshore Wind, the Procurement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</si>
  <si>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North America.</t>
  </si>
  <si>
    <t>GER-0005</t>
  </si>
  <si>
    <t>For a Green Hydrogen R&amp;D / Technology Development project in Oceania, there is a risk during Manufacturing that ambiguity or conflicting requirements, combined with insufficient planning, may adversely affect project objectives through cost / time consequences.</t>
  </si>
  <si>
    <t>R&amp;D / Technology Development</t>
  </si>
  <si>
    <t>Green Hydrogen</t>
  </si>
  <si>
    <t>Oceania</t>
  </si>
  <si>
    <t>Manufacturing</t>
  </si>
  <si>
    <t>Establish controls for ambiguity or conflicting requirements; assign actions, verify evidence, and review residual exposure at each gate. Tailor the response to Green Hydrogen, the Manufacturing gate, local law, interfaces, and the selected delivery model.</t>
  </si>
  <si>
    <t>Increasing unresolved actions, late milestones, repeated exceptions, or adverse trend associated with insufficient planning. Also monitor phase-gate slippage, unresolved interfaces, supplier status, and regulatory changes in Oceania.</t>
  </si>
  <si>
    <t>GER-0006</t>
  </si>
  <si>
    <t>For a Concentrated Solar Power EPCM project in Middle East, there is a risk during Detailed Engineering that ambiguity or conflicting requirements, combined with incomplete information, may adversely affect project objectives through cost / time consequences.</t>
  </si>
  <si>
    <t>EPCM</t>
  </si>
  <si>
    <t>Concentrated Solar Power</t>
  </si>
  <si>
    <t>Middle East</t>
  </si>
  <si>
    <t>Establish controls for ambiguity or conflicting requirements; assign actions, verify evidence, and review residual exposure at each gate. Tailor the response to Concentrated Solar Power, the Detailed Engineering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</si>
  <si>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Middle East.</t>
  </si>
  <si>
    <t>GER-0007</t>
  </si>
  <si>
    <t>For a Transmission &amp; Substations Commissioning &amp; Start-up project in South Asia, there is a risk during Procurement that ambiguity or conflicting requirements, combined with incomplete information, may adversely affect project objectives through cost / time consequences.</t>
  </si>
  <si>
    <t>Commissioning &amp; Start-up</t>
  </si>
  <si>
    <t>Transmission &amp; Substations</t>
  </si>
  <si>
    <t>South Asia</t>
  </si>
  <si>
    <t>Establish controls for ambiguity or conflicting requirements; assign actions, verify evidence, and review residual exposure at each gate. Tailor the response to Transmission &amp; Substations, the Procurement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</si>
  <si>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South Asia.</t>
  </si>
  <si>
    <t>GER-0008</t>
  </si>
  <si>
    <t>For a Carbon Capture, Utilization &amp; Storage Decommissioning project in Southeast Asia, there is a risk during Manufacturing that ambiguity or conflicting requirements, combined with incomplete information, may adversely affect project objectives through cost / time consequences.</t>
  </si>
  <si>
    <t>Decommissioning</t>
  </si>
  <si>
    <t>Carbon Capture, Utilization &amp; Storage</t>
  </si>
  <si>
    <t>Southeast Asia</t>
  </si>
  <si>
    <t>Establish controls for ambiguity or conflicting requirements; assign actions, verify evidence, and review residual exposure at each gate. Tailor the response to Carbon Capture, Utilization &amp; Storage, the Manufacturing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</si>
  <si>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Southeast Asia.</t>
  </si>
  <si>
    <t>GER-0009</t>
  </si>
  <si>
    <t>For a Hydropower EPC / Turnkey project in Latin America, there is a risk during Construction that ambiguity or conflicting requirements, combined with incomplete information, may adversely affect project objectives through cost / time consequences.</t>
  </si>
  <si>
    <t>Hydropower</t>
  </si>
  <si>
    <t>Latin America</t>
  </si>
  <si>
    <t>Construction</t>
  </si>
  <si>
    <t>Establish controls for ambiguity or conflicting requirements; assign actions, verify evidence, and review residual exposure at each gate. Tailor the response to Hydropower, the Construction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</si>
  <si>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Latin America.</t>
  </si>
  <si>
    <t>GER-0010</t>
  </si>
  <si>
    <t>For a Nuclear Power Installation project in Global / Multi-country, there is a risk during Installation that ambiguity or conflicting requirements, combined with incomplete information, may adversely affect project objectives through cost / time consequences.</t>
  </si>
  <si>
    <t>Nuclear Power</t>
  </si>
  <si>
    <t>Global / Multi-country</t>
  </si>
  <si>
    <t>Establish controls for ambiguity or conflicting requirements; assign actions, verify evidence, and review residual exposure at each gate. Tailor the response to Nuclear Power, the Installation gate, local law, interfaces, and the selected delivery model.</t>
  </si>
  <si>
    <t>Increasing unresolved actions, late milestones, repeated exceptions, or adverse trend associated with incomplete information. Also monitor phase-gate slippage, unresolved interfaces, supplier status, and regulatory changes in Global / Multi-country.</t>
  </si>
  <si>
    <t>GER-0011</t>
  </si>
  <si>
    <t>For a Geothermal R&amp;D / Technology Development project in Africa, there is a risk during Manufacturing that ambiguity or conflicting requirements, combined with late decision-making, may adversely affect project objectives through cost / time consequences.</t>
  </si>
  <si>
    <t>Geothermal</t>
  </si>
  <si>
    <t>Establish controls for ambiguity or conflicting requirements; assign actions, verify evidence, and review residual exposure at each gate. Tailor the response to Geothermal, the Manufacturing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</si>
  <si>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Africa.</t>
  </si>
  <si>
    <t>GER-0012</t>
  </si>
  <si>
    <t>For a LNG Brownfield Modification project in East Asia, there is a risk during Construction that ambiguity or conflicting requirements, combined with late decision-making, may adversely affect project objectives through cost / time consequences.</t>
  </si>
  <si>
    <t>Brownfield Modification</t>
  </si>
  <si>
    <t>LNG</t>
  </si>
  <si>
    <t>Establish controls for ambiguity or conflicting requirements; assign actions, verify evidence, and review residual exposure at each gate. Tailor the response to LNG, the Construction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</si>
  <si>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East Asia.</t>
  </si>
  <si>
    <t>GER-0013</t>
  </si>
  <si>
    <t>For a Onshore Wind Owner’s Engineering project in North America, there is a risk during Installation that ambiguity or conflicting requirements, combined with late decision-making, may adversely affect project objectives through cost / time consequences.</t>
  </si>
  <si>
    <t>Owner’s Engineering</t>
  </si>
  <si>
    <t>Establish controls for ambiguity or conflicting requirements; assign actions, verify evidence, and review residual exposure at each gate. Tailor the response to Onshore Wind, the Installation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</si>
  <si>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North America.</t>
  </si>
  <si>
    <t>GER-0014</t>
  </si>
  <si>
    <t>For a Biomass / Waste-to-Energy EPCM project in Oceania, there is a risk during Pre-commissioning that ambiguity or conflicting requirements, combined with late decision-making, may adversely affect project objectives through cost / time consequences.</t>
  </si>
  <si>
    <t>Pre-commissioning</t>
  </si>
  <si>
    <t>Establish controls for ambiguity or conflicting requirements; assign actions, verify evidence, and review residual exposure at each gate. Tailor the response to Biomass / Waste-to-Energy, the Pre-commissioning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</si>
  <si>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Oceania.</t>
  </si>
  <si>
    <t>GER-0015</t>
  </si>
  <si>
    <t>For a Oil &amp; Gas Upstream Commissioning &amp; Start-up project in Europe, there is a risk during Commissioning that ambiguity or conflicting requirements, combined with late decision-making, may adversely affect project objectives through cost / time consequences.</t>
  </si>
  <si>
    <t>Commissioning</t>
  </si>
  <si>
    <t>Establish controls for ambiguity or conflicting requirements; assign actions, verify evidence, and review residual exposure at each gate. Tailor the response to Oil &amp; Gas Upstream, the Commissioning gate, local law, interfaces, and the selected delivery model.</t>
  </si>
  <si>
    <t>Increasing unresolved actions, late milestones, repeated exceptions, or adverse trend associated with late decision-making. Also monitor phase-gate slippage, unresolved interfaces, supplier status, and regulatory changes in Europe.</t>
  </si>
  <si>
    <t>GER-0016</t>
  </si>
  <si>
    <t>For a Battery Energy Storage Installation project in South Asia, there is a risk during Installation that ambiguity or conflicting requirements, combined with weak controls, may adversely affect project objectives through cost / time consequences.</t>
  </si>
  <si>
    <t>Battery Energy Storage</t>
  </si>
  <si>
    <t>Establish controls for ambiguity or conflicting requirements; assign actions, verify evidence, and review residual exposure at each gate. Tailor the response to Battery Energy Storage, the Installation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</si>
  <si>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South Asia.</t>
  </si>
  <si>
    <t>GER-0017</t>
  </si>
  <si>
    <t>For a Coal / Thermal Power Operations &amp; Maintenance project in Southeast Asia, there is a risk during Pre-commissioning that ambiguity or conflicting requirements, combined with weak controls, may adversely affect project objectives through cost / time consequences.</t>
  </si>
  <si>
    <t>Coal / Thermal Power</t>
  </si>
  <si>
    <t>Establish controls for ambiguity or conflicting requirements; assign actions, verify evidence, and review residual exposure at each gate. Tailor the response to Coal / Thermal Power, the Pre-commissioning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</si>
  <si>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Southeast Asia.</t>
  </si>
  <si>
    <t>GER-0018</t>
  </si>
  <si>
    <t>For a Concentrated Solar Power Grid Interconnection project in Latin America, there is a risk during Commissioning that ambiguity or conflicting requirements, combined with weak controls, may adversely affect project objectives through cost / time consequences.</t>
  </si>
  <si>
    <t>Establish controls for ambiguity or conflicting requirements; assign actions, verify evidence, and review residual exposure at each gate. Tailor the response to Concentrated Solar Power, the Commissioning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</si>
  <si>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Latin America.</t>
  </si>
  <si>
    <t>GER-0019</t>
  </si>
  <si>
    <t>For a Transmission &amp; Substations R&amp;D / Technology Development project in Global / Multi-country, there is a risk during Operations / Handover that ambiguity or conflicting requirements, combined with weak controls, may adversely affect project objectives through cost / time consequences.</t>
  </si>
  <si>
    <t>Operations / Handover</t>
  </si>
  <si>
    <t>Establish controls for ambiguity or conflicting requirements; assign actions, verify evidence, and review residual exposure at each gate. Tailor the response to Transmission &amp; Substations, the Operations / Handover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</si>
  <si>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Global / Multi-country.</t>
  </si>
  <si>
    <t>GER-0020</t>
  </si>
  <si>
    <t>For a Carbon Capture, Utilization &amp; Storage Brownfield Modification project in Middle East, there is a risk during Feasibility &amp; Concept that ambiguity or conflicting requirements, combined with weak controls, may adversely affect project objectives through cost / time consequences.</t>
  </si>
  <si>
    <t>Establish controls for ambiguity or conflicting requirements; assign actions, verify evidence, and review residual exposure at each gate. Tailor the response to Carbon Capture, Utilization &amp; Storage, the Feasibility &amp; Concept gate, local law, interfaces, and the selected delivery model.</t>
  </si>
  <si>
    <t>Increasing unresolved actions, late milestones, repeated exceptions, or adverse trend associated with weak controls. Also monitor phase-gate slippage, unresolved interfaces, supplier status, and regulatory changes in Middle East.</t>
  </si>
  <si>
    <t>GER-0021</t>
  </si>
  <si>
    <t>For a Natural Gas / CCGT Commissioning &amp; Start-up project in East Asia, there is a risk during Commissioning that ambiguity or conflicting requirements, combined with resource constraints, may adversely affect project objectives through cost / time consequences.</t>
  </si>
  <si>
    <t>Natural Gas / CCGT</t>
  </si>
  <si>
    <t>Establish controls for ambiguity or conflicting requirements; assign actions, verify evidence, and review residual exposure at each gate. Tailor the response to Natural Gas / CCGT, the Commissioning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</si>
  <si>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East Asia.</t>
  </si>
  <si>
    <t>GER-0022</t>
  </si>
  <si>
    <t>For a Marine Energy Decommissioning project in North America, there is a risk during Operations / Handover that ambiguity or conflicting requirements, combined with resource constraints, may adversely affect project objectives through cost / time consequences.</t>
  </si>
  <si>
    <t>Marine Energy</t>
  </si>
  <si>
    <t>Establish controls for ambiguity or conflicting requirements; assign actions, verify evidence, and review residual exposure at each gate. Tailor the response to Marine Energy, the Operations / Handover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</si>
  <si>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North America.</t>
  </si>
  <si>
    <t>GER-0023</t>
  </si>
  <si>
    <t>For a Geothermal EPC / Turnkey project in Oceania, there is a risk during Feasibility &amp; Concept that ambiguity or conflicting requirements, combined with resource constraints, may adversely affect project objectives through cost / time consequences.</t>
  </si>
  <si>
    <t>Establish controls for ambiguity or conflicting requirements; assign actions, verify evidence, and review residual exposure at each gate. Tailor the response to Geothermal, the Feasibility &amp; Concept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</si>
  <si>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Oceania.</t>
  </si>
  <si>
    <t>GER-0024</t>
  </si>
  <si>
    <t>For a LNG Installation project in Europe, there is a risk during FEED / Basic Design that ambiguity or conflicting requirements, combined with resource constraints, may adversely affect project objectives through cost / time consequences.</t>
  </si>
  <si>
    <t>Establish controls for ambiguity or conflicting requirements; assign actions, verify evidence, and review residual exposure at each gate. Tailor the response to LNG, the FEED / Basic Design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</si>
  <si>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Europe.</t>
  </si>
  <si>
    <t>GER-0025</t>
  </si>
  <si>
    <t>For a Onshore Wind Operations &amp; Maintenance project in Africa, there is a risk during Detailed Engineering that ambiguity or conflicting requirements, combined with resource constraints, may adversely affect project objectives through cost / time consequences.</t>
  </si>
  <si>
    <t>Establish controls for ambiguity or conflicting requirements; assign actions, verify evidence, and review residual exposure at each gate. Tailor the response to Onshore Wind, the Detailed Engineering gate, local law, interfaces, and the selected delivery model.</t>
  </si>
  <si>
    <t>Increasing unresolved actions, late milestones, repeated exceptions, or adverse trend associated with resource constraints. Also monitor phase-gate slippage, unresolved interfaces, supplier status, and regulatory changes in Africa.</t>
  </si>
  <si>
    <t>GER-0026</t>
  </si>
  <si>
    <t>For a Refining &amp; Petrochemicals Brownfield Modification project in Southeast Asia, there is a risk during Feasibility &amp; Concept that ambiguity or conflicting requirements, combined with supplier dependency, may adversely affect project objectives through cost / time consequences.</t>
  </si>
  <si>
    <t>Refining &amp; Petrochemicals</t>
  </si>
  <si>
    <t>Establish controls for ambiguity or conflicting requirements; assign actions, verify evidence, and review residual exposure at each gate. Tailor the response to Refining &amp; Petrochemicals, the Feasibility &amp; Concept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</si>
  <si>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Southeast Asia.</t>
  </si>
  <si>
    <t>GER-0027</t>
  </si>
  <si>
    <t>For a Solar PV Owner’s Engineering project in Latin America, there is a risk during FEED / Basic Design that ambiguity or conflicting requirements, combined with supplier dependency, may adversely affect project objectives through cost / time consequences.</t>
  </si>
  <si>
    <t>Solar PV</t>
  </si>
  <si>
    <t>Establish controls for ambiguity or conflicting requirements; assign actions, verify evidence, and review residual exposure at each gate. Tailor the response to Solar PV, the FEED / Basic Design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</si>
  <si>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Latin America.</t>
  </si>
  <si>
    <t>GER-0028</t>
  </si>
  <si>
    <t>For a Battery Energy Storage EPCM project in Global / Multi-country, there is a risk during Detailed Engineering that ambiguity or conflicting requirements, combined with supplier dependency, may adversely affect project objectives through cost / time consequences.</t>
  </si>
  <si>
    <t>Establish controls for ambiguity or conflicting requirements; assign actions, verify evidence, and review residual exposure at each gate. Tailor the response to Battery Energy Storage, the Detailed Engineering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</si>
  <si>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Global / Multi-country.</t>
  </si>
  <si>
    <t>GER-0029</t>
  </si>
  <si>
    <t>For a Coal / Thermal Power Commissioning &amp; Start-up project in Middle East, there is a risk during Procurement that ambiguity or conflicting requirements, combined with supplier dependency, may adversely affect project objectives through cost / time consequences.</t>
  </si>
  <si>
    <t>Establish controls for ambiguity or conflicting requirements; assign actions, verify evidence, and review residual exposure at each gate. Tailor the response to Coal / Thermal Power, the Procurement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</si>
  <si>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Middle East.</t>
  </si>
  <si>
    <t>GER-0030</t>
  </si>
  <si>
    <t>For a Concentrated Solar Power Decommissioning project in South Asia, there is a risk during Manufacturing that ambiguity or conflicting requirements, combined with supplier dependency, may adversely affect project objectives through cost / time consequences.</t>
  </si>
  <si>
    <t>Establish controls for ambiguity or conflicting requirements; assign actions, verify evidence, and review residual exposure at each gate. Tailor the response to Concentrated Solar Power, the Manufacturing gate, local law, interfaces, and the selected delivery model.</t>
  </si>
  <si>
    <t>Increasing unresolved actions, late milestones, repeated exceptions, or adverse trend associated with supplier dependency. Also monitor phase-gate slippage, unresolved interfaces, supplier status, and regulatory changes in South Asia.</t>
  </si>
  <si>
    <t>GER-0031</t>
  </si>
  <si>
    <t>For a District Energy Operations &amp; Maintenance project in North America, there is a risk during Detailed Engineering that ambiguity or conflicting requirements, combined with interface complexity, may adversely affect project objectives through cost / time consequences.</t>
  </si>
  <si>
    <t>District Energy</t>
  </si>
  <si>
    <t>Establish controls for ambiguity or conflicting requirements; assign actions, verify evidence, and review residual exposure at each gate. Tailor the response to District Energy, the Detailed Engineering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</si>
  <si>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North America.</t>
  </si>
  <si>
    <t>GER-0032</t>
  </si>
  <si>
    <t>For a Pumped Storage Grid Interconnection project in Oceania, there is a risk during Procurement that ambiguity or conflicting requirements, combined with interface complexity, may adversely affect project objectives through cost / time consequences.</t>
  </si>
  <si>
    <t>Pumped Storage</t>
  </si>
  <si>
    <t>Establish controls for ambiguity or conflicting requirements; assign actions, verify evidence, and review residual exposure at each gate. Tailor the response to Pumped Storage, the Procurement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</si>
  <si>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Oceania.</t>
  </si>
  <si>
    <t>GER-0033</t>
  </si>
  <si>
    <t>For a Natural Gas / CCGT R&amp;D / Technology Development project in Europe, there is a risk during Manufacturing that ambiguity or conflicting requirements, combined with interface complexity, may adversely affect project objectives through cost / time consequences.</t>
  </si>
  <si>
    <t>Establish controls for ambiguity or conflicting requirements; assign actions, verify evidence, and review residual exposure at each gate. Tailor the response to Natural Gas / CCGT, the Manufacturing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</si>
  <si>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Europe.</t>
  </si>
  <si>
    <t>GER-0034</t>
  </si>
  <si>
    <t>For a Marine Energy Brownfield Modification project in Africa, there is a risk during Construction that ambiguity or conflicting requirements, combined with interface complexity, may adversely affect project objectives through cost / time consequences.</t>
  </si>
  <si>
    <t>Establish controls for ambiguity or conflicting requirements; assign actions, verify evidence, and review residual exposure at each gate. Tailor the response to Marine Energy, the Construction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</si>
  <si>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Africa.</t>
  </si>
  <si>
    <t>GER-0035</t>
  </si>
  <si>
    <t>For a Geothermal Owner’s Engineering project in East Asia, there is a risk during Installation that ambiguity or conflicting requirements, combined with interface complexity, may adversely affect project objectives through cost / time consequences.</t>
  </si>
  <si>
    <t>Establish controls for ambiguity or conflicting requirements; assign actions, verify evidence, and review residual exposure at each gate. Tailor the response to Geothermal, the Installation gate, local law, interfaces, and the selected delivery model.</t>
  </si>
  <si>
    <t>Increasing unresolved actions, late milestones, repeated exceptions, or adverse trend associated with interface complexity. Also monitor phase-gate slippage, unresolved interfaces, supplier status, and regulatory changes in East Asia.</t>
  </si>
  <si>
    <t>GER-0036</t>
  </si>
  <si>
    <t>For a Offshore Wind Decommissioning project in Latin America, there is a risk during Manufacturing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</si>
  <si>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Offshore Wind, the Manufacturing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</si>
  <si>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Latin America.</t>
  </si>
  <si>
    <t>GER-0037</t>
  </si>
  <si>
    <t>For a Green Hydrogen EPC / Turnkey project in Global / Multi-country, there is a risk during Construction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</si>
  <si>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Green Hydrogen, the Construction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</si>
  <si>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Global / Multi-country.</t>
  </si>
  <si>
    <t>GER-0038</t>
  </si>
  <si>
    <t>For a Refining &amp; Petrochemicals Installation project in Middle East, there is a risk during Installation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</si>
  <si>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Refining &amp; Petrochemicals, the Installation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</si>
  <si>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Middle East.</t>
  </si>
  <si>
    <t>GER-0039</t>
  </si>
  <si>
    <t>For a Solar PV Operations &amp; Maintenance project in South Asia, there is a risk during Pre-commissioning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</si>
  <si>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Solar PV, the Pre-commissioning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</si>
  <si>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South Asia.</t>
  </si>
  <si>
    <t>GER-0040</t>
  </si>
  <si>
    <t>For a Battery Energy Storage Grid Interconnection project in Southeast Asia, there is a risk during Commissioning that ambiguity or conflicting requirements, combined with requirements volatility, may adversely affect project objectives through cost / time consequences.</t>
  </si>
  <si>
    <t>Establish controls for ambiguity or conflicting requirements; assign actions, verify evidence, and review residual exposure at each gate. Tailor the response to Battery Energy Storage, the Commissioning gate, local law, interfaces, and the selected delivery model.</t>
  </si>
  <si>
    <t>Increasing unresolved actions, late milestones, repeated exceptions, or adverse trend associated with requirements volatility. Also monitor phase-gate slippage, unresolved interfaces, supplier status, and regulatory changes in Southeast Asia.</t>
  </si>
  <si>
    <t>GER-0041</t>
  </si>
  <si>
    <t>For a Hydropower Owner’s Engineering project in Oceania, there is a risk during Installation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</si>
  <si>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Hydropower, the Installation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</si>
  <si>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Oceania.</t>
  </si>
  <si>
    <t>GER-0042</t>
  </si>
  <si>
    <t>For a Nuclear Power EPCM project in Europe, there is a risk during Pre-commissioning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</si>
  <si>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Nuclear Power, the Pre-commissioning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</si>
  <si>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Europe.</t>
  </si>
  <si>
    <t>GER-0043</t>
  </si>
  <si>
    <t>For a District Energy Commissioning &amp; Start-up project in Africa, there is a risk during Commissioning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</si>
  <si>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District Energy, the Commissioning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</si>
  <si>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Africa.</t>
  </si>
  <si>
    <t>GER-0044</t>
  </si>
  <si>
    <t>For a Pumped Storage Decommissioning project in East Asia, there is a risk during Operations / Handover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</si>
  <si>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Pumped Storage, the Operations / Handover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</si>
  <si>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East Asia.</t>
  </si>
  <si>
    <t>GER-0045</t>
  </si>
  <si>
    <t>For a Natural Gas / CCGT EPC / Turnkey project in North America, there is a risk during Feasibility &amp; Concept that ambiguity or conflicting requirements, combined with regulatory uncertainty, may adversely affect project objectives through cost / time consequences.</t>
  </si>
  <si>
    <t>Establish controls for ambiguity or conflicting requirements; assign actions, verify evidence, and review residual exposure at each gate. Tailor the response to Natural Gas / CCGT, the Feasibility &amp; Concept gate, local law, interfaces, and the selected delivery model.</t>
  </si>
  <si>
    <t>Increasing unresolved actions, late milestones, repeated exceptions, or adverse trend associated with regulatory uncertainty. Also monitor phase-gate slippage, unresolved interfaces, supplier status, and regulatory changes in North America.</t>
  </si>
  <si>
    <t>GER-0046</t>
  </si>
  <si>
    <t>For a Biomass / Waste-to-Energy Grid Interconnection project in Global / Multi-country, there is a risk during Commissioning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</si>
  <si>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Biomass / Waste-to-Energy, the Commissioning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</si>
  <si>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Global / Multi-country.</t>
  </si>
  <si>
    <t>GER-0047</t>
  </si>
  <si>
    <t>For a Oil &amp; Gas Upstream R&amp;D / Technology Development project in Middle East, there is a risk during Operations / Handover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</si>
  <si>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Oil &amp; Gas Upstream, the Operations / Handover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</si>
  <si>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Middle East.</t>
  </si>
  <si>
    <t>GER-0048</t>
  </si>
  <si>
    <t>For a Offshore Wind Brownfield Modification project in South Asia, there is a risk during Feasibility &amp; Concept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</si>
  <si>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Offshore Wind, the Feasibility &amp; Concept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</si>
  <si>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South Asia.</t>
  </si>
  <si>
    <t>GER-0049</t>
  </si>
  <si>
    <t>For a Green Hydrogen Owner’s Engineering project in Southeast Asia, there is a risk during FEED / Basic Design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</si>
  <si>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Green Hydrogen, the FEED / Basic Design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</si>
  <si>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Southeast Asia.</t>
  </si>
  <si>
    <t>GER-0050</t>
  </si>
  <si>
    <t>For a Refining &amp; Petrochemicals EPCM project in Latin America, there is a risk during Detailed Engineering that ambiguity or conflicting requirements, combined with inadequate verification, may adversely affect project objectives through cost / time consequences.</t>
  </si>
  <si>
    <t>Establish controls for ambiguity or conflicting requirements; assign actions, verify evidence, and review residual exposure at each gate. Tailor the response to Refining &amp; Petrochemicals, the Detailed Engineering gate, local law, interfaces, and the selected delivery model.</t>
  </si>
  <si>
    <t>Increasing unresolved actions, late milestones, repeated exceptions, or adverse trend associated with inadequate verification. Also monitor phase-gate slippage, unresolved interfaces, supplier status, and regulatory changes in Latin America.</t>
  </si>
  <si>
    <t>GER-0051</t>
  </si>
  <si>
    <t>For a Transmission &amp; Substations EPC / Turnkey project in Europe, there is a risk during Feasibility &amp; Concept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</si>
  <si>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Transmission &amp; Substations, the Feasibility &amp; Concept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</si>
  <si>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Europe.</t>
  </si>
  <si>
    <t>GER-0052</t>
  </si>
  <si>
    <t>For a Carbon Capture, Utilization &amp; Storage Installation project in Africa, there is a risk during FEED / Basic Design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</si>
  <si>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Carbon Capture, Utilization &amp; Storage, the FEED / Basic Design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</si>
  <si>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Africa.</t>
  </si>
  <si>
    <t>GER-0053</t>
  </si>
  <si>
    <t>For a Hydropower Operations &amp; Maintenance project in East Asia, there is a risk during Detailed Engineering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</si>
  <si>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Hydropower, the Detailed Engineering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</si>
  <si>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East Asia.</t>
  </si>
  <si>
    <t>GER-0054</t>
  </si>
  <si>
    <t>For a Nuclear Power Grid Interconnection project in North America, there is a risk during Procurement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</si>
  <si>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Nuclear Power, the Procurement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</si>
  <si>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North America.</t>
  </si>
  <si>
    <t>GER-0055</t>
  </si>
  <si>
    <t>For a District Energy R&amp;D / Technology Development project in Oceania, there is a risk during Manufacturing that ambiguity or conflicting requirements, combined with poor communication, may adversely affect project objectives through cost / time consequences.</t>
  </si>
  <si>
    <t>Establish controls for ambiguity or conflicting requirements; assign actions, verify evidence, and review residual exposure at each gate. Tailor the response to District Energy, the Manufacturing gate, local law, interfaces, and the selected delivery model.</t>
  </si>
  <si>
    <t>Increasing unresolved actions, late milestones, repeated exceptions, or adverse trend associated with poor communication. Also monitor phase-gate slippage, unresolved interfaces, supplier status, and regulatory changes in Oceania.</t>
  </si>
  <si>
    <t>GER-0056</t>
  </si>
  <si>
    <t>For a LNG EPCM project in Middle East, there is a risk during Detailed Engineering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</si>
  <si>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LNG, the Detailed Engineering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</si>
  <si>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Middle East.</t>
  </si>
  <si>
    <t>GER-0057</t>
  </si>
  <si>
    <t>For a Onshore Wind Commissioning &amp; Start-up project in South Asia, there is a risk during Procurement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</si>
  <si>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Onshore Wind, the Procurement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</si>
  <si>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South Asia.</t>
  </si>
  <si>
    <t>GER-0058</t>
  </si>
  <si>
    <t>For a Biomass / Waste-to-Energy Decommissioning project in Southeast Asia, there is a risk during Manufacturing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</si>
  <si>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Biomass / Waste-to-Energy, the Manufacturing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</si>
  <si>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Southeast Asia.</t>
  </si>
  <si>
    <t>GER-0059</t>
  </si>
  <si>
    <t>For a Oil &amp; Gas Upstream EPC / Turnkey project in Latin America, there is a risk during Construction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</si>
  <si>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Oil &amp; Gas Upstream, the Construction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</si>
  <si>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Latin America.</t>
  </si>
  <si>
    <t>GER-0060</t>
  </si>
  <si>
    <t>For a Offshore Wind Installation project in Global / Multi-country, there is a risk during Installation that ambiguity or conflicting requirements, combined with incorrect assumptions, may adversely affect project objectives through cost / time consequences.</t>
  </si>
  <si>
    <t>Establish controls for ambiguity or conflicting requirements; assign actions, verify evidence, and review residual exposure at each gate. Tailor the response to Offshore Wind, the Installation gate, local law, interfaces, and the selected delivery model.</t>
  </si>
  <si>
    <t>Increasing unresolved actions, late milestones, repeated exceptions, or adverse trend associated with incorrect assumptions. Also monitor phase-gate slippage, unresolved interfaces, supplier status, and regulatory changes in Global / Multi-country.</t>
  </si>
  <si>
    <t>GER-0061</t>
  </si>
  <si>
    <t>For a Coal / Thermal Power R&amp;D / Technology Development project in Africa, there is a risk during Manufacturing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</si>
  <si>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Coal / Thermal Power, the Manufacturing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</si>
  <si>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Africa.</t>
  </si>
  <si>
    <t>GER-0062</t>
  </si>
  <si>
    <t>For a Concentrated Solar Power Brownfield Modification project in East Asia, there is a risk during Construction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</si>
  <si>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Concentrated Solar Power, the Construction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</si>
  <si>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East Asia.</t>
  </si>
  <si>
    <t>GER-0063</t>
  </si>
  <si>
    <t>For a Transmission &amp; Substations Owner’s Engineering project in North America, there is a risk during Installation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</si>
  <si>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Transmission &amp; Substations, the Installation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</si>
  <si>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North America.</t>
  </si>
  <si>
    <t>GER-0064</t>
  </si>
  <si>
    <t>For a Carbon Capture, Utilization &amp; Storage EPCM project in Oceania, there is a risk during Pre-commissioning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</si>
  <si>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Carbon Capture, Utilization &amp; Storage, the Pre-commissioning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</si>
  <si>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Oceania.</t>
  </si>
  <si>
    <t>GER-0065</t>
  </si>
  <si>
    <t>For a Hydropower Commissioning &amp; Start-up project in Europe, there is a risk during Commissioning that ambiguity or conflicting requirements, combined with low technical maturity, may adversely affect project objectives through cost / time consequences.</t>
  </si>
  <si>
    <t>Establish controls for ambiguity or conflicting requirements; assign actions, verify evidence, and review residual exposure at each gate. Tailor the response to Hydropower, the Commissioning gate, local law, interfaces, and the selected delivery model.</t>
  </si>
  <si>
    <t>Increasing unresolved actions, late milestones, repeated exceptions, or adverse trend associated with low technical maturity. Also monitor phase-gate slippage, unresolved interfaces, supplier status, and regulatory changes in Europe.</t>
  </si>
  <si>
    <t>GER-0066</t>
  </si>
  <si>
    <t>For a Marine Energy Installation project in South Asia, there is a risk during Installation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</si>
  <si>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Marine Energy, the Installation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</si>
  <si>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South Asia.</t>
  </si>
  <si>
    <t>GER-0067</t>
  </si>
  <si>
    <t>For a Geothermal Operations &amp; Maintenance project in Southeast Asia, there is a risk during Pre-commissioning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</si>
  <si>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Geothermal, the Pre-commissioning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</si>
  <si>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Southeast Asia.</t>
  </si>
  <si>
    <t>GER-0068</t>
  </si>
  <si>
    <t>For a LNG Grid Interconnection project in Latin America, there is a risk during Commissioning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</si>
  <si>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LNG, the Commissioning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</si>
  <si>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Latin America.</t>
  </si>
  <si>
    <t>GER-0069</t>
  </si>
  <si>
    <t>For a Onshore Wind R&amp;D / Technology Development project in Global / Multi-country, there is a risk during Operations / Handover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</si>
  <si>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Onshore Wind, the Operations / Handover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</si>
  <si>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Global / Multi-country.</t>
  </si>
  <si>
    <t>GER-0070</t>
  </si>
  <si>
    <t>For a Biomass / Waste-to-Energy Brownfield Modification project in Middle East, there is a risk during Feasibility &amp; Concept that ambiguity or conflicting requirements, combined with documentation gaps, may adversely affect project objectives through cost / time consequences.</t>
  </si>
  <si>
    <t>Establish controls for ambiguity or conflicting requirements; assign actions, verify evidence, and review residual exposure at each gate. Tailor the response to Biomass / Waste-to-Energy, the Feasibility &amp; Concept gate, local law, interfaces, and the selected delivery model.</t>
  </si>
  <si>
    <t>Increasing unresolved actions, late milestones, repeated exceptions, or adverse trend associated with documentation gaps. Also monitor phase-gate slippage, unresolved interfaces, supplier status, and regulatory changes in Middle East.</t>
  </si>
  <si>
    <t>GER-0071</t>
  </si>
  <si>
    <t>For a Solar PV Commissioning &amp; Start-up project in East Asia, there is a risk during Commissioning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</si>
  <si>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Solar PV, the Commissioning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</si>
  <si>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East Asia.</t>
  </si>
  <si>
    <t>GER-0072</t>
  </si>
  <si>
    <t>For a Battery Energy Storage Decommissioning project in North America, there is a risk during Operations / Handover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</si>
  <si>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Battery Energy Storage, the Operations / Handover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</si>
  <si>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North America.</t>
  </si>
  <si>
    <t>GER-0073</t>
  </si>
  <si>
    <t>For a Coal / Thermal Power EPC / Turnkey project in Oceania, there is a risk during Feasibility &amp; Concept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</si>
  <si>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Coal / Thermal Power, the Feasibility &amp; Concept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</si>
  <si>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Oceania.</t>
  </si>
  <si>
    <t>GER-0074</t>
  </si>
  <si>
    <t>For a Concentrated Solar Power Installation project in Europe, there is a risk during FEED / Basic Design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</si>
  <si>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Concentrated Solar Power, the FEED / Basic Design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</si>
  <si>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Europe.</t>
  </si>
  <si>
    <t>GER-0075</t>
  </si>
  <si>
    <t>For a Transmission &amp; Substations Operations &amp; Maintenance project in Africa, there is a risk during Detailed Engineering that ambiguity or conflicting requirements, combined with external disruption, may adversely affect project objectives through cost / time consequences.</t>
  </si>
  <si>
    <t>Establish controls for ambiguity or conflicting requirements; assign actions, verify evidence, and review residual exposure at each gate. Tailor the response to Transmission &amp; Substations, the Detailed Engineering gate, local law, interfaces, and the selected delivery model.</t>
  </si>
  <si>
    <t>Increasing unresolved actions, late milestones, repeated exceptions, or adverse trend associated with external disruption. Also monitor phase-gate slippage, unresolved interfaces, supplier status, and regulatory changes in Africa.</t>
  </si>
  <si>
    <t>GER-0076</t>
  </si>
  <si>
    <t>For a Pumped Storage Brownfield Modification project in Southeast Asia, there is a risk during Feasibility &amp; Concept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</si>
  <si>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Pumped Storage, the Feasibility &amp; Concept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</si>
  <si>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Southeast Asia.</t>
  </si>
  <si>
    <t>GER-0077</t>
  </si>
  <si>
    <t>For a Natural Gas / CCGT Owner’s Engineering project in Latin America, there is a risk during FEED / Basic Design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</si>
  <si>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Natural Gas / CCGT, the FEED / Basic Design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</si>
  <si>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Latin America.</t>
  </si>
  <si>
    <t>GER-0078</t>
  </si>
  <si>
    <t>For a Marine Energy EPCM project in Global / Multi-country, there is a risk during Detailed Engineering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</si>
  <si>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Marine Energy, the Detailed Engineering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</si>
  <si>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Global / Multi-country.</t>
  </si>
  <si>
    <t>GER-0079</t>
  </si>
  <si>
    <t>For a Geothermal Commissioning &amp; Start-up project in Middle East, there is a risk during Procurement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</si>
  <si>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Geothermal, the Procurement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</si>
  <si>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Middle East.</t>
  </si>
  <si>
    <t>GER-0080</t>
  </si>
  <si>
    <t>For a LNG Decommissioning project in South Asia, there is a risk during Manufacturing that ambiguity or conflicting requirements, combined with governance delay, may adversely affect project objectives through cost / time consequences.</t>
  </si>
  <si>
    <t>Establish controls for ambiguity or conflicting requirements; assign actions, verify evidence, and review residual exposure at each gate. Tailor the response to LNG, the Manufacturing gate, local law, interfaces, and the selected delivery model.</t>
  </si>
  <si>
    <t>Increasing unresolved actions, late milestones, repeated exceptions, or adverse trend associated with governance delay. Also monitor phase-gate slippage, unresolved interfaces, supplier status, and regulatory changes in South Asia.</t>
  </si>
  <si>
    <t>GER-0081</t>
  </si>
  <si>
    <t>For a Green Hydrogen Operations &amp; Maintenance project in North America, there is a risk during Detailed Engineering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</si>
  <si>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Green Hydrogen, the Detailed Engineering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</si>
  <si>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North America.</t>
  </si>
  <si>
    <t>GER-0082</t>
  </si>
  <si>
    <t>For a Refining &amp; Petrochemicals Grid Interconnection project in Oceania, there is a risk during Procurement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</si>
  <si>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Refining &amp; Petrochemicals, the Procurement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</si>
  <si>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Oceania.</t>
  </si>
  <si>
    <t>GER-0083</t>
  </si>
  <si>
    <t>For a Solar PV R&amp;D / Technology Development project in Europe, there is a risk during Manufacturing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</si>
  <si>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Solar PV, the Manufacturing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</si>
  <si>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Europe.</t>
  </si>
  <si>
    <t>GER-0084</t>
  </si>
  <si>
    <t>For a Battery Energy Storage Brownfield Modification project in Africa, there is a risk during Construction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</si>
  <si>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Battery Energy Storage, the Construction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</si>
  <si>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Africa.</t>
  </si>
  <si>
    <t>GER-0085</t>
  </si>
  <si>
    <t>For a Coal / Thermal Power Owner’s Engineering project in East Asia, there is a risk during Installation that ambiguity or conflicting requirements, combined with commercial misalignment, may adversely affect project objectives through cost / time consequences.</t>
  </si>
  <si>
    <t>Establish controls for ambiguity or conflicting requirements; assign actions, verify evidence, and review residual exposure at each gate. Tailor the response to Coal / Thermal Power, the Installation gate, local law, interfaces, and the selected delivery model.</t>
  </si>
  <si>
    <t>Increasing unresolved actions, late milestones, repeated exceptions, or adverse trend associated with commercial misalignment. Also monitor phase-gate slippage, unresolved interfaces, supplier status, and regulatory changes in East Asia.</t>
  </si>
  <si>
    <t>GER-0086</t>
  </si>
  <si>
    <t>For a Nuclear Power Decommissioning project in Latin America, there is a risk during Manufacturing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</si>
  <si>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Nuclear Power, the Manufacturing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</si>
  <si>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Latin America.</t>
  </si>
  <si>
    <t>GER-0087</t>
  </si>
  <si>
    <t>For a District Energy EPC / Turnkey project in Global / Multi-country, there is a risk during Construction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</si>
  <si>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District Energy, the Construction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</si>
  <si>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Global / Multi-country.</t>
  </si>
  <si>
    <t>GER-0088</t>
  </si>
  <si>
    <t>For a Pumped Storage Installation project in Middle East, there is a risk during Installation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</si>
  <si>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Pumped Storage, the Installation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</si>
  <si>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Middle East.</t>
  </si>
  <si>
    <t>GER-0089</t>
  </si>
  <si>
    <t>For a Natural Gas / CCGT Operations &amp; Maintenance project in South Asia, there is a risk during Pre-commissioning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</si>
  <si>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Natural Gas / CCGT, the Pre-commissioning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</si>
  <si>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South Asia.</t>
  </si>
  <si>
    <t>GER-0090</t>
  </si>
  <si>
    <t>For a Marine Energy Grid Interconnection project in Southeast Asia, there is a risk during Commissioning that ambiguity or conflicting requirements, combined with quality escape, may adversely affect project objectives through cost / time consequences.</t>
  </si>
  <si>
    <t>Establish controls for ambiguity or conflicting requirements; assign actions, verify evidence, and review residual exposure at each gate. Tailor the response to Marine Energy, the Commissioning gate, local law, interfaces, and the selected delivery model.</t>
  </si>
  <si>
    <t>Increasing unresolved actions, late milestones, repeated exceptions, or adverse trend associated with quality escape. Also monitor phase-gate slippage, unresolved interfaces, supplier status, and regulatory changes in Southeast Asia.</t>
  </si>
  <si>
    <t>GER-0091</t>
  </si>
  <si>
    <t>For a Oil &amp; Gas Upstream Owner’s Engineering project in Oceania, there is a risk during Installation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</si>
  <si>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Oil &amp; Gas Upstream, the Installation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</si>
  <si>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Oceania.</t>
  </si>
  <si>
    <t>GER-0092</t>
  </si>
  <si>
    <t>For a Offshore Wind EPCM project in Europe, there is a risk during Pre-commissioning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</si>
  <si>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Offshore Wind, the Pre-commissioning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</si>
  <si>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Europe.</t>
  </si>
  <si>
    <t>GER-0093</t>
  </si>
  <si>
    <t>For a Green Hydrogen Commissioning &amp; Start-up project in Africa, there is a risk during Commissioning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</si>
  <si>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Green Hydrogen, the Commissioning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</si>
  <si>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Africa.</t>
  </si>
  <si>
    <t>GER-0094</t>
  </si>
  <si>
    <t>For a Refining &amp; Petrochemicals Decommissioning project in East Asia, there is a risk during Operations / Handover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</si>
  <si>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Refining &amp; Petrochemicals, the Operations / Handover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</si>
  <si>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East Asia.</t>
  </si>
  <si>
    <t>GER-0095</t>
  </si>
  <si>
    <t>For a Solar PV EPC / Turnkey project in North America, there is a risk during Feasibility &amp; Concept that ambiguity or conflicting requirements, combined with access constraint, may adversely affect project objectives through cost / time consequences.</t>
  </si>
  <si>
    <t>Establish controls for ambiguity or conflicting requirements; assign actions, verify evidence, and review residual exposure at each gate. Tailor the response to Solar PV, the Feasibility &amp; Concept gate, local law, interfaces, and the selected delivery model.</t>
  </si>
  <si>
    <t>Increasing unresolved actions, late milestones, repeated exceptions, or adverse trend associated with access constraint. Also monitor phase-gate slippage, unresolved interfaces, supplier status, and regulatory changes in North America.</t>
  </si>
  <si>
    <t>GER-0096</t>
  </si>
  <si>
    <t>For a Carbon Capture, Utilization &amp; Storage Grid Interconnection project in Global / Multi-country, there is a risk during Commissioning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</si>
  <si>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Carbon Capture, Utilization &amp; Storage, the Commissioning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</si>
  <si>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Global / Multi-country.</t>
  </si>
  <si>
    <t>GER-0097</t>
  </si>
  <si>
    <t>For a Hydropower R&amp;D / Technology Development project in Middle East, there is a risk during Operations / Handover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</si>
  <si>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Hydropower, the Operations / Handover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</si>
  <si>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Middle East.</t>
  </si>
  <si>
    <t>GER-0098</t>
  </si>
  <si>
    <t>For a Nuclear Power Brownfield Modification project in South Asia, there is a risk during Feasibility &amp; Concept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</si>
  <si>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Nuclear Power, the Feasibility &amp; Concept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</si>
  <si>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South Asia.</t>
  </si>
  <si>
    <t>GER-0099</t>
  </si>
  <si>
    <t>For a District Energy Owner’s Engineering project in Southeast Asia, there is a risk during FEED / Basic Design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</si>
  <si>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District Energy, the FEED / Basic Design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</si>
  <si>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Southeast Asia.</t>
  </si>
  <si>
    <t>GER-0100</t>
  </si>
  <si>
    <t>For a Pumped Storage EPCM project in Latin America, there is a risk during Detailed Engineering that ambiguity or conflicting requirements, combined with performance variability, may adversely affect project objectives through cost / time consequences.</t>
  </si>
  <si>
    <t>Establish controls for ambiguity or conflicting requirements; assign actions, verify evidence, and review residual exposure at each gate. Tailor the response to Pumped Storage, the Detailed Engineering gate, local law, interfaces, and the selected delivery model.</t>
  </si>
  <si>
    <t>Increasing unresolved actions, late milestones, repeated exceptions, or adverse trend associated with performance variability. Also monitor phase-gate slippage, unresolved interfaces, supplier status, and regulatory changes in Latin America.</t>
  </si>
  <si>
    <t>GER-0101</t>
  </si>
  <si>
    <t>For a Onshore Wind EPC / Turnkey project in Europe, there is a risk during Feasibility &amp; Concept that critical-path slippage or late approvals, combined with insufficient planning, may adversely affect project objectives through time / cost consequences.</t>
  </si>
  <si>
    <t>Schedule</t>
  </si>
  <si>
    <t>Contractor</t>
  </si>
  <si>
    <t>H</t>
  </si>
  <si>
    <t>Time / Cost</t>
  </si>
  <si>
    <t>Establish controls for critical-path slippage or late approvals; assign actions, verify evidence, and review residual exposure at each gate. Tailor the response to Onshore Wind, the Feasibility &amp; Concept gate, local law, interfaces, and the selected delivery model.</t>
  </si>
  <si>
    <t>Project Controls Manager</t>
  </si>
  <si>
    <t>GER-0102</t>
  </si>
  <si>
    <t>For a Biomass / Waste-to-Energy Installation project in Africa, there is a risk during FEED / Basic Design that critical-path slippage or late approvals, combined with insufficient planning,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</si>
  <si>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FEED / Basic Design gate, local law, interfaces, and the selected delivery model.</t>
  </si>
  <si>
    <t>GER-0103</t>
  </si>
  <si>
    <t>For a Oil &amp; Gas Upstream Operations &amp; Maintenance project in East Asia, there is a risk during Detailed Engineering that critical-path slippage or late approvals, combined with insufficient planning,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</si>
  <si>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Detailed Engineering gate, local law, interfaces, and the selected delivery model.</t>
  </si>
  <si>
    <t>GER-0104</t>
  </si>
  <si>
    <t>For a Offshore Wind Grid Interconnection project in North America, there is a risk during Procurement that critical-path slippage or late approvals, combined with insufficient planning,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</si>
  <si>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Procurement gate, local law, interfaces, and the selected delivery model.</t>
  </si>
  <si>
    <t>GER-0105</t>
  </si>
  <si>
    <t>For a Green Hydrogen R&amp;D / Technology Development project in Oceania, there is a risk during Manufacturing that critical-path slippage or late approvals, combined with insufficient planning,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</si>
  <si>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Manufacturing gate, local law, interfaces, and the selected delivery model.</t>
  </si>
  <si>
    <t>GER-0106</t>
  </si>
  <si>
    <t>For a Concentrated Solar Power EPCM project in Middle East, there is a risk during Detailed Engineering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</si>
  <si>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Detailed Engineering gate, local law, interfaces, and the selected delivery model.</t>
  </si>
  <si>
    <t>GER-0107</t>
  </si>
  <si>
    <t>For a Transmission &amp; Substations Commissioning &amp; Start-up project in South Asia, there is a risk during Procurement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</si>
  <si>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Procurement gate, local law, interfaces, and the selected delivery model.</t>
  </si>
  <si>
    <t>GER-0108</t>
  </si>
  <si>
    <t>For a Carbon Capture, Utilization &amp; Storage Decommissioning project in Southeast Asia, there is a risk during Manufacturing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</si>
  <si>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Manufacturing gate, local law, interfaces, and the selected delivery model.</t>
  </si>
  <si>
    <t>GER-0109</t>
  </si>
  <si>
    <t>For a Hydropower EPC / Turnkey project in Latin America, there is a risk during Construction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</si>
  <si>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Construction gate, local law, interfaces, and the selected delivery model.</t>
  </si>
  <si>
    <t>GER-0110</t>
  </si>
  <si>
    <t>For a Nuclear Power Installation project in Global / Multi-country, there is a risk during Installation that critical-path slippage or late approvals, combined with incomplete information,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</si>
  <si>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Installation gate, local law, interfaces, and the selected delivery model.</t>
  </si>
  <si>
    <t>GER-0111</t>
  </si>
  <si>
    <t>For a Geothermal R&amp;D / Technology Development project in Africa, there is a risk during Manufacturing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</si>
  <si>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Manufacturing gate, local law, interfaces, and the selected delivery model.</t>
  </si>
  <si>
    <t>GER-0112</t>
  </si>
  <si>
    <t>For a LNG Brownfield Modification project in East Asia, there is a risk during Construction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</si>
  <si>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LNG, the Construction gate, local law, interfaces, and the selected delivery model.</t>
  </si>
  <si>
    <t>GER-0113</t>
  </si>
  <si>
    <t>For a Onshore Wind Owner’s Engineering project in North America, there is a risk during Installation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</si>
  <si>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Onshore Wind, the Installation gate, local law, interfaces, and the selected delivery model.</t>
  </si>
  <si>
    <t>GER-0114</t>
  </si>
  <si>
    <t>For a Biomass / Waste-to-Energy EPCM project in Oceania, there is a risk during Pre-commissioning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</si>
  <si>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Pre-commissioning gate, local law, interfaces, and the selected delivery model.</t>
  </si>
  <si>
    <t>GER-0115</t>
  </si>
  <si>
    <t>For a Oil &amp; Gas Upstream Commissioning &amp; Start-up project in Europe, there is a risk during Commissioning that critical-path slippage or late approvals, combined with late decision-making,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</si>
  <si>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Commissioning gate, local law, interfaces, and the selected delivery model.</t>
  </si>
  <si>
    <t>GER-0116</t>
  </si>
  <si>
    <t>For a Battery Energy Storage Installation project in South Asia, there is a risk during Installation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</si>
  <si>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Installation gate, local law, interfaces, and the selected delivery model.</t>
  </si>
  <si>
    <t>GER-0117</t>
  </si>
  <si>
    <t>For a Coal / Thermal Power Operations &amp; Maintenance project in Southeast Asia, there is a risk during Pre-commissioning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</si>
  <si>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Pre-commissioning gate, local law, interfaces, and the selected delivery model.</t>
  </si>
  <si>
    <t>GER-0118</t>
  </si>
  <si>
    <t>For a Concentrated Solar Power Grid Interconnection project in Latin America, there is a risk during Commissioning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</si>
  <si>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Commissioning gate, local law, interfaces, and the selected delivery model.</t>
  </si>
  <si>
    <t>GER-0119</t>
  </si>
  <si>
    <t>For a Transmission &amp; Substations R&amp;D / Technology Development project in Global / Multi-country, there is a risk during Operations / Handover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</si>
  <si>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Operations / Handover gate, local law, interfaces, and the selected delivery model.</t>
  </si>
  <si>
    <t>GER-0120</t>
  </si>
  <si>
    <t>For a Carbon Capture, Utilization &amp; Storage Brownfield Modification project in Middle East, there is a risk during Feasibility &amp; Concept that critical-path slippage or late approvals, combined with weak controls,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</si>
  <si>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Feasibility &amp; Concept gate, local law, interfaces, and the selected delivery model.</t>
  </si>
  <si>
    <t>GER-0121</t>
  </si>
  <si>
    <t>For a Natural Gas / CCGT Commissioning &amp; Start-up project in East Asia, there is a risk during Commissioning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</si>
  <si>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Commissioning gate, local law, interfaces, and the selected delivery model.</t>
  </si>
  <si>
    <t>GER-0122</t>
  </si>
  <si>
    <t>For a Marine Energy Decommissioning project in North America, there is a risk during Operations / Handover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</si>
  <si>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Operations / Handover gate, local law, interfaces, and the selected delivery model.</t>
  </si>
  <si>
    <t>GER-0123</t>
  </si>
  <si>
    <t>For a Geothermal EPC / Turnkey project in Oceania, there is a risk during Feasibility &amp; Concept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</si>
  <si>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Feasibility &amp; Concept gate, local law, interfaces, and the selected delivery model.</t>
  </si>
  <si>
    <t>GER-0124</t>
  </si>
  <si>
    <t>For a LNG Installation project in Europe, there is a risk during FEED / Basic Design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</si>
  <si>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LNG, the FEED / Basic Design gate, local law, interfaces, and the selected delivery model.</t>
  </si>
  <si>
    <t>GER-0125</t>
  </si>
  <si>
    <t>For a Onshore Wind Operations &amp; Maintenance project in Africa, there is a risk during Detailed Engineering that critical-path slippage or late approvals, combined with resource constraints, may adversely affect project objectives through time / cost consequences.</t>
  </si>
  <si>
    <t>Establish controls for critical-path slippage or late approvals; assign actions, verify evidence, and review residual exposure at each gate. Tailor the response to Onshore Wind, the Detailed Engineering gate, local law, interfaces, and the selected delivery model.</t>
  </si>
  <si>
    <t>GER-0126</t>
  </si>
  <si>
    <t>For a Refining &amp; Petrochemicals Brownfield Modification project in Southeast Asia, there is a risk during Feasibility &amp; Concept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</si>
  <si>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Feasibility &amp; Concept gate, local law, interfaces, and the selected delivery model.</t>
  </si>
  <si>
    <t>GER-0127</t>
  </si>
  <si>
    <t>For a Solar PV Owner’s Engineering project in Latin America, there is a risk during FEED / Basic Design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</si>
  <si>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FEED / Basic Design gate, local law, interfaces, and the selected delivery model.</t>
  </si>
  <si>
    <t>GER-0128</t>
  </si>
  <si>
    <t>For a Battery Energy Storage EPCM project in Global / Multi-country, there is a risk during Detailed Engineering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</si>
  <si>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Detailed Engineering gate, local law, interfaces, and the selected delivery model.</t>
  </si>
  <si>
    <t>GER-0129</t>
  </si>
  <si>
    <t>For a Coal / Thermal Power Commissioning &amp; Start-up project in Middle East, there is a risk during Procurement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</si>
  <si>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Procurement gate, local law, interfaces, and the selected delivery model.</t>
  </si>
  <si>
    <t>GER-0130</t>
  </si>
  <si>
    <t>For a Concentrated Solar Power Decommissioning project in South Asia, there is a risk during Manufacturing that critical-path slippage or late approvals, combined with supplier dependency,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</si>
  <si>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Manufacturing gate, local law, interfaces, and the selected delivery model.</t>
  </si>
  <si>
    <t>GER-0131</t>
  </si>
  <si>
    <t>For a District Energy Operations &amp; Maintenance project in North America, there is a risk during Detailed Engineering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</si>
  <si>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Detailed Engineering gate, local law, interfaces, and the selected delivery model.</t>
  </si>
  <si>
    <t>GER-0132</t>
  </si>
  <si>
    <t>For a Pumped Storage Grid Interconnection project in Oceania, there is a risk during Procurement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</si>
  <si>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Procurement gate, local law, interfaces, and the selected delivery model.</t>
  </si>
  <si>
    <t>GER-0133</t>
  </si>
  <si>
    <t>For a Natural Gas / CCGT R&amp;D / Technology Development project in Europe, there is a risk during Manufacturing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</si>
  <si>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Manufacturing gate, local law, interfaces, and the selected delivery model.</t>
  </si>
  <si>
    <t>GER-0134</t>
  </si>
  <si>
    <t>For a Marine Energy Brownfield Modification project in Africa, there is a risk during Construction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</si>
  <si>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Construction gate, local law, interfaces, and the selected delivery model.</t>
  </si>
  <si>
    <t>GER-0135</t>
  </si>
  <si>
    <t>For a Geothermal Owner’s Engineering project in East Asia, there is a risk during Installation that critical-path slippage or late approvals, combined with interface complexity,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</si>
  <si>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Installation gate, local law, interfaces, and the selected delivery model.</t>
  </si>
  <si>
    <t>GER-0136</t>
  </si>
  <si>
    <t>For a Offshore Wind Decommissioning project in Latin America, there is a risk during Manufacturing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</si>
  <si>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Manufacturing gate, local law, interfaces, and the selected delivery model.</t>
  </si>
  <si>
    <t>GER-0137</t>
  </si>
  <si>
    <t>For a Green Hydrogen EPC / Turnkey project in Global / Multi-country, there is a risk during Construction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</si>
  <si>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Construction gate, local law, interfaces, and the selected delivery model.</t>
  </si>
  <si>
    <t>GER-0138</t>
  </si>
  <si>
    <t>For a Refining &amp; Petrochemicals Installation project in Middle East, there is a risk during Installation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</si>
  <si>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Installation gate, local law, interfaces, and the selected delivery model.</t>
  </si>
  <si>
    <t>GER-0139</t>
  </si>
  <si>
    <t>For a Solar PV Operations &amp; Maintenance project in South Asia, there is a risk during Pre-commissioning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</si>
  <si>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Pre-commissioning gate, local law, interfaces, and the selected delivery model.</t>
  </si>
  <si>
    <t>GER-0140</t>
  </si>
  <si>
    <t>For a Battery Energy Storage Grid Interconnection project in Southeast Asia, there is a risk during Commissioning that critical-path slippage or late approvals, combined with requirements volatility,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</si>
  <si>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Commissioning gate, local law, interfaces, and the selected delivery model.</t>
  </si>
  <si>
    <t>GER-0141</t>
  </si>
  <si>
    <t>For a Hydropower Owner’s Engineering project in Oceania, there is a risk during Installation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</si>
  <si>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Installation gate, local law, interfaces, and the selected delivery model.</t>
  </si>
  <si>
    <t>GER-0142</t>
  </si>
  <si>
    <t>For a Nuclear Power EPCM project in Europe, there is a risk during Pre-commissioning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</si>
  <si>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Pre-commissioning gate, local law, interfaces, and the selected delivery model.</t>
  </si>
  <si>
    <t>GER-0143</t>
  </si>
  <si>
    <t>For a District Energy Commissioning &amp; Start-up project in Africa, there is a risk during Commissioning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</si>
  <si>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Commissioning gate, local law, interfaces, and the selected delivery model.</t>
  </si>
  <si>
    <t>GER-0144</t>
  </si>
  <si>
    <t>For a Pumped Storage Decommissioning project in East Asia, there is a risk during Operations / Handover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</si>
  <si>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Operations / Handover gate, local law, interfaces, and the selected delivery model.</t>
  </si>
  <si>
    <t>GER-0145</t>
  </si>
  <si>
    <t>For a Natural Gas / CCGT EPC / Turnkey project in North America, there is a risk during Feasibility &amp; Concept that critical-path slippage or late approvals, combined with regulatory uncertainty,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</si>
  <si>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Feasibility &amp; Concept gate, local law, interfaces, and the selected delivery model.</t>
  </si>
  <si>
    <t>GER-0146</t>
  </si>
  <si>
    <t>For a Biomass / Waste-to-Energy Grid Interconnection project in Global / Multi-country, there is a risk during Commissioning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</si>
  <si>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Commissioning gate, local law, interfaces, and the selected delivery model.</t>
  </si>
  <si>
    <t>GER-0147</t>
  </si>
  <si>
    <t>For a Oil &amp; Gas Upstream R&amp;D / Technology Development project in Middle East, there is a risk during Operations / Handover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</si>
  <si>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Operations / Handover gate, local law, interfaces, and the selected delivery model.</t>
  </si>
  <si>
    <t>GER-0148</t>
  </si>
  <si>
    <t>For a Offshore Wind Brownfield Modification project in South Asia, there is a risk during Feasibility &amp; Concept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</si>
  <si>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Feasibility &amp; Concept gate, local law, interfaces, and the selected delivery model.</t>
  </si>
  <si>
    <t>GER-0149</t>
  </si>
  <si>
    <t>For a Green Hydrogen Owner’s Engineering project in Southeast Asia, there is a risk during FEED / Basic Design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</si>
  <si>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FEED / Basic Design gate, local law, interfaces, and the selected delivery model.</t>
  </si>
  <si>
    <t>GER-0150</t>
  </si>
  <si>
    <t>For a Refining &amp; Petrochemicals EPCM project in Latin America, there is a risk during Detailed Engineering that critical-path slippage or late approvals, combined with inadequate verification,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</si>
  <si>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Detailed Engineering gate, local law, interfaces, and the selected delivery model.</t>
  </si>
  <si>
    <t>GER-0151</t>
  </si>
  <si>
    <t>For a Transmission &amp; Substations EPC / Turnkey project in Europe, there is a risk during Feasibility &amp; Concept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</si>
  <si>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Feasibility &amp; Concept gate, local law, interfaces, and the selected delivery model.</t>
  </si>
  <si>
    <t>GER-0152</t>
  </si>
  <si>
    <t>For a Carbon Capture, Utilization &amp; Storage Installation project in Africa, there is a risk during FEED / Basic Design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</si>
  <si>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FEED / Basic Design gate, local law, interfaces, and the selected delivery model.</t>
  </si>
  <si>
    <t>GER-0153</t>
  </si>
  <si>
    <t>For a Hydropower Operations &amp; Maintenance project in East Asia, there is a risk during Detailed Engineering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</si>
  <si>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Detailed Engineering gate, local law, interfaces, and the selected delivery model.</t>
  </si>
  <si>
    <t>GER-0154</t>
  </si>
  <si>
    <t>For a Nuclear Power Grid Interconnection project in North America, there is a risk during Procurement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</si>
  <si>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Procurement gate, local law, interfaces, and the selected delivery model.</t>
  </si>
  <si>
    <t>GER-0155</t>
  </si>
  <si>
    <t>For a District Energy R&amp;D / Technology Development project in Oceania, there is a risk during Manufacturing that critical-path slippage or late approvals, combined with poor communication,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</si>
  <si>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Manufacturing gate, local law, interfaces, and the selected delivery model.</t>
  </si>
  <si>
    <t>GER-0156</t>
  </si>
  <si>
    <t>For a LNG EPCM project in Middle East, there is a risk during Detailed Engineering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</si>
  <si>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LNG, the Detailed Engineering gate, local law, interfaces, and the selected delivery model.</t>
  </si>
  <si>
    <t>GER-0157</t>
  </si>
  <si>
    <t>For a Onshore Wind Commissioning &amp; Start-up project in South Asia, there is a risk during Procurement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</si>
  <si>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Onshore Wind, the Procurement gate, local law, interfaces, and the selected delivery model.</t>
  </si>
  <si>
    <t>GER-0158</t>
  </si>
  <si>
    <t>For a Biomass / Waste-to-Energy Decommissioning project in Southeast Asia, there is a risk during Manufacturing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</si>
  <si>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Manufacturing gate, local law, interfaces, and the selected delivery model.</t>
  </si>
  <si>
    <t>GER-0159</t>
  </si>
  <si>
    <t>For a Oil &amp; Gas Upstream EPC / Turnkey project in Latin America, there is a risk during Construction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</si>
  <si>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Construction gate, local law, interfaces, and the selected delivery model.</t>
  </si>
  <si>
    <t>GER-0160</t>
  </si>
  <si>
    <t>For a Offshore Wind Installation project in Global / Multi-country, there is a risk during Installation that critical-path slippage or late approvals, combined with incorrect assumptions,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</si>
  <si>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Installation gate, local law, interfaces, and the selected delivery model.</t>
  </si>
  <si>
    <t>GER-0161</t>
  </si>
  <si>
    <t>For a Coal / Thermal Power R&amp;D / Technology Development project in Africa, there is a risk during Manufacturing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</si>
  <si>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Manufacturing gate, local law, interfaces, and the selected delivery model.</t>
  </si>
  <si>
    <t>GER-0162</t>
  </si>
  <si>
    <t>For a Concentrated Solar Power Brownfield Modification project in East Asia, there is a risk during Construction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</si>
  <si>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Construction gate, local law, interfaces, and the selected delivery model.</t>
  </si>
  <si>
    <t>GER-0163</t>
  </si>
  <si>
    <t>For a Transmission &amp; Substations Owner’s Engineering project in North America, there is a risk during Installation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</si>
  <si>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Installation gate, local law, interfaces, and the selected delivery model.</t>
  </si>
  <si>
    <t>GER-0164</t>
  </si>
  <si>
    <t>For a Carbon Capture, Utilization &amp; Storage EPCM project in Oceania, there is a risk during Pre-commissioning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</si>
  <si>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Pre-commissioning gate, local law, interfaces, and the selected delivery model.</t>
  </si>
  <si>
    <t>GER-0165</t>
  </si>
  <si>
    <t>For a Hydropower Commissioning &amp; Start-up project in Europe, there is a risk during Commissioning that critical-path slippage or late approvals, combined with low technical maturity,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</si>
  <si>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Commissioning gate, local law, interfaces, and the selected delivery model.</t>
  </si>
  <si>
    <t>GER-0166</t>
  </si>
  <si>
    <t>For a Marine Energy Installation project in South Asia, there is a risk during Installation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</si>
  <si>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Installation gate, local law, interfaces, and the selected delivery model.</t>
  </si>
  <si>
    <t>GER-0167</t>
  </si>
  <si>
    <t>For a Geothermal Operations &amp; Maintenance project in Southeast Asia, there is a risk during Pre-commissioning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</si>
  <si>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Pre-commissioning gate, local law, interfaces, and the selected delivery model.</t>
  </si>
  <si>
    <t>GER-0168</t>
  </si>
  <si>
    <t>For a LNG Grid Interconnection project in Latin America, there is a risk during Commissioning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</si>
  <si>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LNG, the Commissioning gate, local law, interfaces, and the selected delivery model.</t>
  </si>
  <si>
    <t>GER-0169</t>
  </si>
  <si>
    <t>For a Onshore Wind R&amp;D / Technology Development project in Global / Multi-country, there is a risk during Operations / Handover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</si>
  <si>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Onshore Wind, the Operations / Handover gate, local law, interfaces, and the selected delivery model.</t>
  </si>
  <si>
    <t>GER-0170</t>
  </si>
  <si>
    <t>For a Biomass / Waste-to-Energy Brownfield Modification project in Middle East, there is a risk during Feasibility &amp; Concept that critical-path slippage or late approvals, combined with documentation gaps, may adversely affect project objectives through time / cost consequences.</t>
  </si>
  <si>
    <t>Establish controls for critical-path slippage or late approvals; assign actions, verify evidence, and review residual exposure at each gate. Tailor the response to Biomass / Waste-to-Energy, the Feasibility &amp; Concept gate, local law, interfaces, and the selected delivery model.</t>
  </si>
  <si>
    <t>GER-0171</t>
  </si>
  <si>
    <t>For a Solar PV Commissioning &amp; Start-up project in East Asia, there is a risk during Commissioning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</si>
  <si>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Commissioning gate, local law, interfaces, and the selected delivery model.</t>
  </si>
  <si>
    <t>GER-0172</t>
  </si>
  <si>
    <t>For a Battery Energy Storage Decommissioning project in North America, there is a risk during Operations / Handover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</si>
  <si>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Operations / Handover gate, local law, interfaces, and the selected delivery model.</t>
  </si>
  <si>
    <t>GER-0173</t>
  </si>
  <si>
    <t>For a Coal / Thermal Power EPC / Turnkey project in Oceania, there is a risk during Feasibility &amp; Concept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</si>
  <si>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Feasibility &amp; Concept gate, local law, interfaces, and the selected delivery model.</t>
  </si>
  <si>
    <t>GER-0174</t>
  </si>
  <si>
    <t>For a Concentrated Solar Power Installation project in Europe, there is a risk during FEED / Basic Design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</si>
  <si>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Concentrated Solar Power, the FEED / Basic Design gate, local law, interfaces, and the selected delivery model.</t>
  </si>
  <si>
    <t>GER-0175</t>
  </si>
  <si>
    <t>For a Transmission &amp; Substations Operations &amp; Maintenance project in Africa, there is a risk during Detailed Engineering that critical-path slippage or late approvals, combined with external disruption, may adversely affect project objectives through time / cost consequences.</t>
  </si>
  <si>
    <t>Establish controls for critical-path slippage or late approvals; assign actions, verify evidence, and review residual exposure at each gate. Tailor the response to Transmission &amp; Substations, the Detailed Engineering gate, local law, interfaces, and the selected delivery model.</t>
  </si>
  <si>
    <t>GER-0176</t>
  </si>
  <si>
    <t>For a Pumped Storage Brownfield Modification project in Southeast Asia, there is a risk during Feasibility &amp; Concept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</si>
  <si>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Feasibility &amp; Concept gate, local law, interfaces, and the selected delivery model.</t>
  </si>
  <si>
    <t>GER-0177</t>
  </si>
  <si>
    <t>For a Natural Gas / CCGT Owner’s Engineering project in Latin America, there is a risk during FEED / Basic Design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</si>
  <si>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FEED / Basic Design gate, local law, interfaces, and the selected delivery model.</t>
  </si>
  <si>
    <t>GER-0178</t>
  </si>
  <si>
    <t>For a Marine Energy EPCM project in Global / Multi-country, there is a risk during Detailed Engineering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</si>
  <si>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Detailed Engineering gate, local law, interfaces, and the selected delivery model.</t>
  </si>
  <si>
    <t>GER-0179</t>
  </si>
  <si>
    <t>For a Geothermal Commissioning &amp; Start-up project in Middle East, there is a risk during Procurement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</si>
  <si>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Geothermal, the Procurement gate, local law, interfaces, and the selected delivery model.</t>
  </si>
  <si>
    <t>GER-0180</t>
  </si>
  <si>
    <t>For a LNG Decommissioning project in South Asia, there is a risk during Manufacturing that critical-path slippage or late approvals, combined with governance delay, may adversely affect project objectives through time / cost consequences.</t>
  </si>
  <si>
    <t>Establish controls for critical-path slippage or late approvals; assign actions, verify evidence, and review residual exposure at each gate. Tailor the response to LNG, the Manufacturing gate, local law, interfaces, and the selected delivery model.</t>
  </si>
  <si>
    <t>GER-0181</t>
  </si>
  <si>
    <t>For a Green Hydrogen Operations &amp; Maintenance project in North America, there is a risk during Detailed Engineering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</si>
  <si>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Detailed Engineering gate, local law, interfaces, and the selected delivery model.</t>
  </si>
  <si>
    <t>GER-0182</t>
  </si>
  <si>
    <t>For a Refining &amp; Petrochemicals Grid Interconnection project in Oceania, there is a risk during Procurement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</si>
  <si>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Procurement gate, local law, interfaces, and the selected delivery model.</t>
  </si>
  <si>
    <t>GER-0183</t>
  </si>
  <si>
    <t>For a Solar PV R&amp;D / Technology Development project in Europe, there is a risk during Manufacturing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</si>
  <si>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Manufacturing gate, local law, interfaces, and the selected delivery model.</t>
  </si>
  <si>
    <t>GER-0184</t>
  </si>
  <si>
    <t>For a Battery Energy Storage Brownfield Modification project in Africa, there is a risk during Construction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</si>
  <si>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Battery Energy Storage, the Construction gate, local law, interfaces, and the selected delivery model.</t>
  </si>
  <si>
    <t>GER-0185</t>
  </si>
  <si>
    <t>For a Coal / Thermal Power Owner’s Engineering project in East Asia, there is a risk during Installation that critical-path slippage or late approvals, combined with commercial misalignment, may adversely affect project objectives through time / cost consequences.</t>
  </si>
  <si>
    <t>Establish controls for critical-path slippage or late approvals; assign actions, verify evidence, and review residual exposure at each gate. Tailor the response to Coal / Thermal Power, the Installation gate, local law, interfaces, and the selected delivery model.</t>
  </si>
  <si>
    <t>GER-0186</t>
  </si>
  <si>
    <t>For a Nuclear Power Decommissioning project in Latin America, there is a risk during Manufacturing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</si>
  <si>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Manufacturing gate, local law, interfaces, and the selected delivery model.</t>
  </si>
  <si>
    <t>GER-0187</t>
  </si>
  <si>
    <t>For a District Energy EPC / Turnkey project in Global / Multi-country, there is a risk during Construction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</si>
  <si>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Construction gate, local law, interfaces, and the selected delivery model.</t>
  </si>
  <si>
    <t>GER-0188</t>
  </si>
  <si>
    <t>For a Pumped Storage Installation project in Middle East, there is a risk during Installation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</si>
  <si>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Installation gate, local law, interfaces, and the selected delivery model.</t>
  </si>
  <si>
    <t>GER-0189</t>
  </si>
  <si>
    <t>For a Natural Gas / CCGT Operations &amp; Maintenance project in South Asia, there is a risk during Pre-commissioning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</si>
  <si>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Natural Gas / CCGT, the Pre-commissioning gate, local law, interfaces, and the selected delivery model.</t>
  </si>
  <si>
    <t>GER-0190</t>
  </si>
  <si>
    <t>For a Marine Energy Grid Interconnection project in Southeast Asia, there is a risk during Commissioning that critical-path slippage or late approvals, combined with quality escape, may adversely affect project objectives through time / cost consequences.</t>
  </si>
  <si>
    <t>Establish controls for critical-path slippage or late approvals; assign actions, verify evidence, and review residual exposure at each gate. Tailor the response to Marine Energy, the Commissioning gate, local law, interfaces, and the selected delivery model.</t>
  </si>
  <si>
    <t>GER-0191</t>
  </si>
  <si>
    <t>For a Oil &amp; Gas Upstream Owner’s Engineering project in Oceania, there is a risk during Installation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</si>
  <si>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Oil &amp; Gas Upstream, the Installation gate, local law, interfaces, and the selected delivery model.</t>
  </si>
  <si>
    <t>GER-0192</t>
  </si>
  <si>
    <t>For a Offshore Wind EPCM project in Europe, there is a risk during Pre-commissioning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</si>
  <si>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Offshore Wind, the Pre-commissioning gate, local law, interfaces, and the selected delivery model.</t>
  </si>
  <si>
    <t>GER-0193</t>
  </si>
  <si>
    <t>For a Green Hydrogen Commissioning &amp; Start-up project in Africa, there is a risk during Commissioning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</si>
  <si>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Green Hydrogen, the Commissioning gate, local law, interfaces, and the selected delivery model.</t>
  </si>
  <si>
    <t>GER-0194</t>
  </si>
  <si>
    <t>For a Refining &amp; Petrochemicals Decommissioning project in East Asia, there is a risk during Operations / Handover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</si>
  <si>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Refining &amp; Petrochemicals, the Operations / Handover gate, local law, interfaces, and the selected delivery model.</t>
  </si>
  <si>
    <t>GER-0195</t>
  </si>
  <si>
    <t>For a Solar PV EPC / Turnkey project in North America, there is a risk during Feasibility &amp; Concept that critical-path slippage or late approvals, combined with access constraint, may adversely affect project objectives through time / cost consequences.</t>
  </si>
  <si>
    <t>Establish controls for critical-path slippage or late approvals; assign actions, verify evidence, and review residual exposure at each gate. Tailor the response to Solar PV, the Feasibility &amp; Concept gate, local law, interfaces, and the selected delivery model.</t>
  </si>
  <si>
    <t>GER-0196</t>
  </si>
  <si>
    <t>For a Carbon Capture, Utilization &amp; Storage Grid Interconnection project in Global / Multi-country, there is a risk during Commissioning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</si>
  <si>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Carbon Capture, Utilization &amp; Storage, the Commissioning gate, local law, interfaces, and the selected delivery model.</t>
  </si>
  <si>
    <t>GER-0197</t>
  </si>
  <si>
    <t>For a Hydropower R&amp;D / Technology Development project in Middle East, there is a risk during Operations / Handover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</si>
  <si>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Hydropower, the Operations / Handover gate, local law, interfaces, and the selected delivery model.</t>
  </si>
  <si>
    <t>GER-0198</t>
  </si>
  <si>
    <t>For a Nuclear Power Brownfield Modification project in South Asia, there is a risk during Feasibility &amp; Concept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</si>
  <si>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Nuclear Power, the Feasibility &amp; Concept gate, local law, interfaces, and the selected delivery model.</t>
  </si>
  <si>
    <t>GER-0199</t>
  </si>
  <si>
    <t>For a District Energy Owner’s Engineering project in Southeast Asia, there is a risk during FEED / Basic Design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</si>
  <si>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District Energy, the FEED / Basic Design gate, local law, interfaces, and the selected delivery model.</t>
  </si>
  <si>
    <t>GER-0200</t>
  </si>
  <si>
    <t>For a Pumped Storage EPCM project in Latin America, there is a risk during Detailed Engineering that critical-path slippage or late approvals, combined with performance variability, may adversely affect project objectives through time / cost consequences.</t>
  </si>
  <si>
    <t>Establish controls for critical-path slippage or late approvals; assign actions, verify evidence, and review residual exposure at each gate. Tailor the response to Pumped Storage, the Detailed Engineering gate, local law, interfaces, and the selected delivery model.</t>
  </si>
  <si>
    <t>GER-0201</t>
  </si>
  <si>
    <t>For a Onshore Wind EPC / Turnkey project in Europe, there is a risk during Feasibility &amp; Concept that estimate omissions, escalation or quantity growth, combined with insufficient planning, may adversely affect project objectives through cost consequences.</t>
  </si>
  <si>
    <t>Cost &amp; Estimating</t>
  </si>
  <si>
    <t>Cost</t>
  </si>
  <si>
    <t>Establish controls for estimate omissions, escalation or quantity growth; assign actions, verify evidence, and review residual exposure at each gate. Tailor the response to Onshore Wind, the Feasibility &amp; Concept gate, local law, interfaces, and the selected delivery model.</t>
  </si>
  <si>
    <t>Commercial Manager</t>
  </si>
  <si>
    <t>GER-0202</t>
  </si>
  <si>
    <t>For a Biomass / Waste-to-Energy Installation project in Africa, there is a risk during FEED / Basic Design that estimate omissions, escalation or quantity growth, combined with insufficient planning,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</si>
  <si>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FEED / Basic Design gate, local law, interfaces, and the selected delivery model.</t>
  </si>
  <si>
    <t>GER-0203</t>
  </si>
  <si>
    <t>For a Oil &amp; Gas Upstream Operations &amp; Maintenance project in East Asia, there is a risk during Detailed Engineering that estimate omissions, escalation or quantity growth, combined with insufficient planning,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</si>
  <si>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Detailed Engineering gate, local law, interfaces, and the selected delivery model.</t>
  </si>
  <si>
    <t>GER-0204</t>
  </si>
  <si>
    <t>For a Offshore Wind Grid Interconnection project in North America, there is a risk during Procurement that estimate omissions, escalation or quantity growth, combined with insufficient planning,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</si>
  <si>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Procurement gate, local law, interfaces, and the selected delivery model.</t>
  </si>
  <si>
    <t>GER-0205</t>
  </si>
  <si>
    <t>For a Green Hydrogen R&amp;D / Technology Development project in Oceania, there is a risk during Manufacturing that estimate omissions, escalation or quantity growth, combined with insufficient planning,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</si>
  <si>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Manufacturing gate, local law, interfaces, and the selected delivery model.</t>
  </si>
  <si>
    <t>GER-0206</t>
  </si>
  <si>
    <t>For a Concentrated Solar Power EPCM project in Middle East, there is a risk during Detailed Engineering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</si>
  <si>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Detailed Engineering gate, local law, interfaces, and the selected delivery model.</t>
  </si>
  <si>
    <t>GER-0207</t>
  </si>
  <si>
    <t>For a Transmission &amp; Substations Commissioning &amp; Start-up project in South Asia, there is a risk during Procurement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</si>
  <si>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Procurement gate, local law, interfaces, and the selected delivery model.</t>
  </si>
  <si>
    <t>GER-0208</t>
  </si>
  <si>
    <t>For a Carbon Capture, Utilization &amp; Storage Decommissioning project in Southeast Asia, there is a risk during Manufacturing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</si>
  <si>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Manufacturing gate, local law, interfaces, and the selected delivery model.</t>
  </si>
  <si>
    <t>GER-0209</t>
  </si>
  <si>
    <t>For a Hydropower EPC / Turnkey project in Latin America, there is a risk during Construction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</si>
  <si>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Construction gate, local law, interfaces, and the selected delivery model.</t>
  </si>
  <si>
    <t>GER-0210</t>
  </si>
  <si>
    <t>For a Nuclear Power Installation project in Global / Multi-country, there is a risk during Installation that estimate omissions, escalation or quantity growth, combined with incomplete information,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</si>
  <si>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Installation gate, local law, interfaces, and the selected delivery model.</t>
  </si>
  <si>
    <t>GER-0211</t>
  </si>
  <si>
    <t>For a Geothermal R&amp;D / Technology Development project in Africa, there is a risk during Manufacturing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</si>
  <si>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Manufacturing gate, local law, interfaces, and the selected delivery model.</t>
  </si>
  <si>
    <t>GER-0212</t>
  </si>
  <si>
    <t>For a LNG Brownfield Modification project in East Asia, there is a risk during Construction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</si>
  <si>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LNG, the Construction gate, local law, interfaces, and the selected delivery model.</t>
  </si>
  <si>
    <t>GER-0213</t>
  </si>
  <si>
    <t>For a Onshore Wind Owner’s Engineering project in North America, there is a risk during Installation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</si>
  <si>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Onshore Wind, the Installation gate, local law, interfaces, and the selected delivery model.</t>
  </si>
  <si>
    <t>GER-0214</t>
  </si>
  <si>
    <t>For a Biomass / Waste-to-Energy EPCM project in Oceania, there is a risk during Pre-commissioning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</si>
  <si>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Pre-commissioning gate, local law, interfaces, and the selected delivery model.</t>
  </si>
  <si>
    <t>GER-0215</t>
  </si>
  <si>
    <t>For a Oil &amp; Gas Upstream Commissioning &amp; Start-up project in Europe, there is a risk during Commissioning that estimate omissions, escalation or quantity growth, combined with late decision-making,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</si>
  <si>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Commissioning gate, local law, interfaces, and the selected delivery model.</t>
  </si>
  <si>
    <t>GER-0216</t>
  </si>
  <si>
    <t>For a Battery Energy Storage Installation project in South Asia, there is a risk during Installation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</si>
  <si>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Installation gate, local law, interfaces, and the selected delivery model.</t>
  </si>
  <si>
    <t>GER-0217</t>
  </si>
  <si>
    <t>For a Coal / Thermal Power Operations &amp; Maintenance project in Southeast Asia, there is a risk during Pre-commissioning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</si>
  <si>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Pre-commissioning gate, local law, interfaces, and the selected delivery model.</t>
  </si>
  <si>
    <t>GER-0218</t>
  </si>
  <si>
    <t>For a Concentrated Solar Power Grid Interconnection project in Latin America, there is a risk during Commissioning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</si>
  <si>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Commissioning gate, local law, interfaces, and the selected delivery model.</t>
  </si>
  <si>
    <t>GER-0219</t>
  </si>
  <si>
    <t>For a Transmission &amp; Substations R&amp;D / Technology Development project in Global / Multi-country, there is a risk during Operations / Handover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</si>
  <si>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Operations / Handover gate, local law, interfaces, and the selected delivery model.</t>
  </si>
  <si>
    <t>GER-0220</t>
  </si>
  <si>
    <t>For a Carbon Capture, Utilization &amp; Storage Brownfield Modification project in Middle East, there is a risk during Feasibility &amp; Concept that estimate omissions, escalation or quantity growth, combined with weak controls,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</si>
  <si>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Feasibility &amp; Concept gate, local law, interfaces, and the selected delivery model.</t>
  </si>
  <si>
    <t>GER-0221</t>
  </si>
  <si>
    <t>For a Natural Gas / CCGT Commissioning &amp; Start-up project in East Asia, there is a risk during Commissioning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</si>
  <si>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Commissioning gate, local law, interfaces, and the selected delivery model.</t>
  </si>
  <si>
    <t>GER-0222</t>
  </si>
  <si>
    <t>For a Marine Energy Decommissioning project in North America, there is a risk during Operations / Handover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</si>
  <si>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Operations / Handover gate, local law, interfaces, and the selected delivery model.</t>
  </si>
  <si>
    <t>GER-0223</t>
  </si>
  <si>
    <t>For a Geothermal EPC / Turnkey project in Oceania, there is a risk during Feasibility &amp; Concept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</si>
  <si>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Feasibility &amp; Concept gate, local law, interfaces, and the selected delivery model.</t>
  </si>
  <si>
    <t>GER-0224</t>
  </si>
  <si>
    <t>For a LNG Installation project in Europe, there is a risk during FEED / Basic Design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</si>
  <si>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LNG, the FEED / Basic Design gate, local law, interfaces, and the selected delivery model.</t>
  </si>
  <si>
    <t>GER-0225</t>
  </si>
  <si>
    <t>For a Onshore Wind Operations &amp; Maintenance project in Africa, there is a risk during Detailed Engineering that estimate omissions, escalation or quantity growth, combined with resource constraints, may adversely affect project objectives through cost consequences.</t>
  </si>
  <si>
    <t>Establish controls for estimate omissions, escalation or quantity growth; assign actions, verify evidence, and review residual exposure at each gate. Tailor the response to Onshore Wind, the Detailed Engineering gate, local law, interfaces, and the selected delivery model.</t>
  </si>
  <si>
    <t>GER-0226</t>
  </si>
  <si>
    <t>For a Refining &amp; Petrochemicals Brownfield Modification project in Southeast Asia, there is a risk during Feasibility &amp; Concept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</si>
  <si>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Feasibility &amp; Concept gate, local law, interfaces, and the selected delivery model.</t>
  </si>
  <si>
    <t>GER-0227</t>
  </si>
  <si>
    <t>For a Solar PV Owner’s Engineering project in Latin America, there is a risk during FEED / Basic Design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</si>
  <si>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FEED / Basic Design gate, local law, interfaces, and the selected delivery model.</t>
  </si>
  <si>
    <t>GER-0228</t>
  </si>
  <si>
    <t>For a Battery Energy Storage EPCM project in Global / Multi-country, there is a risk during Detailed Engineering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</si>
  <si>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Detailed Engineering gate, local law, interfaces, and the selected delivery model.</t>
  </si>
  <si>
    <t>GER-0229</t>
  </si>
  <si>
    <t>For a Coal / Thermal Power Commissioning &amp; Start-up project in Middle East, there is a risk during Procurement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</si>
  <si>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Procurement gate, local law, interfaces, and the selected delivery model.</t>
  </si>
  <si>
    <t>GER-0230</t>
  </si>
  <si>
    <t>For a Concentrated Solar Power Decommissioning project in South Asia, there is a risk during Manufacturing that estimate omissions, escalation or quantity growth, combined with supplier dependency,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</si>
  <si>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Manufacturing gate, local law, interfaces, and the selected delivery model.</t>
  </si>
  <si>
    <t>GER-0231</t>
  </si>
  <si>
    <t>For a District Energy Operations &amp; Maintenance project in North America, there is a risk during Detailed Engineering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</si>
  <si>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Detailed Engineering gate, local law, interfaces, and the selected delivery model.</t>
  </si>
  <si>
    <t>GER-0232</t>
  </si>
  <si>
    <t>For a Pumped Storage Grid Interconnection project in Oceania, there is a risk during Procurement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</si>
  <si>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Procurement gate, local law, interfaces, and the selected delivery model.</t>
  </si>
  <si>
    <t>GER-0233</t>
  </si>
  <si>
    <t>For a Natural Gas / CCGT R&amp;D / Technology Development project in Europe, there is a risk during Manufacturing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</si>
  <si>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Manufacturing gate, local law, interfaces, and the selected delivery model.</t>
  </si>
  <si>
    <t>GER-0234</t>
  </si>
  <si>
    <t>For a Marine Energy Brownfield Modification project in Africa, there is a risk during Construction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</si>
  <si>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Construction gate, local law, interfaces, and the selected delivery model.</t>
  </si>
  <si>
    <t>GER-0235</t>
  </si>
  <si>
    <t>For a Geothermal Owner’s Engineering project in East Asia, there is a risk during Installation that estimate omissions, escalation or quantity growth, combined with interface complexity,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</si>
  <si>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Installation gate, local law, interfaces, and the selected delivery model.</t>
  </si>
  <si>
    <t>GER-0236</t>
  </si>
  <si>
    <t>For a Offshore Wind Decommissioning project in Latin America, there is a risk during Manufacturing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</si>
  <si>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Manufacturing gate, local law, interfaces, and the selected delivery model.</t>
  </si>
  <si>
    <t>GER-0237</t>
  </si>
  <si>
    <t>For a Green Hydrogen EPC / Turnkey project in Global / Multi-country, there is a risk during Construction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</si>
  <si>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Construction gate, local law, interfaces, and the selected delivery model.</t>
  </si>
  <si>
    <t>GER-0238</t>
  </si>
  <si>
    <t>For a Refining &amp; Petrochemicals Installation project in Middle East, there is a risk during Installation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</si>
  <si>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Installation gate, local law, interfaces, and the selected delivery model.</t>
  </si>
  <si>
    <t>GER-0239</t>
  </si>
  <si>
    <t>For a Solar PV Operations &amp; Maintenance project in South Asia, there is a risk during Pre-commissioning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</si>
  <si>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Pre-commissioning gate, local law, interfaces, and the selected delivery model.</t>
  </si>
  <si>
    <t>GER-0240</t>
  </si>
  <si>
    <t>For a Battery Energy Storage Grid Interconnection project in Southeast Asia, there is a risk during Commissioning that estimate omissions, escalation or quantity growth, combined with requirements volatility,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</si>
  <si>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Commissioning gate, local law, interfaces, and the selected delivery model.</t>
  </si>
  <si>
    <t>GER-0241</t>
  </si>
  <si>
    <t>For a Hydropower Owner’s Engineering project in Oceania, there is a risk during Installation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</si>
  <si>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Installation gate, local law, interfaces, and the selected delivery model.</t>
  </si>
  <si>
    <t>GER-0242</t>
  </si>
  <si>
    <t>For a Nuclear Power EPCM project in Europe, there is a risk during Pre-commissioning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</si>
  <si>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Pre-commissioning gate, local law, interfaces, and the selected delivery model.</t>
  </si>
  <si>
    <t>GER-0243</t>
  </si>
  <si>
    <t>For a District Energy Commissioning &amp; Start-up project in Africa, there is a risk during Commissioning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</si>
  <si>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Commissioning gate, local law, interfaces, and the selected delivery model.</t>
  </si>
  <si>
    <t>GER-0244</t>
  </si>
  <si>
    <t>For a Pumped Storage Decommissioning project in East Asia, there is a risk during Operations / Handover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</si>
  <si>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Operations / Handover gate, local law, interfaces, and the selected delivery model.</t>
  </si>
  <si>
    <t>GER-0245</t>
  </si>
  <si>
    <t>For a Natural Gas / CCGT EPC / Turnkey project in North America, there is a risk during Feasibility &amp; Concept that estimate omissions, escalation or quantity growth, combined with regulatory uncertainty,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</si>
  <si>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Feasibility &amp; Concept gate, local law, interfaces, and the selected delivery model.</t>
  </si>
  <si>
    <t>GER-0246</t>
  </si>
  <si>
    <t>For a Biomass / Waste-to-Energy Grid Interconnection project in Global / Multi-country, there is a risk during Commissioning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</si>
  <si>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Commissioning gate, local law, interfaces, and the selected delivery model.</t>
  </si>
  <si>
    <t>GER-0247</t>
  </si>
  <si>
    <t>For a Oil &amp; Gas Upstream R&amp;D / Technology Development project in Middle East, there is a risk during Operations / Handover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</si>
  <si>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Operations / Handover gate, local law, interfaces, and the selected delivery model.</t>
  </si>
  <si>
    <t>GER-0248</t>
  </si>
  <si>
    <t>For a Offshore Wind Brownfield Modification project in South Asia, there is a risk during Feasibility &amp; Concept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</si>
  <si>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Feasibility &amp; Concept gate, local law, interfaces, and the selected delivery model.</t>
  </si>
  <si>
    <t>GER-0249</t>
  </si>
  <si>
    <t>For a Green Hydrogen Owner’s Engineering project in Southeast Asia, there is a risk during FEED / Basic Design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</si>
  <si>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FEED / Basic Design gate, local law, interfaces, and the selected delivery model.</t>
  </si>
  <si>
    <t>GER-0250</t>
  </si>
  <si>
    <t>For a Refining &amp; Petrochemicals EPCM project in Latin America, there is a risk during Detailed Engineering that estimate omissions, escalation or quantity growth, combined with inadequate verification,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</si>
  <si>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Detailed Engineering gate, local law, interfaces, and the selected delivery model.</t>
  </si>
  <si>
    <t>GER-0251</t>
  </si>
  <si>
    <t>For a Transmission &amp; Substations EPC / Turnkey project in Europe, there is a risk during Feasibility &amp; Concept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</si>
  <si>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Feasibility &amp; Concept gate, local law, interfaces, and the selected delivery model.</t>
  </si>
  <si>
    <t>GER-0252</t>
  </si>
  <si>
    <t>For a Carbon Capture, Utilization &amp; Storage Installation project in Africa, there is a risk during FEED / Basic Design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</si>
  <si>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FEED / Basic Design gate, local law, interfaces, and the selected delivery model.</t>
  </si>
  <si>
    <t>GER-0253</t>
  </si>
  <si>
    <t>For a Hydropower Operations &amp; Maintenance project in East Asia, there is a risk during Detailed Engineering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</si>
  <si>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Detailed Engineering gate, local law, interfaces, and the selected delivery model.</t>
  </si>
  <si>
    <t>GER-0254</t>
  </si>
  <si>
    <t>For a Nuclear Power Grid Interconnection project in North America, there is a risk during Procurement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</si>
  <si>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Procurement gate, local law, interfaces, and the selected delivery model.</t>
  </si>
  <si>
    <t>GER-0255</t>
  </si>
  <si>
    <t>For a District Energy R&amp;D / Technology Development project in Oceania, there is a risk during Manufacturing that estimate omissions, escalation or quantity growth, combined with poor communication,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</si>
  <si>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Manufacturing gate, local law, interfaces, and the selected delivery model.</t>
  </si>
  <si>
    <t>GER-0256</t>
  </si>
  <si>
    <t>For a LNG EPCM project in Middle East, there is a risk during Detailed Engineering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</si>
  <si>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LNG, the Detailed Engineering gate, local law, interfaces, and the selected delivery model.</t>
  </si>
  <si>
    <t>GER-0257</t>
  </si>
  <si>
    <t>For a Onshore Wind Commissioning &amp; Start-up project in South Asia, there is a risk during Procurement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</si>
  <si>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Onshore Wind, the Procurement gate, local law, interfaces, and the selected delivery model.</t>
  </si>
  <si>
    <t>GER-0258</t>
  </si>
  <si>
    <t>For a Biomass / Waste-to-Energy Decommissioning project in Southeast Asia, there is a risk during Manufacturing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</si>
  <si>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Manufacturing gate, local law, interfaces, and the selected delivery model.</t>
  </si>
  <si>
    <t>GER-0259</t>
  </si>
  <si>
    <t>For a Oil &amp; Gas Upstream EPC / Turnkey project in Latin America, there is a risk during Construction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</si>
  <si>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Construction gate, local law, interfaces, and the selected delivery model.</t>
  </si>
  <si>
    <t>GER-0260</t>
  </si>
  <si>
    <t>For a Offshore Wind Installation project in Global / Multi-country, there is a risk during Installation that estimate omissions, escalation or quantity growth, combined with incorrect assumptions,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</si>
  <si>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Installation gate, local law, interfaces, and the selected delivery model.</t>
  </si>
  <si>
    <t>GER-0261</t>
  </si>
  <si>
    <t>For a Coal / Thermal Power R&amp;D / Technology Development project in Africa, there is a risk during Manufacturing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</si>
  <si>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Manufacturing gate, local law, interfaces, and the selected delivery model.</t>
  </si>
  <si>
    <t>GER-0262</t>
  </si>
  <si>
    <t>For a Concentrated Solar Power Brownfield Modification project in East Asia, there is a risk during Construction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</si>
  <si>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Construction gate, local law, interfaces, and the selected delivery model.</t>
  </si>
  <si>
    <t>GER-0263</t>
  </si>
  <si>
    <t>For a Transmission &amp; Substations Owner’s Engineering project in North America, there is a risk during Installation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</si>
  <si>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Installation gate, local law, interfaces, and the selected delivery model.</t>
  </si>
  <si>
    <t>GER-0264</t>
  </si>
  <si>
    <t>For a Carbon Capture, Utilization &amp; Storage EPCM project in Oceania, there is a risk during Pre-commissioning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</si>
  <si>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Pre-commissioning gate, local law, interfaces, and the selected delivery model.</t>
  </si>
  <si>
    <t>GER-0265</t>
  </si>
  <si>
    <t>For a Hydropower Commissioning &amp; Start-up project in Europe, there is a risk during Commissioning that estimate omissions, escalation or quantity growth, combined with low technical maturity,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</si>
  <si>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Commissioning gate, local law, interfaces, and the selected delivery model.</t>
  </si>
  <si>
    <t>GER-0266</t>
  </si>
  <si>
    <t>For a Marine Energy Installation project in South Asia, there is a risk during Installation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</si>
  <si>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Installation gate, local law, interfaces, and the selected delivery model.</t>
  </si>
  <si>
    <t>GER-0267</t>
  </si>
  <si>
    <t>For a Geothermal Operations &amp; Maintenance project in Southeast Asia, there is a risk during Pre-commissioning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</si>
  <si>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Pre-commissioning gate, local law, interfaces, and the selected delivery model.</t>
  </si>
  <si>
    <t>GER-0268</t>
  </si>
  <si>
    <t>For a LNG Grid Interconnection project in Latin America, there is a risk during Commissioning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</si>
  <si>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LNG, the Commissioning gate, local law, interfaces, and the selected delivery model.</t>
  </si>
  <si>
    <t>GER-0269</t>
  </si>
  <si>
    <t>For a Onshore Wind R&amp;D / Technology Development project in Global / Multi-country, there is a risk during Operations / Handover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</si>
  <si>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Onshore Wind, the Operations / Handover gate, local law, interfaces, and the selected delivery model.</t>
  </si>
  <si>
    <t>GER-0270</t>
  </si>
  <si>
    <t>For a Biomass / Waste-to-Energy Brownfield Modification project in Middle East, there is a risk during Feasibility &amp; Concept that estimate omissions, escalation or quantity growth, combined with documentation gaps, may adversely affect project objectives through cost consequences.</t>
  </si>
  <si>
    <t>Establish controls for estimate omissions, escalation or quantity growth; assign actions, verify evidence, and review residual exposure at each gate. Tailor the response to Biomass / Waste-to-Energy, the Feasibility &amp; Concept gate, local law, interfaces, and the selected delivery model.</t>
  </si>
  <si>
    <t>GER-0271</t>
  </si>
  <si>
    <t>For a Solar PV Commissioning &amp; Start-up project in East Asia, there is a risk during Commissioning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</si>
  <si>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Commissioning gate, local law, interfaces, and the selected delivery model.</t>
  </si>
  <si>
    <t>GER-0272</t>
  </si>
  <si>
    <t>For a Battery Energy Storage Decommissioning project in North America, there is a risk during Operations / Handover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</si>
  <si>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Operations / Handover gate, local law, interfaces, and the selected delivery model.</t>
  </si>
  <si>
    <t>GER-0273</t>
  </si>
  <si>
    <t>For a Coal / Thermal Power EPC / Turnkey project in Oceania, there is a risk during Feasibility &amp; Concept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</si>
  <si>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Feasibility &amp; Concept gate, local law, interfaces, and the selected delivery model.</t>
  </si>
  <si>
    <t>GER-0274</t>
  </si>
  <si>
    <t>For a Concentrated Solar Power Installation project in Europe, there is a risk during FEED / Basic Design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</si>
  <si>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Concentrated Solar Power, the FEED / Basic Design gate, local law, interfaces, and the selected delivery model.</t>
  </si>
  <si>
    <t>GER-0275</t>
  </si>
  <si>
    <t>For a Transmission &amp; Substations Operations &amp; Maintenance project in Africa, there is a risk during Detailed Engineering that estimate omissions, escalation or quantity growth, combined with external disruption, may adversely affect project objectives through cost consequences.</t>
  </si>
  <si>
    <t>Establish controls for estimate omissions, escalation or quantity growth; assign actions, verify evidence, and review residual exposure at each gate. Tailor the response to Transmission &amp; Substations, the Detailed Engineering gate, local law, interfaces, and the selected delivery model.</t>
  </si>
  <si>
    <t>GER-0276</t>
  </si>
  <si>
    <t>For a Pumped Storage Brownfield Modification project in Southeast Asia, there is a risk during Feasibility &amp; Concept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</si>
  <si>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Feasibility &amp; Concept gate, local law, interfaces, and the selected delivery model.</t>
  </si>
  <si>
    <t>GER-0277</t>
  </si>
  <si>
    <t>For a Natural Gas / CCGT Owner’s Engineering project in Latin America, there is a risk during FEED / Basic Design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</si>
  <si>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FEED / Basic Design gate, local law, interfaces, and the selected delivery model.</t>
  </si>
  <si>
    <t>GER-0278</t>
  </si>
  <si>
    <t>For a Marine Energy EPCM project in Global / Multi-country, there is a risk during Detailed Engineering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</si>
  <si>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Detailed Engineering gate, local law, interfaces, and the selected delivery model.</t>
  </si>
  <si>
    <t>GER-0279</t>
  </si>
  <si>
    <t>For a Geothermal Commissioning &amp; Start-up project in Middle East, there is a risk during Procurement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</si>
  <si>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Geothermal, the Procurement gate, local law, interfaces, and the selected delivery model.</t>
  </si>
  <si>
    <t>GER-0280</t>
  </si>
  <si>
    <t>For a LNG Decommissioning project in South Asia, there is a risk during Manufacturing that estimate omissions, escalation or quantity growth, combined with governance delay, may adversely affect project objectives through cost consequences.</t>
  </si>
  <si>
    <t>Establish controls for estimate omissions, escalation or quantity growth; assign actions, verify evidence, and review residual exposure at each gate. Tailor the response to LNG, the Manufacturing gate, local law, interfaces, and the selected delivery model.</t>
  </si>
  <si>
    <t>GER-0281</t>
  </si>
  <si>
    <t>For a Green Hydrogen Operations &amp; Maintenance project in North America, there is a risk during Detailed Engineering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</si>
  <si>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Detailed Engineering gate, local law, interfaces, and the selected delivery model.</t>
  </si>
  <si>
    <t>GER-0282</t>
  </si>
  <si>
    <t>For a Refining &amp; Petrochemicals Grid Interconnection project in Oceania, there is a risk during Procurement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</si>
  <si>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Procurement gate, local law, interfaces, and the selected delivery model.</t>
  </si>
  <si>
    <t>GER-0283</t>
  </si>
  <si>
    <t>For a Solar PV R&amp;D / Technology Development project in Europe, there is a risk during Manufacturing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</si>
  <si>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Manufacturing gate, local law, interfaces, and the selected delivery model.</t>
  </si>
  <si>
    <t>GER-0284</t>
  </si>
  <si>
    <t>For a Battery Energy Storage Brownfield Modification project in Africa, there is a risk during Construction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</si>
  <si>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Battery Energy Storage, the Construction gate, local law, interfaces, and the selected delivery model.</t>
  </si>
  <si>
    <t>GER-0285</t>
  </si>
  <si>
    <t>For a Coal / Thermal Power Owner’s Engineering project in East Asia, there is a risk during Installation that estimate omissions, escalation or quantity growth, combined with commercial misalignment, may adversely affect project objectives through cost consequences.</t>
  </si>
  <si>
    <t>Establish controls for estimate omissions, escalation or quantity growth; assign actions, verify evidence, and review residual exposure at each gate. Tailor the response to Coal / Thermal Power, the Installation gate, local law, interfaces, and the selected delivery model.</t>
  </si>
  <si>
    <t>GER-0286</t>
  </si>
  <si>
    <t>For a Nuclear Power Decommissioning project in Latin America, there is a risk during Manufacturing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</si>
  <si>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Manufacturing gate, local law, interfaces, and the selected delivery model.</t>
  </si>
  <si>
    <t>GER-0287</t>
  </si>
  <si>
    <t>For a District Energy EPC / Turnkey project in Global / Multi-country, there is a risk during Construction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</si>
  <si>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Construction gate, local law, interfaces, and the selected delivery model.</t>
  </si>
  <si>
    <t>GER-0288</t>
  </si>
  <si>
    <t>For a Pumped Storage Installation project in Middle East, there is a risk during Installation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</si>
  <si>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Installation gate, local law, interfaces, and the selected delivery model.</t>
  </si>
  <si>
    <t>GER-0289</t>
  </si>
  <si>
    <t>For a Natural Gas / CCGT Operations &amp; Maintenance project in South Asia, there is a risk during Pre-commissioning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</si>
  <si>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Natural Gas / CCGT, the Pre-commissioning gate, local law, interfaces, and the selected delivery model.</t>
  </si>
  <si>
    <t>GER-0290</t>
  </si>
  <si>
    <t>For a Marine Energy Grid Interconnection project in Southeast Asia, there is a risk during Commissioning that estimate omissions, escalation or quantity growth, combined with quality escape, may adversely affect project objectives through cost consequences.</t>
  </si>
  <si>
    <t>Establish controls for estimate omissions, escalation or quantity growth; assign actions, verify evidence, and review residual exposure at each gate. Tailor the response to Marine Energy, the Commissioning gate, local law, interfaces, and the selected delivery model.</t>
  </si>
  <si>
    <t>GER-0291</t>
  </si>
  <si>
    <t>For a Oil &amp; Gas Upstream Owner’s Engineering project in Oceania, there is a risk during Installation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</si>
  <si>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Oil &amp; Gas Upstream, the Installation gate, local law, interfaces, and the selected delivery model.</t>
  </si>
  <si>
    <t>GER-0292</t>
  </si>
  <si>
    <t>For a Offshore Wind EPCM project in Europe, there is a risk during Pre-commissioning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</si>
  <si>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Offshore Wind, the Pre-commissioning gate, local law, interfaces, and the selected delivery model.</t>
  </si>
  <si>
    <t>GER-0293</t>
  </si>
  <si>
    <t>For a Green Hydrogen Commissioning &amp; Start-up project in Africa, there is a risk during Commissioning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</si>
  <si>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Green Hydrogen, the Commissioning gate, local law, interfaces, and the selected delivery model.</t>
  </si>
  <si>
    <t>GER-0294</t>
  </si>
  <si>
    <t>For a Refining &amp; Petrochemicals Decommissioning project in East Asia, there is a risk during Operations / Handover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</si>
  <si>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Refining &amp; Petrochemicals, the Operations / Handover gate, local law, interfaces, and the selected delivery model.</t>
  </si>
  <si>
    <t>GER-0295</t>
  </si>
  <si>
    <t>For a Solar PV EPC / Turnkey project in North America, there is a risk during Feasibility &amp; Concept that estimate omissions, escalation or quantity growth, combined with access constraint, may adversely affect project objectives through cost consequences.</t>
  </si>
  <si>
    <t>Establish controls for estimate omissions, escalation or quantity growth; assign actions, verify evidence, and review residual exposure at each gate. Tailor the response to Solar PV, the Feasibility &amp; Concept gate, local law, interfaces, and the selected delivery model.</t>
  </si>
  <si>
    <t>GER-0296</t>
  </si>
  <si>
    <t>For a Carbon Capture, Utilization &amp; Storage Grid Interconnection project in Global / Multi-country, there is a risk during Commissioning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</si>
  <si>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Carbon Capture, Utilization &amp; Storage, the Commissioning gate, local law, interfaces, and the selected delivery model.</t>
  </si>
  <si>
    <t>GER-0297</t>
  </si>
  <si>
    <t>For a Hydropower R&amp;D / Technology Development project in Middle East, there is a risk during Operations / Handover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</si>
  <si>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Hydropower, the Operations / Handover gate, local law, interfaces, and the selected delivery model.</t>
  </si>
  <si>
    <t>GER-0298</t>
  </si>
  <si>
    <t>For a Nuclear Power Brownfield Modification project in South Asia, there is a risk during Feasibility &amp; Concept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</si>
  <si>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Nuclear Power, the Feasibility &amp; Concept gate, local law, interfaces, and the selected delivery model.</t>
  </si>
  <si>
    <t>GER-0299</t>
  </si>
  <si>
    <t>For a District Energy Owner’s Engineering project in Southeast Asia, there is a risk during FEED / Basic Design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</si>
  <si>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District Energy, the FEED / Basic Design gate, local law, interfaces, and the selected delivery model.</t>
  </si>
  <si>
    <t>GER-0300</t>
  </si>
  <si>
    <t>For a Pumped Storage EPCM project in Latin America, there is a risk during Detailed Engineering that estimate omissions, escalation or quantity growth, combined with performance variability, may adversely affect project objectives through cost consequences.</t>
  </si>
  <si>
    <t>Establish controls for estimate omissions, escalation or quantity growth; assign actions, verify evidence, and review residual exposure at each gate. Tailor the response to Pumped Storage, the Detailed Engineering gate, local law, interfaces, and the selected delivery model.</t>
  </si>
  <si>
    <t>GER-0301</t>
  </si>
  <si>
    <t>For a Onshore Wind EPC / Turnkey project in Europe, there is a risk during Feasibility &amp; Concept that design error, immaturity or interface mismatch, combined with insufficient planning, may adversely affect project objectives through quality / time / cost consequences.</t>
  </si>
  <si>
    <t>Design &amp; Engineering</t>
  </si>
  <si>
    <t>Quality / Time / Cost</t>
  </si>
  <si>
    <t>Establish controls for design error, immaturity or interface mismatch; assign actions, verify evidence, and review residual exposure at each gate. Tailor the response to Onshore Wind, the Feasibility &amp; Concept gate, local law, interfaces, and the selected delivery model.</t>
  </si>
  <si>
    <t>Engineering Manager</t>
  </si>
  <si>
    <t>GER-0302</t>
  </si>
  <si>
    <t>For a Biomass / Waste-to-Energy Installation project in Africa, there is a risk during FEED / Basic Design that design error, immaturity or interface mismatch, combined with insufficient planning,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</si>
  <si>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FEED / Basic Design gate, local law, interfaces, and the selected delivery model.</t>
  </si>
  <si>
    <t>GER-0303</t>
  </si>
  <si>
    <t>For a Oil &amp; Gas Upstream Operations &amp; Maintenance project in East Asia, there is a risk during Detailed Engineering that design error, immaturity or interface mismatch, combined with insufficient planning,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</si>
  <si>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Detailed Engineering gate, local law, interfaces, and the selected delivery model.</t>
  </si>
  <si>
    <t>GER-0304</t>
  </si>
  <si>
    <t>For a Offshore Wind Grid Interconnection project in North America, there is a risk during Procurement that design error, immaturity or interface mismatch, combined with insufficient planning,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</si>
  <si>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Procurement gate, local law, interfaces, and the selected delivery model.</t>
  </si>
  <si>
    <t>GER-0305</t>
  </si>
  <si>
    <t>For a Green Hydrogen R&amp;D / Technology Development project in Oceania, there is a risk during Manufacturing that design error, immaturity or interface mismatch, combined with insufficient planning,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</si>
  <si>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Manufacturing gate, local law, interfaces, and the selected delivery model.</t>
  </si>
  <si>
    <t>GER-0306</t>
  </si>
  <si>
    <t>For a Concentrated Solar Power EPCM project in Middle East, there is a risk during Detailed Engineering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</si>
  <si>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Detailed Engineering gate, local law, interfaces, and the selected delivery model.</t>
  </si>
  <si>
    <t>GER-0307</t>
  </si>
  <si>
    <t>For a Transmission &amp; Substations Commissioning &amp; Start-up project in South Asia, there is a risk during Procurement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</si>
  <si>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Procurement gate, local law, interfaces, and the selected delivery model.</t>
  </si>
  <si>
    <t>GER-0308</t>
  </si>
  <si>
    <t>For a Carbon Capture, Utilization &amp; Storage Decommissioning project in Southeast Asia, there is a risk during Manufacturing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</si>
  <si>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Manufacturing gate, local law, interfaces, and the selected delivery model.</t>
  </si>
  <si>
    <t>GER-0309</t>
  </si>
  <si>
    <t>For a Hydropower EPC / Turnkey project in Latin America, there is a risk during Construction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</si>
  <si>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Construction gate, local law, interfaces, and the selected delivery model.</t>
  </si>
  <si>
    <t>GER-0310</t>
  </si>
  <si>
    <t>For a Nuclear Power Installation project in Global / Multi-country, there is a risk during Installation that design error, immaturity or interface mismatch, combined with incomplete information,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</si>
  <si>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Installation gate, local law, interfaces, and the selected delivery model.</t>
  </si>
  <si>
    <t>GER-0311</t>
  </si>
  <si>
    <t>For a Geothermal R&amp;D / Technology Development project in Africa, there is a risk during Manufacturing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</si>
  <si>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Manufacturing gate, local law, interfaces, and the selected delivery model.</t>
  </si>
  <si>
    <t>GER-0312</t>
  </si>
  <si>
    <t>For a LNG Brownfield Modification project in East Asia, there is a risk during Construction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</si>
  <si>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Construction gate, local law, interfaces, and the selected delivery model.</t>
  </si>
  <si>
    <t>GER-0313</t>
  </si>
  <si>
    <t>For a Onshore Wind Owner’s Engineering project in North America, there is a risk during Installation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</si>
  <si>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Onshore Wind, the Installation gate, local law, interfaces, and the selected delivery model.</t>
  </si>
  <si>
    <t>GER-0314</t>
  </si>
  <si>
    <t>For a Biomass / Waste-to-Energy EPCM project in Oceania, there is a risk during Pre-commissioning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</si>
  <si>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Pre-commissioning gate, local law, interfaces, and the selected delivery model.</t>
  </si>
  <si>
    <t>GER-0315</t>
  </si>
  <si>
    <t>For a Oil &amp; Gas Upstream Commissioning &amp; Start-up project in Europe, there is a risk during Commissioning that design error, immaturity or interface mismatch, combined with late decision-making,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</si>
  <si>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Commissioning gate, local law, interfaces, and the selected delivery model.</t>
  </si>
  <si>
    <t>GER-0316</t>
  </si>
  <si>
    <t>For a Battery Energy Storage Installation project in South Asia, there is a risk during Installation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</si>
  <si>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Installation gate, local law, interfaces, and the selected delivery model.</t>
  </si>
  <si>
    <t>GER-0317</t>
  </si>
  <si>
    <t>For a Coal / Thermal Power Operations &amp; Maintenance project in Southeast Asia, there is a risk during Pre-commissioning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</si>
  <si>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Pre-commissioning gate, local law, interfaces, and the selected delivery model.</t>
  </si>
  <si>
    <t>GER-0318</t>
  </si>
  <si>
    <t>For a Concentrated Solar Power Grid Interconnection project in Latin America, there is a risk during Commissioning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</si>
  <si>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Commissioning gate, local law, interfaces, and the selected delivery model.</t>
  </si>
  <si>
    <t>GER-0319</t>
  </si>
  <si>
    <t>For a Transmission &amp; Substations R&amp;D / Technology Development project in Global / Multi-country, there is a risk during Operations / Handover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</si>
  <si>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Operations / Handover gate, local law, interfaces, and the selected delivery model.</t>
  </si>
  <si>
    <t>GER-0320</t>
  </si>
  <si>
    <t>For a Carbon Capture, Utilization &amp; Storage Brownfield Modification project in Middle East, there is a risk during Feasibility &amp; Concept that design error, immaturity or interface mismatch, combined with weak controls,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</si>
  <si>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Feasibility &amp; Concept gate, local law, interfaces, and the selected delivery model.</t>
  </si>
  <si>
    <t>GER-0321</t>
  </si>
  <si>
    <t>For a Natural Gas / CCGT Commissioning &amp; Start-up project in East Asia, there is a risk during Commissioning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</si>
  <si>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Commissioning gate, local law, interfaces, and the selected delivery model.</t>
  </si>
  <si>
    <t>GER-0322</t>
  </si>
  <si>
    <t>For a Marine Energy Decommissioning project in North America, there is a risk during Operations / Handover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</si>
  <si>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Operations / Handover gate, local law, interfaces, and the selected delivery model.</t>
  </si>
  <si>
    <t>GER-0323</t>
  </si>
  <si>
    <t>For a Geothermal EPC / Turnkey project in Oceania, there is a risk during Feasibility &amp; Concept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</si>
  <si>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Feasibility &amp; Concept gate, local law, interfaces, and the selected delivery model.</t>
  </si>
  <si>
    <t>GER-0324</t>
  </si>
  <si>
    <t>For a LNG Installation project in Europe, there is a risk during FEED / Basic Design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</si>
  <si>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FEED / Basic Design gate, local law, interfaces, and the selected delivery model.</t>
  </si>
  <si>
    <t>GER-0325</t>
  </si>
  <si>
    <t>For a Onshore Wind Operations &amp; Maintenance project in Africa, there is a risk during Detailed Engineering that design error, immaturity or interface mismatch, combined with resource constraints,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</si>
  <si>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Onshore Wind, the Detailed Engineering gate, local law, interfaces, and the selected delivery model.</t>
  </si>
  <si>
    <t>GER-0326</t>
  </si>
  <si>
    <t>For a Refining &amp; Petrochemicals Brownfield Modification project in Southeast Asia, there is a risk during Feasibility &amp; Concept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</si>
  <si>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Feasibility &amp; Concept gate, local law, interfaces, and the selected delivery model.</t>
  </si>
  <si>
    <t>GER-0327</t>
  </si>
  <si>
    <t>For a Solar PV Owner’s Engineering project in Latin America, there is a risk during FEED / Basic Design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</si>
  <si>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FEED / Basic Design gate, local law, interfaces, and the selected delivery model.</t>
  </si>
  <si>
    <t>GER-0328</t>
  </si>
  <si>
    <t>For a Battery Energy Storage EPCM project in Global / Multi-country, there is a risk during Detailed Engineering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</si>
  <si>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Detailed Engineering gate, local law, interfaces, and the selected delivery model.</t>
  </si>
  <si>
    <t>GER-0329</t>
  </si>
  <si>
    <t>For a Coal / Thermal Power Commissioning &amp; Start-up project in Middle East, there is a risk during Procurement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</si>
  <si>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Procurement gate, local law, interfaces, and the selected delivery model.</t>
  </si>
  <si>
    <t>GER-0330</t>
  </si>
  <si>
    <t>For a Concentrated Solar Power Decommissioning project in South Asia, there is a risk during Manufacturing that design error, immaturity or interface mismatch, combined with supplier dependency,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</si>
  <si>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Manufacturing gate, local law, interfaces, and the selected delivery model.</t>
  </si>
  <si>
    <t>GER-0331</t>
  </si>
  <si>
    <t>For a District Energy Operations &amp; Maintenance project in North America, there is a risk during Detailed Engineering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</si>
  <si>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Detailed Engineering gate, local law, interfaces, and the selected delivery model.</t>
  </si>
  <si>
    <t>GER-0332</t>
  </si>
  <si>
    <t>For a Pumped Storage Grid Interconnection project in Oceania, there is a risk during Procurement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</si>
  <si>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Procurement gate, local law, interfaces, and the selected delivery model.</t>
  </si>
  <si>
    <t>GER-0333</t>
  </si>
  <si>
    <t>For a Natural Gas / CCGT R&amp;D / Technology Development project in Europe, there is a risk during Manufacturing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</si>
  <si>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Manufacturing gate, local law, interfaces, and the selected delivery model.</t>
  </si>
  <si>
    <t>GER-0334</t>
  </si>
  <si>
    <t>For a Marine Energy Brownfield Modification project in Africa, there is a risk during Construction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</si>
  <si>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Construction gate, local law, interfaces, and the selected delivery model.</t>
  </si>
  <si>
    <t>GER-0335</t>
  </si>
  <si>
    <t>For a Geothermal Owner’s Engineering project in East Asia, there is a risk during Installation that design error, immaturity or interface mismatch, combined with interface complexity,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</si>
  <si>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Installation gate, local law, interfaces, and the selected delivery model.</t>
  </si>
  <si>
    <t>GER-0336</t>
  </si>
  <si>
    <t>For a Offshore Wind Decommissioning project in Latin America, there is a risk during Manufacturing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</si>
  <si>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Manufacturing gate, local law, interfaces, and the selected delivery model.</t>
  </si>
  <si>
    <t>GER-0337</t>
  </si>
  <si>
    <t>For a Green Hydrogen EPC / Turnkey project in Global / Multi-country, there is a risk during Construction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</si>
  <si>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Construction gate, local law, interfaces, and the selected delivery model.</t>
  </si>
  <si>
    <t>GER-0338</t>
  </si>
  <si>
    <t>For a Refining &amp; Petrochemicals Installation project in Middle East, there is a risk during Installation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</si>
  <si>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Installation gate, local law, interfaces, and the selected delivery model.</t>
  </si>
  <si>
    <t>GER-0339</t>
  </si>
  <si>
    <t>For a Solar PV Operations &amp; Maintenance project in South Asia, there is a risk during Pre-commissioning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</si>
  <si>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Pre-commissioning gate, local law, interfaces, and the selected delivery model.</t>
  </si>
  <si>
    <t>GER-0340</t>
  </si>
  <si>
    <t>For a Battery Energy Storage Grid Interconnection project in Southeast Asia, there is a risk during Commissioning that design error, immaturity or interface mismatch, combined with requirements volatility,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</si>
  <si>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Commissioning gate, local law, interfaces, and the selected delivery model.</t>
  </si>
  <si>
    <t>GER-0341</t>
  </si>
  <si>
    <t>For a Hydropower Owner’s Engineering project in Oceania, there is a risk during Installation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</si>
  <si>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Installation gate, local law, interfaces, and the selected delivery model.</t>
  </si>
  <si>
    <t>GER-0342</t>
  </si>
  <si>
    <t>For a Nuclear Power EPCM project in Europe, there is a risk during Pre-commissioning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</si>
  <si>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Pre-commissioning gate, local law, interfaces, and the selected delivery model.</t>
  </si>
  <si>
    <t>GER-0343</t>
  </si>
  <si>
    <t>For a District Energy Commissioning &amp; Start-up project in Africa, there is a risk during Commissioning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</si>
  <si>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Commissioning gate, local law, interfaces, and the selected delivery model.</t>
  </si>
  <si>
    <t>GER-0344</t>
  </si>
  <si>
    <t>For a Pumped Storage Decommissioning project in East Asia, there is a risk during Operations / Handover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</si>
  <si>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Operations / Handover gate, local law, interfaces, and the selected delivery model.</t>
  </si>
  <si>
    <t>GER-0345</t>
  </si>
  <si>
    <t>For a Natural Gas / CCGT EPC / Turnkey project in North America, there is a risk during Feasibility &amp; Concept that design error, immaturity or interface mismatch, combined with regulatory uncertainty,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</si>
  <si>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Feasibility &amp; Concept gate, local law, interfaces, and the selected delivery model.</t>
  </si>
  <si>
    <t>GER-0346</t>
  </si>
  <si>
    <t>For a Biomass / Waste-to-Energy Grid Interconnection project in Global / Multi-country, there is a risk during Commissioning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</si>
  <si>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Commissioning gate, local law, interfaces, and the selected delivery model.</t>
  </si>
  <si>
    <t>GER-0347</t>
  </si>
  <si>
    <t>For a Oil &amp; Gas Upstream R&amp;D / Technology Development project in Middle East, there is a risk during Operations / Handover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</si>
  <si>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Operations / Handover gate, local law, interfaces, and the selected delivery model.</t>
  </si>
  <si>
    <t>GER-0348</t>
  </si>
  <si>
    <t>For a Offshore Wind Brownfield Modification project in South Asia, there is a risk during Feasibility &amp; Concept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</si>
  <si>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Feasibility &amp; Concept gate, local law, interfaces, and the selected delivery model.</t>
  </si>
  <si>
    <t>GER-0349</t>
  </si>
  <si>
    <t>For a Green Hydrogen Owner’s Engineering project in Southeast Asia, there is a risk during FEED / Basic Design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</si>
  <si>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FEED / Basic Design gate, local law, interfaces, and the selected delivery model.</t>
  </si>
  <si>
    <t>GER-0350</t>
  </si>
  <si>
    <t>For a Refining &amp; Petrochemicals EPCM project in Latin America, there is a risk during Detailed Engineering that design error, immaturity or interface mismatch, combined with inadequate verification,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</si>
  <si>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Detailed Engineering gate, local law, interfaces, and the selected delivery model.</t>
  </si>
  <si>
    <t>GER-0351</t>
  </si>
  <si>
    <t>For a Transmission &amp; Substations EPC / Turnkey project in Europe, there is a risk during Feasibility &amp; Concept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</si>
  <si>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Feasibility &amp; Concept gate, local law, interfaces, and the selected delivery model.</t>
  </si>
  <si>
    <t>GER-0352</t>
  </si>
  <si>
    <t>For a Carbon Capture, Utilization &amp; Storage Installation project in Africa, there is a risk during FEED / Basic Design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</si>
  <si>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FEED / Basic Design gate, local law, interfaces, and the selected delivery model.</t>
  </si>
  <si>
    <t>GER-0353</t>
  </si>
  <si>
    <t>For a Hydropower Operations &amp; Maintenance project in East Asia, there is a risk during Detailed Engineering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</si>
  <si>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Detailed Engineering gate, local law, interfaces, and the selected delivery model.</t>
  </si>
  <si>
    <t>GER-0354</t>
  </si>
  <si>
    <t>For a Nuclear Power Grid Interconnection project in North America, there is a risk during Procurement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</si>
  <si>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Procurement gate, local law, interfaces, and the selected delivery model.</t>
  </si>
  <si>
    <t>GER-0355</t>
  </si>
  <si>
    <t>For a District Energy R&amp;D / Technology Development project in Oceania, there is a risk during Manufacturing that design error, immaturity or interface mismatch, combined with poor communication,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</si>
  <si>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Manufacturing gate, local law, interfaces, and the selected delivery model.</t>
  </si>
  <si>
    <t>GER-0356</t>
  </si>
  <si>
    <t>For a LNG EPCM project in Middle East, there is a risk during Detailed Engineering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</si>
  <si>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Detailed Engineering gate, local law, interfaces, and the selected delivery model.</t>
  </si>
  <si>
    <t>GER-0357</t>
  </si>
  <si>
    <t>For a Onshore Wind Commissioning &amp; Start-up project in South Asia, there is a risk during Procurement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</si>
  <si>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Onshore Wind, the Procurement gate, local law, interfaces, and the selected delivery model.</t>
  </si>
  <si>
    <t>GER-0358</t>
  </si>
  <si>
    <t>For a Biomass / Waste-to-Energy Decommissioning project in Southeast Asia, there is a risk during Manufacturing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</si>
  <si>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Manufacturing gate, local law, interfaces, and the selected delivery model.</t>
  </si>
  <si>
    <t>GER-0359</t>
  </si>
  <si>
    <t>For a Oil &amp; Gas Upstream EPC / Turnkey project in Latin America, there is a risk during Construction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</si>
  <si>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Construction gate, local law, interfaces, and the selected delivery model.</t>
  </si>
  <si>
    <t>GER-0360</t>
  </si>
  <si>
    <t>For a Offshore Wind Installation project in Global / Multi-country, there is a risk during Installation that design error, immaturity or interface mismatch, combined with incorrect assumptions,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</si>
  <si>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Installation gate, local law, interfaces, and the selected delivery model.</t>
  </si>
  <si>
    <t>GER-0361</t>
  </si>
  <si>
    <t>For a Coal / Thermal Power R&amp;D / Technology Development project in Africa, there is a risk during Manufacturing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</si>
  <si>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Manufacturing gate, local law, interfaces, and the selected delivery model.</t>
  </si>
  <si>
    <t>GER-0362</t>
  </si>
  <si>
    <t>For a Concentrated Solar Power Brownfield Modification project in East Asia, there is a risk during Construction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</si>
  <si>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Construction gate, local law, interfaces, and the selected delivery model.</t>
  </si>
  <si>
    <t>GER-0363</t>
  </si>
  <si>
    <t>For a Transmission &amp; Substations Owner’s Engineering project in North America, there is a risk during Installation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</si>
  <si>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Installation gate, local law, interfaces, and the selected delivery model.</t>
  </si>
  <si>
    <t>GER-0364</t>
  </si>
  <si>
    <t>For a Carbon Capture, Utilization &amp; Storage EPCM project in Oceania, there is a risk during Pre-commissioning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</si>
  <si>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Pre-commissioning gate, local law, interfaces, and the selected delivery model.</t>
  </si>
  <si>
    <t>GER-0365</t>
  </si>
  <si>
    <t>For a Hydropower Commissioning &amp; Start-up project in Europe, there is a risk during Commissioning that design error, immaturity or interface mismatch, combined with low technical maturity,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</si>
  <si>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Commissioning gate, local law, interfaces, and the selected delivery model.</t>
  </si>
  <si>
    <t>GER-0366</t>
  </si>
  <si>
    <t>For a Marine Energy Installation project in South Asia, there is a risk during Installation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</si>
  <si>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Installation gate, local law, interfaces, and the selected delivery model.</t>
  </si>
  <si>
    <t>GER-0367</t>
  </si>
  <si>
    <t>For a Geothermal Operations &amp; Maintenance project in Southeast Asia, there is a risk during Pre-commissioning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</si>
  <si>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Pre-commissioning gate, local law, interfaces, and the selected delivery model.</t>
  </si>
  <si>
    <t>GER-0368</t>
  </si>
  <si>
    <t>For a LNG Grid Interconnection project in Latin America, there is a risk during Commissioning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</si>
  <si>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Commissioning gate, local law, interfaces, and the selected delivery model.</t>
  </si>
  <si>
    <t>GER-0369</t>
  </si>
  <si>
    <t>For a Onshore Wind R&amp;D / Technology Development project in Global / Multi-country, there is a risk during Operations / Handover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</si>
  <si>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Onshore Wind, the Operations / Handover gate, local law, interfaces, and the selected delivery model.</t>
  </si>
  <si>
    <t>GER-0370</t>
  </si>
  <si>
    <t>For a Biomass / Waste-to-Energy Brownfield Modification project in Middle East, there is a risk during Feasibility &amp; Concept that design error, immaturity or interface mismatch, combined with documentation gaps,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</si>
  <si>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Biomass / Waste-to-Energy, the Feasibility &amp; Concept gate, local law, interfaces, and the selected delivery model.</t>
  </si>
  <si>
    <t>GER-0371</t>
  </si>
  <si>
    <t>For a Solar PV Commissioning &amp; Start-up project in East Asia, there is a risk during Commissioning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</si>
  <si>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Commissioning gate, local law, interfaces, and the selected delivery model.</t>
  </si>
  <si>
    <t>GER-0372</t>
  </si>
  <si>
    <t>For a Battery Energy Storage Decommissioning project in North America, there is a risk during Operations / Handover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</si>
  <si>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Operations / Handover gate, local law, interfaces, and the selected delivery model.</t>
  </si>
  <si>
    <t>GER-0373</t>
  </si>
  <si>
    <t>For a Coal / Thermal Power EPC / Turnkey project in Oceania, there is a risk during Feasibility &amp; Concept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</si>
  <si>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Feasibility &amp; Concept gate, local law, interfaces, and the selected delivery model.</t>
  </si>
  <si>
    <t>GER-0374</t>
  </si>
  <si>
    <t>For a Concentrated Solar Power Installation project in Europe, there is a risk during FEED / Basic Design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</si>
  <si>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Concentrated Solar Power, the FEED / Basic Design gate, local law, interfaces, and the selected delivery model.</t>
  </si>
  <si>
    <t>GER-0375</t>
  </si>
  <si>
    <t>For a Transmission &amp; Substations Operations &amp; Maintenance project in Africa, there is a risk during Detailed Engineering that design error, immaturity or interface mismatch, combined with external disruption,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</si>
  <si>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Transmission &amp; Substations, the Detailed Engineering gate, local law, interfaces, and the selected delivery model.</t>
  </si>
  <si>
    <t>GER-0376</t>
  </si>
  <si>
    <t>For a Pumped Storage Brownfield Modification project in Southeast Asia, there is a risk during Feasibility &amp; Concept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</si>
  <si>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Feasibility &amp; Concept gate, local law, interfaces, and the selected delivery model.</t>
  </si>
  <si>
    <t>GER-0377</t>
  </si>
  <si>
    <t>For a Natural Gas / CCGT Owner’s Engineering project in Latin America, there is a risk during FEED / Basic Design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</si>
  <si>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FEED / Basic Design gate, local law, interfaces, and the selected delivery model.</t>
  </si>
  <si>
    <t>GER-0378</t>
  </si>
  <si>
    <t>For a Marine Energy EPCM project in Global / Multi-country, there is a risk during Detailed Engineering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</si>
  <si>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Detailed Engineering gate, local law, interfaces, and the selected delivery model.</t>
  </si>
  <si>
    <t>GER-0379</t>
  </si>
  <si>
    <t>For a Geothermal Commissioning &amp; Start-up project in Middle East, there is a risk during Procurement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</si>
  <si>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Geothermal, the Procurement gate, local law, interfaces, and the selected delivery model.</t>
  </si>
  <si>
    <t>GER-0380</t>
  </si>
  <si>
    <t>For a LNG Decommissioning project in South Asia, there is a risk during Manufacturing that design error, immaturity or interface mismatch, combined with governance delay,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</si>
  <si>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LNG, the Manufacturing gate, local law, interfaces, and the selected delivery model.</t>
  </si>
  <si>
    <t>GER-0381</t>
  </si>
  <si>
    <t>For a Green Hydrogen Operations &amp; Maintenance project in North America, there is a risk during Detailed Engineering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</si>
  <si>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Detailed Engineering gate, local law, interfaces, and the selected delivery model.</t>
  </si>
  <si>
    <t>GER-0382</t>
  </si>
  <si>
    <t>For a Refining &amp; Petrochemicals Grid Interconnection project in Oceania, there is a risk during Procurement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</si>
  <si>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Procurement gate, local law, interfaces, and the selected delivery model.</t>
  </si>
  <si>
    <t>GER-0383</t>
  </si>
  <si>
    <t>For a Solar PV R&amp;D / Technology Development project in Europe, there is a risk during Manufacturing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</si>
  <si>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Manufacturing gate, local law, interfaces, and the selected delivery model.</t>
  </si>
  <si>
    <t>GER-0384</t>
  </si>
  <si>
    <t>For a Battery Energy Storage Brownfield Modification project in Africa, there is a risk during Construction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</si>
  <si>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Battery Energy Storage, the Construction gate, local law, interfaces, and the selected delivery model.</t>
  </si>
  <si>
    <t>GER-0385</t>
  </si>
  <si>
    <t>For a Coal / Thermal Power Owner’s Engineering project in East Asia, there is a risk during Installation that design error, immaturity or interface mismatch, combined with commercial misalignment,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</si>
  <si>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Coal / Thermal Power, the Installation gate, local law, interfaces, and the selected delivery model.</t>
  </si>
  <si>
    <t>GER-0386</t>
  </si>
  <si>
    <t>For a Nuclear Power Decommissioning project in Latin America, there is a risk during Manufacturing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</si>
  <si>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Manufacturing gate, local law, interfaces, and the selected delivery model.</t>
  </si>
  <si>
    <t>GER-0387</t>
  </si>
  <si>
    <t>For a District Energy EPC / Turnkey project in Global / Multi-country, there is a risk during Construction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</si>
  <si>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Construction gate, local law, interfaces, and the selected delivery model.</t>
  </si>
  <si>
    <t>GER-0388</t>
  </si>
  <si>
    <t>For a Pumped Storage Installation project in Middle East, there is a risk during Installation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</si>
  <si>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Installation gate, local law, interfaces, and the selected delivery model.</t>
  </si>
  <si>
    <t>GER-0389</t>
  </si>
  <si>
    <t>For a Natural Gas / CCGT Operations &amp; Maintenance project in South Asia, there is a risk during Pre-commissioning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</si>
  <si>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Natural Gas / CCGT, the Pre-commissioning gate, local law, interfaces, and the selected delivery model.</t>
  </si>
  <si>
    <t>GER-0390</t>
  </si>
  <si>
    <t>For a Marine Energy Grid Interconnection project in Southeast Asia, there is a risk during Commissioning that design error, immaturity or interface mismatch, combined with quality escape,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</si>
  <si>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Marine Energy, the Commissioning gate, local law, interfaces, and the selected delivery model.</t>
  </si>
  <si>
    <t>GER-0391</t>
  </si>
  <si>
    <t>For a Oil &amp; Gas Upstream Owner’s Engineering project in Oceania, there is a risk during Installation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</si>
  <si>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Oil &amp; Gas Upstream, the Installation gate, local law, interfaces, and the selected delivery model.</t>
  </si>
  <si>
    <t>GER-0392</t>
  </si>
  <si>
    <t>For a Offshore Wind EPCM project in Europe, there is a risk during Pre-commissioning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</si>
  <si>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Offshore Wind, the Pre-commissioning gate, local law, interfaces, and the selected delivery model.</t>
  </si>
  <si>
    <t>GER-0393</t>
  </si>
  <si>
    <t>For a Green Hydrogen Commissioning &amp; Start-up project in Africa, there is a risk during Commissioning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</si>
  <si>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Green Hydrogen, the Commissioning gate, local law, interfaces, and the selected delivery model.</t>
  </si>
  <si>
    <t>GER-0394</t>
  </si>
  <si>
    <t>For a Refining &amp; Petrochemicals Decommissioning project in East Asia, there is a risk during Operations / Handover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</si>
  <si>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Refining &amp; Petrochemicals, the Operations / Handover gate, local law, interfaces, and the selected delivery model.</t>
  </si>
  <si>
    <t>GER-0395</t>
  </si>
  <si>
    <t>For a Solar PV EPC / Turnkey project in North America, there is a risk during Feasibility &amp; Concept that design error, immaturity or interface mismatch, combined with access constraint,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</si>
  <si>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Solar PV, the Feasibility &amp; Concept gate, local law, interfaces, and the selected delivery model.</t>
  </si>
  <si>
    <t>GER-0396</t>
  </si>
  <si>
    <t>For a Carbon Capture, Utilization &amp; Storage Grid Interconnection project in Global / Multi-country, there is a risk during Commissioning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</si>
  <si>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Carbon Capture, Utilization &amp; Storage, the Commissioning gate, local law, interfaces, and the selected delivery model.</t>
  </si>
  <si>
    <t>GER-0397</t>
  </si>
  <si>
    <t>For a Hydropower R&amp;D / Technology Development project in Middle East, there is a risk during Operations / Handover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</si>
  <si>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Hydropower, the Operations / Handover gate, local law, interfaces, and the selected delivery model.</t>
  </si>
  <si>
    <t>GER-0398</t>
  </si>
  <si>
    <t>For a Nuclear Power Brownfield Modification project in South Asia, there is a risk during Feasibility &amp; Concept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</si>
  <si>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Nuclear Power, the Feasibility &amp; Concept gate, local law, interfaces, and the selected delivery model.</t>
  </si>
  <si>
    <t>GER-0399</t>
  </si>
  <si>
    <t>For a District Energy Owner’s Engineering project in Southeast Asia, there is a risk during FEED / Basic Design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</si>
  <si>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District Energy, the FEED / Basic Design gate, local law, interfaces, and the selected delivery model.</t>
  </si>
  <si>
    <t>GER-0400</t>
  </si>
  <si>
    <t>For a Pumped Storage EPCM project in Latin America, there is a risk during Detailed Engineering that design error, immaturity or interface mismatch, combined with performance variability, may adversely affect project objectives through quality / time / cost consequences.</t>
  </si>
  <si>
    <t>Establish controls for design error, immaturity or interface mismatch; assign actions, verify evidence, and review residual exposure at each gate. Tailor the response to Pumped Storage, the Detailed Engineering gate, local law, interfaces, and the selected delivery model.</t>
  </si>
  <si>
    <t>GER-0401</t>
  </si>
  <si>
    <t>For a Onshore Wind EPC / Turnkey project in Europe, there is a risk during Feasibility &amp; Concept that nonconformance, defective material or weak traceability, combined with insufficient planning, may adversely affect project objectives through quality / cost / time consequences.</t>
  </si>
  <si>
    <t>Quality &amp; Defects</t>
  </si>
  <si>
    <t>Quality / Cost / Time</t>
  </si>
  <si>
    <t>Establish controls for nonconformance, defective material or weak traceability; assign actions, verify evidence, and review residual exposure at each gate. Tailor the response to Onshore Wind, the Feasibility &amp; Concept gate, local law, interfaces, and the selected delivery model.</t>
  </si>
  <si>
    <t>Quality Manager</t>
  </si>
  <si>
    <t>GER-0402</t>
  </si>
  <si>
    <t>For a Biomass / Waste-to-Energy Installation project in Africa, there is a risk during FEED / Basic Design that nonconformance, defective material or weak traceability, combined with insufficient planning,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</si>
  <si>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FEED / Basic Design gate, local law, interfaces, and the selected delivery model.</t>
  </si>
  <si>
    <t>GER-0403</t>
  </si>
  <si>
    <t>For a Oil &amp; Gas Upstream Operations &amp; Maintenance project in East Asia, there is a risk during Detailed Engineering that nonconformance, defective material or weak traceability, combined with insufficient planning,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</si>
  <si>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Detailed Engineering gate, local law, interfaces, and the selected delivery model.</t>
  </si>
  <si>
    <t>GER-0404</t>
  </si>
  <si>
    <t>For a Offshore Wind Grid Interconnection project in North America, there is a risk during Procurement that nonconformance, defective material or weak traceability, combined with insufficient planning,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</si>
  <si>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Procurement gate, local law, interfaces, and the selected delivery model.</t>
  </si>
  <si>
    <t>GER-0405</t>
  </si>
  <si>
    <t>For a Green Hydrogen R&amp;D / Technology Development project in Oceania, there is a risk during Manufacturing that nonconformance, defective material or weak traceability, combined with insufficient planning,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</si>
  <si>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Manufacturing gate, local law, interfaces, and the selected delivery model.</t>
  </si>
  <si>
    <t>GER-0406</t>
  </si>
  <si>
    <t>For a Concentrated Solar Power EPCM project in Middle East, there is a risk during Detailed Engineering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</si>
  <si>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Detailed Engineering gate, local law, interfaces, and the selected delivery model.</t>
  </si>
  <si>
    <t>GER-0407</t>
  </si>
  <si>
    <t>For a Transmission &amp; Substations Commissioning &amp; Start-up project in South Asia, there is a risk during Procurement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</si>
  <si>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Procurement gate, local law, interfaces, and the selected delivery model.</t>
  </si>
  <si>
    <t>GER-0408</t>
  </si>
  <si>
    <t>For a Carbon Capture, Utilization &amp; Storage Decommissioning project in Southeast Asia, there is a risk during Manufacturing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</si>
  <si>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Manufacturing gate, local law, interfaces, and the selected delivery model.</t>
  </si>
  <si>
    <t>GER-0409</t>
  </si>
  <si>
    <t>For a Hydropower EPC / Turnkey project in Latin America, there is a risk during Construction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</si>
  <si>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Construction gate, local law, interfaces, and the selected delivery model.</t>
  </si>
  <si>
    <t>GER-0410</t>
  </si>
  <si>
    <t>For a Nuclear Power Installation project in Global / Multi-country, there is a risk during Installation that nonconformance, defective material or weak traceability, combined with incomplete information,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</si>
  <si>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Installation gate, local law, interfaces, and the selected delivery model.</t>
  </si>
  <si>
    <t>GER-0411</t>
  </si>
  <si>
    <t>For a Geothermal R&amp;D / Technology Development project in Africa, there is a risk during Manufacturing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</si>
  <si>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Manufacturing gate, local law, interfaces, and the selected delivery model.</t>
  </si>
  <si>
    <t>GER-0412</t>
  </si>
  <si>
    <t>For a LNG Brownfield Modification project in East Asia, there is a risk during Construction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</si>
  <si>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Construction gate, local law, interfaces, and the selected delivery model.</t>
  </si>
  <si>
    <t>GER-0413</t>
  </si>
  <si>
    <t>For a Onshore Wind Owner’s Engineering project in North America, there is a risk during Installation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</si>
  <si>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Onshore Wind, the Installation gate, local law, interfaces, and the selected delivery model.</t>
  </si>
  <si>
    <t>GER-0414</t>
  </si>
  <si>
    <t>For a Biomass / Waste-to-Energy EPCM project in Oceania, there is a risk during Pre-commissioning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</si>
  <si>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Pre-commissioning gate, local law, interfaces, and the selected delivery model.</t>
  </si>
  <si>
    <t>GER-0415</t>
  </si>
  <si>
    <t>For a Oil &amp; Gas Upstream Commissioning &amp; Start-up project in Europe, there is a risk during Commissioning that nonconformance, defective material or weak traceability, combined with late decision-making,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</si>
  <si>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Commissioning gate, local law, interfaces, and the selected delivery model.</t>
  </si>
  <si>
    <t>GER-0416</t>
  </si>
  <si>
    <t>For a Battery Energy Storage Installation project in South Asia, there is a risk during Installation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</si>
  <si>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Installation gate, local law, interfaces, and the selected delivery model.</t>
  </si>
  <si>
    <t>GER-0417</t>
  </si>
  <si>
    <t>For a Coal / Thermal Power Operations &amp; Maintenance project in Southeast Asia, there is a risk during Pre-commissioning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</si>
  <si>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Pre-commissioning gate, local law, interfaces, and the selected delivery model.</t>
  </si>
  <si>
    <t>GER-0418</t>
  </si>
  <si>
    <t>For a Concentrated Solar Power Grid Interconnection project in Latin America, there is a risk during Commissioning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</si>
  <si>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Commissioning gate, local law, interfaces, and the selected delivery model.</t>
  </si>
  <si>
    <t>GER-0419</t>
  </si>
  <si>
    <t>For a Transmission &amp; Substations R&amp;D / Technology Development project in Global / Multi-country, there is a risk during Operations / Handover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</si>
  <si>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Operations / Handover gate, local law, interfaces, and the selected delivery model.</t>
  </si>
  <si>
    <t>GER-0420</t>
  </si>
  <si>
    <t>For a Carbon Capture, Utilization &amp; Storage Brownfield Modification project in Middle East, there is a risk during Feasibility &amp; Concept that nonconformance, defective material or weak traceability, combined with weak controls,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</si>
  <si>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Feasibility &amp; Concept gate, local law, interfaces, and the selected delivery model.</t>
  </si>
  <si>
    <t>GER-0421</t>
  </si>
  <si>
    <t>For a Natural Gas / CCGT Commissioning &amp; Start-up project in East Asia, there is a risk during Commissioning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</si>
  <si>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Commissioning gate, local law, interfaces, and the selected delivery model.</t>
  </si>
  <si>
    <t>GER-0422</t>
  </si>
  <si>
    <t>For a Marine Energy Decommissioning project in North America, there is a risk during Operations / Handover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</si>
  <si>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Operations / Handover gate, local law, interfaces, and the selected delivery model.</t>
  </si>
  <si>
    <t>GER-0423</t>
  </si>
  <si>
    <t>For a Geothermal EPC / Turnkey project in Oceania, there is a risk during Feasibility &amp; Concept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</si>
  <si>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Feasibility &amp; Concept gate, local law, interfaces, and the selected delivery model.</t>
  </si>
  <si>
    <t>GER-0424</t>
  </si>
  <si>
    <t>For a LNG Installation project in Europe, there is a risk during FEED / Basic Design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</si>
  <si>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FEED / Basic Design gate, local law, interfaces, and the selected delivery model.</t>
  </si>
  <si>
    <t>GER-0425</t>
  </si>
  <si>
    <t>For a Onshore Wind Operations &amp; Maintenance project in Africa, there is a risk during Detailed Engineering that nonconformance, defective material or weak traceability, combined with resource constraints,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</si>
  <si>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Onshore Wind, the Detailed Engineering gate, local law, interfaces, and the selected delivery model.</t>
  </si>
  <si>
    <t>GER-0426</t>
  </si>
  <si>
    <t>For a Refining &amp; Petrochemicals Brownfield Modification project in Southeast Asia, there is a risk during Feasibility &amp; Concept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</si>
  <si>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Feasibility &amp; Concept gate, local law, interfaces, and the selected delivery model.</t>
  </si>
  <si>
    <t>GER-0427</t>
  </si>
  <si>
    <t>For a Solar PV Owner’s Engineering project in Latin America, there is a risk during FEED / Basic Design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</si>
  <si>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FEED / Basic Design gate, local law, interfaces, and the selected delivery model.</t>
  </si>
  <si>
    <t>GER-0428</t>
  </si>
  <si>
    <t>For a Battery Energy Storage EPCM project in Global / Multi-country, there is a risk during Detailed Engineering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</si>
  <si>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Detailed Engineering gate, local law, interfaces, and the selected delivery model.</t>
  </si>
  <si>
    <t>GER-0429</t>
  </si>
  <si>
    <t>For a Coal / Thermal Power Commissioning &amp; Start-up project in Middle East, there is a risk during Procurement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</si>
  <si>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Procurement gate, local law, interfaces, and the selected delivery model.</t>
  </si>
  <si>
    <t>GER-0430</t>
  </si>
  <si>
    <t>For a Concentrated Solar Power Decommissioning project in South Asia, there is a risk during Manufacturing that nonconformance, defective material or weak traceability, combined with supplier dependency,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</si>
  <si>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Manufacturing gate, local law, interfaces, and the selected delivery model.</t>
  </si>
  <si>
    <t>GER-0431</t>
  </si>
  <si>
    <t>For a District Energy Operations &amp; Maintenance project in North America, there is a risk during Detailed Engineering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</si>
  <si>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Detailed Engineering gate, local law, interfaces, and the selected delivery model.</t>
  </si>
  <si>
    <t>GER-0432</t>
  </si>
  <si>
    <t>For a Pumped Storage Grid Interconnection project in Oceania, there is a risk during Procurement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</si>
  <si>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Procurement gate, local law, interfaces, and the selected delivery model.</t>
  </si>
  <si>
    <t>GER-0433</t>
  </si>
  <si>
    <t>For a Natural Gas / CCGT R&amp;D / Technology Development project in Europe, there is a risk during Manufacturing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</si>
  <si>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Manufacturing gate, local law, interfaces, and the selected delivery model.</t>
  </si>
  <si>
    <t>GER-0434</t>
  </si>
  <si>
    <t>For a Marine Energy Brownfield Modification project in Africa, there is a risk during Construction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</si>
  <si>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Construction gate, local law, interfaces, and the selected delivery model.</t>
  </si>
  <si>
    <t>GER-0435</t>
  </si>
  <si>
    <t>For a Geothermal Owner’s Engineering project in East Asia, there is a risk during Installation that nonconformance, defective material or weak traceability, combined with interface complexity,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</si>
  <si>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Installation gate, local law, interfaces, and the selected delivery model.</t>
  </si>
  <si>
    <t>GER-0436</t>
  </si>
  <si>
    <t>For a Offshore Wind Decommissioning project in Latin America, there is a risk during Manufacturing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</si>
  <si>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Manufacturing gate, local law, interfaces, and the selected delivery model.</t>
  </si>
  <si>
    <t>GER-0437</t>
  </si>
  <si>
    <t>For a Green Hydrogen EPC / Turnkey project in Global / Multi-country, there is a risk during Construction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</si>
  <si>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Construction gate, local law, interfaces, and the selected delivery model.</t>
  </si>
  <si>
    <t>GER-0438</t>
  </si>
  <si>
    <t>For a Refining &amp; Petrochemicals Installation project in Middle East, there is a risk during Installation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</si>
  <si>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Installation gate, local law, interfaces, and the selected delivery model.</t>
  </si>
  <si>
    <t>GER-0439</t>
  </si>
  <si>
    <t>For a Solar PV Operations &amp; Maintenance project in South Asia, there is a risk during Pre-commissioning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</si>
  <si>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Pre-commissioning gate, local law, interfaces, and the selected delivery model.</t>
  </si>
  <si>
    <t>GER-0440</t>
  </si>
  <si>
    <t>For a Battery Energy Storage Grid Interconnection project in Southeast Asia, there is a risk during Commissioning that nonconformance, defective material or weak traceability, combined with requirements volatility,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</si>
  <si>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Commissioning gate, local law, interfaces, and the selected delivery model.</t>
  </si>
  <si>
    <t>GER-0441</t>
  </si>
  <si>
    <t>For a Hydropower Owner’s Engineering project in Oceania, there is a risk during Installation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</si>
  <si>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Installation gate, local law, interfaces, and the selected delivery model.</t>
  </si>
  <si>
    <t>GER-0442</t>
  </si>
  <si>
    <t>For a Nuclear Power EPCM project in Europe, there is a risk during Pre-commissioning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</si>
  <si>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Pre-commissioning gate, local law, interfaces, and the selected delivery model.</t>
  </si>
  <si>
    <t>GER-0443</t>
  </si>
  <si>
    <t>For a District Energy Commissioning &amp; Start-up project in Africa, there is a risk during Commissioning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</si>
  <si>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Commissioning gate, local law, interfaces, and the selected delivery model.</t>
  </si>
  <si>
    <t>GER-0444</t>
  </si>
  <si>
    <t>For a Pumped Storage Decommissioning project in East Asia, there is a risk during Operations / Handover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</si>
  <si>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Operations / Handover gate, local law, interfaces, and the selected delivery model.</t>
  </si>
  <si>
    <t>GER-0445</t>
  </si>
  <si>
    <t>For a Natural Gas / CCGT EPC / Turnkey project in North America, there is a risk during Feasibility &amp; Concept that nonconformance, defective material or weak traceability, combined with regulatory uncertainty,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</si>
  <si>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Feasibility &amp; Concept gate, local law, interfaces, and the selected delivery model.</t>
  </si>
  <si>
    <t>GER-0446</t>
  </si>
  <si>
    <t>For a Biomass / Waste-to-Energy Grid Interconnection project in Global / Multi-country, there is a risk during Commissioning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</si>
  <si>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Commissioning gate, local law, interfaces, and the selected delivery model.</t>
  </si>
  <si>
    <t>GER-0447</t>
  </si>
  <si>
    <t>For a Oil &amp; Gas Upstream R&amp;D / Technology Development project in Middle East, there is a risk during Operations / Handover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</si>
  <si>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Operations / Handover gate, local law, interfaces, and the selected delivery model.</t>
  </si>
  <si>
    <t>GER-0448</t>
  </si>
  <si>
    <t>For a Offshore Wind Brownfield Modification project in South Asia, there is a risk during Feasibility &amp; Concept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</si>
  <si>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Feasibility &amp; Concept gate, local law, interfaces, and the selected delivery model.</t>
  </si>
  <si>
    <t>GER-0449</t>
  </si>
  <si>
    <t>For a Green Hydrogen Owner’s Engineering project in Southeast Asia, there is a risk during FEED / Basic Design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</si>
  <si>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FEED / Basic Design gate, local law, interfaces, and the selected delivery model.</t>
  </si>
  <si>
    <t>GER-0450</t>
  </si>
  <si>
    <t>For a Refining &amp; Petrochemicals EPCM project in Latin America, there is a risk during Detailed Engineering that nonconformance, defective material or weak traceability, combined with inadequate verification,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</si>
  <si>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Detailed Engineering gate, local law, interfaces, and the selected delivery model.</t>
  </si>
  <si>
    <t>GER-0451</t>
  </si>
  <si>
    <t>For a Transmission &amp; Substations EPC / Turnkey project in Europe, there is a risk during Feasibility &amp; Concept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</si>
  <si>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Feasibility &amp; Concept gate, local law, interfaces, and the selected delivery model.</t>
  </si>
  <si>
    <t>GER-0452</t>
  </si>
  <si>
    <t>For a Carbon Capture, Utilization &amp; Storage Installation project in Africa, there is a risk during FEED / Basic Design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</si>
  <si>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FEED / Basic Design gate, local law, interfaces, and the selected delivery model.</t>
  </si>
  <si>
    <t>GER-0453</t>
  </si>
  <si>
    <t>For a Hydropower Operations &amp; Maintenance project in East Asia, there is a risk during Detailed Engineering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</si>
  <si>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Detailed Engineering gate, local law, interfaces, and the selected delivery model.</t>
  </si>
  <si>
    <t>GER-0454</t>
  </si>
  <si>
    <t>For a Nuclear Power Grid Interconnection project in North America, there is a risk during Procurement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</si>
  <si>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Procurement gate, local law, interfaces, and the selected delivery model.</t>
  </si>
  <si>
    <t>GER-0455</t>
  </si>
  <si>
    <t>For a District Energy R&amp;D / Technology Development project in Oceania, there is a risk during Manufacturing that nonconformance, defective material or weak traceability, combined with poor communication,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</si>
  <si>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Manufacturing gate, local law, interfaces, and the selected delivery model.</t>
  </si>
  <si>
    <t>GER-0456</t>
  </si>
  <si>
    <t>For a LNG EPCM project in Middle East, there is a risk during Detailed Engineering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</si>
  <si>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Detailed Engineering gate, local law, interfaces, and the selected delivery model.</t>
  </si>
  <si>
    <t>GER-0457</t>
  </si>
  <si>
    <t>For a Onshore Wind Commissioning &amp; Start-up project in South Asia, there is a risk during Procurement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</si>
  <si>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Onshore Wind, the Procurement gate, local law, interfaces, and the selected delivery model.</t>
  </si>
  <si>
    <t>GER-0458</t>
  </si>
  <si>
    <t>For a Biomass / Waste-to-Energy Decommissioning project in Southeast Asia, there is a risk during Manufacturing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</si>
  <si>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Manufacturing gate, local law, interfaces, and the selected delivery model.</t>
  </si>
  <si>
    <t>GER-0459</t>
  </si>
  <si>
    <t>For a Oil &amp; Gas Upstream EPC / Turnkey project in Latin America, there is a risk during Construction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</si>
  <si>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Construction gate, local law, interfaces, and the selected delivery model.</t>
  </si>
  <si>
    <t>GER-0460</t>
  </si>
  <si>
    <t>For a Offshore Wind Installation project in Global / Multi-country, there is a risk during Installation that nonconformance, defective material or weak traceability, combined with incorrect assumptions,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</si>
  <si>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Installation gate, local law, interfaces, and the selected delivery model.</t>
  </si>
  <si>
    <t>GER-0461</t>
  </si>
  <si>
    <t>For a Coal / Thermal Power R&amp;D / Technology Development project in Africa, there is a risk during Manufacturing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</si>
  <si>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Manufacturing gate, local law, interfaces, and the selected delivery model.</t>
  </si>
  <si>
    <t>GER-0462</t>
  </si>
  <si>
    <t>For a Concentrated Solar Power Brownfield Modification project in East Asia, there is a risk during Construction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</si>
  <si>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Construction gate, local law, interfaces, and the selected delivery model.</t>
  </si>
  <si>
    <t>GER-0463</t>
  </si>
  <si>
    <t>For a Transmission &amp; Substations Owner’s Engineering project in North America, there is a risk during Installation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</si>
  <si>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Installation gate, local law, interfaces, and the selected delivery model.</t>
  </si>
  <si>
    <t>GER-0464</t>
  </si>
  <si>
    <t>For a Carbon Capture, Utilization &amp; Storage EPCM project in Oceania, there is a risk during Pre-commissioning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</si>
  <si>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Pre-commissioning gate, local law, interfaces, and the selected delivery model.</t>
  </si>
  <si>
    <t>GER-0465</t>
  </si>
  <si>
    <t>For a Hydropower Commissioning &amp; Start-up project in Europe, there is a risk during Commissioning that nonconformance, defective material or weak traceability, combined with low technical maturity,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</si>
  <si>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Commissioning gate, local law, interfaces, and the selected delivery model.</t>
  </si>
  <si>
    <t>GER-0466</t>
  </si>
  <si>
    <t>For a Marine Energy Installation project in South Asia, there is a risk during Installation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</si>
  <si>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Installation gate, local law, interfaces, and the selected delivery model.</t>
  </si>
  <si>
    <t>GER-0467</t>
  </si>
  <si>
    <t>For a Geothermal Operations &amp; Maintenance project in Southeast Asia, there is a risk during Pre-commissioning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</si>
  <si>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Pre-commissioning gate, local law, interfaces, and the selected delivery model.</t>
  </si>
  <si>
    <t>GER-0468</t>
  </si>
  <si>
    <t>For a LNG Grid Interconnection project in Latin America, there is a risk during Commissioning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</si>
  <si>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Commissioning gate, local law, interfaces, and the selected delivery model.</t>
  </si>
  <si>
    <t>GER-0469</t>
  </si>
  <si>
    <t>For a Onshore Wind R&amp;D / Technology Development project in Global / Multi-country, there is a risk during Operations / Handover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</si>
  <si>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Onshore Wind, the Operations / Handover gate, local law, interfaces, and the selected delivery model.</t>
  </si>
  <si>
    <t>GER-0470</t>
  </si>
  <si>
    <t>For a Biomass / Waste-to-Energy Brownfield Modification project in Middle East, there is a risk during Feasibility &amp; Concept that nonconformance, defective material or weak traceability, combined with documentation gaps,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</si>
  <si>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Biomass / Waste-to-Energy, the Feasibility &amp; Concept gate, local law, interfaces, and the selected delivery model.</t>
  </si>
  <si>
    <t>GER-0471</t>
  </si>
  <si>
    <t>For a Solar PV Commissioning &amp; Start-up project in East Asia, there is a risk during Commissioning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</si>
  <si>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Commissioning gate, local law, interfaces, and the selected delivery model.</t>
  </si>
  <si>
    <t>GER-0472</t>
  </si>
  <si>
    <t>For a Battery Energy Storage Decommissioning project in North America, there is a risk during Operations / Handover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</si>
  <si>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Operations / Handover gate, local law, interfaces, and the selected delivery model.</t>
  </si>
  <si>
    <t>GER-0473</t>
  </si>
  <si>
    <t>For a Coal / Thermal Power EPC / Turnkey project in Oceania, there is a risk during Feasibility &amp; Concept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</si>
  <si>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Feasibility &amp; Concept gate, local law, interfaces, and the selected delivery model.</t>
  </si>
  <si>
    <t>GER-0474</t>
  </si>
  <si>
    <t>For a Concentrated Solar Power Installation project in Europe, there is a risk during FEED / Basic Design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</si>
  <si>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Concentrated Solar Power, the FEED / Basic Design gate, local law, interfaces, and the selected delivery model.</t>
  </si>
  <si>
    <t>GER-0475</t>
  </si>
  <si>
    <t>For a Transmission &amp; Substations Operations &amp; Maintenance project in Africa, there is a risk during Detailed Engineering that nonconformance, defective material or weak traceability, combined with external disruption,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</si>
  <si>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Transmission &amp; Substations, the Detailed Engineering gate, local law, interfaces, and the selected delivery model.</t>
  </si>
  <si>
    <t>GER-0476</t>
  </si>
  <si>
    <t>For a Pumped Storage Brownfield Modification project in Southeast Asia, there is a risk during Feasibility &amp; Concept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</si>
  <si>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Feasibility &amp; Concept gate, local law, interfaces, and the selected delivery model.</t>
  </si>
  <si>
    <t>GER-0477</t>
  </si>
  <si>
    <t>For a Natural Gas / CCGT Owner’s Engineering project in Latin America, there is a risk during FEED / Basic Design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</si>
  <si>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FEED / Basic Design gate, local law, interfaces, and the selected delivery model.</t>
  </si>
  <si>
    <t>GER-0478</t>
  </si>
  <si>
    <t>For a Marine Energy EPCM project in Global / Multi-country, there is a risk during Detailed Engineering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</si>
  <si>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Detailed Engineering gate, local law, interfaces, and the selected delivery model.</t>
  </si>
  <si>
    <t>GER-0479</t>
  </si>
  <si>
    <t>For a Geothermal Commissioning &amp; Start-up project in Middle East, there is a risk during Procurement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</si>
  <si>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Geothermal, the Procurement gate, local law, interfaces, and the selected delivery model.</t>
  </si>
  <si>
    <t>GER-0480</t>
  </si>
  <si>
    <t>For a LNG Decommissioning project in South Asia, there is a risk during Manufacturing that nonconformance, defective material or weak traceability, combined with governance delay,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</si>
  <si>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LNG, the Manufacturing gate, local law, interfaces, and the selected delivery model.</t>
  </si>
  <si>
    <t>GER-0481</t>
  </si>
  <si>
    <t>For a Green Hydrogen Operations &amp; Maintenance project in North America, there is a risk during Detailed Engineering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</si>
  <si>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Detailed Engineering gate, local law, interfaces, and the selected delivery model.</t>
  </si>
  <si>
    <t>GER-0482</t>
  </si>
  <si>
    <t>For a Refining &amp; Petrochemicals Grid Interconnection project in Oceania, there is a risk during Procurement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</si>
  <si>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Procurement gate, local law, interfaces, and the selected delivery model.</t>
  </si>
  <si>
    <t>GER-0483</t>
  </si>
  <si>
    <t>For a Solar PV R&amp;D / Technology Development project in Europe, there is a risk during Manufacturing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</si>
  <si>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Manufacturing gate, local law, interfaces, and the selected delivery model.</t>
  </si>
  <si>
    <t>GER-0484</t>
  </si>
  <si>
    <t>For a Battery Energy Storage Brownfield Modification project in Africa, there is a risk during Construction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</si>
  <si>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Battery Energy Storage, the Construction gate, local law, interfaces, and the selected delivery model.</t>
  </si>
  <si>
    <t>GER-0485</t>
  </si>
  <si>
    <t>For a Coal / Thermal Power Owner’s Engineering project in East Asia, there is a risk during Installation that nonconformance, defective material or weak traceability, combined with commercial misalignment,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</si>
  <si>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Coal / Thermal Power, the Installation gate, local law, interfaces, and the selected delivery model.</t>
  </si>
  <si>
    <t>GER-0486</t>
  </si>
  <si>
    <t>For a Nuclear Power Decommissioning project in Latin America, there is a risk during Manufacturing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</si>
  <si>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Manufacturing gate, local law, interfaces, and the selected delivery model.</t>
  </si>
  <si>
    <t>GER-0487</t>
  </si>
  <si>
    <t>For a District Energy EPC / Turnkey project in Global / Multi-country, there is a risk during Construction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</si>
  <si>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Construction gate, local law, interfaces, and the selected delivery model.</t>
  </si>
  <si>
    <t>GER-0488</t>
  </si>
  <si>
    <t>For a Pumped Storage Installation project in Middle East, there is a risk during Installation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</si>
  <si>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Installation gate, local law, interfaces, and the selected delivery model.</t>
  </si>
  <si>
    <t>GER-0489</t>
  </si>
  <si>
    <t>For a Natural Gas / CCGT Operations &amp; Maintenance project in South Asia, there is a risk during Pre-commissioning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</si>
  <si>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Natural Gas / CCGT, the Pre-commissioning gate, local law, interfaces, and the selected delivery model.</t>
  </si>
  <si>
    <t>GER-0490</t>
  </si>
  <si>
    <t>For a Marine Energy Grid Interconnection project in Southeast Asia, there is a risk during Commissioning that nonconformance, defective material or weak traceability, combined with quality escape,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</si>
  <si>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Marine Energy, the Commissioning gate, local law, interfaces, and the selected delivery model.</t>
  </si>
  <si>
    <t>GER-0491</t>
  </si>
  <si>
    <t>For a Oil &amp; Gas Upstream Owner’s Engineering project in Oceania, there is a risk during Installation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</si>
  <si>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Oil &amp; Gas Upstream, the Installation gate, local law, interfaces, and the selected delivery model.</t>
  </si>
  <si>
    <t>GER-0492</t>
  </si>
  <si>
    <t>For a Offshore Wind EPCM project in Europe, there is a risk during Pre-commissioning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</si>
  <si>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Offshore Wind, the Pre-commissioning gate, local law, interfaces, and the selected delivery model.</t>
  </si>
  <si>
    <t>GER-0493</t>
  </si>
  <si>
    <t>For a Green Hydrogen Commissioning &amp; Start-up project in Africa, there is a risk during Commissioning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</si>
  <si>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Green Hydrogen, the Commissioning gate, local law, interfaces, and the selected delivery model.</t>
  </si>
  <si>
    <t>GER-0494</t>
  </si>
  <si>
    <t>For a Refining &amp; Petrochemicals Decommissioning project in East Asia, there is a risk during Operations / Handover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</si>
  <si>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Refining &amp; Petrochemicals, the Operations / Handover gate, local law, interfaces, and the selected delivery model.</t>
  </si>
  <si>
    <t>GER-0495</t>
  </si>
  <si>
    <t>For a Solar PV EPC / Turnkey project in North America, there is a risk during Feasibility &amp; Concept that nonconformance, defective material or weak traceability, combined with access constraint,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</si>
  <si>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Solar PV, the Feasibility &amp; Concept gate, local law, interfaces, and the selected delivery model.</t>
  </si>
  <si>
    <t>GER-0496</t>
  </si>
  <si>
    <t>For a Carbon Capture, Utilization &amp; Storage Grid Interconnection project in Global / Multi-country, there is a risk during Commissioning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</si>
  <si>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Carbon Capture, Utilization &amp; Storage, the Commissioning gate, local law, interfaces, and the selected delivery model.</t>
  </si>
  <si>
    <t>GER-0497</t>
  </si>
  <si>
    <t>For a Hydropower R&amp;D / Technology Development project in Middle East, there is a risk during Operations / Handover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</si>
  <si>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Hydropower, the Operations / Handover gate, local law, interfaces, and the selected delivery model.</t>
  </si>
  <si>
    <t>GER-0498</t>
  </si>
  <si>
    <t>For a Nuclear Power Brownfield Modification project in South Asia, there is a risk during Feasibility &amp; Concept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</si>
  <si>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Nuclear Power, the Feasibility &amp; Concept gate, local law, interfaces, and the selected delivery model.</t>
  </si>
  <si>
    <t>GER-0499</t>
  </si>
  <si>
    <t>For a District Energy Owner’s Engineering project in Southeast Asia, there is a risk during FEED / Basic Design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</si>
  <si>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District Energy, the FEED / Basic Design gate, local law, interfaces, and the selected delivery model.</t>
  </si>
  <si>
    <t>GER-0500</t>
  </si>
  <si>
    <t>For a Pumped Storage EPCM project in Latin America, there is a risk during Detailed Engineering that nonconformance, defective material or weak traceability, combined with performance variability, may adversely affect project objectives through quality / cost / time consequences.</t>
  </si>
  <si>
    <t>Establish controls for nonconformance, defective material or weak traceability; assign actions, verify evidence, and review residual exposure at each gate. Tailor the response to Pumped Storage, the Detailed Engineering gate, local law, interfaces, and the selected delivery model.</t>
  </si>
  <si>
    <t>GER-0501</t>
  </si>
  <si>
    <t>For a Onshore Wind EPC / Turnkey project in Europe, there is a risk during Feasibility &amp; Concept that unsafe work, weak supervision or permit failure, combined with insufficient planning, may adversely affect project objectives through hse / time / cost consequences.</t>
  </si>
  <si>
    <t>HSE</t>
  </si>
  <si>
    <t>HSE / Time / Cost</t>
  </si>
  <si>
    <t>Establish controls for unsafe work, weak supervision or permit failure; assign actions, verify evidence, and review residual exposure at each gate. Tailor the response to Onshore Wind, the Feasibility &amp; Concept gate, local law, interfaces, and the selected delivery model.</t>
  </si>
  <si>
    <t>HSE Manager</t>
  </si>
  <si>
    <t>GER-0502</t>
  </si>
  <si>
    <t>For a Biomass / Waste-to-Energy Installation project in Africa, there is a risk during FEED / Basic Design that unsafe work, weak supervision or permit failure, combined with insufficient planning,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</si>
  <si>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FEED / Basic Design gate, local law, interfaces, and the selected delivery model.</t>
  </si>
  <si>
    <t>GER-0503</t>
  </si>
  <si>
    <t>For a Oil &amp; Gas Upstream Operations &amp; Maintenance project in East Asia, there is a risk during Detailed Engineering that unsafe work, weak supervision or permit failure, combined with insufficient planning,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</si>
  <si>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Detailed Engineering gate, local law, interfaces, and the selected delivery model.</t>
  </si>
  <si>
    <t>GER-0504</t>
  </si>
  <si>
    <t>For a Offshore Wind Grid Interconnection project in North America, there is a risk during Procurement that unsafe work, weak supervision or permit failure, combined with insufficient planning,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</si>
  <si>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Procurement gate, local law, interfaces, and the selected delivery model.</t>
  </si>
  <si>
    <t>GER-0505</t>
  </si>
  <si>
    <t>For a Green Hydrogen R&amp;D / Technology Development project in Oceania, there is a risk during Manufacturing that unsafe work, weak supervision or permit failure, combined with insufficient planning,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</si>
  <si>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Manufacturing gate, local law, interfaces, and the selected delivery model.</t>
  </si>
  <si>
    <t>GER-0506</t>
  </si>
  <si>
    <t>For a Concentrated Solar Power EPCM project in Middle East, there is a risk during Detailed Engineering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</si>
  <si>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Detailed Engineering gate, local law, interfaces, and the selected delivery model.</t>
  </si>
  <si>
    <t>GER-0507</t>
  </si>
  <si>
    <t>For a Transmission &amp; Substations Commissioning &amp; Start-up project in South Asia, there is a risk during Procurement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</si>
  <si>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Procurement gate, local law, interfaces, and the selected delivery model.</t>
  </si>
  <si>
    <t>GER-0508</t>
  </si>
  <si>
    <t>For a Carbon Capture, Utilization &amp; Storage Decommissioning project in Southeast Asia, there is a risk during Manufacturing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</si>
  <si>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Manufacturing gate, local law, interfaces, and the selected delivery model.</t>
  </si>
  <si>
    <t>GER-0509</t>
  </si>
  <si>
    <t>For a Hydropower EPC / Turnkey project in Latin America, there is a risk during Construction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</si>
  <si>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Construction gate, local law, interfaces, and the selected delivery model.</t>
  </si>
  <si>
    <t>GER-0510</t>
  </si>
  <si>
    <t>For a Nuclear Power Installation project in Global / Multi-country, there is a risk during Installation that unsafe work, weak supervision or permit failure, combined with incomplete information,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</si>
  <si>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Installation gate, local law, interfaces, and the selected delivery model.</t>
  </si>
  <si>
    <t>GER-0511</t>
  </si>
  <si>
    <t>For a Geothermal R&amp;D / Technology Development project in Africa, there is a risk during Manufacturing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</si>
  <si>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Manufacturing gate, local law, interfaces, and the selected delivery model.</t>
  </si>
  <si>
    <t>GER-0512</t>
  </si>
  <si>
    <t>For a LNG Brownfield Modification project in East Asia, there is a risk during Construction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</si>
  <si>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Construction gate, local law, interfaces, and the selected delivery model.</t>
  </si>
  <si>
    <t>GER-0513</t>
  </si>
  <si>
    <t>For a Onshore Wind Owner’s Engineering project in North America, there is a risk during Installation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</si>
  <si>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Onshore Wind, the Installation gate, local law, interfaces, and the selected delivery model.</t>
  </si>
  <si>
    <t>GER-0514</t>
  </si>
  <si>
    <t>For a Biomass / Waste-to-Energy EPCM project in Oceania, there is a risk during Pre-commissioning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</si>
  <si>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Pre-commissioning gate, local law, interfaces, and the selected delivery model.</t>
  </si>
  <si>
    <t>GER-0515</t>
  </si>
  <si>
    <t>For a Oil &amp; Gas Upstream Commissioning &amp; Start-up project in Europe, there is a risk during Commissioning that unsafe work, weak supervision or permit failure, combined with late decision-making,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</si>
  <si>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Commissioning gate, local law, interfaces, and the selected delivery model.</t>
  </si>
  <si>
    <t>GER-0516</t>
  </si>
  <si>
    <t>For a Battery Energy Storage Installation project in South Asia, there is a risk during Installation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</si>
  <si>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Installation gate, local law, interfaces, and the selected delivery model.</t>
  </si>
  <si>
    <t>GER-0517</t>
  </si>
  <si>
    <t>For a Coal / Thermal Power Operations &amp; Maintenance project in Southeast Asia, there is a risk during Pre-commissioning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</si>
  <si>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Pre-commissioning gate, local law, interfaces, and the selected delivery model.</t>
  </si>
  <si>
    <t>GER-0518</t>
  </si>
  <si>
    <t>For a Concentrated Solar Power Grid Interconnection project in Latin America, there is a risk during Commissioning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</si>
  <si>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Commissioning gate, local law, interfaces, and the selected delivery model.</t>
  </si>
  <si>
    <t>GER-0519</t>
  </si>
  <si>
    <t>For a Transmission &amp; Substations R&amp;D / Technology Development project in Global / Multi-country, there is a risk during Operations / Handover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</si>
  <si>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Operations / Handover gate, local law, interfaces, and the selected delivery model.</t>
  </si>
  <si>
    <t>GER-0520</t>
  </si>
  <si>
    <t>For a Carbon Capture, Utilization &amp; Storage Brownfield Modification project in Middle East, there is a risk during Feasibility &amp; Concept that unsafe work, weak supervision or permit failure, combined with weak controls,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</si>
  <si>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Feasibility &amp; Concept gate, local law, interfaces, and the selected delivery model.</t>
  </si>
  <si>
    <t>GER-0521</t>
  </si>
  <si>
    <t>For a Natural Gas / CCGT Commissioning &amp; Start-up project in East Asia, there is a risk during Commissioning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</si>
  <si>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Commissioning gate, local law, interfaces, and the selected delivery model.</t>
  </si>
  <si>
    <t>GER-0522</t>
  </si>
  <si>
    <t>For a Marine Energy Decommissioning project in North America, there is a risk during Operations / Handover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</si>
  <si>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Operations / Handover gate, local law, interfaces, and the selected delivery model.</t>
  </si>
  <si>
    <t>GER-0523</t>
  </si>
  <si>
    <t>For a Geothermal EPC / Turnkey project in Oceania, there is a risk during Feasibility &amp; Concept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</si>
  <si>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Feasibility &amp; Concept gate, local law, interfaces, and the selected delivery model.</t>
  </si>
  <si>
    <t>GER-0524</t>
  </si>
  <si>
    <t>For a LNG Installation project in Europe, there is a risk during FEED / Basic Design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</si>
  <si>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FEED / Basic Design gate, local law, interfaces, and the selected delivery model.</t>
  </si>
  <si>
    <t>GER-0525</t>
  </si>
  <si>
    <t>For a Onshore Wind Operations &amp; Maintenance project in Africa, there is a risk during Detailed Engineering that unsafe work, weak supervision or permit failure, combined with resource constraints,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</si>
  <si>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Onshore Wind, the Detailed Engineering gate, local law, interfaces, and the selected delivery model.</t>
  </si>
  <si>
    <t>GER-0526</t>
  </si>
  <si>
    <t>For a Refining &amp; Petrochemicals Brownfield Modification project in Southeast Asia, there is a risk during Feasibility &amp; Concept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</si>
  <si>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Feasibility &amp; Concept gate, local law, interfaces, and the selected delivery model.</t>
  </si>
  <si>
    <t>GER-0527</t>
  </si>
  <si>
    <t>For a Solar PV Owner’s Engineering project in Latin America, there is a risk during FEED / Basic Design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</si>
  <si>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FEED / Basic Design gate, local law, interfaces, and the selected delivery model.</t>
  </si>
  <si>
    <t>GER-0528</t>
  </si>
  <si>
    <t>For a Battery Energy Storage EPCM project in Global / Multi-country, there is a risk during Detailed Engineering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</si>
  <si>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Detailed Engineering gate, local law, interfaces, and the selected delivery model.</t>
  </si>
  <si>
    <t>GER-0529</t>
  </si>
  <si>
    <t>For a Coal / Thermal Power Commissioning &amp; Start-up project in Middle East, there is a risk during Procurement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</si>
  <si>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Procurement gate, local law, interfaces, and the selected delivery model.</t>
  </si>
  <si>
    <t>GER-0530</t>
  </si>
  <si>
    <t>For a Concentrated Solar Power Decommissioning project in South Asia, there is a risk during Manufacturing that unsafe work, weak supervision or permit failure, combined with supplier dependency,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</si>
  <si>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Manufacturing gate, local law, interfaces, and the selected delivery model.</t>
  </si>
  <si>
    <t>GER-0531</t>
  </si>
  <si>
    <t>For a District Energy Operations &amp; Maintenance project in North America, there is a risk during Detailed Engineering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</si>
  <si>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Detailed Engineering gate, local law, interfaces, and the selected delivery model.</t>
  </si>
  <si>
    <t>GER-0532</t>
  </si>
  <si>
    <t>For a Pumped Storage Grid Interconnection project in Oceania, there is a risk during Procurement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</si>
  <si>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Procurement gate, local law, interfaces, and the selected delivery model.</t>
  </si>
  <si>
    <t>GER-0533</t>
  </si>
  <si>
    <t>For a Natural Gas / CCGT R&amp;D / Technology Development project in Europe, there is a risk during Manufacturing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</si>
  <si>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Manufacturing gate, local law, interfaces, and the selected delivery model.</t>
  </si>
  <si>
    <t>GER-0534</t>
  </si>
  <si>
    <t>For a Marine Energy Brownfield Modification project in Africa, there is a risk during Construction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</si>
  <si>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Construction gate, local law, interfaces, and the selected delivery model.</t>
  </si>
  <si>
    <t>GER-0535</t>
  </si>
  <si>
    <t>For a Geothermal Owner’s Engineering project in East Asia, there is a risk during Installation that unsafe work, weak supervision or permit failure, combined with interface complexity,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</si>
  <si>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Installation gate, local law, interfaces, and the selected delivery model.</t>
  </si>
  <si>
    <t>GER-0536</t>
  </si>
  <si>
    <t>For a Offshore Wind Decommissioning project in Latin America, there is a risk during Manufacturing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</si>
  <si>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Manufacturing gate, local law, interfaces, and the selected delivery model.</t>
  </si>
  <si>
    <t>GER-0537</t>
  </si>
  <si>
    <t>For a Green Hydrogen EPC / Turnkey project in Global / Multi-country, there is a risk during Construction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</si>
  <si>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Construction gate, local law, interfaces, and the selected delivery model.</t>
  </si>
  <si>
    <t>GER-0538</t>
  </si>
  <si>
    <t>For a Refining &amp; Petrochemicals Installation project in Middle East, there is a risk during Installation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</si>
  <si>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Installation gate, local law, interfaces, and the selected delivery model.</t>
  </si>
  <si>
    <t>GER-0539</t>
  </si>
  <si>
    <t>For a Solar PV Operations &amp; Maintenance project in South Asia, there is a risk during Pre-commissioning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</si>
  <si>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Pre-commissioning gate, local law, interfaces, and the selected delivery model.</t>
  </si>
  <si>
    <t>GER-0540</t>
  </si>
  <si>
    <t>For a Battery Energy Storage Grid Interconnection project in Southeast Asia, there is a risk during Commissioning that unsafe work, weak supervision or permit failure, combined with requirements volatility,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</si>
  <si>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Commissioning gate, local law, interfaces, and the selected delivery model.</t>
  </si>
  <si>
    <t>GER-0541</t>
  </si>
  <si>
    <t>For a Hydropower Owner’s Engineering project in Oceania, there is a risk during Installation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</si>
  <si>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Installation gate, local law, interfaces, and the selected delivery model.</t>
  </si>
  <si>
    <t>GER-0542</t>
  </si>
  <si>
    <t>For a Nuclear Power EPCM project in Europe, there is a risk during Pre-commissioning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</si>
  <si>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Pre-commissioning gate, local law, interfaces, and the selected delivery model.</t>
  </si>
  <si>
    <t>GER-0543</t>
  </si>
  <si>
    <t>For a District Energy Commissioning &amp; Start-up project in Africa, there is a risk during Commissioning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</si>
  <si>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Commissioning gate, local law, interfaces, and the selected delivery model.</t>
  </si>
  <si>
    <t>GER-0544</t>
  </si>
  <si>
    <t>For a Pumped Storage Decommissioning project in East Asia, there is a risk during Operations / Handover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</si>
  <si>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Operations / Handover gate, local law, interfaces, and the selected delivery model.</t>
  </si>
  <si>
    <t>GER-0545</t>
  </si>
  <si>
    <t>For a Natural Gas / CCGT EPC / Turnkey project in North America, there is a risk during Feasibility &amp; Concept that unsafe work, weak supervision or permit failure, combined with regulatory uncertainty,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</si>
  <si>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Feasibility &amp; Concept gate, local law, interfaces, and the selected delivery model.</t>
  </si>
  <si>
    <t>GER-0546</t>
  </si>
  <si>
    <t>For a Biomass / Waste-to-Energy Grid Interconnection project in Global / Multi-country, there is a risk during Commissioning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</si>
  <si>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Commissioning gate, local law, interfaces, and the selected delivery model.</t>
  </si>
  <si>
    <t>GER-0547</t>
  </si>
  <si>
    <t>For a Oil &amp; Gas Upstream R&amp;D / Technology Development project in Middle East, there is a risk during Operations / Handover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</si>
  <si>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Operations / Handover gate, local law, interfaces, and the selected delivery model.</t>
  </si>
  <si>
    <t>GER-0548</t>
  </si>
  <si>
    <t>For a Offshore Wind Brownfield Modification project in South Asia, there is a risk during Feasibility &amp; Concept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</si>
  <si>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Feasibility &amp; Concept gate, local law, interfaces, and the selected delivery model.</t>
  </si>
  <si>
    <t>GER-0549</t>
  </si>
  <si>
    <t>For a Green Hydrogen Owner’s Engineering project in Southeast Asia, there is a risk during FEED / Basic Design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</si>
  <si>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FEED / Basic Design gate, local law, interfaces, and the selected delivery model.</t>
  </si>
  <si>
    <t>GER-0550</t>
  </si>
  <si>
    <t>For a Refining &amp; Petrochemicals EPCM project in Latin America, there is a risk during Detailed Engineering that unsafe work, weak supervision or permit failure, combined with inadequate verification,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</si>
  <si>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Detailed Engineering gate, local law, interfaces, and the selected delivery model.</t>
  </si>
  <si>
    <t>GER-0551</t>
  </si>
  <si>
    <t>For a Transmission &amp; Substations EPC / Turnkey project in Europe, there is a risk during Feasibility &amp; Concept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</si>
  <si>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Feasibility &amp; Concept gate, local law, interfaces, and the selected delivery model.</t>
  </si>
  <si>
    <t>GER-0552</t>
  </si>
  <si>
    <t>For a Carbon Capture, Utilization &amp; Storage Installation project in Africa, there is a risk during FEED / Basic Design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</si>
  <si>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FEED / Basic Design gate, local law, interfaces, and the selected delivery model.</t>
  </si>
  <si>
    <t>GER-0553</t>
  </si>
  <si>
    <t>For a Hydropower Operations &amp; Maintenance project in East Asia, there is a risk during Detailed Engineering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</si>
  <si>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Detailed Engineering gate, local law, interfaces, and the selected delivery model.</t>
  </si>
  <si>
    <t>GER-0554</t>
  </si>
  <si>
    <t>For a Nuclear Power Grid Interconnection project in North America, there is a risk during Procurement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</si>
  <si>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Procurement gate, local law, interfaces, and the selected delivery model.</t>
  </si>
  <si>
    <t>GER-0555</t>
  </si>
  <si>
    <t>For a District Energy R&amp;D / Technology Development project in Oceania, there is a risk during Manufacturing that unsafe work, weak supervision or permit failure, combined with poor communication,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</si>
  <si>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Manufacturing gate, local law, interfaces, and the selected delivery model.</t>
  </si>
  <si>
    <t>GER-0556</t>
  </si>
  <si>
    <t>For a LNG EPCM project in Middle East, there is a risk during Detailed Engineering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</si>
  <si>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Detailed Engineering gate, local law, interfaces, and the selected delivery model.</t>
  </si>
  <si>
    <t>GER-0557</t>
  </si>
  <si>
    <t>For a Onshore Wind Commissioning &amp; Start-up project in South Asia, there is a risk during Procurement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</si>
  <si>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Onshore Wind, the Procurement gate, local law, interfaces, and the selected delivery model.</t>
  </si>
  <si>
    <t>GER-0558</t>
  </si>
  <si>
    <t>For a Biomass / Waste-to-Energy Decommissioning project in Southeast Asia, there is a risk during Manufacturing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</si>
  <si>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Manufacturing gate, local law, interfaces, and the selected delivery model.</t>
  </si>
  <si>
    <t>GER-0559</t>
  </si>
  <si>
    <t>For a Oil &amp; Gas Upstream EPC / Turnkey project in Latin America, there is a risk during Construction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</si>
  <si>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Construction gate, local law, interfaces, and the selected delivery model.</t>
  </si>
  <si>
    <t>GER-0560</t>
  </si>
  <si>
    <t>For a Offshore Wind Installation project in Global / Multi-country, there is a risk during Installation that unsafe work, weak supervision or permit failure, combined with incorrect assumptions,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</si>
  <si>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Installation gate, local law, interfaces, and the selected delivery model.</t>
  </si>
  <si>
    <t>GER-0561</t>
  </si>
  <si>
    <t>For a Coal / Thermal Power R&amp;D / Technology Development project in Africa, there is a risk during Manufacturing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</si>
  <si>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Manufacturing gate, local law, interfaces, and the selected delivery model.</t>
  </si>
  <si>
    <t>GER-0562</t>
  </si>
  <si>
    <t>For a Concentrated Solar Power Brownfield Modification project in East Asia, there is a risk during Construction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</si>
  <si>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Construction gate, local law, interfaces, and the selected delivery model.</t>
  </si>
  <si>
    <t>GER-0563</t>
  </si>
  <si>
    <t>For a Transmission &amp; Substations Owner’s Engineering project in North America, there is a risk during Installation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</si>
  <si>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Installation gate, local law, interfaces, and the selected delivery model.</t>
  </si>
  <si>
    <t>GER-0564</t>
  </si>
  <si>
    <t>For a Carbon Capture, Utilization &amp; Storage EPCM project in Oceania, there is a risk during Pre-commissioning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</si>
  <si>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Pre-commissioning gate, local law, interfaces, and the selected delivery model.</t>
  </si>
  <si>
    <t>GER-0565</t>
  </si>
  <si>
    <t>For a Hydropower Commissioning &amp; Start-up project in Europe, there is a risk during Commissioning that unsafe work, weak supervision or permit failure, combined with low technical maturity,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</si>
  <si>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Commissioning gate, local law, interfaces, and the selected delivery model.</t>
  </si>
  <si>
    <t>GER-0566</t>
  </si>
  <si>
    <t>For a Marine Energy Installation project in South Asia, there is a risk during Installation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</si>
  <si>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Installation gate, local law, interfaces, and the selected delivery model.</t>
  </si>
  <si>
    <t>GER-0567</t>
  </si>
  <si>
    <t>For a Geothermal Operations &amp; Maintenance project in Southeast Asia, there is a risk during Pre-commissioning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</si>
  <si>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Pre-commissioning gate, local law, interfaces, and the selected delivery model.</t>
  </si>
  <si>
    <t>GER-0568</t>
  </si>
  <si>
    <t>For a LNG Grid Interconnection project in Latin America, there is a risk during Commissioning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</si>
  <si>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Commissioning gate, local law, interfaces, and the selected delivery model.</t>
  </si>
  <si>
    <t>GER-0569</t>
  </si>
  <si>
    <t>For a Onshore Wind R&amp;D / Technology Development project in Global / Multi-country, there is a risk during Operations / Handover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</si>
  <si>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Onshore Wind, the Operations / Handover gate, local law, interfaces, and the selected delivery model.</t>
  </si>
  <si>
    <t>GER-0570</t>
  </si>
  <si>
    <t>For a Biomass / Waste-to-Energy Brownfield Modification project in Middle East, there is a risk during Feasibility &amp; Concept that unsafe work, weak supervision or permit failure, combined with documentation gaps,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</si>
  <si>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Biomass / Waste-to-Energy, the Feasibility &amp; Concept gate, local law, interfaces, and the selected delivery model.</t>
  </si>
  <si>
    <t>GER-0571</t>
  </si>
  <si>
    <t>For a Solar PV Commissioning &amp; Start-up project in East Asia, there is a risk during Commissioning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</si>
  <si>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Commissioning gate, local law, interfaces, and the selected delivery model.</t>
  </si>
  <si>
    <t>GER-0572</t>
  </si>
  <si>
    <t>For a Battery Energy Storage Decommissioning project in North America, there is a risk during Operations / Handover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</si>
  <si>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Operations / Handover gate, local law, interfaces, and the selected delivery model.</t>
  </si>
  <si>
    <t>GER-0573</t>
  </si>
  <si>
    <t>For a Coal / Thermal Power EPC / Turnkey project in Oceania, there is a risk during Feasibility &amp; Concept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</si>
  <si>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Feasibility &amp; Concept gate, local law, interfaces, and the selected delivery model.</t>
  </si>
  <si>
    <t>GER-0574</t>
  </si>
  <si>
    <t>For a Concentrated Solar Power Installation project in Europe, there is a risk during FEED / Basic Design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</si>
  <si>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Concentrated Solar Power, the FEED / Basic Design gate, local law, interfaces, and the selected delivery model.</t>
  </si>
  <si>
    <t>GER-0575</t>
  </si>
  <si>
    <t>For a Transmission &amp; Substations Operations &amp; Maintenance project in Africa, there is a risk during Detailed Engineering that unsafe work, weak supervision or permit failure, combined with external disruption, may adversely affect project objectives through hse / time / cost consequences.</t>
  </si>
  <si>
    <t>Establish controls for unsafe work, weak supervision or permit failure; assign actions, verify evidence, and review residual exposure at each gate. Tailor the response to Transmission &amp; Substations, the Detailed Engineering gate, local law, interfaces, and the selected delivery model.</t>
  </si>
  <si>
    <t>GER-0576</t>
  </si>
  <si>
    <t>For a Pumped Storage Brownfield Modification project in Southeast Asia, there is a risk during Feasibility &amp; Concept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</si>
  <si>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Feasibility &amp; Concept gate, local law, interfaces, and the selected delivery model.</t>
  </si>
  <si>
    <t>GER-0577</t>
  </si>
  <si>
    <t>For a Natural Gas / CCGT Owner’s Engineering project in Latin America, there is a risk during FEED / Basic Design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</si>
  <si>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FEED / Basic Design gate, local law, interfaces, and the selected delivery model.</t>
  </si>
  <si>
    <t>GER-0578</t>
  </si>
  <si>
    <t>For a Marine Energy EPCM project in Global / Multi-country, there is a risk during Detailed Engineering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</si>
  <si>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Detailed Engineering gate, local law, interfaces, and the selected delivery model.</t>
  </si>
  <si>
    <t>GER-0579</t>
  </si>
  <si>
    <t>For a Geothermal Commissioning &amp; Start-up project in Middle East, there is a risk during Procurement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</si>
  <si>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Geothermal, the Procurement gate, local law, interfaces, and the selected delivery model.</t>
  </si>
  <si>
    <t>GER-0580</t>
  </si>
  <si>
    <t>For a LNG Decommissioning project in South Asia, there is a risk during Manufacturing that unsafe work, weak supervision or permit failure, combined with governance delay,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</si>
  <si>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LNG, the Manufacturing gate, local law, interfaces, and the selected delivery model.</t>
  </si>
  <si>
    <t>GER-0581</t>
  </si>
  <si>
    <t>For a Green Hydrogen Operations &amp; Maintenance project in North America, there is a risk during Detailed Engineering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</si>
  <si>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Detailed Engineering gate, local law, interfaces, and the selected delivery model.</t>
  </si>
  <si>
    <t>GER-0582</t>
  </si>
  <si>
    <t>For a Refining &amp; Petrochemicals Grid Interconnection project in Oceania, there is a risk during Procurement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</si>
  <si>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Procurement gate, local law, interfaces, and the selected delivery model.</t>
  </si>
  <si>
    <t>GER-0583</t>
  </si>
  <si>
    <t>For a Solar PV R&amp;D / Technology Development project in Europe, there is a risk during Manufacturing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</si>
  <si>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Manufacturing gate, local law, interfaces, and the selected delivery model.</t>
  </si>
  <si>
    <t>GER-0584</t>
  </si>
  <si>
    <t>For a Battery Energy Storage Brownfield Modification project in Africa, there is a risk during Construction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</si>
  <si>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Battery Energy Storage, the Construction gate, local law, interfaces, and the selected delivery model.</t>
  </si>
  <si>
    <t>GER-0585</t>
  </si>
  <si>
    <t>For a Coal / Thermal Power Owner’s Engineering project in East Asia, there is a risk during Installation that unsafe work, weak supervision or permit failure, combined with commercial misalignment,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</si>
  <si>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Coal / Thermal Power, the Installation gate, local law, interfaces, and the selected delivery model.</t>
  </si>
  <si>
    <t>GER-0586</t>
  </si>
  <si>
    <t>For a Nuclear Power Decommissioning project in Latin America, there is a risk during Manufacturing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</si>
  <si>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Manufacturing gate, local law, interfaces, and the selected delivery model.</t>
  </si>
  <si>
    <t>GER-0587</t>
  </si>
  <si>
    <t>For a District Energy EPC / Turnkey project in Global / Multi-country, there is a risk during Construction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</si>
  <si>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Construction gate, local law, interfaces, and the selected delivery model.</t>
  </si>
  <si>
    <t>GER-0588</t>
  </si>
  <si>
    <t>For a Pumped Storage Installation project in Middle East, there is a risk during Installation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</si>
  <si>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Installation gate, local law, interfaces, and the selected delivery model.</t>
  </si>
  <si>
    <t>GER-0589</t>
  </si>
  <si>
    <t>For a Natural Gas / CCGT Operations &amp; Maintenance project in South Asia, there is a risk during Pre-commissioning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</si>
  <si>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Natural Gas / CCGT, the Pre-commissioning gate, local law, interfaces, and the selected delivery model.</t>
  </si>
  <si>
    <t>GER-0590</t>
  </si>
  <si>
    <t>For a Marine Energy Grid Interconnection project in Southeast Asia, there is a risk during Commissioning that unsafe work, weak supervision or permit failure, combined with quality escape, may adversely affect project objectives through hse / time / cost consequences.</t>
  </si>
  <si>
    <t>Establish controls for unsafe work, weak supervision or permit failure; assign actions, verify evidence, and review residual exposure at each gate. Tailor the response to Marine Energy, the Commissioning gate, local law, interfaces, and the selected delivery model.</t>
  </si>
  <si>
    <t>GER-0591</t>
  </si>
  <si>
    <t>For a Oil &amp; Gas Upstream Owner’s Engineering project in Oceania, there is a risk during Installation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</si>
  <si>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Oil &amp; Gas Upstream, the Installation gate, local law, interfaces, and the selected delivery model.</t>
  </si>
  <si>
    <t>GER-0592</t>
  </si>
  <si>
    <t>For a Offshore Wind EPCM project in Europe, there is a risk during Pre-commissioning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</si>
  <si>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Offshore Wind, the Pre-commissioning gate, local law, interfaces, and the selected delivery model.</t>
  </si>
  <si>
    <t>GER-0593</t>
  </si>
  <si>
    <t>For a Green Hydrogen Commissioning &amp; Start-up project in Africa, there is a risk during Commissioning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</si>
  <si>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Green Hydrogen, the Commissioning gate, local law, interfaces, and the selected delivery model.</t>
  </si>
  <si>
    <t>GER-0594</t>
  </si>
  <si>
    <t>For a Refining &amp; Petrochemicals Decommissioning project in East Asia, there is a risk during Operations / Handover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</si>
  <si>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Refining &amp; Petrochemicals, the Operations / Handover gate, local law, interfaces, and the selected delivery model.</t>
  </si>
  <si>
    <t>GER-0595</t>
  </si>
  <si>
    <t>For a Solar PV EPC / Turnkey project in North America, there is a risk during Feasibility &amp; Concept that unsafe work, weak supervision or permit failure, combined with access constraint, may adversely affect project objectives through hse / time / cost consequences.</t>
  </si>
  <si>
    <t>Establish controls for unsafe work, weak supervision or permit failure; assign actions, verify evidence, and review residual exposure at each gate. Tailor the response to Solar PV, the Feasibility &amp; Concept gate, local law, interfaces, and the selected delivery model.</t>
  </si>
  <si>
    <t>GER-0596</t>
  </si>
  <si>
    <t>For a Carbon Capture, Utilization &amp; Storage Grid Interconnection project in Global / Multi-country, there is a risk during Commissioning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</si>
  <si>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Carbon Capture, Utilization &amp; Storage, the Commissioning gate, local law, interfaces, and the selected delivery model.</t>
  </si>
  <si>
    <t>GER-0597</t>
  </si>
  <si>
    <t>For a Hydropower R&amp;D / Technology Development project in Middle East, there is a risk during Operations / Handover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</si>
  <si>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Hydropower, the Operations / Handover gate, local law, interfaces, and the selected delivery model.</t>
  </si>
  <si>
    <t>GER-0598</t>
  </si>
  <si>
    <t>For a Nuclear Power Brownfield Modification project in South Asia, there is a risk during Feasibility &amp; Concept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</si>
  <si>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Nuclear Power, the Feasibility &amp; Concept gate, local law, interfaces, and the selected delivery model.</t>
  </si>
  <si>
    <t>GER-0599</t>
  </si>
  <si>
    <t>For a District Energy Owner’s Engineering project in Southeast Asia, there is a risk during FEED / Basic Design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</si>
  <si>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District Energy, the FEED / Basic Design gate, local law, interfaces, and the selected delivery model.</t>
  </si>
  <si>
    <t>GER-0600</t>
  </si>
  <si>
    <t>For a Pumped Storage EPCM project in Latin America, there is a risk during Detailed Engineering that unsafe work, weak supervision or permit failure, combined with performance variability, may adversely affect project objectives through hse / time / cost consequences.</t>
  </si>
  <si>
    <t>Establish controls for unsafe work, weak supervision or permit failure; assign actions, verify evidence, and review residual exposure at each gate. Tailor the response to Pumped Storage, the Detailed Engineering gate, local law, interfaces, and the selected delivery model.</t>
  </si>
  <si>
    <t>GER-0601</t>
  </si>
  <si>
    <t>For a Onshore Wind EPC / Turnkey project in Europe, there is a risk during Feasibility &amp; Concept that pollution, waste failure or permit breach, combined with insufficient planning, may adversely affect project objectives through hse / cost / time consequences.</t>
  </si>
  <si>
    <t>Environmental</t>
  </si>
  <si>
    <t>HSE / Cost / Time</t>
  </si>
  <si>
    <t>Establish controls for pollution, waste failure or permit breach; assign actions, verify evidence, and review residual exposure at each gate. Tailor the response to Onshore Wind, the Feasibility &amp; Concept gate, local law, interfaces, and the selected delivery model.</t>
  </si>
  <si>
    <t>Environmental Manager</t>
  </si>
  <si>
    <t>GER-0602</t>
  </si>
  <si>
    <t>For a Biomass / Waste-to-Energy Installation project in Africa, there is a risk during FEED / Basic Design that pollution, waste failure or permit breach, combined with insufficient planning,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</si>
  <si>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FEED / Basic Design gate, local law, interfaces, and the selected delivery model.</t>
  </si>
  <si>
    <t>GER-0603</t>
  </si>
  <si>
    <t>For a Oil &amp; Gas Upstream Operations &amp; Maintenance project in East Asia, there is a risk during Detailed Engineering that pollution, waste failure or permit breach, combined with insufficient planning,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</si>
  <si>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Detailed Engineering gate, local law, interfaces, and the selected delivery model.</t>
  </si>
  <si>
    <t>GER-0604</t>
  </si>
  <si>
    <t>For a Offshore Wind Grid Interconnection project in North America, there is a risk during Procurement that pollution, waste failure or permit breach, combined with insufficient planning,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</si>
  <si>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Procurement gate, local law, interfaces, and the selected delivery model.</t>
  </si>
  <si>
    <t>GER-0605</t>
  </si>
  <si>
    <t>For a Green Hydrogen R&amp;D / Technology Development project in Oceania, there is a risk during Manufacturing that pollution, waste failure or permit breach, combined with insufficient planning,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</si>
  <si>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Manufacturing gate, local law, interfaces, and the selected delivery model.</t>
  </si>
  <si>
    <t>GER-0606</t>
  </si>
  <si>
    <t>For a Concentrated Solar Power EPCM project in Middle East, there is a risk during Detailed Engineering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</si>
  <si>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Detailed Engineering gate, local law, interfaces, and the selected delivery model.</t>
  </si>
  <si>
    <t>GER-0607</t>
  </si>
  <si>
    <t>For a Transmission &amp; Substations Commissioning &amp; Start-up project in South Asia, there is a risk during Procurement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</si>
  <si>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Procurement gate, local law, interfaces, and the selected delivery model.</t>
  </si>
  <si>
    <t>GER-0608</t>
  </si>
  <si>
    <t>For a Carbon Capture, Utilization &amp; Storage Decommissioning project in Southeast Asia, there is a risk during Manufacturing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</si>
  <si>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Manufacturing gate, local law, interfaces, and the selected delivery model.</t>
  </si>
  <si>
    <t>GER-0609</t>
  </si>
  <si>
    <t>For a Hydropower EPC / Turnkey project in Latin America, there is a risk during Construction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</si>
  <si>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Construction gate, local law, interfaces, and the selected delivery model.</t>
  </si>
  <si>
    <t>GER-0610</t>
  </si>
  <si>
    <t>For a Nuclear Power Installation project in Global / Multi-country, there is a risk during Installation that pollution, waste failure or permit breach, combined with incomplete information,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</si>
  <si>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Installation gate, local law, interfaces, and the selected delivery model.</t>
  </si>
  <si>
    <t>GER-0611</t>
  </si>
  <si>
    <t>For a Geothermal R&amp;D / Technology Development project in Africa, there is a risk during Manufacturing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</si>
  <si>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Manufacturing gate, local law, interfaces, and the selected delivery model.</t>
  </si>
  <si>
    <t>GER-0612</t>
  </si>
  <si>
    <t>For a LNG Brownfield Modification project in East Asia, there is a risk during Construction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</si>
  <si>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Construction gate, local law, interfaces, and the selected delivery model.</t>
  </si>
  <si>
    <t>GER-0613</t>
  </si>
  <si>
    <t>For a Onshore Wind Owner’s Engineering project in North America, there is a risk during Installation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</si>
  <si>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Onshore Wind, the Installation gate, local law, interfaces, and the selected delivery model.</t>
  </si>
  <si>
    <t>GER-0614</t>
  </si>
  <si>
    <t>For a Biomass / Waste-to-Energy EPCM project in Oceania, there is a risk during Pre-commissioning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</si>
  <si>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Pre-commissioning gate, local law, interfaces, and the selected delivery model.</t>
  </si>
  <si>
    <t>GER-0615</t>
  </si>
  <si>
    <t>For a Oil &amp; Gas Upstream Commissioning &amp; Start-up project in Europe, there is a risk during Commissioning that pollution, waste failure or permit breach, combined with late decision-making,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</si>
  <si>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Commissioning gate, local law, interfaces, and the selected delivery model.</t>
  </si>
  <si>
    <t>GER-0616</t>
  </si>
  <si>
    <t>For a Battery Energy Storage Installation project in South Asia, there is a risk during Installation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</si>
  <si>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Installation gate, local law, interfaces, and the selected delivery model.</t>
  </si>
  <si>
    <t>GER-0617</t>
  </si>
  <si>
    <t>For a Coal / Thermal Power Operations &amp; Maintenance project in Southeast Asia, there is a risk during Pre-commissioning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</si>
  <si>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Pre-commissioning gate, local law, interfaces, and the selected delivery model.</t>
  </si>
  <si>
    <t>GER-0618</t>
  </si>
  <si>
    <t>For a Concentrated Solar Power Grid Interconnection project in Latin America, there is a risk during Commissioning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</si>
  <si>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Commissioning gate, local law, interfaces, and the selected delivery model.</t>
  </si>
  <si>
    <t>GER-0619</t>
  </si>
  <si>
    <t>For a Transmission &amp; Substations R&amp;D / Technology Development project in Global / Multi-country, there is a risk during Operations / Handover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</si>
  <si>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Operations / Handover gate, local law, interfaces, and the selected delivery model.</t>
  </si>
  <si>
    <t>GER-0620</t>
  </si>
  <si>
    <t>For a Carbon Capture, Utilization &amp; Storage Brownfield Modification project in Middle East, there is a risk during Feasibility &amp; Concept that pollution, waste failure or permit breach, combined with weak controls,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</si>
  <si>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Feasibility &amp; Concept gate, local law, interfaces, and the selected delivery model.</t>
  </si>
  <si>
    <t>GER-0621</t>
  </si>
  <si>
    <t>For a Natural Gas / CCGT Commissioning &amp; Start-up project in East Asia, there is a risk during Commissioning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</si>
  <si>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Commissioning gate, local law, interfaces, and the selected delivery model.</t>
  </si>
  <si>
    <t>GER-0622</t>
  </si>
  <si>
    <t>For a Marine Energy Decommissioning project in North America, there is a risk during Operations / Handover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</si>
  <si>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Operations / Handover gate, local law, interfaces, and the selected delivery model.</t>
  </si>
  <si>
    <t>GER-0623</t>
  </si>
  <si>
    <t>For a Geothermal EPC / Turnkey project in Oceania, there is a risk during Feasibility &amp; Concept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</si>
  <si>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Feasibility &amp; Concept gate, local law, interfaces, and the selected delivery model.</t>
  </si>
  <si>
    <t>GER-0624</t>
  </si>
  <si>
    <t>For a LNG Installation project in Europe, there is a risk during FEED / Basic Design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</si>
  <si>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FEED / Basic Design gate, local law, interfaces, and the selected delivery model.</t>
  </si>
  <si>
    <t>GER-0625</t>
  </si>
  <si>
    <t>For a Onshore Wind Operations &amp; Maintenance project in Africa, there is a risk during Detailed Engineering that pollution, waste failure or permit breach, combined with resource constraints, may adversely affect project objectives through hse / cost / time consequences.</t>
  </si>
  <si>
    <t>Establish controls for pollution, waste failure or permit breach; assign actions, verify evidence, and review residual exposure at each gate. Tailor the response to Onshore Wind, the Detailed Engineering gate, local law, interfaces, and the selected delivery model.</t>
  </si>
  <si>
    <t>GER-0626</t>
  </si>
  <si>
    <t>For a Refining &amp; Petrochemicals Brownfield Modification project in Southeast Asia, there is a risk during Feasibility &amp; Concept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</si>
  <si>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Feasibility &amp; Concept gate, local law, interfaces, and the selected delivery model.</t>
  </si>
  <si>
    <t>GER-0627</t>
  </si>
  <si>
    <t>For a Solar PV Owner’s Engineering project in Latin America, there is a risk during FEED / Basic Design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</si>
  <si>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FEED / Basic Design gate, local law, interfaces, and the selected delivery model.</t>
  </si>
  <si>
    <t>GER-0628</t>
  </si>
  <si>
    <t>For a Battery Energy Storage EPCM project in Global / Multi-country, there is a risk during Detailed Engineering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</si>
  <si>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Detailed Engineering gate, local law, interfaces, and the selected delivery model.</t>
  </si>
  <si>
    <t>GER-0629</t>
  </si>
  <si>
    <t>For a Coal / Thermal Power Commissioning &amp; Start-up project in Middle East, there is a risk during Procurement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</si>
  <si>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Procurement gate, local law, interfaces, and the selected delivery model.</t>
  </si>
  <si>
    <t>GER-0630</t>
  </si>
  <si>
    <t>For a Concentrated Solar Power Decommissioning project in South Asia, there is a risk during Manufacturing that pollution, waste failure or permit breach, combined with supplier dependency,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</si>
  <si>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Manufacturing gate, local law, interfaces, and the selected delivery model.</t>
  </si>
  <si>
    <t>GER-0631</t>
  </si>
  <si>
    <t>For a District Energy Operations &amp; Maintenance project in North America, there is a risk during Detailed Engineering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</si>
  <si>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Detailed Engineering gate, local law, interfaces, and the selected delivery model.</t>
  </si>
  <si>
    <t>GER-0632</t>
  </si>
  <si>
    <t>For a Pumped Storage Grid Interconnection project in Oceania, there is a risk during Procurement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</si>
  <si>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Procurement gate, local law, interfaces, and the selected delivery model.</t>
  </si>
  <si>
    <t>GER-0633</t>
  </si>
  <si>
    <t>For a Natural Gas / CCGT R&amp;D / Technology Development project in Europe, there is a risk during Manufacturing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</si>
  <si>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Manufacturing gate, local law, interfaces, and the selected delivery model.</t>
  </si>
  <si>
    <t>GER-0634</t>
  </si>
  <si>
    <t>For a Marine Energy Brownfield Modification project in Africa, there is a risk during Construction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</si>
  <si>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Construction gate, local law, interfaces, and the selected delivery model.</t>
  </si>
  <si>
    <t>GER-0635</t>
  </si>
  <si>
    <t>For a Geothermal Owner’s Engineering project in East Asia, there is a risk during Installation that pollution, waste failure or permit breach, combined with interface complexity,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</si>
  <si>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Installation gate, local law, interfaces, and the selected delivery model.</t>
  </si>
  <si>
    <t>GER-0636</t>
  </si>
  <si>
    <t>For a Offshore Wind Decommissioning project in Latin America, there is a risk during Manufacturing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</si>
  <si>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Manufacturing gate, local law, interfaces, and the selected delivery model.</t>
  </si>
  <si>
    <t>GER-0637</t>
  </si>
  <si>
    <t>For a Green Hydrogen EPC / Turnkey project in Global / Multi-country, there is a risk during Construction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</si>
  <si>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Construction gate, local law, interfaces, and the selected delivery model.</t>
  </si>
  <si>
    <t>GER-0638</t>
  </si>
  <si>
    <t>For a Refining &amp; Petrochemicals Installation project in Middle East, there is a risk during Installation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</si>
  <si>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Installation gate, local law, interfaces, and the selected delivery model.</t>
  </si>
  <si>
    <t>GER-0639</t>
  </si>
  <si>
    <t>For a Solar PV Operations &amp; Maintenance project in South Asia, there is a risk during Pre-commissioning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</si>
  <si>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Pre-commissioning gate, local law, interfaces, and the selected delivery model.</t>
  </si>
  <si>
    <t>GER-0640</t>
  </si>
  <si>
    <t>For a Battery Energy Storage Grid Interconnection project in Southeast Asia, there is a risk during Commissioning that pollution, waste failure or permit breach, combined with requirements volatility,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</si>
  <si>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Commissioning gate, local law, interfaces, and the selected delivery model.</t>
  </si>
  <si>
    <t>GER-0641</t>
  </si>
  <si>
    <t>For a Hydropower Owner’s Engineering project in Oceania, there is a risk during Installation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</si>
  <si>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Installation gate, local law, interfaces, and the selected delivery model.</t>
  </si>
  <si>
    <t>GER-0642</t>
  </si>
  <si>
    <t>For a Nuclear Power EPCM project in Europe, there is a risk during Pre-commissioning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</si>
  <si>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Pre-commissioning gate, local law, interfaces, and the selected delivery model.</t>
  </si>
  <si>
    <t>GER-0643</t>
  </si>
  <si>
    <t>For a District Energy Commissioning &amp; Start-up project in Africa, there is a risk during Commissioning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</si>
  <si>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Commissioning gate, local law, interfaces, and the selected delivery model.</t>
  </si>
  <si>
    <t>GER-0644</t>
  </si>
  <si>
    <t>For a Pumped Storage Decommissioning project in East Asia, there is a risk during Operations / Handover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</si>
  <si>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Operations / Handover gate, local law, interfaces, and the selected delivery model.</t>
  </si>
  <si>
    <t>GER-0645</t>
  </si>
  <si>
    <t>For a Natural Gas / CCGT EPC / Turnkey project in North America, there is a risk during Feasibility &amp; Concept that pollution, waste failure or permit breach, combined with regulatory uncertainty,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</si>
  <si>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Feasibility &amp; Concept gate, local law, interfaces, and the selected delivery model.</t>
  </si>
  <si>
    <t>GER-0646</t>
  </si>
  <si>
    <t>For a Biomass / Waste-to-Energy Grid Interconnection project in Global / Multi-country, there is a risk during Commissioning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</si>
  <si>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Commissioning gate, local law, interfaces, and the selected delivery model.</t>
  </si>
  <si>
    <t>GER-0647</t>
  </si>
  <si>
    <t>For a Oil &amp; Gas Upstream R&amp;D / Technology Development project in Middle East, there is a risk during Operations / Handover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</si>
  <si>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Operations / Handover gate, local law, interfaces, and the selected delivery model.</t>
  </si>
  <si>
    <t>GER-0648</t>
  </si>
  <si>
    <t>For a Offshore Wind Brownfield Modification project in South Asia, there is a risk during Feasibility &amp; Concept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</si>
  <si>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Feasibility &amp; Concept gate, local law, interfaces, and the selected delivery model.</t>
  </si>
  <si>
    <t>GER-0649</t>
  </si>
  <si>
    <t>For a Green Hydrogen Owner’s Engineering project in Southeast Asia, there is a risk during FEED / Basic Design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</si>
  <si>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FEED / Basic Design gate, local law, interfaces, and the selected delivery model.</t>
  </si>
  <si>
    <t>GER-0650</t>
  </si>
  <si>
    <t>For a Refining &amp; Petrochemicals EPCM project in Latin America, there is a risk during Detailed Engineering that pollution, waste failure or permit breach, combined with inadequate verification,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</si>
  <si>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Detailed Engineering gate, local law, interfaces, and the selected delivery model.</t>
  </si>
  <si>
    <t>GER-0651</t>
  </si>
  <si>
    <t>For a Transmission &amp; Substations EPC / Turnkey project in Europe, there is a risk during Feasibility &amp; Concept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</si>
  <si>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Feasibility &amp; Concept gate, local law, interfaces, and the selected delivery model.</t>
  </si>
  <si>
    <t>GER-0652</t>
  </si>
  <si>
    <t>For a Carbon Capture, Utilization &amp; Storage Installation project in Africa, there is a risk during FEED / Basic Design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</si>
  <si>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FEED / Basic Design gate, local law, interfaces, and the selected delivery model.</t>
  </si>
  <si>
    <t>GER-0653</t>
  </si>
  <si>
    <t>For a Hydropower Operations &amp; Maintenance project in East Asia, there is a risk during Detailed Engineering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</si>
  <si>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Detailed Engineering gate, local law, interfaces, and the selected delivery model.</t>
  </si>
  <si>
    <t>GER-0654</t>
  </si>
  <si>
    <t>For a Nuclear Power Grid Interconnection project in North America, there is a risk during Procurement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</si>
  <si>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Procurement gate, local law, interfaces, and the selected delivery model.</t>
  </si>
  <si>
    <t>GER-0655</t>
  </si>
  <si>
    <t>For a District Energy R&amp;D / Technology Development project in Oceania, there is a risk during Manufacturing that pollution, waste failure or permit breach, combined with poor communication,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</si>
  <si>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Manufacturing gate, local law, interfaces, and the selected delivery model.</t>
  </si>
  <si>
    <t>GER-0656</t>
  </si>
  <si>
    <t>For a LNG EPCM project in Middle East, there is a risk during Detailed Engineering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</si>
  <si>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Detailed Engineering gate, local law, interfaces, and the selected delivery model.</t>
  </si>
  <si>
    <t>GER-0657</t>
  </si>
  <si>
    <t>For a Onshore Wind Commissioning &amp; Start-up project in South Asia, there is a risk during Procurement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</si>
  <si>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Onshore Wind, the Procurement gate, local law, interfaces, and the selected delivery model.</t>
  </si>
  <si>
    <t>GER-0658</t>
  </si>
  <si>
    <t>For a Biomass / Waste-to-Energy Decommissioning project in Southeast Asia, there is a risk during Manufacturing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</si>
  <si>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Manufacturing gate, local law, interfaces, and the selected delivery model.</t>
  </si>
  <si>
    <t>GER-0659</t>
  </si>
  <si>
    <t>For a Oil &amp; Gas Upstream EPC / Turnkey project in Latin America, there is a risk during Construction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</si>
  <si>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Construction gate, local law, interfaces, and the selected delivery model.</t>
  </si>
  <si>
    <t>GER-0660</t>
  </si>
  <si>
    <t>For a Offshore Wind Installation project in Global / Multi-country, there is a risk during Installation that pollution, waste failure or permit breach, combined with incorrect assumptions,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</si>
  <si>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Installation gate, local law, interfaces, and the selected delivery model.</t>
  </si>
  <si>
    <t>GER-0661</t>
  </si>
  <si>
    <t>For a Coal / Thermal Power R&amp;D / Technology Development project in Africa, there is a risk during Manufacturing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</si>
  <si>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Manufacturing gate, local law, interfaces, and the selected delivery model.</t>
  </si>
  <si>
    <t>GER-0662</t>
  </si>
  <si>
    <t>For a Concentrated Solar Power Brownfield Modification project in East Asia, there is a risk during Construction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</si>
  <si>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Construction gate, local law, interfaces, and the selected delivery model.</t>
  </si>
  <si>
    <t>GER-0663</t>
  </si>
  <si>
    <t>For a Transmission &amp; Substations Owner’s Engineering project in North America, there is a risk during Installation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</si>
  <si>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Installation gate, local law, interfaces, and the selected delivery model.</t>
  </si>
  <si>
    <t>GER-0664</t>
  </si>
  <si>
    <t>For a Carbon Capture, Utilization &amp; Storage EPCM project in Oceania, there is a risk during Pre-commissioning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</si>
  <si>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Pre-commissioning gate, local law, interfaces, and the selected delivery model.</t>
  </si>
  <si>
    <t>GER-0665</t>
  </si>
  <si>
    <t>For a Hydropower Commissioning &amp; Start-up project in Europe, there is a risk during Commissioning that pollution, waste failure or permit breach, combined with low technical maturity,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</si>
  <si>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Commissioning gate, local law, interfaces, and the selected delivery model.</t>
  </si>
  <si>
    <t>GER-0666</t>
  </si>
  <si>
    <t>For a Marine Energy Installation project in South Asia, there is a risk during Installation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</si>
  <si>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Installation gate, local law, interfaces, and the selected delivery model.</t>
  </si>
  <si>
    <t>GER-0667</t>
  </si>
  <si>
    <t>For a Geothermal Operations &amp; Maintenance project in Southeast Asia, there is a risk during Pre-commissioning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</si>
  <si>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Pre-commissioning gate, local law, interfaces, and the selected delivery model.</t>
  </si>
  <si>
    <t>GER-0668</t>
  </si>
  <si>
    <t>For a LNG Grid Interconnection project in Latin America, there is a risk during Commissioning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</si>
  <si>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Commissioning gate, local law, interfaces, and the selected delivery model.</t>
  </si>
  <si>
    <t>GER-0669</t>
  </si>
  <si>
    <t>For a Onshore Wind R&amp;D / Technology Development project in Global / Multi-country, there is a risk during Operations / Handover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</si>
  <si>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Onshore Wind, the Operations / Handover gate, local law, interfaces, and the selected delivery model.</t>
  </si>
  <si>
    <t>GER-0670</t>
  </si>
  <si>
    <t>For a Biomass / Waste-to-Energy Brownfield Modification project in Middle East, there is a risk during Feasibility &amp; Concept that pollution, waste failure or permit breach, combined with documentation gaps, may adversely affect project objectives through hse / cost / time consequences.</t>
  </si>
  <si>
    <t>Establish controls for pollution, waste failure or permit breach; assign actions, verify evidence, and review residual exposure at each gate. Tailor the response to Biomass / Waste-to-Energy, the Feasibility &amp; Concept gate, local law, interfaces, and the selected delivery model.</t>
  </si>
  <si>
    <t>GER-0671</t>
  </si>
  <si>
    <t>For a Solar PV Commissioning &amp; Start-up project in East Asia, there is a risk during Commissioning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</si>
  <si>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Commissioning gate, local law, interfaces, and the selected delivery model.</t>
  </si>
  <si>
    <t>GER-0672</t>
  </si>
  <si>
    <t>For a Battery Energy Storage Decommissioning project in North America, there is a risk during Operations / Handover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</si>
  <si>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Operations / Handover gate, local law, interfaces, and the selected delivery model.</t>
  </si>
  <si>
    <t>GER-0673</t>
  </si>
  <si>
    <t>For a Coal / Thermal Power EPC / Turnkey project in Oceania, there is a risk during Feasibility &amp; Concept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</si>
  <si>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Feasibility &amp; Concept gate, local law, interfaces, and the selected delivery model.</t>
  </si>
  <si>
    <t>GER-0674</t>
  </si>
  <si>
    <t>For a Concentrated Solar Power Installation project in Europe, there is a risk during FEED / Basic Design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</si>
  <si>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Concentrated Solar Power, the FEED / Basic Design gate, local law, interfaces, and the selected delivery model.</t>
  </si>
  <si>
    <t>GER-0675</t>
  </si>
  <si>
    <t>For a Transmission &amp; Substations Operations &amp; Maintenance project in Africa, there is a risk during Detailed Engineering that pollution, waste failure or permit breach, combined with external disruption, may adversely affect project objectives through hse / cost / time consequences.</t>
  </si>
  <si>
    <t>Establish controls for pollution, waste failure or permit breach; assign actions, verify evidence, and review residual exposure at each gate. Tailor the response to Transmission &amp; Substations, the Detailed Engineering gate, local law, interfaces, and the selected delivery model.</t>
  </si>
  <si>
    <t>GER-0676</t>
  </si>
  <si>
    <t>For a Pumped Storage Brownfield Modification project in Southeast Asia, there is a risk during Feasibility &amp; Concept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</si>
  <si>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Feasibility &amp; Concept gate, local law, interfaces, and the selected delivery model.</t>
  </si>
  <si>
    <t>GER-0677</t>
  </si>
  <si>
    <t>For a Natural Gas / CCGT Owner’s Engineering project in Latin America, there is a risk during FEED / Basic Design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</si>
  <si>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FEED / Basic Design gate, local law, interfaces, and the selected delivery model.</t>
  </si>
  <si>
    <t>GER-0678</t>
  </si>
  <si>
    <t>For a Marine Energy EPCM project in Global / Multi-country, there is a risk during Detailed Engineering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</si>
  <si>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Detailed Engineering gate, local law, interfaces, and the selected delivery model.</t>
  </si>
  <si>
    <t>GER-0679</t>
  </si>
  <si>
    <t>For a Geothermal Commissioning &amp; Start-up project in Middle East, there is a risk during Procurement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</si>
  <si>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Geothermal, the Procurement gate, local law, interfaces, and the selected delivery model.</t>
  </si>
  <si>
    <t>GER-0680</t>
  </si>
  <si>
    <t>For a LNG Decommissioning project in South Asia, there is a risk during Manufacturing that pollution, waste failure or permit breach, combined with governance delay, may adversely affect project objectives through hse / cost / time consequences.</t>
  </si>
  <si>
    <t>Establish controls for pollution, waste failure or permit breach; assign actions, verify evidence, and review residual exposure at each gate. Tailor the response to LNG, the Manufacturing gate, local law, interfaces, and the selected delivery model.</t>
  </si>
  <si>
    <t>GER-0681</t>
  </si>
  <si>
    <t>For a Green Hydrogen Operations &amp; Maintenance project in North America, there is a risk during Detailed Engineering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</si>
  <si>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Detailed Engineering gate, local law, interfaces, and the selected delivery model.</t>
  </si>
  <si>
    <t>GER-0682</t>
  </si>
  <si>
    <t>For a Refining &amp; Petrochemicals Grid Interconnection project in Oceania, there is a risk during Procurement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</si>
  <si>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Procurement gate, local law, interfaces, and the selected delivery model.</t>
  </si>
  <si>
    <t>GER-0683</t>
  </si>
  <si>
    <t>For a Solar PV R&amp;D / Technology Development project in Europe, there is a risk during Manufacturing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</si>
  <si>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Manufacturing gate, local law, interfaces, and the selected delivery model.</t>
  </si>
  <si>
    <t>GER-0684</t>
  </si>
  <si>
    <t>For a Battery Energy Storage Brownfield Modification project in Africa, there is a risk during Construction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</si>
  <si>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Battery Energy Storage, the Construction gate, local law, interfaces, and the selected delivery model.</t>
  </si>
  <si>
    <t>GER-0685</t>
  </si>
  <si>
    <t>For a Coal / Thermal Power Owner’s Engineering project in East Asia, there is a risk during Installation that pollution, waste failure or permit breach, combined with commercial misalignment, may adversely affect project objectives through hse / cost / time consequences.</t>
  </si>
  <si>
    <t>Establish controls for pollution, waste failure or permit breach; assign actions, verify evidence, and review residual exposure at each gate. Tailor the response to Coal / Thermal Power, the Installation gate, local law, interfaces, and the selected delivery model.</t>
  </si>
  <si>
    <t>GER-0686</t>
  </si>
  <si>
    <t>For a Nuclear Power Decommissioning project in Latin America, there is a risk during Manufacturing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</si>
  <si>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Manufacturing gate, local law, interfaces, and the selected delivery model.</t>
  </si>
  <si>
    <t>GER-0687</t>
  </si>
  <si>
    <t>For a District Energy EPC / Turnkey project in Global / Multi-country, there is a risk during Construction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</si>
  <si>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Construction gate, local law, interfaces, and the selected delivery model.</t>
  </si>
  <si>
    <t>GER-0688</t>
  </si>
  <si>
    <t>For a Pumped Storage Installation project in Middle East, there is a risk during Installation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</si>
  <si>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Installation gate, local law, interfaces, and the selected delivery model.</t>
  </si>
  <si>
    <t>GER-0689</t>
  </si>
  <si>
    <t>For a Natural Gas / CCGT Operations &amp; Maintenance project in South Asia, there is a risk during Pre-commissioning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</si>
  <si>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Natural Gas / CCGT, the Pre-commissioning gate, local law, interfaces, and the selected delivery model.</t>
  </si>
  <si>
    <t>GER-0690</t>
  </si>
  <si>
    <t>For a Marine Energy Grid Interconnection project in Southeast Asia, there is a risk during Commissioning that pollution, waste failure or permit breach, combined with quality escape, may adversely affect project objectives through hse / cost / time consequences.</t>
  </si>
  <si>
    <t>Establish controls for pollution, waste failure or permit breach; assign actions, verify evidence, and review residual exposure at each gate. Tailor the response to Marine Energy, the Commissioning gate, local law, interfaces, and the selected delivery model.</t>
  </si>
  <si>
    <t>GER-0691</t>
  </si>
  <si>
    <t>For a Oil &amp; Gas Upstream Owner’s Engineering project in Oceania, there is a risk during Installation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</si>
  <si>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Oil &amp; Gas Upstream, the Installation gate, local law, interfaces, and the selected delivery model.</t>
  </si>
  <si>
    <t>GER-0692</t>
  </si>
  <si>
    <t>For a Offshore Wind EPCM project in Europe, there is a risk during Pre-commissioning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</si>
  <si>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Offshore Wind, the Pre-commissioning gate, local law, interfaces, and the selected delivery model.</t>
  </si>
  <si>
    <t>GER-0693</t>
  </si>
  <si>
    <t>For a Green Hydrogen Commissioning &amp; Start-up project in Africa, there is a risk during Commissioning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</si>
  <si>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Green Hydrogen, the Commissioning gate, local law, interfaces, and the selected delivery model.</t>
  </si>
  <si>
    <t>GER-0694</t>
  </si>
  <si>
    <t>For a Refining &amp; Petrochemicals Decommissioning project in East Asia, there is a risk during Operations / Handover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</si>
  <si>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Refining &amp; Petrochemicals, the Operations / Handover gate, local law, interfaces, and the selected delivery model.</t>
  </si>
  <si>
    <t>GER-0695</t>
  </si>
  <si>
    <t>For a Solar PV EPC / Turnkey project in North America, there is a risk during Feasibility &amp; Concept that pollution, waste failure or permit breach, combined with access constraint, may adversely affect project objectives through hse / cost / time consequences.</t>
  </si>
  <si>
    <t>Establish controls for pollution, waste failure or permit breach; assign actions, verify evidence, and review residual exposure at each gate. Tailor the response to Solar PV, the Feasibility &amp; Concept gate, local law, interfaces, and the selected delivery model.</t>
  </si>
  <si>
    <t>GER-0696</t>
  </si>
  <si>
    <t>For a Carbon Capture, Utilization &amp; Storage Grid Interconnection project in Global / Multi-country, there is a risk during Commissioning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</si>
  <si>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Carbon Capture, Utilization &amp; Storage, the Commissioning gate, local law, interfaces, and the selected delivery model.</t>
  </si>
  <si>
    <t>GER-0697</t>
  </si>
  <si>
    <t>For a Hydropower R&amp;D / Technology Development project in Middle East, there is a risk during Operations / Handover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</si>
  <si>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Hydropower, the Operations / Handover gate, local law, interfaces, and the selected delivery model.</t>
  </si>
  <si>
    <t>GER-0698</t>
  </si>
  <si>
    <t>For a Nuclear Power Brownfield Modification project in South Asia, there is a risk during Feasibility &amp; Concept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</si>
  <si>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Nuclear Power, the Feasibility &amp; Concept gate, local law, interfaces, and the selected delivery model.</t>
  </si>
  <si>
    <t>GER-0699</t>
  </si>
  <si>
    <t>For a District Energy Owner’s Engineering project in Southeast Asia, there is a risk during FEED / Basic Design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</si>
  <si>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District Energy, the FEED / Basic Design gate, local law, interfaces, and the selected delivery model.</t>
  </si>
  <si>
    <t>GER-0700</t>
  </si>
  <si>
    <t>For a Pumped Storage EPCM project in Latin America, there is a risk during Detailed Engineering that pollution, waste failure or permit breach, combined with performance variability, may adversely affect project objectives through hse / cost / time consequences.</t>
  </si>
  <si>
    <t>Establish controls for pollution, waste failure or permit breach; assign actions, verify evidence, and review residual exposure at each gate. Tailor the response to Pumped Storage, the Detailed Engineering gate, local law, interfaces, and the selected delivery model.</t>
  </si>
  <si>
    <t>GER-0701</t>
  </si>
  <si>
    <t>For a Onshore Wind EPC / Turnkey project in Europe, there is a risk during Feasibility &amp; Concept that political instability, trade restriction or civil disturbance, combined with insufficient planning, may adversely affect project objectives through cost / time consequences.</t>
  </si>
  <si>
    <t>Political &amp; Country</t>
  </si>
  <si>
    <t>Employer</t>
  </si>
  <si>
    <t>Establish controls for political instability, trade restriction or civil disturbance; assign actions, verify evidence, and review residual exposure at each gate. Tailor the response to Onshore Wind, the Feasibility &amp; Concept gate, local law, interfaces, and the selected delivery model.</t>
  </si>
  <si>
    <t>Project Director</t>
  </si>
  <si>
    <t>GER-0702</t>
  </si>
  <si>
    <t>For a Biomass / Waste-to-Energy Installation project in Africa, there is a risk during FEED / Basic Design that political instability, trade restriction or civil disturbance, combined with insufficient planning,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</si>
  <si>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FEED / Basic Design gate, local law, interfaces, and the selected delivery model.</t>
  </si>
  <si>
    <t>GER-0703</t>
  </si>
  <si>
    <t>For a Oil &amp; Gas Upstream Operations &amp; Maintenance project in East Asia, there is a risk during Detailed Engineering that political instability, trade restriction or civil disturbance, combined with insufficient planning,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</si>
  <si>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Detailed Engineering gate, local law, interfaces, and the selected delivery model.</t>
  </si>
  <si>
    <t>GER-0704</t>
  </si>
  <si>
    <t>For a Offshore Wind Grid Interconnection project in North America, there is a risk during Procurement that political instability, trade restriction or civil disturbance, combined with insufficient planning,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</si>
  <si>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Procurement gate, local law, interfaces, and the selected delivery model.</t>
  </si>
  <si>
    <t>GER-0705</t>
  </si>
  <si>
    <t>For a Green Hydrogen R&amp;D / Technology Development project in Oceania, there is a risk during Manufacturing that political instability, trade restriction or civil disturbance, combined with insufficient planning,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</si>
  <si>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Manufacturing gate, local law, interfaces, and the selected delivery model.</t>
  </si>
  <si>
    <t>GER-0706</t>
  </si>
  <si>
    <t>For a Concentrated Solar Power EPCM project in Middle East, there is a risk during Detailed Engineering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</si>
  <si>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Detailed Engineering gate, local law, interfaces, and the selected delivery model.</t>
  </si>
  <si>
    <t>GER-0707</t>
  </si>
  <si>
    <t>For a Transmission &amp; Substations Commissioning &amp; Start-up project in South Asia, there is a risk during Procurement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</si>
  <si>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Procurement gate, local law, interfaces, and the selected delivery model.</t>
  </si>
  <si>
    <t>GER-0708</t>
  </si>
  <si>
    <t>For a Carbon Capture, Utilization &amp; Storage Decommissioning project in Southeast Asia, there is a risk during Manufacturing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</si>
  <si>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Manufacturing gate, local law, interfaces, and the selected delivery model.</t>
  </si>
  <si>
    <t>GER-0709</t>
  </si>
  <si>
    <t>For a Hydropower EPC / Turnkey project in Latin America, there is a risk during Construction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</si>
  <si>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Construction gate, local law, interfaces, and the selected delivery model.</t>
  </si>
  <si>
    <t>GER-0710</t>
  </si>
  <si>
    <t>For a Nuclear Power Installation project in Global / Multi-country, there is a risk during Installation that political instability, trade restriction or civil disturbance, combined with incomplete information,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</si>
  <si>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Installation gate, local law, interfaces, and the selected delivery model.</t>
  </si>
  <si>
    <t>GER-0711</t>
  </si>
  <si>
    <t>For a Geothermal R&amp;D / Technology Development project in Africa, there is a risk during Manufacturing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</si>
  <si>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Manufacturing gate, local law, interfaces, and the selected delivery model.</t>
  </si>
  <si>
    <t>GER-0712</t>
  </si>
  <si>
    <t>For a LNG Brownfield Modification project in East Asia, there is a risk during Construction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</si>
  <si>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Construction gate, local law, interfaces, and the selected delivery model.</t>
  </si>
  <si>
    <t>GER-0713</t>
  </si>
  <si>
    <t>For a Onshore Wind Owner’s Engineering project in North America, there is a risk during Installation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</si>
  <si>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Onshore Wind, the Installation gate, local law, interfaces, and the selected delivery model.</t>
  </si>
  <si>
    <t>GER-0714</t>
  </si>
  <si>
    <t>For a Biomass / Waste-to-Energy EPCM project in Oceania, there is a risk during Pre-commissioning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</si>
  <si>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Pre-commissioning gate, local law, interfaces, and the selected delivery model.</t>
  </si>
  <si>
    <t>GER-0715</t>
  </si>
  <si>
    <t>For a Oil &amp; Gas Upstream Commissioning &amp; Start-up project in Europe, there is a risk during Commissioning that political instability, trade restriction or civil disturbance, combined with late decision-making,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</si>
  <si>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Commissioning gate, local law, interfaces, and the selected delivery model.</t>
  </si>
  <si>
    <t>GER-0716</t>
  </si>
  <si>
    <t>For a Battery Energy Storage Installation project in South Asia, there is a risk during Installation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</si>
  <si>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Installation gate, local law, interfaces, and the selected delivery model.</t>
  </si>
  <si>
    <t>GER-0717</t>
  </si>
  <si>
    <t>For a Coal / Thermal Power Operations &amp; Maintenance project in Southeast Asia, there is a risk during Pre-commissioning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</si>
  <si>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Pre-commissioning gate, local law, interfaces, and the selected delivery model.</t>
  </si>
  <si>
    <t>GER-0718</t>
  </si>
  <si>
    <t>For a Concentrated Solar Power Grid Interconnection project in Latin America, there is a risk during Commissioning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</si>
  <si>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Commissioning gate, local law, interfaces, and the selected delivery model.</t>
  </si>
  <si>
    <t>GER-0719</t>
  </si>
  <si>
    <t>For a Transmission &amp; Substations R&amp;D / Technology Development project in Global / Multi-country, there is a risk during Operations / Handover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</si>
  <si>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Operations / Handover gate, local law, interfaces, and the selected delivery model.</t>
  </si>
  <si>
    <t>GER-0720</t>
  </si>
  <si>
    <t>For a Carbon Capture, Utilization &amp; Storage Brownfield Modification project in Middle East, there is a risk during Feasibility &amp; Concept that political instability, trade restriction or civil disturbance, combined with weak controls,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</si>
  <si>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Feasibility &amp; Concept gate, local law, interfaces, and the selected delivery model.</t>
  </si>
  <si>
    <t>GER-0721</t>
  </si>
  <si>
    <t>For a Natural Gas / CCGT Commissioning &amp; Start-up project in East Asia, there is a risk during Commissioning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</si>
  <si>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Commissioning gate, local law, interfaces, and the selected delivery model.</t>
  </si>
  <si>
    <t>GER-0722</t>
  </si>
  <si>
    <t>For a Marine Energy Decommissioning project in North America, there is a risk during Operations / Handover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</si>
  <si>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Operations / Handover gate, local law, interfaces, and the selected delivery model.</t>
  </si>
  <si>
    <t>GER-0723</t>
  </si>
  <si>
    <t>For a Geothermal EPC / Turnkey project in Oceania, there is a risk during Feasibility &amp; Concept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</si>
  <si>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Feasibility &amp; Concept gate, local law, interfaces, and the selected delivery model.</t>
  </si>
  <si>
    <t>GER-0724</t>
  </si>
  <si>
    <t>For a LNG Installation project in Europe, there is a risk during FEED / Basic Design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</si>
  <si>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FEED / Basic Design gate, local law, interfaces, and the selected delivery model.</t>
  </si>
  <si>
    <t>GER-0725</t>
  </si>
  <si>
    <t>For a Onshore Wind Operations &amp; Maintenance project in Africa, there is a risk during Detailed Engineering that political instability, trade restriction or civil disturbance, combined with resource constraints,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</si>
  <si>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Onshore Wind, the Detailed Engineering gate, local law, interfaces, and the selected delivery model.</t>
  </si>
  <si>
    <t>GER-0726</t>
  </si>
  <si>
    <t>For a Refining &amp; Petrochemicals Brownfield Modification project in Southeast Asia, there is a risk during Feasibility &amp; Concept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</si>
  <si>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Feasibility &amp; Concept gate, local law, interfaces, and the selected delivery model.</t>
  </si>
  <si>
    <t>GER-0727</t>
  </si>
  <si>
    <t>For a Solar PV Owner’s Engineering project in Latin America, there is a risk during FEED / Basic Design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</si>
  <si>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FEED / Basic Design gate, local law, interfaces, and the selected delivery model.</t>
  </si>
  <si>
    <t>GER-0728</t>
  </si>
  <si>
    <t>For a Battery Energy Storage EPCM project in Global / Multi-country, there is a risk during Detailed Engineering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</si>
  <si>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Detailed Engineering gate, local law, interfaces, and the selected delivery model.</t>
  </si>
  <si>
    <t>GER-0729</t>
  </si>
  <si>
    <t>For a Coal / Thermal Power Commissioning &amp; Start-up project in Middle East, there is a risk during Procurement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</si>
  <si>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Procurement gate, local law, interfaces, and the selected delivery model.</t>
  </si>
  <si>
    <t>GER-0730</t>
  </si>
  <si>
    <t>For a Concentrated Solar Power Decommissioning project in South Asia, there is a risk during Manufacturing that political instability, trade restriction or civil disturbance, combined with supplier dependency,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</si>
  <si>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Manufacturing gate, local law, interfaces, and the selected delivery model.</t>
  </si>
  <si>
    <t>GER-0731</t>
  </si>
  <si>
    <t>For a District Energy Operations &amp; Maintenance project in North America, there is a risk during Detailed Engineering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</si>
  <si>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Detailed Engineering gate, local law, interfaces, and the selected delivery model.</t>
  </si>
  <si>
    <t>GER-0732</t>
  </si>
  <si>
    <t>For a Pumped Storage Grid Interconnection project in Oceania, there is a risk during Procurement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</si>
  <si>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Procurement gate, local law, interfaces, and the selected delivery model.</t>
  </si>
  <si>
    <t>GER-0733</t>
  </si>
  <si>
    <t>For a Natural Gas / CCGT R&amp;D / Technology Development project in Europe, there is a risk during Manufacturing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</si>
  <si>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Manufacturing gate, local law, interfaces, and the selected delivery model.</t>
  </si>
  <si>
    <t>GER-0734</t>
  </si>
  <si>
    <t>For a Marine Energy Brownfield Modification project in Africa, there is a risk during Construction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</si>
  <si>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Construction gate, local law, interfaces, and the selected delivery model.</t>
  </si>
  <si>
    <t>GER-0735</t>
  </si>
  <si>
    <t>For a Geothermal Owner’s Engineering project in East Asia, there is a risk during Installation that political instability, trade restriction or civil disturbance, combined with interface complexity,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</si>
  <si>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Installation gate, local law, interfaces, and the selected delivery model.</t>
  </si>
  <si>
    <t>GER-0736</t>
  </si>
  <si>
    <t>For a Offshore Wind Decommissioning project in Latin America, there is a risk during Manufacturing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</si>
  <si>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Manufacturing gate, local law, interfaces, and the selected delivery model.</t>
  </si>
  <si>
    <t>GER-0737</t>
  </si>
  <si>
    <t>For a Green Hydrogen EPC / Turnkey project in Global / Multi-country, there is a risk during Construction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</si>
  <si>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Construction gate, local law, interfaces, and the selected delivery model.</t>
  </si>
  <si>
    <t>GER-0738</t>
  </si>
  <si>
    <t>For a Refining &amp; Petrochemicals Installation project in Middle East, there is a risk during Installation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</si>
  <si>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Installation gate, local law, interfaces, and the selected delivery model.</t>
  </si>
  <si>
    <t>GER-0739</t>
  </si>
  <si>
    <t>For a Solar PV Operations &amp; Maintenance project in South Asia, there is a risk during Pre-commissioning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</si>
  <si>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Pre-commissioning gate, local law, interfaces, and the selected delivery model.</t>
  </si>
  <si>
    <t>GER-0740</t>
  </si>
  <si>
    <t>For a Battery Energy Storage Grid Interconnection project in Southeast Asia, there is a risk during Commissioning that political instability, trade restriction or civil disturbance, combined with requirements volatility,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</si>
  <si>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Commissioning gate, local law, interfaces, and the selected delivery model.</t>
  </si>
  <si>
    <t>GER-0741</t>
  </si>
  <si>
    <t>For a Hydropower Owner’s Engineering project in Oceania, there is a risk during Installation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</si>
  <si>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Installation gate, local law, interfaces, and the selected delivery model.</t>
  </si>
  <si>
    <t>GER-0742</t>
  </si>
  <si>
    <t>For a Nuclear Power EPCM project in Europe, there is a risk during Pre-commissioning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</si>
  <si>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Pre-commissioning gate, local law, interfaces, and the selected delivery model.</t>
  </si>
  <si>
    <t>GER-0743</t>
  </si>
  <si>
    <t>For a District Energy Commissioning &amp; Start-up project in Africa, there is a risk during Commissioning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</si>
  <si>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Commissioning gate, local law, interfaces, and the selected delivery model.</t>
  </si>
  <si>
    <t>GER-0744</t>
  </si>
  <si>
    <t>For a Pumped Storage Decommissioning project in East Asia, there is a risk during Operations / Handover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</si>
  <si>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Operations / Handover gate, local law, interfaces, and the selected delivery model.</t>
  </si>
  <si>
    <t>GER-0745</t>
  </si>
  <si>
    <t>For a Natural Gas / CCGT EPC / Turnkey project in North America, there is a risk during Feasibility &amp; Concept that political instability, trade restriction or civil disturbance, combined with regulatory uncertainty,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</si>
  <si>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Feasibility &amp; Concept gate, local law, interfaces, and the selected delivery model.</t>
  </si>
  <si>
    <t>GER-0746</t>
  </si>
  <si>
    <t>For a Biomass / Waste-to-Energy Grid Interconnection project in Global / Multi-country, there is a risk during Commissioning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</si>
  <si>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Commissioning gate, local law, interfaces, and the selected delivery model.</t>
  </si>
  <si>
    <t>GER-0747</t>
  </si>
  <si>
    <t>For a Oil &amp; Gas Upstream R&amp;D / Technology Development project in Middle East, there is a risk during Operations / Handover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</si>
  <si>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Operations / Handover gate, local law, interfaces, and the selected delivery model.</t>
  </si>
  <si>
    <t>GER-0748</t>
  </si>
  <si>
    <t>For a Offshore Wind Brownfield Modification project in South Asia, there is a risk during Feasibility &amp; Concept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</si>
  <si>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Feasibility &amp; Concept gate, local law, interfaces, and the selected delivery model.</t>
  </si>
  <si>
    <t>GER-0749</t>
  </si>
  <si>
    <t>For a Green Hydrogen Owner’s Engineering project in Southeast Asia, there is a risk during FEED / Basic Design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</si>
  <si>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FEED / Basic Design gate, local law, interfaces, and the selected delivery model.</t>
  </si>
  <si>
    <t>GER-0750</t>
  </si>
  <si>
    <t>For a Refining &amp; Petrochemicals EPCM project in Latin America, there is a risk during Detailed Engineering that political instability, trade restriction or civil disturbance, combined with inadequate verification,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</si>
  <si>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Detailed Engineering gate, local law, interfaces, and the selected delivery model.</t>
  </si>
  <si>
    <t>GER-0751</t>
  </si>
  <si>
    <t>For a Transmission &amp; Substations EPC / Turnkey project in Europe, there is a risk during Feasibility &amp; Concept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</si>
  <si>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Feasibility &amp; Concept gate, local law, interfaces, and the selected delivery model.</t>
  </si>
  <si>
    <t>GER-0752</t>
  </si>
  <si>
    <t>For a Carbon Capture, Utilization &amp; Storage Installation project in Africa, there is a risk during FEED / Basic Design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</si>
  <si>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FEED / Basic Design gate, local law, interfaces, and the selected delivery model.</t>
  </si>
  <si>
    <t>GER-0753</t>
  </si>
  <si>
    <t>For a Hydropower Operations &amp; Maintenance project in East Asia, there is a risk during Detailed Engineering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</si>
  <si>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Detailed Engineering gate, local law, interfaces, and the selected delivery model.</t>
  </si>
  <si>
    <t>GER-0754</t>
  </si>
  <si>
    <t>For a Nuclear Power Grid Interconnection project in North America, there is a risk during Procurement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</si>
  <si>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Procurement gate, local law, interfaces, and the selected delivery model.</t>
  </si>
  <si>
    <t>GER-0755</t>
  </si>
  <si>
    <t>For a District Energy R&amp;D / Technology Development project in Oceania, there is a risk during Manufacturing that political instability, trade restriction or civil disturbance, combined with poor communication,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</si>
  <si>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Manufacturing gate, local law, interfaces, and the selected delivery model.</t>
  </si>
  <si>
    <t>GER-0756</t>
  </si>
  <si>
    <t>For a LNG EPCM project in Middle East, there is a risk during Detailed Engineering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</si>
  <si>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Detailed Engineering gate, local law, interfaces, and the selected delivery model.</t>
  </si>
  <si>
    <t>GER-0757</t>
  </si>
  <si>
    <t>For a Onshore Wind Commissioning &amp; Start-up project in South Asia, there is a risk during Procurement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</si>
  <si>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Onshore Wind, the Procurement gate, local law, interfaces, and the selected delivery model.</t>
  </si>
  <si>
    <t>GER-0758</t>
  </si>
  <si>
    <t>For a Biomass / Waste-to-Energy Decommissioning project in Southeast Asia, there is a risk during Manufacturing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</si>
  <si>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Manufacturing gate, local law, interfaces, and the selected delivery model.</t>
  </si>
  <si>
    <t>GER-0759</t>
  </si>
  <si>
    <t>For a Oil &amp; Gas Upstream EPC / Turnkey project in Latin America, there is a risk during Construction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</si>
  <si>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Construction gate, local law, interfaces, and the selected delivery model.</t>
  </si>
  <si>
    <t>GER-0760</t>
  </si>
  <si>
    <t>For a Offshore Wind Installation project in Global / Multi-country, there is a risk during Installation that political instability, trade restriction or civil disturbance, combined with incorrect assumptions,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</si>
  <si>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Installation gate, local law, interfaces, and the selected delivery model.</t>
  </si>
  <si>
    <t>GER-0761</t>
  </si>
  <si>
    <t>For a Coal / Thermal Power R&amp;D / Technology Development project in Africa, there is a risk during Manufacturing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</si>
  <si>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Manufacturing gate, local law, interfaces, and the selected delivery model.</t>
  </si>
  <si>
    <t>GER-0762</t>
  </si>
  <si>
    <t>For a Concentrated Solar Power Brownfield Modification project in East Asia, there is a risk during Construction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</si>
  <si>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Construction gate, local law, interfaces, and the selected delivery model.</t>
  </si>
  <si>
    <t>GER-0763</t>
  </si>
  <si>
    <t>For a Transmission &amp; Substations Owner’s Engineering project in North America, there is a risk during Installation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</si>
  <si>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Installation gate, local law, interfaces, and the selected delivery model.</t>
  </si>
  <si>
    <t>GER-0764</t>
  </si>
  <si>
    <t>For a Carbon Capture, Utilization &amp; Storage EPCM project in Oceania, there is a risk during Pre-commissioning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</si>
  <si>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Pre-commissioning gate, local law, interfaces, and the selected delivery model.</t>
  </si>
  <si>
    <t>GER-0765</t>
  </si>
  <si>
    <t>For a Hydropower Commissioning &amp; Start-up project in Europe, there is a risk during Commissioning that political instability, trade restriction or civil disturbance, combined with low technical maturity,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</si>
  <si>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Commissioning gate, local law, interfaces, and the selected delivery model.</t>
  </si>
  <si>
    <t>GER-0766</t>
  </si>
  <si>
    <t>For a Marine Energy Installation project in South Asia, there is a risk during Installation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</si>
  <si>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Installation gate, local law, interfaces, and the selected delivery model.</t>
  </si>
  <si>
    <t>GER-0767</t>
  </si>
  <si>
    <t>For a Geothermal Operations &amp; Maintenance project in Southeast Asia, there is a risk during Pre-commissioning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</si>
  <si>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Pre-commissioning gate, local law, interfaces, and the selected delivery model.</t>
  </si>
  <si>
    <t>GER-0768</t>
  </si>
  <si>
    <t>For a LNG Grid Interconnection project in Latin America, there is a risk during Commissioning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</si>
  <si>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Commissioning gate, local law, interfaces, and the selected delivery model.</t>
  </si>
  <si>
    <t>GER-0769</t>
  </si>
  <si>
    <t>For a Onshore Wind R&amp;D / Technology Development project in Global / Multi-country, there is a risk during Operations / Handover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</si>
  <si>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Onshore Wind, the Operations / Handover gate, local law, interfaces, and the selected delivery model.</t>
  </si>
  <si>
    <t>GER-0770</t>
  </si>
  <si>
    <t>For a Biomass / Waste-to-Energy Brownfield Modification project in Middle East, there is a risk during Feasibility &amp; Concept that political instability, trade restriction or civil disturbance, combined with documentation gaps,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</si>
  <si>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Biomass / Waste-to-Energy, the Feasibility &amp; Concept gate, local law, interfaces, and the selected delivery model.</t>
  </si>
  <si>
    <t>GER-0771</t>
  </si>
  <si>
    <t>For a Solar PV Commissioning &amp; Start-up project in East Asia, there is a risk during Commissioning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</si>
  <si>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Commissioning gate, local law, interfaces, and the selected delivery model.</t>
  </si>
  <si>
    <t>GER-0772</t>
  </si>
  <si>
    <t>For a Battery Energy Storage Decommissioning project in North America, there is a risk during Operations / Handover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</si>
  <si>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Operations / Handover gate, local law, interfaces, and the selected delivery model.</t>
  </si>
  <si>
    <t>GER-0773</t>
  </si>
  <si>
    <t>For a Coal / Thermal Power EPC / Turnkey project in Oceania, there is a risk during Feasibility &amp; Concept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</si>
  <si>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Feasibility &amp; Concept gate, local law, interfaces, and the selected delivery model.</t>
  </si>
  <si>
    <t>GER-0774</t>
  </si>
  <si>
    <t>For a Concentrated Solar Power Installation project in Europe, there is a risk during FEED / Basic Design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</si>
  <si>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Concentrated Solar Power, the FEED / Basic Design gate, local law, interfaces, and the selected delivery model.</t>
  </si>
  <si>
    <t>GER-0775</t>
  </si>
  <si>
    <t>For a Transmission &amp; Substations Operations &amp; Maintenance project in Africa, there is a risk during Detailed Engineering that political instability, trade restriction or civil disturbance, combined with external disruption,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</si>
  <si>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Transmission &amp; Substations, the Detailed Engineering gate, local law, interfaces, and the selected delivery model.</t>
  </si>
  <si>
    <t>GER-0776</t>
  </si>
  <si>
    <t>For a Pumped Storage Brownfield Modification project in Southeast Asia, there is a risk during Feasibility &amp; Concept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</si>
  <si>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Feasibility &amp; Concept gate, local law, interfaces, and the selected delivery model.</t>
  </si>
  <si>
    <t>GER-0777</t>
  </si>
  <si>
    <t>For a Natural Gas / CCGT Owner’s Engineering project in Latin America, there is a risk during FEED / Basic Design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</si>
  <si>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FEED / Basic Design gate, local law, interfaces, and the selected delivery model.</t>
  </si>
  <si>
    <t>GER-0778</t>
  </si>
  <si>
    <t>For a Marine Energy EPCM project in Global / Multi-country, there is a risk during Detailed Engineering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</si>
  <si>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Detailed Engineering gate, local law, interfaces, and the selected delivery model.</t>
  </si>
  <si>
    <t>GER-0779</t>
  </si>
  <si>
    <t>For a Geothermal Commissioning &amp; Start-up project in Middle East, there is a risk during Procurement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</si>
  <si>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Geothermal, the Procurement gate, local law, interfaces, and the selected delivery model.</t>
  </si>
  <si>
    <t>GER-0780</t>
  </si>
  <si>
    <t>For a LNG Decommissioning project in South Asia, there is a risk during Manufacturing that political instability, trade restriction or civil disturbance, combined with governance delay,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</si>
  <si>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LNG, the Manufacturing gate, local law, interfaces, and the selected delivery model.</t>
  </si>
  <si>
    <t>GER-0781</t>
  </si>
  <si>
    <t>For a Green Hydrogen Operations &amp; Maintenance project in North America, there is a risk during Detailed Engineering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</si>
  <si>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Detailed Engineering gate, local law, interfaces, and the selected delivery model.</t>
  </si>
  <si>
    <t>GER-0782</t>
  </si>
  <si>
    <t>For a Refining &amp; Petrochemicals Grid Interconnection project in Oceania, there is a risk during Procurement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</si>
  <si>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Procurement gate, local law, interfaces, and the selected delivery model.</t>
  </si>
  <si>
    <t>GER-0783</t>
  </si>
  <si>
    <t>For a Solar PV R&amp;D / Technology Development project in Europe, there is a risk during Manufacturing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</si>
  <si>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Manufacturing gate, local law, interfaces, and the selected delivery model.</t>
  </si>
  <si>
    <t>GER-0784</t>
  </si>
  <si>
    <t>For a Battery Energy Storage Brownfield Modification project in Africa, there is a risk during Construction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</si>
  <si>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Battery Energy Storage, the Construction gate, local law, interfaces, and the selected delivery model.</t>
  </si>
  <si>
    <t>GER-0785</t>
  </si>
  <si>
    <t>For a Coal / Thermal Power Owner’s Engineering project in East Asia, there is a risk during Installation that political instability, trade restriction or civil disturbance, combined with commercial misalignment,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</si>
  <si>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Coal / Thermal Power, the Installation gate, local law, interfaces, and the selected delivery model.</t>
  </si>
  <si>
    <t>GER-0786</t>
  </si>
  <si>
    <t>For a Nuclear Power Decommissioning project in Latin America, there is a risk during Manufacturing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</si>
  <si>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Manufacturing gate, local law, interfaces, and the selected delivery model.</t>
  </si>
  <si>
    <t>GER-0787</t>
  </si>
  <si>
    <t>For a District Energy EPC / Turnkey project in Global / Multi-country, there is a risk during Construction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</si>
  <si>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Construction gate, local law, interfaces, and the selected delivery model.</t>
  </si>
  <si>
    <t>GER-0788</t>
  </si>
  <si>
    <t>For a Pumped Storage Installation project in Middle East, there is a risk during Installation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</si>
  <si>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Installation gate, local law, interfaces, and the selected delivery model.</t>
  </si>
  <si>
    <t>GER-0789</t>
  </si>
  <si>
    <t>For a Natural Gas / CCGT Operations &amp; Maintenance project in South Asia, there is a risk during Pre-commissioning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</si>
  <si>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Natural Gas / CCGT, the Pre-commissioning gate, local law, interfaces, and the selected delivery model.</t>
  </si>
  <si>
    <t>GER-0790</t>
  </si>
  <si>
    <t>For a Marine Energy Grid Interconnection project in Southeast Asia, there is a risk during Commissioning that political instability, trade restriction or civil disturbance, combined with quality escape,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</si>
  <si>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Marine Energy, the Commissioning gate, local law, interfaces, and the selected delivery model.</t>
  </si>
  <si>
    <t>GER-0791</t>
  </si>
  <si>
    <t>For a Oil &amp; Gas Upstream Owner’s Engineering project in Oceania, there is a risk during Installation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</si>
  <si>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Oil &amp; Gas Upstream, the Installation gate, local law, interfaces, and the selected delivery model.</t>
  </si>
  <si>
    <t>GER-0792</t>
  </si>
  <si>
    <t>For a Offshore Wind EPCM project in Europe, there is a risk during Pre-commissioning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</si>
  <si>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Offshore Wind, the Pre-commissioning gate, local law, interfaces, and the selected delivery model.</t>
  </si>
  <si>
    <t>GER-0793</t>
  </si>
  <si>
    <t>For a Green Hydrogen Commissioning &amp; Start-up project in Africa, there is a risk during Commissioning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</si>
  <si>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Green Hydrogen, the Commissioning gate, local law, interfaces, and the selected delivery model.</t>
  </si>
  <si>
    <t>GER-0794</t>
  </si>
  <si>
    <t>For a Refining &amp; Petrochemicals Decommissioning project in East Asia, there is a risk during Operations / Handover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</si>
  <si>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Refining &amp; Petrochemicals, the Operations / Handover gate, local law, interfaces, and the selected delivery model.</t>
  </si>
  <si>
    <t>GER-0795</t>
  </si>
  <si>
    <t>For a Solar PV EPC / Turnkey project in North America, there is a risk during Feasibility &amp; Concept that political instability, trade restriction or civil disturbance, combined with access constraint,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</si>
  <si>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Solar PV, the Feasibility &amp; Concept gate, local law, interfaces, and the selected delivery model.</t>
  </si>
  <si>
    <t>GER-0796</t>
  </si>
  <si>
    <t>For a Carbon Capture, Utilization &amp; Storage Grid Interconnection project in Global / Multi-country, there is a risk during Commissioning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</si>
  <si>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Carbon Capture, Utilization &amp; Storage, the Commissioning gate, local law, interfaces, and the selected delivery model.</t>
  </si>
  <si>
    <t>GER-0797</t>
  </si>
  <si>
    <t>For a Hydropower R&amp;D / Technology Development project in Middle East, there is a risk during Operations / Handover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</si>
  <si>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Hydropower, the Operations / Handover gate, local law, interfaces, and the selected delivery model.</t>
  </si>
  <si>
    <t>GER-0798</t>
  </si>
  <si>
    <t>For a Nuclear Power Brownfield Modification project in South Asia, there is a risk during Feasibility &amp; Concept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</si>
  <si>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Nuclear Power, the Feasibility &amp; Concept gate, local law, interfaces, and the selected delivery model.</t>
  </si>
  <si>
    <t>GER-0799</t>
  </si>
  <si>
    <t>For a District Energy Owner’s Engineering project in Southeast Asia, there is a risk during FEED / Basic Design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</si>
  <si>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District Energy, the FEED / Basic Design gate, local law, interfaces, and the selected delivery model.</t>
  </si>
  <si>
    <t>GER-0800</t>
  </si>
  <si>
    <t>For a Pumped Storage EPCM project in Latin America, there is a risk during Detailed Engineering that political instability, trade restriction or civil disturbance, combined with performance variability, may adversely affect project objectives through cost / time consequences.</t>
  </si>
  <si>
    <t>Establish controls for political instability, trade restriction or civil disturbance; assign actions, verify evidence, and review residual exposure at each gate. Tailor the response to Pumped Storage, the Detailed Engineering gate, local law, interfaces, and the selected delivery model.</t>
  </si>
  <si>
    <t>GER-0801</t>
  </si>
  <si>
    <t>For a Onshore Wind EPC / Turnkey project in Europe, there is a risk during Feasibility &amp; Concept that new law, code change or conflicting interpretation, combined with insufficient planning, may adversely affect project objectives through cost / time / quality consequences.</t>
  </si>
  <si>
    <t>Regulatory &amp; Change in Law</t>
  </si>
  <si>
    <t>Cost / Time / Quality</t>
  </si>
  <si>
    <t>Establish controls for new law, code change or conflicting interpretation; assign actions, verify evidence, and review residual exposure at each gate. Tailor the response to Onshore Wind, the Feasibility &amp; Concept gate, local law, interfaces, and the selected delivery model.</t>
  </si>
  <si>
    <t>Legal Counsel</t>
  </si>
  <si>
    <t>GER-0802</t>
  </si>
  <si>
    <t>For a Biomass / Waste-to-Energy Installation project in Africa, there is a risk during FEED / Basic Design that new law, code change or conflicting interpretation, combined with insufficient planning,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</si>
  <si>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FEED / Basic Design gate, local law, interfaces, and the selected delivery model.</t>
  </si>
  <si>
    <t>GER-0803</t>
  </si>
  <si>
    <t>For a Oil &amp; Gas Upstream Operations &amp; Maintenance project in East Asia, there is a risk during Detailed Engineering that new law, code change or conflicting interpretation, combined with insufficient planning,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</si>
  <si>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Detailed Engineering gate, local law, interfaces, and the selected delivery model.</t>
  </si>
  <si>
    <t>GER-0804</t>
  </si>
  <si>
    <t>For a Offshore Wind Grid Interconnection project in North America, there is a risk during Procurement that new law, code change or conflicting interpretation, combined with insufficient planning,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</si>
  <si>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Procurement gate, local law, interfaces, and the selected delivery model.</t>
  </si>
  <si>
    <t>GER-0805</t>
  </si>
  <si>
    <t>For a Green Hydrogen R&amp;D / Technology Development project in Oceania, there is a risk during Manufacturing that new law, code change or conflicting interpretation, combined with insufficient planning,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</si>
  <si>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Manufacturing gate, local law, interfaces, and the selected delivery model.</t>
  </si>
  <si>
    <t>GER-0806</t>
  </si>
  <si>
    <t>For a Concentrated Solar Power EPCM project in Middle East, there is a risk during Detailed Engineering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</si>
  <si>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Detailed Engineering gate, local law, interfaces, and the selected delivery model.</t>
  </si>
  <si>
    <t>GER-0807</t>
  </si>
  <si>
    <t>For a Transmission &amp; Substations Commissioning &amp; Start-up project in South Asia, there is a risk during Procurement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</si>
  <si>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Procurement gate, local law, interfaces, and the selected delivery model.</t>
  </si>
  <si>
    <t>GER-0808</t>
  </si>
  <si>
    <t>For a Carbon Capture, Utilization &amp; Storage Decommissioning project in Southeast Asia, there is a risk during Manufacturing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</si>
  <si>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Manufacturing gate, local law, interfaces, and the selected delivery model.</t>
  </si>
  <si>
    <t>GER-0809</t>
  </si>
  <si>
    <t>For a Hydropower EPC / Turnkey project in Latin America, there is a risk during Construction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</si>
  <si>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Construction gate, local law, interfaces, and the selected delivery model.</t>
  </si>
  <si>
    <t>GER-0810</t>
  </si>
  <si>
    <t>For a Nuclear Power Installation project in Global / Multi-country, there is a risk during Installation that new law, code change or conflicting interpretation, combined with incomplete information,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</si>
  <si>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Installation gate, local law, interfaces, and the selected delivery model.</t>
  </si>
  <si>
    <t>GER-0811</t>
  </si>
  <si>
    <t>For a Geothermal R&amp;D / Technology Development project in Africa, there is a risk during Manufacturing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</si>
  <si>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Manufacturing gate, local law, interfaces, and the selected delivery model.</t>
  </si>
  <si>
    <t>GER-0812</t>
  </si>
  <si>
    <t>For a LNG Brownfield Modification project in East Asia, there is a risk during Construction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</si>
  <si>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Construction gate, local law, interfaces, and the selected delivery model.</t>
  </si>
  <si>
    <t>GER-0813</t>
  </si>
  <si>
    <t>For a Onshore Wind Owner’s Engineering project in North America, there is a risk during Installation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</si>
  <si>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Onshore Wind, the Installation gate, local law, interfaces, and the selected delivery model.</t>
  </si>
  <si>
    <t>GER-0814</t>
  </si>
  <si>
    <t>For a Biomass / Waste-to-Energy EPCM project in Oceania, there is a risk during Pre-commissioning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</si>
  <si>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Pre-commissioning gate, local law, interfaces, and the selected delivery model.</t>
  </si>
  <si>
    <t>GER-0815</t>
  </si>
  <si>
    <t>For a Oil &amp; Gas Upstream Commissioning &amp; Start-up project in Europe, there is a risk during Commissioning that new law, code change or conflicting interpretation, combined with late decision-making,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</si>
  <si>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Commissioning gate, local law, interfaces, and the selected delivery model.</t>
  </si>
  <si>
    <t>GER-0816</t>
  </si>
  <si>
    <t>For a Battery Energy Storage Installation project in South Asia, there is a risk during Installation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</si>
  <si>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Installation gate, local law, interfaces, and the selected delivery model.</t>
  </si>
  <si>
    <t>GER-0817</t>
  </si>
  <si>
    <t>For a Coal / Thermal Power Operations &amp; Maintenance project in Southeast Asia, there is a risk during Pre-commissioning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</si>
  <si>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Pre-commissioning gate, local law, interfaces, and the selected delivery model.</t>
  </si>
  <si>
    <t>GER-0818</t>
  </si>
  <si>
    <t>For a Concentrated Solar Power Grid Interconnection project in Latin America, there is a risk during Commissioning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</si>
  <si>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Commissioning gate, local law, interfaces, and the selected delivery model.</t>
  </si>
  <si>
    <t>GER-0819</t>
  </si>
  <si>
    <t>For a Transmission &amp; Substations R&amp;D / Technology Development project in Global / Multi-country, there is a risk during Operations / Handover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</si>
  <si>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Operations / Handover gate, local law, interfaces, and the selected delivery model.</t>
  </si>
  <si>
    <t>GER-0820</t>
  </si>
  <si>
    <t>For a Carbon Capture, Utilization &amp; Storage Brownfield Modification project in Middle East, there is a risk during Feasibility &amp; Concept that new law, code change or conflicting interpretation, combined with weak controls,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</si>
  <si>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Feasibility &amp; Concept gate, local law, interfaces, and the selected delivery model.</t>
  </si>
  <si>
    <t>GER-0821</t>
  </si>
  <si>
    <t>For a Natural Gas / CCGT Commissioning &amp; Start-up project in East Asia, there is a risk during Commissioning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</si>
  <si>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Commissioning gate, local law, interfaces, and the selected delivery model.</t>
  </si>
  <si>
    <t>GER-0822</t>
  </si>
  <si>
    <t>For a Marine Energy Decommissioning project in North America, there is a risk during Operations / Handover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</si>
  <si>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Operations / Handover gate, local law, interfaces, and the selected delivery model.</t>
  </si>
  <si>
    <t>GER-0823</t>
  </si>
  <si>
    <t>For a Geothermal EPC / Turnkey project in Oceania, there is a risk during Feasibility &amp; Concept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</si>
  <si>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Feasibility &amp; Concept gate, local law, interfaces, and the selected delivery model.</t>
  </si>
  <si>
    <t>GER-0824</t>
  </si>
  <si>
    <t>For a LNG Installation project in Europe, there is a risk during FEED / Basic Design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</si>
  <si>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FEED / Basic Design gate, local law, interfaces, and the selected delivery model.</t>
  </si>
  <si>
    <t>GER-0825</t>
  </si>
  <si>
    <t>For a Onshore Wind Operations &amp; Maintenance project in Africa, there is a risk during Detailed Engineering that new law, code change or conflicting interpretation, combined with resource constraints,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</si>
  <si>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Onshore Wind, the Detailed Engineering gate, local law, interfaces, and the selected delivery model.</t>
  </si>
  <si>
    <t>GER-0826</t>
  </si>
  <si>
    <t>For a Refining &amp; Petrochemicals Brownfield Modification project in Southeast Asia, there is a risk during Feasibility &amp; Concept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</si>
  <si>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Feasibility &amp; Concept gate, local law, interfaces, and the selected delivery model.</t>
  </si>
  <si>
    <t>GER-0827</t>
  </si>
  <si>
    <t>For a Solar PV Owner’s Engineering project in Latin America, there is a risk during FEED / Basic Design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</si>
  <si>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FEED / Basic Design gate, local law, interfaces, and the selected delivery model.</t>
  </si>
  <si>
    <t>GER-0828</t>
  </si>
  <si>
    <t>For a Battery Energy Storage EPCM project in Global / Multi-country, there is a risk during Detailed Engineering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</si>
  <si>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Detailed Engineering gate, local law, interfaces, and the selected delivery model.</t>
  </si>
  <si>
    <t>GER-0829</t>
  </si>
  <si>
    <t>For a Coal / Thermal Power Commissioning &amp; Start-up project in Middle East, there is a risk during Procurement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</si>
  <si>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Procurement gate, local law, interfaces, and the selected delivery model.</t>
  </si>
  <si>
    <t>GER-0830</t>
  </si>
  <si>
    <t>For a Concentrated Solar Power Decommissioning project in South Asia, there is a risk during Manufacturing that new law, code change or conflicting interpretation, combined with supplier dependency,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</si>
  <si>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Manufacturing gate, local law, interfaces, and the selected delivery model.</t>
  </si>
  <si>
    <t>GER-0831</t>
  </si>
  <si>
    <t>For a District Energy Operations &amp; Maintenance project in North America, there is a risk during Detailed Engineering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</si>
  <si>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Detailed Engineering gate, local law, interfaces, and the selected delivery model.</t>
  </si>
  <si>
    <t>GER-0832</t>
  </si>
  <si>
    <t>For a Pumped Storage Grid Interconnection project in Oceania, there is a risk during Procurement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</si>
  <si>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Procurement gate, local law, interfaces, and the selected delivery model.</t>
  </si>
  <si>
    <t>GER-0833</t>
  </si>
  <si>
    <t>For a Natural Gas / CCGT R&amp;D / Technology Development project in Europe, there is a risk during Manufacturing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</si>
  <si>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Manufacturing gate, local law, interfaces, and the selected delivery model.</t>
  </si>
  <si>
    <t>GER-0834</t>
  </si>
  <si>
    <t>For a Marine Energy Brownfield Modification project in Africa, there is a risk during Construction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</si>
  <si>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Construction gate, local law, interfaces, and the selected delivery model.</t>
  </si>
  <si>
    <t>GER-0835</t>
  </si>
  <si>
    <t>For a Geothermal Owner’s Engineering project in East Asia, there is a risk during Installation that new law, code change or conflicting interpretation, combined with interface complexity,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</si>
  <si>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Installation gate, local law, interfaces, and the selected delivery model.</t>
  </si>
  <si>
    <t>GER-0836</t>
  </si>
  <si>
    <t>For a Offshore Wind Decommissioning project in Latin America, there is a risk during Manufacturing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</si>
  <si>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Manufacturing gate, local law, interfaces, and the selected delivery model.</t>
  </si>
  <si>
    <t>GER-0837</t>
  </si>
  <si>
    <t>For a Green Hydrogen EPC / Turnkey project in Global / Multi-country, there is a risk during Construction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</si>
  <si>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Construction gate, local law, interfaces, and the selected delivery model.</t>
  </si>
  <si>
    <t>GER-0838</t>
  </si>
  <si>
    <t>For a Refining &amp; Petrochemicals Installation project in Middle East, there is a risk during Installation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</si>
  <si>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Installation gate, local law, interfaces, and the selected delivery model.</t>
  </si>
  <si>
    <t>GER-0839</t>
  </si>
  <si>
    <t>For a Solar PV Operations &amp; Maintenance project in South Asia, there is a risk during Pre-commissioning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</si>
  <si>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Pre-commissioning gate, local law, interfaces, and the selected delivery model.</t>
  </si>
  <si>
    <t>GER-0840</t>
  </si>
  <si>
    <t>For a Battery Energy Storage Grid Interconnection project in Southeast Asia, there is a risk during Commissioning that new law, code change or conflicting interpretation, combined with requirements volatility,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</si>
  <si>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Commissioning gate, local law, interfaces, and the selected delivery model.</t>
  </si>
  <si>
    <t>GER-0841</t>
  </si>
  <si>
    <t>For a Hydropower Owner’s Engineering project in Oceania, there is a risk during Installation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</si>
  <si>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Installation gate, local law, interfaces, and the selected delivery model.</t>
  </si>
  <si>
    <t>GER-0842</t>
  </si>
  <si>
    <t>For a Nuclear Power EPCM project in Europe, there is a risk during Pre-commissioning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</si>
  <si>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Pre-commissioning gate, local law, interfaces, and the selected delivery model.</t>
  </si>
  <si>
    <t>GER-0843</t>
  </si>
  <si>
    <t>For a District Energy Commissioning &amp; Start-up project in Africa, there is a risk during Commissioning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</si>
  <si>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Commissioning gate, local law, interfaces, and the selected delivery model.</t>
  </si>
  <si>
    <t>GER-0844</t>
  </si>
  <si>
    <t>For a Pumped Storage Decommissioning project in East Asia, there is a risk during Operations / Handover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</si>
  <si>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Operations / Handover gate, local law, interfaces, and the selected delivery model.</t>
  </si>
  <si>
    <t>GER-0845</t>
  </si>
  <si>
    <t>For a Natural Gas / CCGT EPC / Turnkey project in North America, there is a risk during Feasibility &amp; Concept that new law, code change or conflicting interpretation, combined with regulatory uncertainty,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</si>
  <si>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Feasibility &amp; Concept gate, local law, interfaces, and the selected delivery model.</t>
  </si>
  <si>
    <t>GER-0846</t>
  </si>
  <si>
    <t>For a Biomass / Waste-to-Energy Grid Interconnection project in Global / Multi-country, there is a risk during Commissioning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</si>
  <si>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Commissioning gate, local law, interfaces, and the selected delivery model.</t>
  </si>
  <si>
    <t>GER-0847</t>
  </si>
  <si>
    <t>For a Oil &amp; Gas Upstream R&amp;D / Technology Development project in Middle East, there is a risk during Operations / Handover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</si>
  <si>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Operations / Handover gate, local law, interfaces, and the selected delivery model.</t>
  </si>
  <si>
    <t>GER-0848</t>
  </si>
  <si>
    <t>For a Offshore Wind Brownfield Modification project in South Asia, there is a risk during Feasibility &amp; Concept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</si>
  <si>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Feasibility &amp; Concept gate, local law, interfaces, and the selected delivery model.</t>
  </si>
  <si>
    <t>GER-0849</t>
  </si>
  <si>
    <t>For a Green Hydrogen Owner’s Engineering project in Southeast Asia, there is a risk during FEED / Basic Design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</si>
  <si>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FEED / Basic Design gate, local law, interfaces, and the selected delivery model.</t>
  </si>
  <si>
    <t>GER-0850</t>
  </si>
  <si>
    <t>For a Refining &amp; Petrochemicals EPCM project in Latin America, there is a risk during Detailed Engineering that new law, code change or conflicting interpretation, combined with inadequate verification,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</si>
  <si>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Detailed Engineering gate, local law, interfaces, and the selected delivery model.</t>
  </si>
  <si>
    <t>GER-0851</t>
  </si>
  <si>
    <t>For a Transmission &amp; Substations EPC / Turnkey project in Europe, there is a risk during Feasibility &amp; Concept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</si>
  <si>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Feasibility &amp; Concept gate, local law, interfaces, and the selected delivery model.</t>
  </si>
  <si>
    <t>GER-0852</t>
  </si>
  <si>
    <t>For a Carbon Capture, Utilization &amp; Storage Installation project in Africa, there is a risk during FEED / Basic Design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</si>
  <si>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FEED / Basic Design gate, local law, interfaces, and the selected delivery model.</t>
  </si>
  <si>
    <t>GER-0853</t>
  </si>
  <si>
    <t>For a Hydropower Operations &amp; Maintenance project in East Asia, there is a risk during Detailed Engineering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</si>
  <si>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Detailed Engineering gate, local law, interfaces, and the selected delivery model.</t>
  </si>
  <si>
    <t>GER-0854</t>
  </si>
  <si>
    <t>For a Nuclear Power Grid Interconnection project in North America, there is a risk during Procurement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</si>
  <si>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Procurement gate, local law, interfaces, and the selected delivery model.</t>
  </si>
  <si>
    <t>GER-0855</t>
  </si>
  <si>
    <t>For a District Energy R&amp;D / Technology Development project in Oceania, there is a risk during Manufacturing that new law, code change or conflicting interpretation, combined with poor communication,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</si>
  <si>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Manufacturing gate, local law, interfaces, and the selected delivery model.</t>
  </si>
  <si>
    <t>GER-0856</t>
  </si>
  <si>
    <t>For a LNG EPCM project in Middle East, there is a risk during Detailed Engineering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</si>
  <si>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Detailed Engineering gate, local law, interfaces, and the selected delivery model.</t>
  </si>
  <si>
    <t>GER-0857</t>
  </si>
  <si>
    <t>For a Onshore Wind Commissioning &amp; Start-up project in South Asia, there is a risk during Procurement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</si>
  <si>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Onshore Wind, the Procurement gate, local law, interfaces, and the selected delivery model.</t>
  </si>
  <si>
    <t>GER-0858</t>
  </si>
  <si>
    <t>For a Biomass / Waste-to-Energy Decommissioning project in Southeast Asia, there is a risk during Manufacturing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</si>
  <si>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Manufacturing gate, local law, interfaces, and the selected delivery model.</t>
  </si>
  <si>
    <t>GER-0859</t>
  </si>
  <si>
    <t>For a Oil &amp; Gas Upstream EPC / Turnkey project in Latin America, there is a risk during Construction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</si>
  <si>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Construction gate, local law, interfaces, and the selected delivery model.</t>
  </si>
  <si>
    <t>GER-0860</t>
  </si>
  <si>
    <t>For a Offshore Wind Installation project in Global / Multi-country, there is a risk during Installation that new law, code change or conflicting interpretation, combined with incorrect assumptions,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</si>
  <si>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Installation gate, local law, interfaces, and the selected delivery model.</t>
  </si>
  <si>
    <t>GER-0861</t>
  </si>
  <si>
    <t>For a Coal / Thermal Power R&amp;D / Technology Development project in Africa, there is a risk during Manufacturing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</si>
  <si>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Manufacturing gate, local law, interfaces, and the selected delivery model.</t>
  </si>
  <si>
    <t>GER-0862</t>
  </si>
  <si>
    <t>For a Concentrated Solar Power Brownfield Modification project in East Asia, there is a risk during Construction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</si>
  <si>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Construction gate, local law, interfaces, and the selected delivery model.</t>
  </si>
  <si>
    <t>GER-0863</t>
  </si>
  <si>
    <t>For a Transmission &amp; Substations Owner’s Engineering project in North America, there is a risk during Installation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</si>
  <si>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Installation gate, local law, interfaces, and the selected delivery model.</t>
  </si>
  <si>
    <t>GER-0864</t>
  </si>
  <si>
    <t>For a Carbon Capture, Utilization &amp; Storage EPCM project in Oceania, there is a risk during Pre-commissioning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</si>
  <si>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Pre-commissioning gate, local law, interfaces, and the selected delivery model.</t>
  </si>
  <si>
    <t>GER-0865</t>
  </si>
  <si>
    <t>For a Hydropower Commissioning &amp; Start-up project in Europe, there is a risk during Commissioning that new law, code change or conflicting interpretation, combined with low technical maturity,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</si>
  <si>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Commissioning gate, local law, interfaces, and the selected delivery model.</t>
  </si>
  <si>
    <t>GER-0866</t>
  </si>
  <si>
    <t>For a Marine Energy Installation project in South Asia, there is a risk during Installation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</si>
  <si>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Installation gate, local law, interfaces, and the selected delivery model.</t>
  </si>
  <si>
    <t>GER-0867</t>
  </si>
  <si>
    <t>For a Geothermal Operations &amp; Maintenance project in Southeast Asia, there is a risk during Pre-commissioning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</si>
  <si>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Pre-commissioning gate, local law, interfaces, and the selected delivery model.</t>
  </si>
  <si>
    <t>GER-0868</t>
  </si>
  <si>
    <t>For a LNG Grid Interconnection project in Latin America, there is a risk during Commissioning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</si>
  <si>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Commissioning gate, local law, interfaces, and the selected delivery model.</t>
  </si>
  <si>
    <t>GER-0869</t>
  </si>
  <si>
    <t>For a Onshore Wind R&amp;D / Technology Development project in Global / Multi-country, there is a risk during Operations / Handover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</si>
  <si>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Onshore Wind, the Operations / Handover gate, local law, interfaces, and the selected delivery model.</t>
  </si>
  <si>
    <t>GER-0870</t>
  </si>
  <si>
    <t>For a Biomass / Waste-to-Energy Brownfield Modification project in Middle East, there is a risk during Feasibility &amp; Concept that new law, code change or conflicting interpretation, combined with documentation gaps,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</si>
  <si>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Biomass / Waste-to-Energy, the Feasibility &amp; Concept gate, local law, interfaces, and the selected delivery model.</t>
  </si>
  <si>
    <t>GER-0871</t>
  </si>
  <si>
    <t>For a Solar PV Commissioning &amp; Start-up project in East Asia, there is a risk during Commissioning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</si>
  <si>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Commissioning gate, local law, interfaces, and the selected delivery model.</t>
  </si>
  <si>
    <t>GER-0872</t>
  </si>
  <si>
    <t>For a Battery Energy Storage Decommissioning project in North America, there is a risk during Operations / Handover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</si>
  <si>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Operations / Handover gate, local law, interfaces, and the selected delivery model.</t>
  </si>
  <si>
    <t>GER-0873</t>
  </si>
  <si>
    <t>For a Coal / Thermal Power EPC / Turnkey project in Oceania, there is a risk during Feasibility &amp; Concept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</si>
  <si>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Feasibility &amp; Concept gate, local law, interfaces, and the selected delivery model.</t>
  </si>
  <si>
    <t>GER-0874</t>
  </si>
  <si>
    <t>For a Concentrated Solar Power Installation project in Europe, there is a risk during FEED / Basic Design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</si>
  <si>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Concentrated Solar Power, the FEED / Basic Design gate, local law, interfaces, and the selected delivery model.</t>
  </si>
  <si>
    <t>GER-0875</t>
  </si>
  <si>
    <t>For a Transmission &amp; Substations Operations &amp; Maintenance project in Africa, there is a risk during Detailed Engineering that new law, code change or conflicting interpretation, combined with external disruption,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</si>
  <si>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Transmission &amp; Substations, the Detailed Engineering gate, local law, interfaces, and the selected delivery model.</t>
  </si>
  <si>
    <t>GER-0876</t>
  </si>
  <si>
    <t>For a Pumped Storage Brownfield Modification project in Southeast Asia, there is a risk during Feasibility &amp; Concept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</si>
  <si>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Feasibility &amp; Concept gate, local law, interfaces, and the selected delivery model.</t>
  </si>
  <si>
    <t>GER-0877</t>
  </si>
  <si>
    <t>For a Natural Gas / CCGT Owner’s Engineering project in Latin America, there is a risk during FEED / Basic Design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</si>
  <si>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FEED / Basic Design gate, local law, interfaces, and the selected delivery model.</t>
  </si>
  <si>
    <t>GER-0878</t>
  </si>
  <si>
    <t>For a Marine Energy EPCM project in Global / Multi-country, there is a risk during Detailed Engineering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</si>
  <si>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Detailed Engineering gate, local law, interfaces, and the selected delivery model.</t>
  </si>
  <si>
    <t>GER-0879</t>
  </si>
  <si>
    <t>For a Geothermal Commissioning &amp; Start-up project in Middle East, there is a risk during Procurement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</si>
  <si>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Geothermal, the Procurement gate, local law, interfaces, and the selected delivery model.</t>
  </si>
  <si>
    <t>GER-0880</t>
  </si>
  <si>
    <t>For a LNG Decommissioning project in South Asia, there is a risk during Manufacturing that new law, code change or conflicting interpretation, combined with governance delay,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</si>
  <si>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LNG, the Manufacturing gate, local law, interfaces, and the selected delivery model.</t>
  </si>
  <si>
    <t>GER-0881</t>
  </si>
  <si>
    <t>For a Green Hydrogen Operations &amp; Maintenance project in North America, there is a risk during Detailed Engineering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</si>
  <si>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Detailed Engineering gate, local law, interfaces, and the selected delivery model.</t>
  </si>
  <si>
    <t>GER-0882</t>
  </si>
  <si>
    <t>For a Refining &amp; Petrochemicals Grid Interconnection project in Oceania, there is a risk during Procurement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</si>
  <si>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Procurement gate, local law, interfaces, and the selected delivery model.</t>
  </si>
  <si>
    <t>GER-0883</t>
  </si>
  <si>
    <t>For a Solar PV R&amp;D / Technology Development project in Europe, there is a risk during Manufacturing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</si>
  <si>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Manufacturing gate, local law, interfaces, and the selected delivery model.</t>
  </si>
  <si>
    <t>GER-0884</t>
  </si>
  <si>
    <t>For a Battery Energy Storage Brownfield Modification project in Africa, there is a risk during Construction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</si>
  <si>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Battery Energy Storage, the Construction gate, local law, interfaces, and the selected delivery model.</t>
  </si>
  <si>
    <t>GER-0885</t>
  </si>
  <si>
    <t>For a Coal / Thermal Power Owner’s Engineering project in East Asia, there is a risk during Installation that new law, code change or conflicting interpretation, combined with commercial misalignment,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</si>
  <si>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Coal / Thermal Power, the Installation gate, local law, interfaces, and the selected delivery model.</t>
  </si>
  <si>
    <t>GER-0886</t>
  </si>
  <si>
    <t>For a Nuclear Power Decommissioning project in Latin America, there is a risk during Manufacturing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</si>
  <si>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Manufacturing gate, local law, interfaces, and the selected delivery model.</t>
  </si>
  <si>
    <t>GER-0887</t>
  </si>
  <si>
    <t>For a District Energy EPC / Turnkey project in Global / Multi-country, there is a risk during Construction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</si>
  <si>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Construction gate, local law, interfaces, and the selected delivery model.</t>
  </si>
  <si>
    <t>GER-0888</t>
  </si>
  <si>
    <t>For a Pumped Storage Installation project in Middle East, there is a risk during Installation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</si>
  <si>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Installation gate, local law, interfaces, and the selected delivery model.</t>
  </si>
  <si>
    <t>GER-0889</t>
  </si>
  <si>
    <t>For a Natural Gas / CCGT Operations &amp; Maintenance project in South Asia, there is a risk during Pre-commissioning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</si>
  <si>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Natural Gas / CCGT, the Pre-commissioning gate, local law, interfaces, and the selected delivery model.</t>
  </si>
  <si>
    <t>GER-0890</t>
  </si>
  <si>
    <t>For a Marine Energy Grid Interconnection project in Southeast Asia, there is a risk during Commissioning that new law, code change or conflicting interpretation, combined with quality escape,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</si>
  <si>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Marine Energy, the Commissioning gate, local law, interfaces, and the selected delivery model.</t>
  </si>
  <si>
    <t>GER-0891</t>
  </si>
  <si>
    <t>For a Oil &amp; Gas Upstream Owner’s Engineering project in Oceania, there is a risk during Installation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</si>
  <si>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Oil &amp; Gas Upstream, the Installation gate, local law, interfaces, and the selected delivery model.</t>
  </si>
  <si>
    <t>GER-0892</t>
  </si>
  <si>
    <t>For a Offshore Wind EPCM project in Europe, there is a risk during Pre-commissioning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</si>
  <si>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Offshore Wind, the Pre-commissioning gate, local law, interfaces, and the selected delivery model.</t>
  </si>
  <si>
    <t>GER-0893</t>
  </si>
  <si>
    <t>For a Green Hydrogen Commissioning &amp; Start-up project in Africa, there is a risk during Commissioning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</si>
  <si>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Green Hydrogen, the Commissioning gate, local law, interfaces, and the selected delivery model.</t>
  </si>
  <si>
    <t>GER-0894</t>
  </si>
  <si>
    <t>For a Refining &amp; Petrochemicals Decommissioning project in East Asia, there is a risk during Operations / Handover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</si>
  <si>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Refining &amp; Petrochemicals, the Operations / Handover gate, local law, interfaces, and the selected delivery model.</t>
  </si>
  <si>
    <t>GER-0895</t>
  </si>
  <si>
    <t>For a Solar PV EPC / Turnkey project in North America, there is a risk during Feasibility &amp; Concept that new law, code change or conflicting interpretation, combined with access constraint,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</si>
  <si>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Solar PV, the Feasibility &amp; Concept gate, local law, interfaces, and the selected delivery model.</t>
  </si>
  <si>
    <t>GER-0896</t>
  </si>
  <si>
    <t>For a Carbon Capture, Utilization &amp; Storage Grid Interconnection project in Global / Multi-country, there is a risk during Commissioning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</si>
  <si>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Carbon Capture, Utilization &amp; Storage, the Commissioning gate, local law, interfaces, and the selected delivery model.</t>
  </si>
  <si>
    <t>GER-0897</t>
  </si>
  <si>
    <t>For a Hydropower R&amp;D / Technology Development project in Middle East, there is a risk during Operations / Handover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</si>
  <si>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Hydropower, the Operations / Handover gate, local law, interfaces, and the selected delivery model.</t>
  </si>
  <si>
    <t>GER-0898</t>
  </si>
  <si>
    <t>For a Nuclear Power Brownfield Modification project in South Asia, there is a risk during Feasibility &amp; Concept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</si>
  <si>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Nuclear Power, the Feasibility &amp; Concept gate, local law, interfaces, and the selected delivery model.</t>
  </si>
  <si>
    <t>GER-0899</t>
  </si>
  <si>
    <t>For a District Energy Owner’s Engineering project in Southeast Asia, there is a risk during FEED / Basic Design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</si>
  <si>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District Energy, the FEED / Basic Design gate, local law, interfaces, and the selected delivery model.</t>
  </si>
  <si>
    <t>GER-0900</t>
  </si>
  <si>
    <t>For a Pumped Storage EPCM project in Latin America, there is a risk during Detailed Engineering that new law, code change or conflicting interpretation, combined with performance variability, may adversely affect project objectives through cost / time / quality consequences.</t>
  </si>
  <si>
    <t>Establish controls for new law, code change or conflicting interpretation; assign actions, verify evidence, and review residual exposure at each gate. Tailor the response to Pumped Storage, the Detailed Engineering gate, local law, interfaces, and the selected delivery model.</t>
  </si>
  <si>
    <t>GER-0901</t>
  </si>
  <si>
    <t>For a Onshore Wind EPC / Turnkey project in Europe, there is a risk during Feasibility &amp; Concept that late, incomplete or conditional approval, combined with insufficient planning, may adversely affect project objectives through time / cost consequences.</t>
  </si>
  <si>
    <t>Permits &amp; Approvals</t>
  </si>
  <si>
    <t>Establish controls for late, incomplete or conditional approval; assign actions, verify evidence, and review residual exposure at each gate. Tailor the response to Onshore Wind, the Feasibility &amp; Concept gate, local law, interfaces, and the selected delivery model.</t>
  </si>
  <si>
    <t>Permitting Manager</t>
  </si>
  <si>
    <t>GER-0902</t>
  </si>
  <si>
    <t>For a Biomass / Waste-to-Energy Installation project in Africa, there is a risk during FEED / Basic Design that late, incomplete or conditional approval, combined with insufficient planning,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</si>
  <si>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FEED / Basic Design gate, local law, interfaces, and the selected delivery model.</t>
  </si>
  <si>
    <t>GER-0903</t>
  </si>
  <si>
    <t>For a Oil &amp; Gas Upstream Operations &amp; Maintenance project in East Asia, there is a risk during Detailed Engineering that late, incomplete or conditional approval, combined with insufficient planning,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</si>
  <si>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Detailed Engineering gate, local law, interfaces, and the selected delivery model.</t>
  </si>
  <si>
    <t>GER-0904</t>
  </si>
  <si>
    <t>For a Offshore Wind Grid Interconnection project in North America, there is a risk during Procurement that late, incomplete or conditional approval, combined with insufficient planning,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</si>
  <si>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Procurement gate, local law, interfaces, and the selected delivery model.</t>
  </si>
  <si>
    <t>GER-0905</t>
  </si>
  <si>
    <t>For a Green Hydrogen R&amp;D / Technology Development project in Oceania, there is a risk during Manufacturing that late, incomplete or conditional approval, combined with insufficient planning,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</si>
  <si>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Manufacturing gate, local law, interfaces, and the selected delivery model.</t>
  </si>
  <si>
    <t>GER-0906</t>
  </si>
  <si>
    <t>For a Concentrated Solar Power EPCM project in Middle East, there is a risk during Detailed Engineering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</si>
  <si>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Detailed Engineering gate, local law, interfaces, and the selected delivery model.</t>
  </si>
  <si>
    <t>GER-0907</t>
  </si>
  <si>
    <t>For a Transmission &amp; Substations Commissioning &amp; Start-up project in South Asia, there is a risk during Procurement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</si>
  <si>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Procurement gate, local law, interfaces, and the selected delivery model.</t>
  </si>
  <si>
    <t>GER-0908</t>
  </si>
  <si>
    <t>For a Carbon Capture, Utilization &amp; Storage Decommissioning project in Southeast Asia, there is a risk during Manufacturing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</si>
  <si>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Manufacturing gate, local law, interfaces, and the selected delivery model.</t>
  </si>
  <si>
    <t>GER-0909</t>
  </si>
  <si>
    <t>For a Hydropower EPC / Turnkey project in Latin America, there is a risk during Construction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</si>
  <si>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Construction gate, local law, interfaces, and the selected delivery model.</t>
  </si>
  <si>
    <t>GER-0910</t>
  </si>
  <si>
    <t>For a Nuclear Power Installation project in Global / Multi-country, there is a risk during Installation that late, incomplete or conditional approval, combined with incomplete information,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</si>
  <si>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Installation gate, local law, interfaces, and the selected delivery model.</t>
  </si>
  <si>
    <t>GER-0911</t>
  </si>
  <si>
    <t>For a Geothermal R&amp;D / Technology Development project in Africa, there is a risk during Manufacturing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</si>
  <si>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Manufacturing gate, local law, interfaces, and the selected delivery model.</t>
  </si>
  <si>
    <t>GER-0912</t>
  </si>
  <si>
    <t>For a LNG Brownfield Modification project in East Asia, there is a risk during Construction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</si>
  <si>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LNG, the Construction gate, local law, interfaces, and the selected delivery model.</t>
  </si>
  <si>
    <t>GER-0913</t>
  </si>
  <si>
    <t>For a Onshore Wind Owner’s Engineering project in North America, there is a risk during Installation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</si>
  <si>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Onshore Wind, the Installation gate, local law, interfaces, and the selected delivery model.</t>
  </si>
  <si>
    <t>GER-0914</t>
  </si>
  <si>
    <t>For a Biomass / Waste-to-Energy EPCM project in Oceania, there is a risk during Pre-commissioning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</si>
  <si>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Pre-commissioning gate, local law, interfaces, and the selected delivery model.</t>
  </si>
  <si>
    <t>GER-0915</t>
  </si>
  <si>
    <t>For a Oil &amp; Gas Upstream Commissioning &amp; Start-up project in Europe, there is a risk during Commissioning that late, incomplete or conditional approval, combined with late decision-making,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</si>
  <si>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Commissioning gate, local law, interfaces, and the selected delivery model.</t>
  </si>
  <si>
    <t>GER-0916</t>
  </si>
  <si>
    <t>For a Battery Energy Storage Installation project in South Asia, there is a risk during Installation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</si>
  <si>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Installation gate, local law, interfaces, and the selected delivery model.</t>
  </si>
  <si>
    <t>GER-0917</t>
  </si>
  <si>
    <t>For a Coal / Thermal Power Operations &amp; Maintenance project in Southeast Asia, there is a risk during Pre-commissioning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</si>
  <si>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Pre-commissioning gate, local law, interfaces, and the selected delivery model.</t>
  </si>
  <si>
    <t>GER-0918</t>
  </si>
  <si>
    <t>For a Concentrated Solar Power Grid Interconnection project in Latin America, there is a risk during Commissioning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</si>
  <si>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Commissioning gate, local law, interfaces, and the selected delivery model.</t>
  </si>
  <si>
    <t>GER-0919</t>
  </si>
  <si>
    <t>For a Transmission &amp; Substations R&amp;D / Technology Development project in Global / Multi-country, there is a risk during Operations / Handover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</si>
  <si>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Operations / Handover gate, local law, interfaces, and the selected delivery model.</t>
  </si>
  <si>
    <t>GER-0920</t>
  </si>
  <si>
    <t>For a Carbon Capture, Utilization &amp; Storage Brownfield Modification project in Middle East, there is a risk during Feasibility &amp; Concept that late, incomplete or conditional approval, combined with weak controls,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</si>
  <si>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Feasibility &amp; Concept gate, local law, interfaces, and the selected delivery model.</t>
  </si>
  <si>
    <t>GER-0921</t>
  </si>
  <si>
    <t>For a Natural Gas / CCGT Commissioning &amp; Start-up project in East Asia, there is a risk during Commissioning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</si>
  <si>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Commissioning gate, local law, interfaces, and the selected delivery model.</t>
  </si>
  <si>
    <t>GER-0922</t>
  </si>
  <si>
    <t>For a Marine Energy Decommissioning project in North America, there is a risk during Operations / Handover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</si>
  <si>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Operations / Handover gate, local law, interfaces, and the selected delivery model.</t>
  </si>
  <si>
    <t>GER-0923</t>
  </si>
  <si>
    <t>For a Geothermal EPC / Turnkey project in Oceania, there is a risk during Feasibility &amp; Concept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</si>
  <si>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Feasibility &amp; Concept gate, local law, interfaces, and the selected delivery model.</t>
  </si>
  <si>
    <t>GER-0924</t>
  </si>
  <si>
    <t>For a LNG Installation project in Europe, there is a risk during FEED / Basic Design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</si>
  <si>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LNG, the FEED / Basic Design gate, local law, interfaces, and the selected delivery model.</t>
  </si>
  <si>
    <t>GER-0925</t>
  </si>
  <si>
    <t>For a Onshore Wind Operations &amp; Maintenance project in Africa, there is a risk during Detailed Engineering that late, incomplete or conditional approval, combined with resource constraints, may adversely affect project objectives through time / cost consequences.</t>
  </si>
  <si>
    <t>Establish controls for late, incomplete or conditional approval; assign actions, verify evidence, and review residual exposure at each gate. Tailor the response to Onshore Wind, the Detailed Engineering gate, local law, interfaces, and the selected delivery model.</t>
  </si>
  <si>
    <t>GER-0926</t>
  </si>
  <si>
    <t>For a Refining &amp; Petrochemicals Brownfield Modification project in Southeast Asia, there is a risk during Feasibility &amp; Concept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</si>
  <si>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Feasibility &amp; Concept gate, local law, interfaces, and the selected delivery model.</t>
  </si>
  <si>
    <t>GER-0927</t>
  </si>
  <si>
    <t>For a Solar PV Owner’s Engineering project in Latin America, there is a risk during FEED / Basic Design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</si>
  <si>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FEED / Basic Design gate, local law, interfaces, and the selected delivery model.</t>
  </si>
  <si>
    <t>GER-0928</t>
  </si>
  <si>
    <t>For a Battery Energy Storage EPCM project in Global / Multi-country, there is a risk during Detailed Engineering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</si>
  <si>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Detailed Engineering gate, local law, interfaces, and the selected delivery model.</t>
  </si>
  <si>
    <t>GER-0929</t>
  </si>
  <si>
    <t>For a Coal / Thermal Power Commissioning &amp; Start-up project in Middle East, there is a risk during Procurement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</si>
  <si>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Procurement gate, local law, interfaces, and the selected delivery model.</t>
  </si>
  <si>
    <t>GER-0930</t>
  </si>
  <si>
    <t>For a Concentrated Solar Power Decommissioning project in South Asia, there is a risk during Manufacturing that late, incomplete or conditional approval, combined with supplier dependency,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</si>
  <si>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Manufacturing gate, local law, interfaces, and the selected delivery model.</t>
  </si>
  <si>
    <t>GER-0931</t>
  </si>
  <si>
    <t>For a District Energy Operations &amp; Maintenance project in North America, there is a risk during Detailed Engineering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</si>
  <si>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Detailed Engineering gate, local law, interfaces, and the selected delivery model.</t>
  </si>
  <si>
    <t>GER-0932</t>
  </si>
  <si>
    <t>For a Pumped Storage Grid Interconnection project in Oceania, there is a risk during Procurement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</si>
  <si>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Procurement gate, local law, interfaces, and the selected delivery model.</t>
  </si>
  <si>
    <t>GER-0933</t>
  </si>
  <si>
    <t>For a Natural Gas / CCGT R&amp;D / Technology Development project in Europe, there is a risk during Manufacturing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</si>
  <si>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Manufacturing gate, local law, interfaces, and the selected delivery model.</t>
  </si>
  <si>
    <t>GER-0934</t>
  </si>
  <si>
    <t>For a Marine Energy Brownfield Modification project in Africa, there is a risk during Construction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</si>
  <si>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Construction gate, local law, interfaces, and the selected delivery model.</t>
  </si>
  <si>
    <t>GER-0935</t>
  </si>
  <si>
    <t>For a Geothermal Owner’s Engineering project in East Asia, there is a risk during Installation that late, incomplete or conditional approval, combined with interface complexity,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</si>
  <si>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Installation gate, local law, interfaces, and the selected delivery model.</t>
  </si>
  <si>
    <t>GER-0936</t>
  </si>
  <si>
    <t>For a Offshore Wind Decommissioning project in Latin America, there is a risk during Manufacturing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</si>
  <si>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Manufacturing gate, local law, interfaces, and the selected delivery model.</t>
  </si>
  <si>
    <t>GER-0937</t>
  </si>
  <si>
    <t>For a Green Hydrogen EPC / Turnkey project in Global / Multi-country, there is a risk during Construction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</si>
  <si>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Construction gate, local law, interfaces, and the selected delivery model.</t>
  </si>
  <si>
    <t>GER-0938</t>
  </si>
  <si>
    <t>For a Refining &amp; Petrochemicals Installation project in Middle East, there is a risk during Installation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</si>
  <si>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Installation gate, local law, interfaces, and the selected delivery model.</t>
  </si>
  <si>
    <t>GER-0939</t>
  </si>
  <si>
    <t>For a Solar PV Operations &amp; Maintenance project in South Asia, there is a risk during Pre-commissioning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</si>
  <si>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Pre-commissioning gate, local law, interfaces, and the selected delivery model.</t>
  </si>
  <si>
    <t>GER-0940</t>
  </si>
  <si>
    <t>For a Battery Energy Storage Grid Interconnection project in Southeast Asia, there is a risk during Commissioning that late, incomplete or conditional approval, combined with requirements volatility,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</si>
  <si>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Commissioning gate, local law, interfaces, and the selected delivery model.</t>
  </si>
  <si>
    <t>GER-0941</t>
  </si>
  <si>
    <t>For a Hydropower Owner’s Engineering project in Oceania, there is a risk during Installation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</si>
  <si>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Installation gate, local law, interfaces, and the selected delivery model.</t>
  </si>
  <si>
    <t>GER-0942</t>
  </si>
  <si>
    <t>For a Nuclear Power EPCM project in Europe, there is a risk during Pre-commissioning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</si>
  <si>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Pre-commissioning gate, local law, interfaces, and the selected delivery model.</t>
  </si>
  <si>
    <t>GER-0943</t>
  </si>
  <si>
    <t>For a District Energy Commissioning &amp; Start-up project in Africa, there is a risk during Commissioning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</si>
  <si>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Commissioning gate, local law, interfaces, and the selected delivery model.</t>
  </si>
  <si>
    <t>GER-0944</t>
  </si>
  <si>
    <t>For a Pumped Storage Decommissioning project in East Asia, there is a risk during Operations / Handover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</si>
  <si>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Operations / Handover gate, local law, interfaces, and the selected delivery model.</t>
  </si>
  <si>
    <t>GER-0945</t>
  </si>
  <si>
    <t>For a Natural Gas / CCGT EPC / Turnkey project in North America, there is a risk during Feasibility &amp; Concept that late, incomplete or conditional approval, combined with regulatory uncertainty,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</si>
  <si>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Feasibility &amp; Concept gate, local law, interfaces, and the selected delivery model.</t>
  </si>
  <si>
    <t>GER-0946</t>
  </si>
  <si>
    <t>For a Biomass / Waste-to-Energy Grid Interconnection project in Global / Multi-country, there is a risk during Commissioning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</si>
  <si>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Commissioning gate, local law, interfaces, and the selected delivery model.</t>
  </si>
  <si>
    <t>GER-0947</t>
  </si>
  <si>
    <t>For a Oil &amp; Gas Upstream R&amp;D / Technology Development project in Middle East, there is a risk during Operations / Handover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</si>
  <si>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Operations / Handover gate, local law, interfaces, and the selected delivery model.</t>
  </si>
  <si>
    <t>GER-0948</t>
  </si>
  <si>
    <t>For a Offshore Wind Brownfield Modification project in South Asia, there is a risk during Feasibility &amp; Concept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</si>
  <si>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Feasibility &amp; Concept gate, local law, interfaces, and the selected delivery model.</t>
  </si>
  <si>
    <t>GER-0949</t>
  </si>
  <si>
    <t>For a Green Hydrogen Owner’s Engineering project in Southeast Asia, there is a risk during FEED / Basic Design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</si>
  <si>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FEED / Basic Design gate, local law, interfaces, and the selected delivery model.</t>
  </si>
  <si>
    <t>GER-0950</t>
  </si>
  <si>
    <t>For a Refining &amp; Petrochemicals EPCM project in Latin America, there is a risk during Detailed Engineering that late, incomplete or conditional approval, combined with inadequate verification,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</si>
  <si>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Detailed Engineering gate, local law, interfaces, and the selected delivery model.</t>
  </si>
  <si>
    <t>GER-0951</t>
  </si>
  <si>
    <t>For a Transmission &amp; Substations EPC / Turnkey project in Europe, there is a risk during Feasibility &amp; Concept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</si>
  <si>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Feasibility &amp; Concept gate, local law, interfaces, and the selected delivery model.</t>
  </si>
  <si>
    <t>GER-0952</t>
  </si>
  <si>
    <t>For a Carbon Capture, Utilization &amp; Storage Installation project in Africa, there is a risk during FEED / Basic Design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</si>
  <si>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FEED / Basic Design gate, local law, interfaces, and the selected delivery model.</t>
  </si>
  <si>
    <t>GER-0953</t>
  </si>
  <si>
    <t>For a Hydropower Operations &amp; Maintenance project in East Asia, there is a risk during Detailed Engineering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</si>
  <si>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Detailed Engineering gate, local law, interfaces, and the selected delivery model.</t>
  </si>
  <si>
    <t>GER-0954</t>
  </si>
  <si>
    <t>For a Nuclear Power Grid Interconnection project in North America, there is a risk during Procurement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</si>
  <si>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Procurement gate, local law, interfaces, and the selected delivery model.</t>
  </si>
  <si>
    <t>GER-0955</t>
  </si>
  <si>
    <t>For a District Energy R&amp;D / Technology Development project in Oceania, there is a risk during Manufacturing that late, incomplete or conditional approval, combined with poor communication,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</si>
  <si>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Manufacturing gate, local law, interfaces, and the selected delivery model.</t>
  </si>
  <si>
    <t>GER-0956</t>
  </si>
  <si>
    <t>For a LNG EPCM project in Middle East, there is a risk during Detailed Engineering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</si>
  <si>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LNG, the Detailed Engineering gate, local law, interfaces, and the selected delivery model.</t>
  </si>
  <si>
    <t>GER-0957</t>
  </si>
  <si>
    <t>For a Onshore Wind Commissioning &amp; Start-up project in South Asia, there is a risk during Procurement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</si>
  <si>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Onshore Wind, the Procurement gate, local law, interfaces, and the selected delivery model.</t>
  </si>
  <si>
    <t>GER-0958</t>
  </si>
  <si>
    <t>For a Biomass / Waste-to-Energy Decommissioning project in Southeast Asia, there is a risk during Manufacturing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</si>
  <si>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Manufacturing gate, local law, interfaces, and the selected delivery model.</t>
  </si>
  <si>
    <t>GER-0959</t>
  </si>
  <si>
    <t>For a Oil &amp; Gas Upstream EPC / Turnkey project in Latin America, there is a risk during Construction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</si>
  <si>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Construction gate, local law, interfaces, and the selected delivery model.</t>
  </si>
  <si>
    <t>GER-0960</t>
  </si>
  <si>
    <t>For a Offshore Wind Installation project in Global / Multi-country, there is a risk during Installation that late, incomplete or conditional approval, combined with incorrect assumptions,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</si>
  <si>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Installation gate, local law, interfaces, and the selected delivery model.</t>
  </si>
  <si>
    <t>GER-0961</t>
  </si>
  <si>
    <t>For a Coal / Thermal Power R&amp;D / Technology Development project in Africa, there is a risk during Manufacturing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</si>
  <si>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Manufacturing gate, local law, interfaces, and the selected delivery model.</t>
  </si>
  <si>
    <t>GER-0962</t>
  </si>
  <si>
    <t>For a Concentrated Solar Power Brownfield Modification project in East Asia, there is a risk during Construction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</si>
  <si>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Construction gate, local law, interfaces, and the selected delivery model.</t>
  </si>
  <si>
    <t>GER-0963</t>
  </si>
  <si>
    <t>For a Transmission &amp; Substations Owner’s Engineering project in North America, there is a risk during Installation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</si>
  <si>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Installation gate, local law, interfaces, and the selected delivery model.</t>
  </si>
  <si>
    <t>GER-0964</t>
  </si>
  <si>
    <t>For a Carbon Capture, Utilization &amp; Storage EPCM project in Oceania, there is a risk during Pre-commissioning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</si>
  <si>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Pre-commissioning gate, local law, interfaces, and the selected delivery model.</t>
  </si>
  <si>
    <t>GER-0965</t>
  </si>
  <si>
    <t>For a Hydropower Commissioning &amp; Start-up project in Europe, there is a risk during Commissioning that late, incomplete or conditional approval, combined with low technical maturity,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</si>
  <si>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Commissioning gate, local law, interfaces, and the selected delivery model.</t>
  </si>
  <si>
    <t>GER-0966</t>
  </si>
  <si>
    <t>For a Marine Energy Installation project in South Asia, there is a risk during Installation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</si>
  <si>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Installation gate, local law, interfaces, and the selected delivery model.</t>
  </si>
  <si>
    <t>GER-0967</t>
  </si>
  <si>
    <t>For a Geothermal Operations &amp; Maintenance project in Southeast Asia, there is a risk during Pre-commissioning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</si>
  <si>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Pre-commissioning gate, local law, interfaces, and the selected delivery model.</t>
  </si>
  <si>
    <t>GER-0968</t>
  </si>
  <si>
    <t>For a LNG Grid Interconnection project in Latin America, there is a risk during Commissioning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</si>
  <si>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LNG, the Commissioning gate, local law, interfaces, and the selected delivery model.</t>
  </si>
  <si>
    <t>GER-0969</t>
  </si>
  <si>
    <t>For a Onshore Wind R&amp;D / Technology Development project in Global / Multi-country, there is a risk during Operations / Handover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</si>
  <si>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Onshore Wind, the Operations / Handover gate, local law, interfaces, and the selected delivery model.</t>
  </si>
  <si>
    <t>GER-0970</t>
  </si>
  <si>
    <t>For a Biomass / Waste-to-Energy Brownfield Modification project in Middle East, there is a risk during Feasibility &amp; Concept that late, incomplete or conditional approval, combined with documentation gaps, may adversely affect project objectives through time / cost consequences.</t>
  </si>
  <si>
    <t>Establish controls for late, incomplete or conditional approval; assign actions, verify evidence, and review residual exposure at each gate. Tailor the response to Biomass / Waste-to-Energy, the Feasibility &amp; Concept gate, local law, interfaces, and the selected delivery model.</t>
  </si>
  <si>
    <t>GER-0971</t>
  </si>
  <si>
    <t>For a Solar PV Commissioning &amp; Start-up project in East Asia, there is a risk during Commissioning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</si>
  <si>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Commissioning gate, local law, interfaces, and the selected delivery model.</t>
  </si>
  <si>
    <t>GER-0972</t>
  </si>
  <si>
    <t>For a Battery Energy Storage Decommissioning project in North America, there is a risk during Operations / Handover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</si>
  <si>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Operations / Handover gate, local law, interfaces, and the selected delivery model.</t>
  </si>
  <si>
    <t>GER-0973</t>
  </si>
  <si>
    <t>For a Coal / Thermal Power EPC / Turnkey project in Oceania, there is a risk during Feasibility &amp; Concept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</si>
  <si>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Feasibility &amp; Concept gate, local law, interfaces, and the selected delivery model.</t>
  </si>
  <si>
    <t>GER-0974</t>
  </si>
  <si>
    <t>For a Concentrated Solar Power Installation project in Europe, there is a risk during FEED / Basic Design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</si>
  <si>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Concentrated Solar Power, the FEED / Basic Design gate, local law, interfaces, and the selected delivery model.</t>
  </si>
  <si>
    <t>GER-0975</t>
  </si>
  <si>
    <t>For a Transmission &amp; Substations Operations &amp; Maintenance project in Africa, there is a risk during Detailed Engineering that late, incomplete or conditional approval, combined with external disruption, may adversely affect project objectives through time / cost consequences.</t>
  </si>
  <si>
    <t>Establish controls for late, incomplete or conditional approval; assign actions, verify evidence, and review residual exposure at each gate. Tailor the response to Transmission &amp; Substations, the Detailed Engineering gate, local law, interfaces, and the selected delivery model.</t>
  </si>
  <si>
    <t>GER-0976</t>
  </si>
  <si>
    <t>For a Pumped Storage Brownfield Modification project in Southeast Asia, there is a risk during Feasibility &amp; Concept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</si>
  <si>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Feasibility &amp; Concept gate, local law, interfaces, and the selected delivery model.</t>
  </si>
  <si>
    <t>GER-0977</t>
  </si>
  <si>
    <t>For a Natural Gas / CCGT Owner’s Engineering project in Latin America, there is a risk during FEED / Basic Design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</si>
  <si>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FEED / Basic Design gate, local law, interfaces, and the selected delivery model.</t>
  </si>
  <si>
    <t>GER-0978</t>
  </si>
  <si>
    <t>For a Marine Energy EPCM project in Global / Multi-country, there is a risk during Detailed Engineering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</si>
  <si>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Detailed Engineering gate, local law, interfaces, and the selected delivery model.</t>
  </si>
  <si>
    <t>GER-0979</t>
  </si>
  <si>
    <t>For a Geothermal Commissioning &amp; Start-up project in Middle East, there is a risk during Procurement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</si>
  <si>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Geothermal, the Procurement gate, local law, interfaces, and the selected delivery model.</t>
  </si>
  <si>
    <t>GER-0980</t>
  </si>
  <si>
    <t>For a LNG Decommissioning project in South Asia, there is a risk during Manufacturing that late, incomplete or conditional approval, combined with governance delay, may adversely affect project objectives through time / cost consequences.</t>
  </si>
  <si>
    <t>Establish controls for late, incomplete or conditional approval; assign actions, verify evidence, and review residual exposure at each gate. Tailor the response to LNG, the Manufacturing gate, local law, interfaces, and the selected delivery model.</t>
  </si>
  <si>
    <t>GER-0981</t>
  </si>
  <si>
    <t>For a Green Hydrogen Operations &amp; Maintenance project in North America, there is a risk during Detailed Engineering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</si>
  <si>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Detailed Engineering gate, local law, interfaces, and the selected delivery model.</t>
  </si>
  <si>
    <t>GER-0982</t>
  </si>
  <si>
    <t>For a Refining &amp; Petrochemicals Grid Interconnection project in Oceania, there is a risk during Procurement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</si>
  <si>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Procurement gate, local law, interfaces, and the selected delivery model.</t>
  </si>
  <si>
    <t>GER-0983</t>
  </si>
  <si>
    <t>For a Solar PV R&amp;D / Technology Development project in Europe, there is a risk during Manufacturing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</si>
  <si>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Manufacturing gate, local law, interfaces, and the selected delivery model.</t>
  </si>
  <si>
    <t>GER-0984</t>
  </si>
  <si>
    <t>For a Battery Energy Storage Brownfield Modification project in Africa, there is a risk during Construction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</si>
  <si>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Battery Energy Storage, the Construction gate, local law, interfaces, and the selected delivery model.</t>
  </si>
  <si>
    <t>GER-0985</t>
  </si>
  <si>
    <t>For a Coal / Thermal Power Owner’s Engineering project in East Asia, there is a risk during Installation that late, incomplete or conditional approval, combined with commercial misalignment, may adversely affect project objectives through time / cost consequences.</t>
  </si>
  <si>
    <t>Establish controls for late, incomplete or conditional approval; assign actions, verify evidence, and review residual exposure at each gate. Tailor the response to Coal / Thermal Power, the Installation gate, local law, interfaces, and the selected delivery model.</t>
  </si>
  <si>
    <t>GER-0986</t>
  </si>
  <si>
    <t>For a Nuclear Power Decommissioning project in Latin America, there is a risk during Manufacturing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</si>
  <si>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Manufacturing gate, local law, interfaces, and the selected delivery model.</t>
  </si>
  <si>
    <t>GER-0987</t>
  </si>
  <si>
    <t>For a District Energy EPC / Turnkey project in Global / Multi-country, there is a risk during Construction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</si>
  <si>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Construction gate, local law, interfaces, and the selected delivery model.</t>
  </si>
  <si>
    <t>GER-0988</t>
  </si>
  <si>
    <t>For a Pumped Storage Installation project in Middle East, there is a risk during Installation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</si>
  <si>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Installation gate, local law, interfaces, and the selected delivery model.</t>
  </si>
  <si>
    <t>GER-0989</t>
  </si>
  <si>
    <t>For a Natural Gas / CCGT Operations &amp; Maintenance project in South Asia, there is a risk during Pre-commissioning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</si>
  <si>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Natural Gas / CCGT, the Pre-commissioning gate, local law, interfaces, and the selected delivery model.</t>
  </si>
  <si>
    <t>GER-0990</t>
  </si>
  <si>
    <t>For a Marine Energy Grid Interconnection project in Southeast Asia, there is a risk during Commissioning that late, incomplete or conditional approval, combined with quality escape, may adversely affect project objectives through time / cost consequences.</t>
  </si>
  <si>
    <t>Establish controls for late, incomplete or conditional approval; assign actions, verify evidence, and review residual exposure at each gate. Tailor the response to Marine Energy, the Commissioning gate, local law, interfaces, and the selected delivery model.</t>
  </si>
  <si>
    <t>GER-0991</t>
  </si>
  <si>
    <t>For a Oil &amp; Gas Upstream Owner’s Engineering project in Oceania, there is a risk during Installation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</si>
  <si>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Oil &amp; Gas Upstream, the Installation gate, local law, interfaces, and the selected delivery model.</t>
  </si>
  <si>
    <t>GER-0992</t>
  </si>
  <si>
    <t>For a Offshore Wind EPCM project in Europe, there is a risk during Pre-commissioning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</si>
  <si>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Offshore Wind, the Pre-commissioning gate, local law, interfaces, and the selected delivery model.</t>
  </si>
  <si>
    <t>GER-0993</t>
  </si>
  <si>
    <t>For a Green Hydrogen Commissioning &amp; Start-up project in Africa, there is a risk during Commissioning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</si>
  <si>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Green Hydrogen, the Commissioning gate, local law, interfaces, and the selected delivery model.</t>
  </si>
  <si>
    <t>GER-0994</t>
  </si>
  <si>
    <t>For a Refining &amp; Petrochemicals Decommissioning project in East Asia, there is a risk during Operations / Handover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</si>
  <si>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Refining &amp; Petrochemicals, the Operations / Handover gate, local law, interfaces, and the selected delivery model.</t>
  </si>
  <si>
    <t>GER-0995</t>
  </si>
  <si>
    <t>For a Solar PV EPC / Turnkey project in North America, there is a risk during Feasibility &amp; Concept that late, incomplete or conditional approval, combined with access constraint, may adversely affect project objectives through time / cost consequences.</t>
  </si>
  <si>
    <t>Establish controls for late, incomplete or conditional approval; assign actions, verify evidence, and review residual exposure at each gate. Tailor the response to Solar PV, the Feasibility &amp; Concept gate, local law, interfaces, and the selected delivery model.</t>
  </si>
  <si>
    <t>GER-0996</t>
  </si>
  <si>
    <t>For a Carbon Capture, Utilization &amp; Storage Grid Interconnection project in Global / Multi-country, there is a risk during Commissioning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</si>
  <si>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Carbon Capture, Utilization &amp; Storage, the Commissioning gate, local law, interfaces, and the selected delivery model.</t>
  </si>
  <si>
    <t>GER-0997</t>
  </si>
  <si>
    <t>For a Hydropower R&amp;D / Technology Development project in Middle East, there is a risk during Operations / Handover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</si>
  <si>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Hydropower, the Operations / Handover gate, local law, interfaces, and the selected delivery model.</t>
  </si>
  <si>
    <t>GER-0998</t>
  </si>
  <si>
    <t>For a Nuclear Power Brownfield Modification project in South Asia, there is a risk during Feasibility &amp; Concept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</si>
  <si>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Nuclear Power, the Feasibility &amp; Concept gate, local law, interfaces, and the selected delivery model.</t>
  </si>
  <si>
    <t>GER-0999</t>
  </si>
  <si>
    <t>For a District Energy Owner’s Engineering project in Southeast Asia, there is a risk during FEED / Basic Design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</si>
  <si>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District Energy, the FEED / Basic Design gate, local law, interfaces, and the selected delivery model.</t>
  </si>
  <si>
    <t>GER-1000</t>
  </si>
  <si>
    <t>For a Pumped Storage EPCM project in Latin America, there is a risk during Detailed Engineering that late, incomplete or conditional approval, combined with performance variability, may adversely affect project objectives through time / cost consequences.</t>
  </si>
  <si>
    <t>Establish controls for late, incomplete or conditional approval; assign actions, verify evidence, and review residual exposure at each gate. Tailor the response to Pumped Storage, the Detailed Engineering gate, local law, interfaces, and the selected delivery model.</t>
  </si>
  <si>
    <t>GER-1001</t>
  </si>
  <si>
    <t>For a Onshore Wind EPC / Turnkey project in Europe, there is a risk during Feasibility &amp; Concept that unexpected geology, utilities or contamination, combined with insufficient planning, may adversely affect project objectives through cost / time / hse consequences.</t>
  </si>
  <si>
    <t>Site &amp; Ground Conditions</t>
  </si>
  <si>
    <t>Cost / Time / HSE</t>
  </si>
  <si>
    <t>Establish controls for unexpected geology, utilities or contamination; assign actions, verify evidence, and review residual exposure at each gate. Tailor the response to Onshore Wind, the Feasibility &amp; Concept gate, local law, interfaces, and the selected delivery model.</t>
  </si>
  <si>
    <t>Construction Manager</t>
  </si>
  <si>
    <t>GER-1002</t>
  </si>
  <si>
    <t>For a Biomass / Waste-to-Energy Installation project in Africa, there is a risk during FEED / Basic Design that unexpected geology, utilities or contamination, combined with insufficient planning,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</si>
  <si>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FEED / Basic Design gate, local law, interfaces, and the selected delivery model.</t>
  </si>
  <si>
    <t>GER-1003</t>
  </si>
  <si>
    <t>For a Oil &amp; Gas Upstream Operations &amp; Maintenance project in East Asia, there is a risk during Detailed Engineering that unexpected geology, utilities or contamination, combined with insufficient planning,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</si>
  <si>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Detailed Engineering gate, local law, interfaces, and the selected delivery model.</t>
  </si>
  <si>
    <t>GER-1004</t>
  </si>
  <si>
    <t>For a Offshore Wind Grid Interconnection project in North America, there is a risk during Procurement that unexpected geology, utilities or contamination, combined with insufficient planning,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</si>
  <si>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Procurement gate, local law, interfaces, and the selected delivery model.</t>
  </si>
  <si>
    <t>GER-1005</t>
  </si>
  <si>
    <t>For a Green Hydrogen R&amp;D / Technology Development project in Oceania, there is a risk during Manufacturing that unexpected geology, utilities or contamination, combined with insufficient planning,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</si>
  <si>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Manufacturing gate, local law, interfaces, and the selected delivery model.</t>
  </si>
  <si>
    <t>GER-1006</t>
  </si>
  <si>
    <t>For a Concentrated Solar Power EPCM project in Middle East, there is a risk during Detailed Engineering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</si>
  <si>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Detailed Engineering gate, local law, interfaces, and the selected delivery model.</t>
  </si>
  <si>
    <t>GER-1007</t>
  </si>
  <si>
    <t>For a Transmission &amp; Substations Commissioning &amp; Start-up project in South Asia, there is a risk during Procurement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</si>
  <si>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Procurement gate, local law, interfaces, and the selected delivery model.</t>
  </si>
  <si>
    <t>GER-1008</t>
  </si>
  <si>
    <t>For a Carbon Capture, Utilization &amp; Storage Decommissioning project in Southeast Asia, there is a risk during Manufacturing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</si>
  <si>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Manufacturing gate, local law, interfaces, and the selected delivery model.</t>
  </si>
  <si>
    <t>GER-1009</t>
  </si>
  <si>
    <t>For a Hydropower EPC / Turnkey project in Latin America, there is a risk during Construction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</si>
  <si>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Construction gate, local law, interfaces, and the selected delivery model.</t>
  </si>
  <si>
    <t>GER-1010</t>
  </si>
  <si>
    <t>For a Nuclear Power Installation project in Global / Multi-country, there is a risk during Installation that unexpected geology, utilities or contamination, combined with incomplete information,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</si>
  <si>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Installation gate, local law, interfaces, and the selected delivery model.</t>
  </si>
  <si>
    <t>GER-1011</t>
  </si>
  <si>
    <t>For a Geothermal R&amp;D / Technology Development project in Africa, there is a risk during Manufacturing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</si>
  <si>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Manufacturing gate, local law, interfaces, and the selected delivery model.</t>
  </si>
  <si>
    <t>GER-1012</t>
  </si>
  <si>
    <t>For a LNG Brownfield Modification project in East Asia, there is a risk during Construction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</si>
  <si>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Construction gate, local law, interfaces, and the selected delivery model.</t>
  </si>
  <si>
    <t>GER-1013</t>
  </si>
  <si>
    <t>For a Onshore Wind Owner’s Engineering project in North America, there is a risk during Installation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</si>
  <si>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Onshore Wind, the Installation gate, local law, interfaces, and the selected delivery model.</t>
  </si>
  <si>
    <t>GER-1014</t>
  </si>
  <si>
    <t>For a Biomass / Waste-to-Energy EPCM project in Oceania, there is a risk during Pre-commissioning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</si>
  <si>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Pre-commissioning gate, local law, interfaces, and the selected delivery model.</t>
  </si>
  <si>
    <t>GER-1015</t>
  </si>
  <si>
    <t>For a Oil &amp; Gas Upstream Commissioning &amp; Start-up project in Europe, there is a risk during Commissioning that unexpected geology, utilities or contamination, combined with late decision-making,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</si>
  <si>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Commissioning gate, local law, interfaces, and the selected delivery model.</t>
  </si>
  <si>
    <t>GER-1016</t>
  </si>
  <si>
    <t>For a Battery Energy Storage Installation project in South Asia, there is a risk during Installation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</si>
  <si>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Installation gate, local law, interfaces, and the selected delivery model.</t>
  </si>
  <si>
    <t>GER-1017</t>
  </si>
  <si>
    <t>For a Coal / Thermal Power Operations &amp; Maintenance project in Southeast Asia, there is a risk during Pre-commissioning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</si>
  <si>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Pre-commissioning gate, local law, interfaces, and the selected delivery model.</t>
  </si>
  <si>
    <t>GER-1018</t>
  </si>
  <si>
    <t>For a Concentrated Solar Power Grid Interconnection project in Latin America, there is a risk during Commissioning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</si>
  <si>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Commissioning gate, local law, interfaces, and the selected delivery model.</t>
  </si>
  <si>
    <t>GER-1019</t>
  </si>
  <si>
    <t>For a Transmission &amp; Substations R&amp;D / Technology Development project in Global / Multi-country, there is a risk during Operations / Handover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</si>
  <si>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Operations / Handover gate, local law, interfaces, and the selected delivery model.</t>
  </si>
  <si>
    <t>GER-1020</t>
  </si>
  <si>
    <t>For a Carbon Capture, Utilization &amp; Storage Brownfield Modification project in Middle East, there is a risk during Feasibility &amp; Concept that unexpected geology, utilities or contamination, combined with weak controls,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</si>
  <si>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Feasibility &amp; Concept gate, local law, interfaces, and the selected delivery model.</t>
  </si>
  <si>
    <t>GER-1021</t>
  </si>
  <si>
    <t>For a Natural Gas / CCGT Commissioning &amp; Start-up project in East Asia, there is a risk during Commissioning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</si>
  <si>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Commissioning gate, local law, interfaces, and the selected delivery model.</t>
  </si>
  <si>
    <t>GER-1022</t>
  </si>
  <si>
    <t>For a Marine Energy Decommissioning project in North America, there is a risk during Operations / Handover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</si>
  <si>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Operations / Handover gate, local law, interfaces, and the selected delivery model.</t>
  </si>
  <si>
    <t>GER-1023</t>
  </si>
  <si>
    <t>For a Geothermal EPC / Turnkey project in Oceania, there is a risk during Feasibility &amp; Concept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</si>
  <si>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Feasibility &amp; Concept gate, local law, interfaces, and the selected delivery model.</t>
  </si>
  <si>
    <t>GER-1024</t>
  </si>
  <si>
    <t>For a LNG Installation project in Europe, there is a risk during FEED / Basic Design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</si>
  <si>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FEED / Basic Design gate, local law, interfaces, and the selected delivery model.</t>
  </si>
  <si>
    <t>GER-1025</t>
  </si>
  <si>
    <t>For a Onshore Wind Operations &amp; Maintenance project in Africa, there is a risk during Detailed Engineering that unexpected geology, utilities or contamination, combined with resource constraints,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</si>
  <si>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Onshore Wind, the Detailed Engineering gate, local law, interfaces, and the selected delivery model.</t>
  </si>
  <si>
    <t>GER-1026</t>
  </si>
  <si>
    <t>For a Refining &amp; Petrochemicals Brownfield Modification project in Southeast Asia, there is a risk during Feasibility &amp; Concept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</si>
  <si>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Feasibility &amp; Concept gate, local law, interfaces, and the selected delivery model.</t>
  </si>
  <si>
    <t>GER-1027</t>
  </si>
  <si>
    <t>For a Solar PV Owner’s Engineering project in Latin America, there is a risk during FEED / Basic Design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</si>
  <si>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FEED / Basic Design gate, local law, interfaces, and the selected delivery model.</t>
  </si>
  <si>
    <t>GER-1028</t>
  </si>
  <si>
    <t>For a Battery Energy Storage EPCM project in Global / Multi-country, there is a risk during Detailed Engineering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</si>
  <si>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Detailed Engineering gate, local law, interfaces, and the selected delivery model.</t>
  </si>
  <si>
    <t>GER-1029</t>
  </si>
  <si>
    <t>For a Coal / Thermal Power Commissioning &amp; Start-up project in Middle East, there is a risk during Procurement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</si>
  <si>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Procurement gate, local law, interfaces, and the selected delivery model.</t>
  </si>
  <si>
    <t>GER-1030</t>
  </si>
  <si>
    <t>For a Concentrated Solar Power Decommissioning project in South Asia, there is a risk during Manufacturing that unexpected geology, utilities or contamination, combined with supplier dependency,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</si>
  <si>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Manufacturing gate, local law, interfaces, and the selected delivery model.</t>
  </si>
  <si>
    <t>GER-1031</t>
  </si>
  <si>
    <t>For a District Energy Operations &amp; Maintenance project in North America, there is a risk during Detailed Engineering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</si>
  <si>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Detailed Engineering gate, local law, interfaces, and the selected delivery model.</t>
  </si>
  <si>
    <t>GER-1032</t>
  </si>
  <si>
    <t>For a Pumped Storage Grid Interconnection project in Oceania, there is a risk during Procurement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</si>
  <si>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Procurement gate, local law, interfaces, and the selected delivery model.</t>
  </si>
  <si>
    <t>GER-1033</t>
  </si>
  <si>
    <t>For a Natural Gas / CCGT R&amp;D / Technology Development project in Europe, there is a risk during Manufacturing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</si>
  <si>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Manufacturing gate, local law, interfaces, and the selected delivery model.</t>
  </si>
  <si>
    <t>GER-1034</t>
  </si>
  <si>
    <t>For a Marine Energy Brownfield Modification project in Africa, there is a risk during Construction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</si>
  <si>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Construction gate, local law, interfaces, and the selected delivery model.</t>
  </si>
  <si>
    <t>GER-1035</t>
  </si>
  <si>
    <t>For a Geothermal Owner’s Engineering project in East Asia, there is a risk during Installation that unexpected geology, utilities or contamination, combined with interface complexity,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</si>
  <si>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Installation gate, local law, interfaces, and the selected delivery model.</t>
  </si>
  <si>
    <t>GER-1036</t>
  </si>
  <si>
    <t>For a Offshore Wind Decommissioning project in Latin America, there is a risk during Manufacturing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</si>
  <si>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Manufacturing gate, local law, interfaces, and the selected delivery model.</t>
  </si>
  <si>
    <t>GER-1037</t>
  </si>
  <si>
    <t>For a Green Hydrogen EPC / Turnkey project in Global / Multi-country, there is a risk during Construction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</si>
  <si>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Construction gate, local law, interfaces, and the selected delivery model.</t>
  </si>
  <si>
    <t>GER-1038</t>
  </si>
  <si>
    <t>For a Refining &amp; Petrochemicals Installation project in Middle East, there is a risk during Installation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</si>
  <si>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Installation gate, local law, interfaces, and the selected delivery model.</t>
  </si>
  <si>
    <t>GER-1039</t>
  </si>
  <si>
    <t>For a Solar PV Operations &amp; Maintenance project in South Asia, there is a risk during Pre-commissioning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</si>
  <si>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Pre-commissioning gate, local law, interfaces, and the selected delivery model.</t>
  </si>
  <si>
    <t>GER-1040</t>
  </si>
  <si>
    <t>For a Battery Energy Storage Grid Interconnection project in Southeast Asia, there is a risk during Commissioning that unexpected geology, utilities or contamination, combined with requirements volatility,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</si>
  <si>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Commissioning gate, local law, interfaces, and the selected delivery model.</t>
  </si>
  <si>
    <t>GER-1041</t>
  </si>
  <si>
    <t>For a Hydropower Owner’s Engineering project in Oceania, there is a risk during Installation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</si>
  <si>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Installation gate, local law, interfaces, and the selected delivery model.</t>
  </si>
  <si>
    <t>GER-1042</t>
  </si>
  <si>
    <t>For a Nuclear Power EPCM project in Europe, there is a risk during Pre-commissioning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</si>
  <si>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Pre-commissioning gate, local law, interfaces, and the selected delivery model.</t>
  </si>
  <si>
    <t>GER-1043</t>
  </si>
  <si>
    <t>For a District Energy Commissioning &amp; Start-up project in Africa, there is a risk during Commissioning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</si>
  <si>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Commissioning gate, local law, interfaces, and the selected delivery model.</t>
  </si>
  <si>
    <t>GER-1044</t>
  </si>
  <si>
    <t>For a Pumped Storage Decommissioning project in East Asia, there is a risk during Operations / Handover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</si>
  <si>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Operations / Handover gate, local law, interfaces, and the selected delivery model.</t>
  </si>
  <si>
    <t>GER-1045</t>
  </si>
  <si>
    <t>For a Natural Gas / CCGT EPC / Turnkey project in North America, there is a risk during Feasibility &amp; Concept that unexpected geology, utilities or contamination, combined with regulatory uncertainty,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</si>
  <si>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Feasibility &amp; Concept gate, local law, interfaces, and the selected delivery model.</t>
  </si>
  <si>
    <t>GER-1046</t>
  </si>
  <si>
    <t>For a Biomass / Waste-to-Energy Grid Interconnection project in Global / Multi-country, there is a risk during Commissioning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</si>
  <si>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Commissioning gate, local law, interfaces, and the selected delivery model.</t>
  </si>
  <si>
    <t>GER-1047</t>
  </si>
  <si>
    <t>For a Oil &amp; Gas Upstream R&amp;D / Technology Development project in Middle East, there is a risk during Operations / Handover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</si>
  <si>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Operations / Handover gate, local law, interfaces, and the selected delivery model.</t>
  </si>
  <si>
    <t>GER-1048</t>
  </si>
  <si>
    <t>For a Offshore Wind Brownfield Modification project in South Asia, there is a risk during Feasibility &amp; Concept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</si>
  <si>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Feasibility &amp; Concept gate, local law, interfaces, and the selected delivery model.</t>
  </si>
  <si>
    <t>GER-1049</t>
  </si>
  <si>
    <t>For a Green Hydrogen Owner’s Engineering project in Southeast Asia, there is a risk during FEED / Basic Design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</si>
  <si>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FEED / Basic Design gate, local law, interfaces, and the selected delivery model.</t>
  </si>
  <si>
    <t>GER-1050</t>
  </si>
  <si>
    <t>For a Refining &amp; Petrochemicals EPCM project in Latin America, there is a risk during Detailed Engineering that unexpected geology, utilities or contamination, combined with inadequate verification,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</si>
  <si>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Detailed Engineering gate, local law, interfaces, and the selected delivery model.</t>
  </si>
  <si>
    <t>GER-1051</t>
  </si>
  <si>
    <t>For a Transmission &amp; Substations EPC / Turnkey project in Europe, there is a risk during Feasibility &amp; Concept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</si>
  <si>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Feasibility &amp; Concept gate, local law, interfaces, and the selected delivery model.</t>
  </si>
  <si>
    <t>GER-1052</t>
  </si>
  <si>
    <t>For a Carbon Capture, Utilization &amp; Storage Installation project in Africa, there is a risk during FEED / Basic Design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</si>
  <si>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FEED / Basic Design gate, local law, interfaces, and the selected delivery model.</t>
  </si>
  <si>
    <t>GER-1053</t>
  </si>
  <si>
    <t>For a Hydropower Operations &amp; Maintenance project in East Asia, there is a risk during Detailed Engineering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</si>
  <si>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Detailed Engineering gate, local law, interfaces, and the selected delivery model.</t>
  </si>
  <si>
    <t>GER-1054</t>
  </si>
  <si>
    <t>For a Nuclear Power Grid Interconnection project in North America, there is a risk during Procurement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</si>
  <si>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Procurement gate, local law, interfaces, and the selected delivery model.</t>
  </si>
  <si>
    <t>GER-1055</t>
  </si>
  <si>
    <t>For a District Energy R&amp;D / Technology Development project in Oceania, there is a risk during Manufacturing that unexpected geology, utilities or contamination, combined with poor communication,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</si>
  <si>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Manufacturing gate, local law, interfaces, and the selected delivery model.</t>
  </si>
  <si>
    <t>GER-1056</t>
  </si>
  <si>
    <t>For a LNG EPCM project in Middle East, there is a risk during Detailed Engineering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</si>
  <si>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Detailed Engineering gate, local law, interfaces, and the selected delivery model.</t>
  </si>
  <si>
    <t>GER-1057</t>
  </si>
  <si>
    <t>For a Onshore Wind Commissioning &amp; Start-up project in South Asia, there is a risk during Procurement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</si>
  <si>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Onshore Wind, the Procurement gate, local law, interfaces, and the selected delivery model.</t>
  </si>
  <si>
    <t>GER-1058</t>
  </si>
  <si>
    <t>For a Biomass / Waste-to-Energy Decommissioning project in Southeast Asia, there is a risk during Manufacturing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</si>
  <si>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Manufacturing gate, local law, interfaces, and the selected delivery model.</t>
  </si>
  <si>
    <t>GER-1059</t>
  </si>
  <si>
    <t>For a Oil &amp; Gas Upstream EPC / Turnkey project in Latin America, there is a risk during Construction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</si>
  <si>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Construction gate, local law, interfaces, and the selected delivery model.</t>
  </si>
  <si>
    <t>GER-1060</t>
  </si>
  <si>
    <t>For a Offshore Wind Installation project in Global / Multi-country, there is a risk during Installation that unexpected geology, utilities or contamination, combined with incorrect assumptions,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</si>
  <si>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Installation gate, local law, interfaces, and the selected delivery model.</t>
  </si>
  <si>
    <t>GER-1061</t>
  </si>
  <si>
    <t>For a Coal / Thermal Power R&amp;D / Technology Development project in Africa, there is a risk during Manufacturing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</si>
  <si>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Manufacturing gate, local law, interfaces, and the selected delivery model.</t>
  </si>
  <si>
    <t>GER-1062</t>
  </si>
  <si>
    <t>For a Concentrated Solar Power Brownfield Modification project in East Asia, there is a risk during Construction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</si>
  <si>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Construction gate, local law, interfaces, and the selected delivery model.</t>
  </si>
  <si>
    <t>GER-1063</t>
  </si>
  <si>
    <t>For a Transmission &amp; Substations Owner’s Engineering project in North America, there is a risk during Installation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</si>
  <si>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Installation gate, local law, interfaces, and the selected delivery model.</t>
  </si>
  <si>
    <t>GER-1064</t>
  </si>
  <si>
    <t>For a Carbon Capture, Utilization &amp; Storage EPCM project in Oceania, there is a risk during Pre-commissioning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</si>
  <si>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Pre-commissioning gate, local law, interfaces, and the selected delivery model.</t>
  </si>
  <si>
    <t>GER-1065</t>
  </si>
  <si>
    <t>For a Hydropower Commissioning &amp; Start-up project in Europe, there is a risk during Commissioning that unexpected geology, utilities or contamination, combined with low technical maturity,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</si>
  <si>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Commissioning gate, local law, interfaces, and the selected delivery model.</t>
  </si>
  <si>
    <t>GER-1066</t>
  </si>
  <si>
    <t>For a Marine Energy Installation project in South Asia, there is a risk during Installation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</si>
  <si>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Installation gate, local law, interfaces, and the selected delivery model.</t>
  </si>
  <si>
    <t>GER-1067</t>
  </si>
  <si>
    <t>For a Geothermal Operations &amp; Maintenance project in Southeast Asia, there is a risk during Pre-commissioning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</si>
  <si>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Pre-commissioning gate, local law, interfaces, and the selected delivery model.</t>
  </si>
  <si>
    <t>GER-1068</t>
  </si>
  <si>
    <t>For a LNG Grid Interconnection project in Latin America, there is a risk during Commissioning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</si>
  <si>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Commissioning gate, local law, interfaces, and the selected delivery model.</t>
  </si>
  <si>
    <t>GER-1069</t>
  </si>
  <si>
    <t>For a Onshore Wind R&amp;D / Technology Development project in Global / Multi-country, there is a risk during Operations / Handover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</si>
  <si>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Onshore Wind, the Operations / Handover gate, local law, interfaces, and the selected delivery model.</t>
  </si>
  <si>
    <t>GER-1070</t>
  </si>
  <si>
    <t>For a Biomass / Waste-to-Energy Brownfield Modification project in Middle East, there is a risk during Feasibility &amp; Concept that unexpected geology, utilities or contamination, combined with documentation gaps, may adversely affect project objectives through cost / time / hse consequences.</t>
  </si>
  <si>
    <t>Establish controls for unexpected geology, utilities or contamination; assign actions, verify evidence, and review residual exposure at each gate. Tailor the response to Biomass / Waste-to-Energy, the Feasibility &amp; Concept gate, local law, interfaces, and the selected delivery model.</t>
  </si>
  <si>
    <t>GER-1071</t>
  </si>
  <si>
    <t>For a Solar PV Commissioning &amp; Start-up project in East Asia, there is a risk during Commissioning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</si>
  <si>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Commissioning gate, local law, interfaces, and the selected delivery model.</t>
  </si>
  <si>
    <t>GER-1072</t>
  </si>
  <si>
    <t>For a Battery Energy Storage Decommissioning project in North America, there is a risk during Operations / Handover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</si>
  <si>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Operations / Handover gate, local law, interfaces, and the selected delivery model.</t>
  </si>
  <si>
    <t>GER-1073</t>
  </si>
  <si>
    <t>For a Coal / Thermal Power EPC / Turnkey project in Oceania, there is a risk during Feasibility &amp; Concept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</si>
  <si>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Feasibility &amp; Concept gate, local law, interfaces, and the selected delivery model.</t>
  </si>
  <si>
    <t>GER-1074</t>
  </si>
  <si>
    <t>For a Concentrated Solar Power Installation project in Europe, there is a risk during FEED / Basic Design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</si>
  <si>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Concentrated Solar Power, the FEED / Basic Design gate, local law, interfaces, and the selected delivery model.</t>
  </si>
  <si>
    <t>GER-1075</t>
  </si>
  <si>
    <t>For a Transmission &amp; Substations Operations &amp; Maintenance project in Africa, there is a risk during Detailed Engineering that unexpected geology, utilities or contamination, combined with external disruption, may adversely affect project objectives through cost / time / hse consequences.</t>
  </si>
  <si>
    <t>Establish controls for unexpected geology, utilities or contamination; assign actions, verify evidence, and review residual exposure at each gate. Tailor the response to Transmission &amp; Substations, the Detailed Engineering gate, local law, interfaces, and the selected delivery model.</t>
  </si>
  <si>
    <t>GER-1076</t>
  </si>
  <si>
    <t>For a Pumped Storage Brownfield Modification project in Southeast Asia, there is a risk during Feasibility &amp; Concept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</si>
  <si>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Feasibility &amp; Concept gate, local law, interfaces, and the selected delivery model.</t>
  </si>
  <si>
    <t>GER-1077</t>
  </si>
  <si>
    <t>For a Natural Gas / CCGT Owner’s Engineering project in Latin America, there is a risk during FEED / Basic Design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</si>
  <si>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FEED / Basic Design gate, local law, interfaces, and the selected delivery model.</t>
  </si>
  <si>
    <t>GER-1078</t>
  </si>
  <si>
    <t>For a Marine Energy EPCM project in Global / Multi-country, there is a risk during Detailed Engineering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</si>
  <si>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Detailed Engineering gate, local law, interfaces, and the selected delivery model.</t>
  </si>
  <si>
    <t>GER-1079</t>
  </si>
  <si>
    <t>For a Geothermal Commissioning &amp; Start-up project in Middle East, there is a risk during Procurement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</si>
  <si>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Geothermal, the Procurement gate, local law, interfaces, and the selected delivery model.</t>
  </si>
  <si>
    <t>GER-1080</t>
  </si>
  <si>
    <t>For a LNG Decommissioning project in South Asia, there is a risk during Manufacturing that unexpected geology, utilities or contamination, combined with governance delay, may adversely affect project objectives through cost / time / hse consequences.</t>
  </si>
  <si>
    <t>Establish controls for unexpected geology, utilities or contamination; assign actions, verify evidence, and review residual exposure at each gate. Tailor the response to LNG, the Manufacturing gate, local law, interfaces, and the selected delivery model.</t>
  </si>
  <si>
    <t>GER-1081</t>
  </si>
  <si>
    <t>For a Green Hydrogen Operations &amp; Maintenance project in North America, there is a risk during Detailed Engineering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</si>
  <si>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Detailed Engineering gate, local law, interfaces, and the selected delivery model.</t>
  </si>
  <si>
    <t>GER-1082</t>
  </si>
  <si>
    <t>For a Refining &amp; Petrochemicals Grid Interconnection project in Oceania, there is a risk during Procurement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</si>
  <si>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Procurement gate, local law, interfaces, and the selected delivery model.</t>
  </si>
  <si>
    <t>GER-1083</t>
  </si>
  <si>
    <t>For a Solar PV R&amp;D / Technology Development project in Europe, there is a risk during Manufacturing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</si>
  <si>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Manufacturing gate, local law, interfaces, and the selected delivery model.</t>
  </si>
  <si>
    <t>GER-1084</t>
  </si>
  <si>
    <t>For a Battery Energy Storage Brownfield Modification project in Africa, there is a risk during Construction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</si>
  <si>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Battery Energy Storage, the Construction gate, local law, interfaces, and the selected delivery model.</t>
  </si>
  <si>
    <t>GER-1085</t>
  </si>
  <si>
    <t>For a Coal / Thermal Power Owner’s Engineering project in East Asia, there is a risk during Installation that unexpected geology, utilities or contamination, combined with commercial misalignment,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</si>
  <si>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Coal / Thermal Power, the Installation gate, local law, interfaces, and the selected delivery model.</t>
  </si>
  <si>
    <t>GER-1086</t>
  </si>
  <si>
    <t>For a Nuclear Power Decommissioning project in Latin America, there is a risk during Manufacturing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</si>
  <si>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Manufacturing gate, local law, interfaces, and the selected delivery model.</t>
  </si>
  <si>
    <t>GER-1087</t>
  </si>
  <si>
    <t>For a District Energy EPC / Turnkey project in Global / Multi-country, there is a risk during Construction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</si>
  <si>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Construction gate, local law, interfaces, and the selected delivery model.</t>
  </si>
  <si>
    <t>GER-1088</t>
  </si>
  <si>
    <t>For a Pumped Storage Installation project in Middle East, there is a risk during Installation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</si>
  <si>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Installation gate, local law, interfaces, and the selected delivery model.</t>
  </si>
  <si>
    <t>GER-1089</t>
  </si>
  <si>
    <t>For a Natural Gas / CCGT Operations &amp; Maintenance project in South Asia, there is a risk during Pre-commissioning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</si>
  <si>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Natural Gas / CCGT, the Pre-commissioning gate, local law, interfaces, and the selected delivery model.</t>
  </si>
  <si>
    <t>GER-1090</t>
  </si>
  <si>
    <t>For a Marine Energy Grid Interconnection project in Southeast Asia, there is a risk during Commissioning that unexpected geology, utilities or contamination, combined with quality escape, may adversely affect project objectives through cost / time / hse consequences.</t>
  </si>
  <si>
    <t>Establish controls for unexpected geology, utilities or contamination; assign actions, verify evidence, and review residual exposure at each gate. Tailor the response to Marine Energy, the Commissioning gate, local law, interfaces, and the selected delivery model.</t>
  </si>
  <si>
    <t>GER-1091</t>
  </si>
  <si>
    <t>For a Oil &amp; Gas Upstream Owner’s Engineering project in Oceania, there is a risk during Installation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</si>
  <si>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Oil &amp; Gas Upstream, the Installation gate, local law, interfaces, and the selected delivery model.</t>
  </si>
  <si>
    <t>GER-1092</t>
  </si>
  <si>
    <t>For a Offshore Wind EPCM project in Europe, there is a risk during Pre-commissioning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</si>
  <si>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Offshore Wind, the Pre-commissioning gate, local law, interfaces, and the selected delivery model.</t>
  </si>
  <si>
    <t>GER-1093</t>
  </si>
  <si>
    <t>For a Green Hydrogen Commissioning &amp; Start-up project in Africa, there is a risk during Commissioning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</si>
  <si>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Green Hydrogen, the Commissioning gate, local law, interfaces, and the selected delivery model.</t>
  </si>
  <si>
    <t>GER-1094</t>
  </si>
  <si>
    <t>For a Refining &amp; Petrochemicals Decommissioning project in East Asia, there is a risk during Operations / Handover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</si>
  <si>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Refining &amp; Petrochemicals, the Operations / Handover gate, local law, interfaces, and the selected delivery model.</t>
  </si>
  <si>
    <t>GER-1095</t>
  </si>
  <si>
    <t>For a Solar PV EPC / Turnkey project in North America, there is a risk during Feasibility &amp; Concept that unexpected geology, utilities or contamination, combined with access constraint, may adversely affect project objectives through cost / time / hse consequences.</t>
  </si>
  <si>
    <t>Establish controls for unexpected geology, utilities or contamination; assign actions, verify evidence, and review residual exposure at each gate. Tailor the response to Solar PV, the Feasibility &amp; Concept gate, local law, interfaces, and the selected delivery model.</t>
  </si>
  <si>
    <t>GER-1096</t>
  </si>
  <si>
    <t>For a Carbon Capture, Utilization &amp; Storage Grid Interconnection project in Global / Multi-country, there is a risk during Commissioning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</si>
  <si>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Carbon Capture, Utilization &amp; Storage, the Commissioning gate, local law, interfaces, and the selected delivery model.</t>
  </si>
  <si>
    <t>GER-1097</t>
  </si>
  <si>
    <t>For a Hydropower R&amp;D / Technology Development project in Middle East, there is a risk during Operations / Handover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</si>
  <si>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Hydropower, the Operations / Handover gate, local law, interfaces, and the selected delivery model.</t>
  </si>
  <si>
    <t>GER-1098</t>
  </si>
  <si>
    <t>For a Nuclear Power Brownfield Modification project in South Asia, there is a risk during Feasibility &amp; Concept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</si>
  <si>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Nuclear Power, the Feasibility &amp; Concept gate, local law, interfaces, and the selected delivery model.</t>
  </si>
  <si>
    <t>GER-1099</t>
  </si>
  <si>
    <t>For a District Energy Owner’s Engineering project in Southeast Asia, there is a risk during FEED / Basic Design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</si>
  <si>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District Energy, the FEED / Basic Design gate, local law, interfaces, and the selected delivery model.</t>
  </si>
  <si>
    <t>GER-1100</t>
  </si>
  <si>
    <t>For a Pumped Storage EPCM project in Latin America, there is a risk during Detailed Engineering that unexpected geology, utilities or contamination, combined with performance variability, may adversely affect project objectives through cost / time / hse consequences.</t>
  </si>
  <si>
    <t>Establish controls for unexpected geology, utilities or contamination; assign actions, verify evidence, and review residual exposure at each gate. Tailor the response to Pumped Storage, the Detailed Engineering gate, local law, interfaces, and the selected delivery model.</t>
  </si>
  <si>
    <t>GER-1101</t>
  </si>
  <si>
    <t>For a Onshore Wind EPC / Turnkey project in Europe, there is a risk during Feasibility &amp; Concept that extreme weather or natural hazard, combined with insufficient planning, may adversely affect project objectives through time / cost / hse consequences.</t>
  </si>
  <si>
    <t>Weather &amp; Natural Hazards</t>
  </si>
  <si>
    <t>Time / Cost / HSE</t>
  </si>
  <si>
    <t>Establish controls for extreme weather or natural hazard; assign actions, verify evidence, and review residual exposure at each gate. Tailor the response to Onshore Wind, the Feasibility &amp; Concept gate, local law, interfaces, and the selected delivery model.</t>
  </si>
  <si>
    <t>GER-1102</t>
  </si>
  <si>
    <t>For a Biomass / Waste-to-Energy Installation project in Africa, there is a risk during FEED / Basic Design that extreme weather or natural hazard, combined with insufficient planning,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</si>
  <si>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FEED / Basic Design gate, local law, interfaces, and the selected delivery model.</t>
  </si>
  <si>
    <t>GER-1103</t>
  </si>
  <si>
    <t>For a Oil &amp; Gas Upstream Operations &amp; Maintenance project in East Asia, there is a risk during Detailed Engineering that extreme weather or natural hazard, combined with insufficient planning,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</si>
  <si>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Detailed Engineering gate, local law, interfaces, and the selected delivery model.</t>
  </si>
  <si>
    <t>GER-1104</t>
  </si>
  <si>
    <t>For a Offshore Wind Grid Interconnection project in North America, there is a risk during Procurement that extreme weather or natural hazard, combined with insufficient planning,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</si>
  <si>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Procurement gate, local law, interfaces, and the selected delivery model.</t>
  </si>
  <si>
    <t>GER-1105</t>
  </si>
  <si>
    <t>For a Green Hydrogen R&amp;D / Technology Development project in Oceania, there is a risk during Manufacturing that extreme weather or natural hazard, combined with insufficient planning,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</si>
  <si>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Manufacturing gate, local law, interfaces, and the selected delivery model.</t>
  </si>
  <si>
    <t>GER-1106</t>
  </si>
  <si>
    <t>For a Concentrated Solar Power EPCM project in Middle East, there is a risk during Detailed Engineering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</si>
  <si>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Detailed Engineering gate, local law, interfaces, and the selected delivery model.</t>
  </si>
  <si>
    <t>GER-1107</t>
  </si>
  <si>
    <t>For a Transmission &amp; Substations Commissioning &amp; Start-up project in South Asia, there is a risk during Procurement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</si>
  <si>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Procurement gate, local law, interfaces, and the selected delivery model.</t>
  </si>
  <si>
    <t>GER-1108</t>
  </si>
  <si>
    <t>For a Carbon Capture, Utilization &amp; Storage Decommissioning project in Southeast Asia, there is a risk during Manufacturing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</si>
  <si>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Manufacturing gate, local law, interfaces, and the selected delivery model.</t>
  </si>
  <si>
    <t>GER-1109</t>
  </si>
  <si>
    <t>For a Hydropower EPC / Turnkey project in Latin America, there is a risk during Construction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</si>
  <si>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Construction gate, local law, interfaces, and the selected delivery model.</t>
  </si>
  <si>
    <t>GER-1110</t>
  </si>
  <si>
    <t>For a Nuclear Power Installation project in Global / Multi-country, there is a risk during Installation that extreme weather or natural hazard, combined with incomplete information,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</si>
  <si>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Installation gate, local law, interfaces, and the selected delivery model.</t>
  </si>
  <si>
    <t>GER-1111</t>
  </si>
  <si>
    <t>For a Geothermal R&amp;D / Technology Development project in Africa, there is a risk during Manufacturing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</si>
  <si>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Manufacturing gate, local law, interfaces, and the selected delivery model.</t>
  </si>
  <si>
    <t>GER-1112</t>
  </si>
  <si>
    <t>For a LNG Brownfield Modification project in East Asia, there is a risk during Construction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</si>
  <si>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LNG, the Construction gate, local law, interfaces, and the selected delivery model.</t>
  </si>
  <si>
    <t>GER-1113</t>
  </si>
  <si>
    <t>For a Onshore Wind Owner’s Engineering project in North America, there is a risk during Installation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</si>
  <si>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Onshore Wind, the Installation gate, local law, interfaces, and the selected delivery model.</t>
  </si>
  <si>
    <t>GER-1114</t>
  </si>
  <si>
    <t>For a Biomass / Waste-to-Energy EPCM project in Oceania, there is a risk during Pre-commissioning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</si>
  <si>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Pre-commissioning gate, local law, interfaces, and the selected delivery model.</t>
  </si>
  <si>
    <t>GER-1115</t>
  </si>
  <si>
    <t>For a Oil &amp; Gas Upstream Commissioning &amp; Start-up project in Europe, there is a risk during Commissioning that extreme weather or natural hazard, combined with late decision-making,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</si>
  <si>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Commissioning gate, local law, interfaces, and the selected delivery model.</t>
  </si>
  <si>
    <t>GER-1116</t>
  </si>
  <si>
    <t>For a Battery Energy Storage Installation project in South Asia, there is a risk during Installation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</si>
  <si>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Installation gate, local law, interfaces, and the selected delivery model.</t>
  </si>
  <si>
    <t>GER-1117</t>
  </si>
  <si>
    <t>For a Coal / Thermal Power Operations &amp; Maintenance project in Southeast Asia, there is a risk during Pre-commissioning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</si>
  <si>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Pre-commissioning gate, local law, interfaces, and the selected delivery model.</t>
  </si>
  <si>
    <t>GER-1118</t>
  </si>
  <si>
    <t>For a Concentrated Solar Power Grid Interconnection project in Latin America, there is a risk during Commissioning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</si>
  <si>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Commissioning gate, local law, interfaces, and the selected delivery model.</t>
  </si>
  <si>
    <t>GER-1119</t>
  </si>
  <si>
    <t>For a Transmission &amp; Substations R&amp;D / Technology Development project in Global / Multi-country, there is a risk during Operations / Handover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</si>
  <si>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Operations / Handover gate, local law, interfaces, and the selected delivery model.</t>
  </si>
  <si>
    <t>GER-1120</t>
  </si>
  <si>
    <t>For a Carbon Capture, Utilization &amp; Storage Brownfield Modification project in Middle East, there is a risk during Feasibility &amp; Concept that extreme weather or natural hazard, combined with weak controls,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</si>
  <si>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Feasibility &amp; Concept gate, local law, interfaces, and the selected delivery model.</t>
  </si>
  <si>
    <t>GER-1121</t>
  </si>
  <si>
    <t>For a Natural Gas / CCGT Commissioning &amp; Start-up project in East Asia, there is a risk during Commissioning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</si>
  <si>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Commissioning gate, local law, interfaces, and the selected delivery model.</t>
  </si>
  <si>
    <t>GER-1122</t>
  </si>
  <si>
    <t>For a Marine Energy Decommissioning project in North America, there is a risk during Operations / Handover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</si>
  <si>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Operations / Handover gate, local law, interfaces, and the selected delivery model.</t>
  </si>
  <si>
    <t>GER-1123</t>
  </si>
  <si>
    <t>For a Geothermal EPC / Turnkey project in Oceania, there is a risk during Feasibility &amp; Concept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</si>
  <si>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Feasibility &amp; Concept gate, local law, interfaces, and the selected delivery model.</t>
  </si>
  <si>
    <t>GER-1124</t>
  </si>
  <si>
    <t>For a LNG Installation project in Europe, there is a risk during FEED / Basic Design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</si>
  <si>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LNG, the FEED / Basic Design gate, local law, interfaces, and the selected delivery model.</t>
  </si>
  <si>
    <t>GER-1125</t>
  </si>
  <si>
    <t>For a Onshore Wind Operations &amp; Maintenance project in Africa, there is a risk during Detailed Engineering that extreme weather or natural hazard, combined with resource constraints, may adversely affect project objectives through time / cost / hse consequences.</t>
  </si>
  <si>
    <t>Establish controls for extreme weather or natural hazard; assign actions, verify evidence, and review residual exposure at each gate. Tailor the response to Onshore Wind, the Detailed Engineering gate, local law, interfaces, and the selected delivery model.</t>
  </si>
  <si>
    <t>GER-1126</t>
  </si>
  <si>
    <t>For a Refining &amp; Petrochemicals Brownfield Modification project in Southeast Asia, there is a risk during Feasibility &amp; Concept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</si>
  <si>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Feasibility &amp; Concept gate, local law, interfaces, and the selected delivery model.</t>
  </si>
  <si>
    <t>GER-1127</t>
  </si>
  <si>
    <t>For a Solar PV Owner’s Engineering project in Latin America, there is a risk during FEED / Basic Design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</si>
  <si>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Solar PV, the FEED / Basic Design gate, local law, interfaces, and the selected delivery model.</t>
  </si>
  <si>
    <t>GER-1128</t>
  </si>
  <si>
    <t>For a Battery Energy Storage EPCM project in Global / Multi-country, there is a risk during Detailed Engineering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</si>
  <si>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Detailed Engineering gate, local law, interfaces, and the selected delivery model.</t>
  </si>
  <si>
    <t>GER-1129</t>
  </si>
  <si>
    <t>For a Coal / Thermal Power Commissioning &amp; Start-up project in Middle East, there is a risk during Procurement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</si>
  <si>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Procurement gate, local law, interfaces, and the selected delivery model.</t>
  </si>
  <si>
    <t>GER-1130</t>
  </si>
  <si>
    <t>For a Concentrated Solar Power Decommissioning project in South Asia, there is a risk during Manufacturing that extreme weather or natural hazard, combined with supplier dependency,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</si>
  <si>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Manufacturing gate, local law, interfaces, and the selected delivery model.</t>
  </si>
  <si>
    <t>GER-1131</t>
  </si>
  <si>
    <t>For a District Energy Operations &amp; Maintenance project in North America, there is a risk during Detailed Engineering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</si>
  <si>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Detailed Engineering gate, local law, interfaces, and the selected delivery model.</t>
  </si>
  <si>
    <t>GER-1132</t>
  </si>
  <si>
    <t>For a Pumped Storage Grid Interconnection project in Oceania, there is a risk during Procurement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</si>
  <si>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Procurement gate, local law, interfaces, and the selected delivery model.</t>
  </si>
  <si>
    <t>GER-1133</t>
  </si>
  <si>
    <t>For a Natural Gas / CCGT R&amp;D / Technology Development project in Europe, there is a risk during Manufacturing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</si>
  <si>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Manufacturing gate, local law, interfaces, and the selected delivery model.</t>
  </si>
  <si>
    <t>GER-1134</t>
  </si>
  <si>
    <t>For a Marine Energy Brownfield Modification project in Africa, there is a risk during Construction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</si>
  <si>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Construction gate, local law, interfaces, and the selected delivery model.</t>
  </si>
  <si>
    <t>GER-1135</t>
  </si>
  <si>
    <t>For a Geothermal Owner’s Engineering project in East Asia, there is a risk during Installation that extreme weather or natural hazard, combined with interface complexity,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</si>
  <si>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Installation gate, local law, interfaces, and the selected delivery model.</t>
  </si>
  <si>
    <t>GER-1136</t>
  </si>
  <si>
    <t>For a Offshore Wind Decommissioning project in Latin America, there is a risk during Manufacturing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</si>
  <si>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Manufacturing gate, local law, interfaces, and the selected delivery model.</t>
  </si>
  <si>
    <t>GER-1137</t>
  </si>
  <si>
    <t>For a Green Hydrogen EPC / Turnkey project in Global / Multi-country, there is a risk during Construction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</si>
  <si>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Construction gate, local law, interfaces, and the selected delivery model.</t>
  </si>
  <si>
    <t>GER-1138</t>
  </si>
  <si>
    <t>For a Refining &amp; Petrochemicals Installation project in Middle East, there is a risk during Installation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</si>
  <si>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Installation gate, local law, interfaces, and the selected delivery model.</t>
  </si>
  <si>
    <t>GER-1139</t>
  </si>
  <si>
    <t>For a Solar PV Operations &amp; Maintenance project in South Asia, there is a risk during Pre-commissioning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</si>
  <si>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Solar PV, the Pre-commissioning gate, local law, interfaces, and the selected delivery model.</t>
  </si>
  <si>
    <t>GER-1140</t>
  </si>
  <si>
    <t>For a Battery Energy Storage Grid Interconnection project in Southeast Asia, there is a risk during Commissioning that extreme weather or natural hazard, combined with requirements volatility,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</si>
  <si>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Commissioning gate, local law, interfaces, and the selected delivery model.</t>
  </si>
  <si>
    <t>GER-1141</t>
  </si>
  <si>
    <t>For a Hydropower Owner’s Engineering project in Oceania, there is a risk during Installation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</si>
  <si>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Installation gate, local law, interfaces, and the selected delivery model.</t>
  </si>
  <si>
    <t>GER-1142</t>
  </si>
  <si>
    <t>For a Nuclear Power EPCM project in Europe, there is a risk during Pre-commissioning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</si>
  <si>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Pre-commissioning gate, local law, interfaces, and the selected delivery model.</t>
  </si>
  <si>
    <t>GER-1143</t>
  </si>
  <si>
    <t>For a District Energy Commissioning &amp; Start-up project in Africa, there is a risk during Commissioning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</si>
  <si>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Commissioning gate, local law, interfaces, and the selected delivery model.</t>
  </si>
  <si>
    <t>GER-1144</t>
  </si>
  <si>
    <t>For a Pumped Storage Decommissioning project in East Asia, there is a risk during Operations / Handover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</si>
  <si>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Operations / Handover gate, local law, interfaces, and the selected delivery model.</t>
  </si>
  <si>
    <t>GER-1145</t>
  </si>
  <si>
    <t>For a Natural Gas / CCGT EPC / Turnkey project in North America, there is a risk during Feasibility &amp; Concept that extreme weather or natural hazard, combined with regulatory uncertainty,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</si>
  <si>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Feasibility &amp; Concept gate, local law, interfaces, and the selected delivery model.</t>
  </si>
  <si>
    <t>GER-1146</t>
  </si>
  <si>
    <t>For a Biomass / Waste-to-Energy Grid Interconnection project in Global / Multi-country, there is a risk during Commissioning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</si>
  <si>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Commissioning gate, local law, interfaces, and the selected delivery model.</t>
  </si>
  <si>
    <t>GER-1147</t>
  </si>
  <si>
    <t>For a Oil &amp; Gas Upstream R&amp;D / Technology Development project in Middle East, there is a risk during Operations / Handover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</si>
  <si>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Operations / Handover gate, local law, interfaces, and the selected delivery model.</t>
  </si>
  <si>
    <t>GER-1148</t>
  </si>
  <si>
    <t>For a Offshore Wind Brownfield Modification project in South Asia, there is a risk during Feasibility &amp; Concept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</si>
  <si>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Feasibility &amp; Concept gate, local law, interfaces, and the selected delivery model.</t>
  </si>
  <si>
    <t>GER-1149</t>
  </si>
  <si>
    <t>For a Green Hydrogen Owner’s Engineering project in Southeast Asia, there is a risk during FEED / Basic Design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</si>
  <si>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FEED / Basic Design gate, local law, interfaces, and the selected delivery model.</t>
  </si>
  <si>
    <t>GER-1150</t>
  </si>
  <si>
    <t>For a Refining &amp; Petrochemicals EPCM project in Latin America, there is a risk during Detailed Engineering that extreme weather or natural hazard, combined with inadequate verification,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</si>
  <si>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Detailed Engineering gate, local law, interfaces, and the selected delivery model.</t>
  </si>
  <si>
    <t>GER-1151</t>
  </si>
  <si>
    <t>For a Transmission &amp; Substations EPC / Turnkey project in Europe, there is a risk during Feasibility &amp; Concept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</si>
  <si>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Feasibility &amp; Concept gate, local law, interfaces, and the selected delivery model.</t>
  </si>
  <si>
    <t>GER-1152</t>
  </si>
  <si>
    <t>For a Carbon Capture, Utilization &amp; Storage Installation project in Africa, there is a risk during FEED / Basic Design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</si>
  <si>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FEED / Basic Design gate, local law, interfaces, and the selected delivery model.</t>
  </si>
  <si>
    <t>GER-1153</t>
  </si>
  <si>
    <t>For a Hydropower Operations &amp; Maintenance project in East Asia, there is a risk during Detailed Engineering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</si>
  <si>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Detailed Engineering gate, local law, interfaces, and the selected delivery model.</t>
  </si>
  <si>
    <t>GER-1154</t>
  </si>
  <si>
    <t>For a Nuclear Power Grid Interconnection project in North America, there is a risk during Procurement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</si>
  <si>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Procurement gate, local law, interfaces, and the selected delivery model.</t>
  </si>
  <si>
    <t>GER-1155</t>
  </si>
  <si>
    <t>For a District Energy R&amp;D / Technology Development project in Oceania, there is a risk during Manufacturing that extreme weather or natural hazard, combined with poor communication,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</si>
  <si>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Manufacturing gate, local law, interfaces, and the selected delivery model.</t>
  </si>
  <si>
    <t>GER-1156</t>
  </si>
  <si>
    <t>For a LNG EPCM project in Middle East, there is a risk during Detailed Engineering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</si>
  <si>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LNG, the Detailed Engineering gate, local law, interfaces, and the selected delivery model.</t>
  </si>
  <si>
    <t>GER-1157</t>
  </si>
  <si>
    <t>For a Onshore Wind Commissioning &amp; Start-up project in South Asia, there is a risk during Procurement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</si>
  <si>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Onshore Wind, the Procurement gate, local law, interfaces, and the selected delivery model.</t>
  </si>
  <si>
    <t>GER-1158</t>
  </si>
  <si>
    <t>For a Biomass / Waste-to-Energy Decommissioning project in Southeast Asia, there is a risk during Manufacturing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</si>
  <si>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Manufacturing gate, local law, interfaces, and the selected delivery model.</t>
  </si>
  <si>
    <t>GER-1159</t>
  </si>
  <si>
    <t>For a Oil &amp; Gas Upstream EPC / Turnkey project in Latin America, there is a risk during Construction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</si>
  <si>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Construction gate, local law, interfaces, and the selected delivery model.</t>
  </si>
  <si>
    <t>GER-1160</t>
  </si>
  <si>
    <t>For a Offshore Wind Installation project in Global / Multi-country, there is a risk during Installation that extreme weather or natural hazard, combined with incorrect assumptions,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</si>
  <si>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Installation gate, local law, interfaces, and the selected delivery model.</t>
  </si>
  <si>
    <t>GER-1161</t>
  </si>
  <si>
    <t>For a Coal / Thermal Power R&amp;D / Technology Development project in Africa, there is a risk during Manufacturing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</si>
  <si>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Manufacturing gate, local law, interfaces, and the selected delivery model.</t>
  </si>
  <si>
    <t>GER-1162</t>
  </si>
  <si>
    <t>For a Concentrated Solar Power Brownfield Modification project in East Asia, there is a risk during Construction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</si>
  <si>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Construction gate, local law, interfaces, and the selected delivery model.</t>
  </si>
  <si>
    <t>GER-1163</t>
  </si>
  <si>
    <t>For a Transmission &amp; Substations Owner’s Engineering project in North America, there is a risk during Installation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</si>
  <si>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Installation gate, local law, interfaces, and the selected delivery model.</t>
  </si>
  <si>
    <t>GER-1164</t>
  </si>
  <si>
    <t>For a Carbon Capture, Utilization &amp; Storage EPCM project in Oceania, there is a risk during Pre-commissioning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</si>
  <si>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Pre-commissioning gate, local law, interfaces, and the selected delivery model.</t>
  </si>
  <si>
    <t>GER-1165</t>
  </si>
  <si>
    <t>For a Hydropower Commissioning &amp; Start-up project in Europe, there is a risk during Commissioning that extreme weather or natural hazard, combined with low technical maturity,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</si>
  <si>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Commissioning gate, local law, interfaces, and the selected delivery model.</t>
  </si>
  <si>
    <t>GER-1166</t>
  </si>
  <si>
    <t>For a Marine Energy Installation project in South Asia, there is a risk during Installation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</si>
  <si>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Installation gate, local law, interfaces, and the selected delivery model.</t>
  </si>
  <si>
    <t>GER-1167</t>
  </si>
  <si>
    <t>For a Geothermal Operations &amp; Maintenance project in Southeast Asia, there is a risk during Pre-commissioning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</si>
  <si>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Pre-commissioning gate, local law, interfaces, and the selected delivery model.</t>
  </si>
  <si>
    <t>GER-1168</t>
  </si>
  <si>
    <t>For a LNG Grid Interconnection project in Latin America, there is a risk during Commissioning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</si>
  <si>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LNG, the Commissioning gate, local law, interfaces, and the selected delivery model.</t>
  </si>
  <si>
    <t>GER-1169</t>
  </si>
  <si>
    <t>For a Onshore Wind R&amp;D / Technology Development project in Global / Multi-country, there is a risk during Operations / Handover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</si>
  <si>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Onshore Wind, the Operations / Handover gate, local law, interfaces, and the selected delivery model.</t>
  </si>
  <si>
    <t>GER-1170</t>
  </si>
  <si>
    <t>For a Biomass / Waste-to-Energy Brownfield Modification project in Middle East, there is a risk during Feasibility &amp; Concept that extreme weather or natural hazard, combined with documentation gaps, may adversely affect project objectives through time / cost / hse consequences.</t>
  </si>
  <si>
    <t>Establish controls for extreme weather or natural hazard; assign actions, verify evidence, and review residual exposure at each gate. Tailor the response to Biomass / Waste-to-Energy, the Feasibility &amp; Concept gate, local law, interfaces, and the selected delivery model.</t>
  </si>
  <si>
    <t>GER-1171</t>
  </si>
  <si>
    <t>For a Solar PV Commissioning &amp; Start-up project in East Asia, there is a risk during Commissioning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</si>
  <si>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Solar PV, the Commissioning gate, local law, interfaces, and the selected delivery model.</t>
  </si>
  <si>
    <t>GER-1172</t>
  </si>
  <si>
    <t>For a Battery Energy Storage Decommissioning project in North America, there is a risk during Operations / Handover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</si>
  <si>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Operations / Handover gate, local law, interfaces, and the selected delivery model.</t>
  </si>
  <si>
    <t>GER-1173</t>
  </si>
  <si>
    <t>For a Coal / Thermal Power EPC / Turnkey project in Oceania, there is a risk during Feasibility &amp; Concept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</si>
  <si>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Feasibility &amp; Concept gate, local law, interfaces, and the selected delivery model.</t>
  </si>
  <si>
    <t>GER-1174</t>
  </si>
  <si>
    <t>For a Concentrated Solar Power Installation project in Europe, there is a risk during FEED / Basic Design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</si>
  <si>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Concentrated Solar Power, the FEED / Basic Design gate, local law, interfaces, and the selected delivery model.</t>
  </si>
  <si>
    <t>GER-1175</t>
  </si>
  <si>
    <t>For a Transmission &amp; Substations Operations &amp; Maintenance project in Africa, there is a risk during Detailed Engineering that extreme weather or natural hazard, combined with external disruption, may adversely affect project objectives through time / cost / hse consequences.</t>
  </si>
  <si>
    <t>Establish controls for extreme weather or natural hazard; assign actions, verify evidence, and review residual exposure at each gate. Tailor the response to Transmission &amp; Substations, the Detailed Engineering gate, local law, interfaces, and the selected delivery model.</t>
  </si>
  <si>
    <t>GER-1176</t>
  </si>
  <si>
    <t>For a Pumped Storage Brownfield Modification project in Southeast Asia, there is a risk during Feasibility &amp; Concept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</si>
  <si>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Feasibility &amp; Concept gate, local law, interfaces, and the selected delivery model.</t>
  </si>
  <si>
    <t>GER-1177</t>
  </si>
  <si>
    <t>For a Natural Gas / CCGT Owner’s Engineering project in Latin America, there is a risk during FEED / Basic Design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</si>
  <si>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FEED / Basic Design gate, local law, interfaces, and the selected delivery model.</t>
  </si>
  <si>
    <t>GER-1178</t>
  </si>
  <si>
    <t>For a Marine Energy EPCM project in Global / Multi-country, there is a risk during Detailed Engineering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</si>
  <si>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Detailed Engineering gate, local law, interfaces, and the selected delivery model.</t>
  </si>
  <si>
    <t>GER-1179</t>
  </si>
  <si>
    <t>For a Geothermal Commissioning &amp; Start-up project in Middle East, there is a risk during Procurement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</si>
  <si>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Geothermal, the Procurement gate, local law, interfaces, and the selected delivery model.</t>
  </si>
  <si>
    <t>GER-1180</t>
  </si>
  <si>
    <t>For a LNG Decommissioning project in South Asia, there is a risk during Manufacturing that extreme weather or natural hazard, combined with governance delay, may adversely affect project objectives through time / cost / hse consequences.</t>
  </si>
  <si>
    <t>Establish controls for extreme weather or natural hazard; assign actions, verify evidence, and review residual exposure at each gate. Tailor the response to LNG, the Manufacturing gate, local law, interfaces, and the selected delivery model.</t>
  </si>
  <si>
    <t>GER-1181</t>
  </si>
  <si>
    <t>For a Green Hydrogen Operations &amp; Maintenance project in North America, there is a risk during Detailed Engineering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</si>
  <si>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Detailed Engineering gate, local law, interfaces, and the selected delivery model.</t>
  </si>
  <si>
    <t>GER-1182</t>
  </si>
  <si>
    <t>For a Refining &amp; Petrochemicals Grid Interconnection project in Oceania, there is a risk during Procurement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</si>
  <si>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Procurement gate, local law, interfaces, and the selected delivery model.</t>
  </si>
  <si>
    <t>GER-1183</t>
  </si>
  <si>
    <t>For a Solar PV R&amp;D / Technology Development project in Europe, there is a risk during Manufacturing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</si>
  <si>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Solar PV, the Manufacturing gate, local law, interfaces, and the selected delivery model.</t>
  </si>
  <si>
    <t>GER-1184</t>
  </si>
  <si>
    <t>For a Battery Energy Storage Brownfield Modification project in Africa, there is a risk during Construction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</si>
  <si>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Battery Energy Storage, the Construction gate, local law, interfaces, and the selected delivery model.</t>
  </si>
  <si>
    <t>GER-1185</t>
  </si>
  <si>
    <t>For a Coal / Thermal Power Owner’s Engineering project in East Asia, there is a risk during Installation that extreme weather or natural hazard, combined with commercial misalignment, may adversely affect project objectives through time / cost / hse consequences.</t>
  </si>
  <si>
    <t>Establish controls for extreme weather or natural hazard; assign actions, verify evidence, and review residual exposure at each gate. Tailor the response to Coal / Thermal Power, the Installation gate, local law, interfaces, and the selected delivery model.</t>
  </si>
  <si>
    <t>GER-1186</t>
  </si>
  <si>
    <t>For a Nuclear Power Decommissioning project in Latin America, there is a risk during Manufacturing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</si>
  <si>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Manufacturing gate, local law, interfaces, and the selected delivery model.</t>
  </si>
  <si>
    <t>GER-1187</t>
  </si>
  <si>
    <t>For a District Energy EPC / Turnkey project in Global / Multi-country, there is a risk during Construction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</si>
  <si>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Construction gate, local law, interfaces, and the selected delivery model.</t>
  </si>
  <si>
    <t>GER-1188</t>
  </si>
  <si>
    <t>For a Pumped Storage Installation project in Middle East, there is a risk during Installation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</si>
  <si>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Installation gate, local law, interfaces, and the selected delivery model.</t>
  </si>
  <si>
    <t>GER-1189</t>
  </si>
  <si>
    <t>For a Natural Gas / CCGT Operations &amp; Maintenance project in South Asia, there is a risk during Pre-commissioning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</si>
  <si>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Natural Gas / CCGT, the Pre-commissioning gate, local law, interfaces, and the selected delivery model.</t>
  </si>
  <si>
    <t>GER-1190</t>
  </si>
  <si>
    <t>For a Marine Energy Grid Interconnection project in Southeast Asia, there is a risk during Commissioning that extreme weather or natural hazard, combined with quality escape, may adversely affect project objectives through time / cost / hse consequences.</t>
  </si>
  <si>
    <t>Establish controls for extreme weather or natural hazard; assign actions, verify evidence, and review residual exposure at each gate. Tailor the response to Marine Energy, the Commissioning gate, local law, interfaces, and the selected delivery model.</t>
  </si>
  <si>
    <t>GER-1191</t>
  </si>
  <si>
    <t>For a Oil &amp; Gas Upstream Owner’s Engineering project in Oceania, there is a risk during Installation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</si>
  <si>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Oil &amp; Gas Upstream, the Installation gate, local law, interfaces, and the selected delivery model.</t>
  </si>
  <si>
    <t>GER-1192</t>
  </si>
  <si>
    <t>For a Offshore Wind EPCM project in Europe, there is a risk during Pre-commissioning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</si>
  <si>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Offshore Wind, the Pre-commissioning gate, local law, interfaces, and the selected delivery model.</t>
  </si>
  <si>
    <t>GER-1193</t>
  </si>
  <si>
    <t>For a Green Hydrogen Commissioning &amp; Start-up project in Africa, there is a risk during Commissioning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</si>
  <si>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Green Hydrogen, the Commissioning gate, local law, interfaces, and the selected delivery model.</t>
  </si>
  <si>
    <t>GER-1194</t>
  </si>
  <si>
    <t>For a Refining &amp; Petrochemicals Decommissioning project in East Asia, there is a risk during Operations / Handover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</si>
  <si>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Refining &amp; Petrochemicals, the Operations / Handover gate, local law, interfaces, and the selected delivery model.</t>
  </si>
  <si>
    <t>GER-1195</t>
  </si>
  <si>
    <t>For a Solar PV EPC / Turnkey project in North America, there is a risk during Feasibility &amp; Concept that extreme weather or natural hazard, combined with access constraint, may adversely affect project objectives through time / cost / hse consequences.</t>
  </si>
  <si>
    <t>Establish controls for extreme weather or natural hazard; assign actions, verify evidence, and review residual exposure at each gate. Tailor the response to Solar PV, the Feasibility &amp; Concept gate, local law, interfaces, and the selected delivery model.</t>
  </si>
  <si>
    <t>GER-1196</t>
  </si>
  <si>
    <t>For a Carbon Capture, Utilization &amp; Storage Grid Interconnection project in Global / Multi-country, there is a risk during Commissioning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</si>
  <si>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Carbon Capture, Utilization &amp; Storage, the Commissioning gate, local law, interfaces, and the selected delivery model.</t>
  </si>
  <si>
    <t>GER-1197</t>
  </si>
  <si>
    <t>For a Hydropower R&amp;D / Technology Development project in Middle East, there is a risk during Operations / Handover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</si>
  <si>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Hydropower, the Operations / Handover gate, local law, interfaces, and the selected delivery model.</t>
  </si>
  <si>
    <t>GER-1198</t>
  </si>
  <si>
    <t>For a Nuclear Power Brownfield Modification project in South Asia, there is a risk during Feasibility &amp; Concept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</si>
  <si>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Nuclear Power, the Feasibility &amp; Concept gate, local law, interfaces, and the selected delivery model.</t>
  </si>
  <si>
    <t>GER-1199</t>
  </si>
  <si>
    <t>For a District Energy Owner’s Engineering project in Southeast Asia, there is a risk during FEED / Basic Design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</si>
  <si>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District Energy, the FEED / Basic Design gate, local law, interfaces, and the selected delivery model.</t>
  </si>
  <si>
    <t>GER-1200</t>
  </si>
  <si>
    <t>For a Pumped Storage EPCM project in Latin America, there is a risk during Detailed Engineering that extreme weather or natural hazard, combined with performance variability, may adversely affect project objectives through time / cost / hse consequences.</t>
  </si>
  <si>
    <t>Establish controls for extreme weather or natural hazard; assign actions, verify evidence, and review residual exposure at each gate. Tailor the response to Pumped Storage, the Detailed Engineering gate, local law, interfaces, and the selected delivery model.</t>
  </si>
  <si>
    <t>GER-1201</t>
  </si>
  <si>
    <t>For a Onshore Wind EPC / Turnkey project in Europe, there is a risk during Feasibility &amp; Concept that war, pandemic, disaster or government shutdown, combined with insufficient planning, may adversely affect project objectives through time / cost consequences.</t>
  </si>
  <si>
    <t>Force Majeure / Exceptional Events</t>
  </si>
  <si>
    <t>L</t>
  </si>
  <si>
    <t>Establish controls for war, pandemic, disaster or government shutdown; assign actions, verify evidence, and review residual exposure at each gate. Tailor the response to Onshore Wind, the Feasibility &amp; Concept gate, local law, interfaces, and the selected delivery model.</t>
  </si>
  <si>
    <t>GER-1202</t>
  </si>
  <si>
    <t>For a Biomass / Waste-to-Energy Installation project in Africa, there is a risk during FEED / Basic Design that war, pandemic, disaster or government shutdown, combined with insufficient planning,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</si>
  <si>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FEED / Basic Design gate, local law, interfaces, and the selected delivery model.</t>
  </si>
  <si>
    <t>GER-1203</t>
  </si>
  <si>
    <t>For a Oil &amp; Gas Upstream Operations &amp; Maintenance project in East Asia, there is a risk during Detailed Engineering that war, pandemic, disaster or government shutdown, combined with insufficient planning,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</si>
  <si>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Detailed Engineering gate, local law, interfaces, and the selected delivery model.</t>
  </si>
  <si>
    <t>GER-1204</t>
  </si>
  <si>
    <t>For a Offshore Wind Grid Interconnection project in North America, there is a risk during Procurement that war, pandemic, disaster or government shutdown, combined with insufficient planning,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</si>
  <si>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Procurement gate, local law, interfaces, and the selected delivery model.</t>
  </si>
  <si>
    <t>GER-1205</t>
  </si>
  <si>
    <t>For a Green Hydrogen R&amp;D / Technology Development project in Oceania, there is a risk during Manufacturing that war, pandemic, disaster or government shutdown, combined with insufficient planning,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</si>
  <si>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Manufacturing gate, local law, interfaces, and the selected delivery model.</t>
  </si>
  <si>
    <t>GER-1206</t>
  </si>
  <si>
    <t>For a Concentrated Solar Power EPCM project in Middle East, there is a risk during Detailed Engineering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</si>
  <si>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Detailed Engineering gate, local law, interfaces, and the selected delivery model.</t>
  </si>
  <si>
    <t>GER-1207</t>
  </si>
  <si>
    <t>For a Transmission &amp; Substations Commissioning &amp; Start-up project in South Asia, there is a risk during Procurement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</si>
  <si>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Procurement gate, local law, interfaces, and the selected delivery model.</t>
  </si>
  <si>
    <t>GER-1208</t>
  </si>
  <si>
    <t>For a Carbon Capture, Utilization &amp; Storage Decommissioning project in Southeast Asia, there is a risk during Manufacturing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</si>
  <si>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Manufacturing gate, local law, interfaces, and the selected delivery model.</t>
  </si>
  <si>
    <t>GER-1209</t>
  </si>
  <si>
    <t>For a Hydropower EPC / Turnkey project in Latin America, there is a risk during Construction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</si>
  <si>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Construction gate, local law, interfaces, and the selected delivery model.</t>
  </si>
  <si>
    <t>GER-1210</t>
  </si>
  <si>
    <t>For a Nuclear Power Installation project in Global / Multi-country, there is a risk during Installation that war, pandemic, disaster or government shutdown, combined with incomplete information,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</si>
  <si>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Installation gate, local law, interfaces, and the selected delivery model.</t>
  </si>
  <si>
    <t>GER-1211</t>
  </si>
  <si>
    <t>For a Geothermal R&amp;D / Technology Development project in Africa, there is a risk during Manufacturing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</si>
  <si>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Manufacturing gate, local law, interfaces, and the selected delivery model.</t>
  </si>
  <si>
    <t>GER-1212</t>
  </si>
  <si>
    <t>For a LNG Brownfield Modification project in East Asia, there is a risk during Construction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</si>
  <si>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Construction gate, local law, interfaces, and the selected delivery model.</t>
  </si>
  <si>
    <t>GER-1213</t>
  </si>
  <si>
    <t>For a Onshore Wind Owner’s Engineering project in North America, there is a risk during Installation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</si>
  <si>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Onshore Wind, the Installation gate, local law, interfaces, and the selected delivery model.</t>
  </si>
  <si>
    <t>GER-1214</t>
  </si>
  <si>
    <t>For a Biomass / Waste-to-Energy EPCM project in Oceania, there is a risk during Pre-commissioning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</si>
  <si>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Pre-commissioning gate, local law, interfaces, and the selected delivery model.</t>
  </si>
  <si>
    <t>GER-1215</t>
  </si>
  <si>
    <t>For a Oil &amp; Gas Upstream Commissioning &amp; Start-up project in Europe, there is a risk during Commissioning that war, pandemic, disaster or government shutdown, combined with late decision-making,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</si>
  <si>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Commissioning gate, local law, interfaces, and the selected delivery model.</t>
  </si>
  <si>
    <t>GER-1216</t>
  </si>
  <si>
    <t>For a Battery Energy Storage Installation project in South Asia, there is a risk during Installation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</si>
  <si>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Installation gate, local law, interfaces, and the selected delivery model.</t>
  </si>
  <si>
    <t>GER-1217</t>
  </si>
  <si>
    <t>For a Coal / Thermal Power Operations &amp; Maintenance project in Southeast Asia, there is a risk during Pre-commissioning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</si>
  <si>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Pre-commissioning gate, local law, interfaces, and the selected delivery model.</t>
  </si>
  <si>
    <t>GER-1218</t>
  </si>
  <si>
    <t>For a Concentrated Solar Power Grid Interconnection project in Latin America, there is a risk during Commissioning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</si>
  <si>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Commissioning gate, local law, interfaces, and the selected delivery model.</t>
  </si>
  <si>
    <t>GER-1219</t>
  </si>
  <si>
    <t>For a Transmission &amp; Substations R&amp;D / Technology Development project in Global / Multi-country, there is a risk during Operations / Handover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</si>
  <si>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Operations / Handover gate, local law, interfaces, and the selected delivery model.</t>
  </si>
  <si>
    <t>GER-1220</t>
  </si>
  <si>
    <t>For a Carbon Capture, Utilization &amp; Storage Brownfield Modification project in Middle East, there is a risk during Feasibility &amp; Concept that war, pandemic, disaster or government shutdown, combined with weak controls,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</si>
  <si>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Feasibility &amp; Concept gate, local law, interfaces, and the selected delivery model.</t>
  </si>
  <si>
    <t>GER-1221</t>
  </si>
  <si>
    <t>For a Natural Gas / CCGT Commissioning &amp; Start-up project in East Asia, there is a risk during Commissioning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</si>
  <si>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Commissioning gate, local law, interfaces, and the selected delivery model.</t>
  </si>
  <si>
    <t>GER-1222</t>
  </si>
  <si>
    <t>For a Marine Energy Decommissioning project in North America, there is a risk during Operations / Handover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</si>
  <si>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Operations / Handover gate, local law, interfaces, and the selected delivery model.</t>
  </si>
  <si>
    <t>GER-1223</t>
  </si>
  <si>
    <t>For a Geothermal EPC / Turnkey project in Oceania, there is a risk during Feasibility &amp; Concept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</si>
  <si>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Feasibility &amp; Concept gate, local law, interfaces, and the selected delivery model.</t>
  </si>
  <si>
    <t>GER-1224</t>
  </si>
  <si>
    <t>For a LNG Installation project in Europe, there is a risk during FEED / Basic Design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</si>
  <si>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FEED / Basic Design gate, local law, interfaces, and the selected delivery model.</t>
  </si>
  <si>
    <t>GER-1225</t>
  </si>
  <si>
    <t>For a Onshore Wind Operations &amp; Maintenance project in Africa, there is a risk during Detailed Engineering that war, pandemic, disaster or government shutdown, combined with resource constraints, may adversely affect project objectives through time / cost consequences.</t>
  </si>
  <si>
    <t>Establish controls for war, pandemic, disaster or government shutdown; assign actions, verify evidence, and review residual exposure at each gate. Tailor the response to Onshore Wind, the Detailed Engineering gate, local law, interfaces, and the selected delivery model.</t>
  </si>
  <si>
    <t>GER-1226</t>
  </si>
  <si>
    <t>For a Refining &amp; Petrochemicals Brownfield Modification project in Southeast Asia, there is a risk during Feasibility &amp; Concept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</si>
  <si>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Feasibility &amp; Concept gate, local law, interfaces, and the selected delivery model.</t>
  </si>
  <si>
    <t>GER-1227</t>
  </si>
  <si>
    <t>For a Solar PV Owner’s Engineering project in Latin America, there is a risk during FEED / Basic Design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</si>
  <si>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FEED / Basic Design gate, local law, interfaces, and the selected delivery model.</t>
  </si>
  <si>
    <t>GER-1228</t>
  </si>
  <si>
    <t>For a Battery Energy Storage EPCM project in Global / Multi-country, there is a risk during Detailed Engineering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</si>
  <si>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Detailed Engineering gate, local law, interfaces, and the selected delivery model.</t>
  </si>
  <si>
    <t>GER-1229</t>
  </si>
  <si>
    <t>For a Coal / Thermal Power Commissioning &amp; Start-up project in Middle East, there is a risk during Procurement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</si>
  <si>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Procurement gate, local law, interfaces, and the selected delivery model.</t>
  </si>
  <si>
    <t>GER-1230</t>
  </si>
  <si>
    <t>For a Concentrated Solar Power Decommissioning project in South Asia, there is a risk during Manufacturing that war, pandemic, disaster or government shutdown, combined with supplier dependency,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</si>
  <si>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Manufacturing gate, local law, interfaces, and the selected delivery model.</t>
  </si>
  <si>
    <t>GER-1231</t>
  </si>
  <si>
    <t>For a District Energy Operations &amp; Maintenance project in North America, there is a risk during Detailed Engineering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</si>
  <si>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Detailed Engineering gate, local law, interfaces, and the selected delivery model.</t>
  </si>
  <si>
    <t>GER-1232</t>
  </si>
  <si>
    <t>For a Pumped Storage Grid Interconnection project in Oceania, there is a risk during Procurement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</si>
  <si>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Procurement gate, local law, interfaces, and the selected delivery model.</t>
  </si>
  <si>
    <t>GER-1233</t>
  </si>
  <si>
    <t>For a Natural Gas / CCGT R&amp;D / Technology Development project in Europe, there is a risk during Manufacturing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</si>
  <si>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Manufacturing gate, local law, interfaces, and the selected delivery model.</t>
  </si>
  <si>
    <t>GER-1234</t>
  </si>
  <si>
    <t>For a Marine Energy Brownfield Modification project in Africa, there is a risk during Construction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</si>
  <si>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Construction gate, local law, interfaces, and the selected delivery model.</t>
  </si>
  <si>
    <t>GER-1235</t>
  </si>
  <si>
    <t>For a Geothermal Owner’s Engineering project in East Asia, there is a risk during Installation that war, pandemic, disaster or government shutdown, combined with interface complexity,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</si>
  <si>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Installation gate, local law, interfaces, and the selected delivery model.</t>
  </si>
  <si>
    <t>GER-1236</t>
  </si>
  <si>
    <t>For a Offshore Wind Decommissioning project in Latin America, there is a risk during Manufacturing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</si>
  <si>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Manufacturing gate, local law, interfaces, and the selected delivery model.</t>
  </si>
  <si>
    <t>GER-1237</t>
  </si>
  <si>
    <t>For a Green Hydrogen EPC / Turnkey project in Global / Multi-country, there is a risk during Construction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</si>
  <si>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Construction gate, local law, interfaces, and the selected delivery model.</t>
  </si>
  <si>
    <t>GER-1238</t>
  </si>
  <si>
    <t>For a Refining &amp; Petrochemicals Installation project in Middle East, there is a risk during Installation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</si>
  <si>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Installation gate, local law, interfaces, and the selected delivery model.</t>
  </si>
  <si>
    <t>GER-1239</t>
  </si>
  <si>
    <t>For a Solar PV Operations &amp; Maintenance project in South Asia, there is a risk during Pre-commissioning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</si>
  <si>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Pre-commissioning gate, local law, interfaces, and the selected delivery model.</t>
  </si>
  <si>
    <t>GER-1240</t>
  </si>
  <si>
    <t>For a Battery Energy Storage Grid Interconnection project in Southeast Asia, there is a risk during Commissioning that war, pandemic, disaster or government shutdown, combined with requirements volatility,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</si>
  <si>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Commissioning gate, local law, interfaces, and the selected delivery model.</t>
  </si>
  <si>
    <t>GER-1241</t>
  </si>
  <si>
    <t>For a Hydropower Owner’s Engineering project in Oceania, there is a risk during Installation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</si>
  <si>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Installation gate, local law, interfaces, and the selected delivery model.</t>
  </si>
  <si>
    <t>GER-1242</t>
  </si>
  <si>
    <t>For a Nuclear Power EPCM project in Europe, there is a risk during Pre-commissioning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</si>
  <si>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Pre-commissioning gate, local law, interfaces, and the selected delivery model.</t>
  </si>
  <si>
    <t>GER-1243</t>
  </si>
  <si>
    <t>For a District Energy Commissioning &amp; Start-up project in Africa, there is a risk during Commissioning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</si>
  <si>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Commissioning gate, local law, interfaces, and the selected delivery model.</t>
  </si>
  <si>
    <t>GER-1244</t>
  </si>
  <si>
    <t>For a Pumped Storage Decommissioning project in East Asia, there is a risk during Operations / Handover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</si>
  <si>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Operations / Handover gate, local law, interfaces, and the selected delivery model.</t>
  </si>
  <si>
    <t>GER-1245</t>
  </si>
  <si>
    <t>For a Natural Gas / CCGT EPC / Turnkey project in North America, there is a risk during Feasibility &amp; Concept that war, pandemic, disaster or government shutdown, combined with regulatory uncertainty,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</si>
  <si>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Feasibility &amp; Concept gate, local law, interfaces, and the selected delivery model.</t>
  </si>
  <si>
    <t>GER-1246</t>
  </si>
  <si>
    <t>For a Biomass / Waste-to-Energy Grid Interconnection project in Global / Multi-country, there is a risk during Commissioning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</si>
  <si>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Commissioning gate, local law, interfaces, and the selected delivery model.</t>
  </si>
  <si>
    <t>GER-1247</t>
  </si>
  <si>
    <t>For a Oil &amp; Gas Upstream R&amp;D / Technology Development project in Middle East, there is a risk during Operations / Handover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</si>
  <si>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Operations / Handover gate, local law, interfaces, and the selected delivery model.</t>
  </si>
  <si>
    <t>GER-1248</t>
  </si>
  <si>
    <t>For a Offshore Wind Brownfield Modification project in South Asia, there is a risk during Feasibility &amp; Concept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</si>
  <si>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Feasibility &amp; Concept gate, local law, interfaces, and the selected delivery model.</t>
  </si>
  <si>
    <t>GER-1249</t>
  </si>
  <si>
    <t>For a Green Hydrogen Owner’s Engineering project in Southeast Asia, there is a risk during FEED / Basic Design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</si>
  <si>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FEED / Basic Design gate, local law, interfaces, and the selected delivery model.</t>
  </si>
  <si>
    <t>GER-1250</t>
  </si>
  <si>
    <t>For a Refining &amp; Petrochemicals EPCM project in Latin America, there is a risk during Detailed Engineering that war, pandemic, disaster or government shutdown, combined with inadequate verification,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</si>
  <si>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Detailed Engineering gate, local law, interfaces, and the selected delivery model.</t>
  </si>
  <si>
    <t>GER-1251</t>
  </si>
  <si>
    <t>For a Transmission &amp; Substations EPC / Turnkey project in Europe, there is a risk during Feasibility &amp; Concept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</si>
  <si>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Feasibility &amp; Concept gate, local law, interfaces, and the selected delivery model.</t>
  </si>
  <si>
    <t>GER-1252</t>
  </si>
  <si>
    <t>For a Carbon Capture, Utilization &amp; Storage Installation project in Africa, there is a risk during FEED / Basic Design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</si>
  <si>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FEED / Basic Design gate, local law, interfaces, and the selected delivery model.</t>
  </si>
  <si>
    <t>GER-1253</t>
  </si>
  <si>
    <t>For a Hydropower Operations &amp; Maintenance project in East Asia, there is a risk during Detailed Engineering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</si>
  <si>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Detailed Engineering gate, local law, interfaces, and the selected delivery model.</t>
  </si>
  <si>
    <t>GER-1254</t>
  </si>
  <si>
    <t>For a Nuclear Power Grid Interconnection project in North America, there is a risk during Procurement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</si>
  <si>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Procurement gate, local law, interfaces, and the selected delivery model.</t>
  </si>
  <si>
    <t>GER-1255</t>
  </si>
  <si>
    <t>For a District Energy R&amp;D / Technology Development project in Oceania, there is a risk during Manufacturing that war, pandemic, disaster or government shutdown, combined with poor communication,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</si>
  <si>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Manufacturing gate, local law, interfaces, and the selected delivery model.</t>
  </si>
  <si>
    <t>GER-1256</t>
  </si>
  <si>
    <t>For a LNG EPCM project in Middle East, there is a risk during Detailed Engineering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</si>
  <si>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Detailed Engineering gate, local law, interfaces, and the selected delivery model.</t>
  </si>
  <si>
    <t>GER-1257</t>
  </si>
  <si>
    <t>For a Onshore Wind Commissioning &amp; Start-up project in South Asia, there is a risk during Procurement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</si>
  <si>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Onshore Wind, the Procurement gate, local law, interfaces, and the selected delivery model.</t>
  </si>
  <si>
    <t>GER-1258</t>
  </si>
  <si>
    <t>For a Biomass / Waste-to-Energy Decommissioning project in Southeast Asia, there is a risk during Manufacturing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</si>
  <si>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Manufacturing gate, local law, interfaces, and the selected delivery model.</t>
  </si>
  <si>
    <t>GER-1259</t>
  </si>
  <si>
    <t>For a Oil &amp; Gas Upstream EPC / Turnkey project in Latin America, there is a risk during Construction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</si>
  <si>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Construction gate, local law, interfaces, and the selected delivery model.</t>
  </si>
  <si>
    <t>GER-1260</t>
  </si>
  <si>
    <t>For a Offshore Wind Installation project in Global / Multi-country, there is a risk during Installation that war, pandemic, disaster or government shutdown, combined with incorrect assumptions,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</si>
  <si>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Installation gate, local law, interfaces, and the selected delivery model.</t>
  </si>
  <si>
    <t>GER-1261</t>
  </si>
  <si>
    <t>For a Coal / Thermal Power R&amp;D / Technology Development project in Africa, there is a risk during Manufacturing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</si>
  <si>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Manufacturing gate, local law, interfaces, and the selected delivery model.</t>
  </si>
  <si>
    <t>GER-1262</t>
  </si>
  <si>
    <t>For a Concentrated Solar Power Brownfield Modification project in East Asia, there is a risk during Construction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</si>
  <si>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Construction gate, local law, interfaces, and the selected delivery model.</t>
  </si>
  <si>
    <t>GER-1263</t>
  </si>
  <si>
    <t>For a Transmission &amp; Substations Owner’s Engineering project in North America, there is a risk during Installation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</si>
  <si>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Installation gate, local law, interfaces, and the selected delivery model.</t>
  </si>
  <si>
    <t>GER-1264</t>
  </si>
  <si>
    <t>For a Carbon Capture, Utilization &amp; Storage EPCM project in Oceania, there is a risk during Pre-commissioning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</si>
  <si>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Pre-commissioning gate, local law, interfaces, and the selected delivery model.</t>
  </si>
  <si>
    <t>GER-1265</t>
  </si>
  <si>
    <t>For a Hydropower Commissioning &amp; Start-up project in Europe, there is a risk during Commissioning that war, pandemic, disaster or government shutdown, combined with low technical maturity,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</si>
  <si>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Commissioning gate, local law, interfaces, and the selected delivery model.</t>
  </si>
  <si>
    <t>GER-1266</t>
  </si>
  <si>
    <t>For a Marine Energy Installation project in South Asia, there is a risk during Installation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</si>
  <si>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Installation gate, local law, interfaces, and the selected delivery model.</t>
  </si>
  <si>
    <t>GER-1267</t>
  </si>
  <si>
    <t>For a Geothermal Operations &amp; Maintenance project in Southeast Asia, there is a risk during Pre-commissioning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</si>
  <si>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Pre-commissioning gate, local law, interfaces, and the selected delivery model.</t>
  </si>
  <si>
    <t>GER-1268</t>
  </si>
  <si>
    <t>For a LNG Grid Interconnection project in Latin America, there is a risk during Commissioning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</si>
  <si>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Commissioning gate, local law, interfaces, and the selected delivery model.</t>
  </si>
  <si>
    <t>GER-1269</t>
  </si>
  <si>
    <t>For a Onshore Wind R&amp;D / Technology Development project in Global / Multi-country, there is a risk during Operations / Handover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</si>
  <si>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Onshore Wind, the Operations / Handover gate, local law, interfaces, and the selected delivery model.</t>
  </si>
  <si>
    <t>GER-1270</t>
  </si>
  <si>
    <t>For a Biomass / Waste-to-Energy Brownfield Modification project in Middle East, there is a risk during Feasibility &amp; Concept that war, pandemic, disaster or government shutdown, combined with documentation gaps, may adversely affect project objectives through time / cost consequences.</t>
  </si>
  <si>
    <t>Establish controls for war, pandemic, disaster or government shutdown; assign actions, verify evidence, and review residual exposure at each gate. Tailor the response to Biomass / Waste-to-Energy, the Feasibility &amp; Concept gate, local law, interfaces, and the selected delivery model.</t>
  </si>
  <si>
    <t>GER-1271</t>
  </si>
  <si>
    <t>For a Solar PV Commissioning &amp; Start-up project in East Asia, there is a risk during Commissioning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</si>
  <si>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Commissioning gate, local law, interfaces, and the selected delivery model.</t>
  </si>
  <si>
    <t>GER-1272</t>
  </si>
  <si>
    <t>For a Battery Energy Storage Decommissioning project in North America, there is a risk during Operations / Handover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</si>
  <si>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Operations / Handover gate, local law, interfaces, and the selected delivery model.</t>
  </si>
  <si>
    <t>GER-1273</t>
  </si>
  <si>
    <t>For a Coal / Thermal Power EPC / Turnkey project in Oceania, there is a risk during Feasibility &amp; Concept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</si>
  <si>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Feasibility &amp; Concept gate, local law, interfaces, and the selected delivery model.</t>
  </si>
  <si>
    <t>GER-1274</t>
  </si>
  <si>
    <t>For a Concentrated Solar Power Installation project in Europe, there is a risk during FEED / Basic Design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</si>
  <si>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Concentrated Solar Power, the FEED / Basic Design gate, local law, interfaces, and the selected delivery model.</t>
  </si>
  <si>
    <t>GER-1275</t>
  </si>
  <si>
    <t>For a Transmission &amp; Substations Operations &amp; Maintenance project in Africa, there is a risk during Detailed Engineering that war, pandemic, disaster or government shutdown, combined with external disruption, may adversely affect project objectives through time / cost consequences.</t>
  </si>
  <si>
    <t>Establish controls for war, pandemic, disaster or government shutdown; assign actions, verify evidence, and review residual exposure at each gate. Tailor the response to Transmission &amp; Substations, the Detailed Engineering gate, local law, interfaces, and the selected delivery model.</t>
  </si>
  <si>
    <t>GER-1276</t>
  </si>
  <si>
    <t>For a Pumped Storage Brownfield Modification project in Southeast Asia, there is a risk during Feasibility &amp; Concept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</si>
  <si>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Feasibility &amp; Concept gate, local law, interfaces, and the selected delivery model.</t>
  </si>
  <si>
    <t>GER-1277</t>
  </si>
  <si>
    <t>For a Natural Gas / CCGT Owner’s Engineering project in Latin America, there is a risk during FEED / Basic Design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</si>
  <si>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FEED / Basic Design gate, local law, interfaces, and the selected delivery model.</t>
  </si>
  <si>
    <t>GER-1278</t>
  </si>
  <si>
    <t>For a Marine Energy EPCM project in Global / Multi-country, there is a risk during Detailed Engineering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</si>
  <si>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Detailed Engineering gate, local law, interfaces, and the selected delivery model.</t>
  </si>
  <si>
    <t>GER-1279</t>
  </si>
  <si>
    <t>For a Geothermal Commissioning &amp; Start-up project in Middle East, there is a risk during Procurement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</si>
  <si>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Geothermal, the Procurement gate, local law, interfaces, and the selected delivery model.</t>
  </si>
  <si>
    <t>GER-1280</t>
  </si>
  <si>
    <t>For a LNG Decommissioning project in South Asia, there is a risk during Manufacturing that war, pandemic, disaster or government shutdown, combined with governance delay, may adversely affect project objectives through time / cost consequences.</t>
  </si>
  <si>
    <t>Establish controls for war, pandemic, disaster or government shutdown; assign actions, verify evidence, and review residual exposure at each gate. Tailor the response to LNG, the Manufacturing gate, local law, interfaces, and the selected delivery model.</t>
  </si>
  <si>
    <t>GER-1281</t>
  </si>
  <si>
    <t>For a Green Hydrogen Operations &amp; Maintenance project in North America, there is a risk during Detailed Engineering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</si>
  <si>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Detailed Engineering gate, local law, interfaces, and the selected delivery model.</t>
  </si>
  <si>
    <t>GER-1282</t>
  </si>
  <si>
    <t>For a Refining &amp; Petrochemicals Grid Interconnection project in Oceania, there is a risk during Procurement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</si>
  <si>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Procurement gate, local law, interfaces, and the selected delivery model.</t>
  </si>
  <si>
    <t>GER-1283</t>
  </si>
  <si>
    <t>For a Solar PV R&amp;D / Technology Development project in Europe, there is a risk during Manufacturing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</si>
  <si>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Manufacturing gate, local law, interfaces, and the selected delivery model.</t>
  </si>
  <si>
    <t>GER-1284</t>
  </si>
  <si>
    <t>For a Battery Energy Storage Brownfield Modification project in Africa, there is a risk during Construction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</si>
  <si>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Battery Energy Storage, the Construction gate, local law, interfaces, and the selected delivery model.</t>
  </si>
  <si>
    <t>GER-1285</t>
  </si>
  <si>
    <t>For a Coal / Thermal Power Owner’s Engineering project in East Asia, there is a risk during Installation that war, pandemic, disaster or government shutdown, combined with commercial misalignment, may adversely affect project objectives through time / cost consequences.</t>
  </si>
  <si>
    <t>Establish controls for war, pandemic, disaster or government shutdown; assign actions, verify evidence, and review residual exposure at each gate. Tailor the response to Coal / Thermal Power, the Installation gate, local law, interfaces, and the selected delivery model.</t>
  </si>
  <si>
    <t>GER-1286</t>
  </si>
  <si>
    <t>For a Nuclear Power Decommissioning project in Latin America, there is a risk during Manufacturing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</si>
  <si>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Manufacturing gate, local law, interfaces, and the selected delivery model.</t>
  </si>
  <si>
    <t>GER-1287</t>
  </si>
  <si>
    <t>For a District Energy EPC / Turnkey project in Global / Multi-country, there is a risk during Construction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</si>
  <si>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Construction gate, local law, interfaces, and the selected delivery model.</t>
  </si>
  <si>
    <t>GER-1288</t>
  </si>
  <si>
    <t>For a Pumped Storage Installation project in Middle East, there is a risk during Installation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</si>
  <si>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Installation gate, local law, interfaces, and the selected delivery model.</t>
  </si>
  <si>
    <t>GER-1289</t>
  </si>
  <si>
    <t>For a Natural Gas / CCGT Operations &amp; Maintenance project in South Asia, there is a risk during Pre-commissioning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</si>
  <si>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Natural Gas / CCGT, the Pre-commissioning gate, local law, interfaces, and the selected delivery model.</t>
  </si>
  <si>
    <t>GER-1290</t>
  </si>
  <si>
    <t>For a Marine Energy Grid Interconnection project in Southeast Asia, there is a risk during Commissioning that war, pandemic, disaster or government shutdown, combined with quality escape, may adversely affect project objectives through time / cost consequences.</t>
  </si>
  <si>
    <t>Establish controls for war, pandemic, disaster or government shutdown; assign actions, verify evidence, and review residual exposure at each gate. Tailor the response to Marine Energy, the Commissioning gate, local law, interfaces, and the selected delivery model.</t>
  </si>
  <si>
    <t>GER-1291</t>
  </si>
  <si>
    <t>For a Oil &amp; Gas Upstream Owner’s Engineering project in Oceania, there is a risk during Installation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</si>
  <si>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Oil &amp; Gas Upstream, the Installation gate, local law, interfaces, and the selected delivery model.</t>
  </si>
  <si>
    <t>GER-1292</t>
  </si>
  <si>
    <t>For a Offshore Wind EPCM project in Europe, there is a risk during Pre-commissioning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</si>
  <si>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Offshore Wind, the Pre-commissioning gate, local law, interfaces, and the selected delivery model.</t>
  </si>
  <si>
    <t>GER-1293</t>
  </si>
  <si>
    <t>For a Green Hydrogen Commissioning &amp; Start-up project in Africa, there is a risk during Commissioning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</si>
  <si>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Green Hydrogen, the Commissioning gate, local law, interfaces, and the selected delivery model.</t>
  </si>
  <si>
    <t>GER-1294</t>
  </si>
  <si>
    <t>For a Refining &amp; Petrochemicals Decommissioning project in East Asia, there is a risk during Operations / Handover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</si>
  <si>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Refining &amp; Petrochemicals, the Operations / Handover gate, local law, interfaces, and the selected delivery model.</t>
  </si>
  <si>
    <t>GER-1295</t>
  </si>
  <si>
    <t>For a Solar PV EPC / Turnkey project in North America, there is a risk during Feasibility &amp; Concept that war, pandemic, disaster or government shutdown, combined with access constraint, may adversely affect project objectives through time / cost consequences.</t>
  </si>
  <si>
    <t>Establish controls for war, pandemic, disaster or government shutdown; assign actions, verify evidence, and review residual exposure at each gate. Tailor the response to Solar PV, the Feasibility &amp; Concept gate, local law, interfaces, and the selected delivery model.</t>
  </si>
  <si>
    <t>GER-1296</t>
  </si>
  <si>
    <t>For a Carbon Capture, Utilization &amp; Storage Grid Interconnection project in Global / Multi-country, there is a risk during Commissioning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</si>
  <si>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Carbon Capture, Utilization &amp; Storage, the Commissioning gate, local law, interfaces, and the selected delivery model.</t>
  </si>
  <si>
    <t>GER-1297</t>
  </si>
  <si>
    <t>For a Hydropower R&amp;D / Technology Development project in Middle East, there is a risk during Operations / Handover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</si>
  <si>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Hydropower, the Operations / Handover gate, local law, interfaces, and the selected delivery model.</t>
  </si>
  <si>
    <t>GER-1298</t>
  </si>
  <si>
    <t>For a Nuclear Power Brownfield Modification project in South Asia, there is a risk during Feasibility &amp; Concept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</si>
  <si>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Nuclear Power, the Feasibility &amp; Concept gate, local law, interfaces, and the selected delivery model.</t>
  </si>
  <si>
    <t>GER-1299</t>
  </si>
  <si>
    <t>For a District Energy Owner’s Engineering project in Southeast Asia, there is a risk during FEED / Basic Design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</si>
  <si>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District Energy, the FEED / Basic Design gate, local law, interfaces, and the selected delivery model.</t>
  </si>
  <si>
    <t>GER-1300</t>
  </si>
  <si>
    <t>For a Pumped Storage EPCM project in Latin America, there is a risk during Detailed Engineering that war, pandemic, disaster or government shutdown, combined with performance variability, may adversely affect project objectives through time / cost consequences.</t>
  </si>
  <si>
    <t>Establish controls for war, pandemic, disaster or government shutdown; assign actions, verify evidence, and review residual exposure at each gate. Tailor the response to Pumped Storage, the Detailed Engineering gate, local law, interfaces, and the selected delivery model.</t>
  </si>
  <si>
    <t>GER-1301</t>
  </si>
  <si>
    <t>For a Onshore Wind EPC / Turnkey project in Europe, there is a risk during Feasibility &amp; Concept that supplier failure, scarcity or long-lead delay, combined with insufficient planning, may adversely affect project objectives through time / cost / quality consequences.</t>
  </si>
  <si>
    <t>Procurement &amp; Supply Chain</t>
  </si>
  <si>
    <t>Time / Cost / Quality</t>
  </si>
  <si>
    <t>Establish controls for supplier failure, scarcity or long-lead delay; assign actions, verify evidence, and review residual exposure at each gate. Tailor the response to Onshore Wind, the Feasibility &amp; Concept gate, local law, interfaces, and the selected delivery model.</t>
  </si>
  <si>
    <t>Procurement Manager</t>
  </si>
  <si>
    <t>GER-1302</t>
  </si>
  <si>
    <t>For a Biomass / Waste-to-Energy Installation project in Africa, there is a risk during FEED / Basic Design that supplier failure, scarcity or long-lead delay, combined with insufficient planning,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</si>
  <si>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FEED / Basic Design gate, local law, interfaces, and the selected delivery model.</t>
  </si>
  <si>
    <t>GER-1303</t>
  </si>
  <si>
    <t>For a Oil &amp; Gas Upstream Operations &amp; Maintenance project in East Asia, there is a risk during Detailed Engineering that supplier failure, scarcity or long-lead delay, combined with insufficient planning,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</si>
  <si>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Detailed Engineering gate, local law, interfaces, and the selected delivery model.</t>
  </si>
  <si>
    <t>GER-1304</t>
  </si>
  <si>
    <t>For a Offshore Wind Grid Interconnection project in North America, there is a risk during Procurement that supplier failure, scarcity or long-lead delay, combined with insufficient planning,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</si>
  <si>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Procurement gate, local law, interfaces, and the selected delivery model.</t>
  </si>
  <si>
    <t>GER-1305</t>
  </si>
  <si>
    <t>For a Green Hydrogen R&amp;D / Technology Development project in Oceania, there is a risk during Manufacturing that supplier failure, scarcity or long-lead delay, combined with insufficient planning,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</si>
  <si>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Manufacturing gate, local law, interfaces, and the selected delivery model.</t>
  </si>
  <si>
    <t>GER-1306</t>
  </si>
  <si>
    <t>For a Concentrated Solar Power EPCM project in Middle East, there is a risk during Detailed Engineering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</si>
  <si>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Detailed Engineering gate, local law, interfaces, and the selected delivery model.</t>
  </si>
  <si>
    <t>GER-1307</t>
  </si>
  <si>
    <t>For a Transmission &amp; Substations Commissioning &amp; Start-up project in South Asia, there is a risk during Procurement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</si>
  <si>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Procurement gate, local law, interfaces, and the selected delivery model.</t>
  </si>
  <si>
    <t>GER-1308</t>
  </si>
  <si>
    <t>For a Carbon Capture, Utilization &amp; Storage Decommissioning project in Southeast Asia, there is a risk during Manufacturing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</si>
  <si>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Manufacturing gate, local law, interfaces, and the selected delivery model.</t>
  </si>
  <si>
    <t>GER-1309</t>
  </si>
  <si>
    <t>For a Hydropower EPC / Turnkey project in Latin America, there is a risk during Construction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</si>
  <si>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Construction gate, local law, interfaces, and the selected delivery model.</t>
  </si>
  <si>
    <t>GER-1310</t>
  </si>
  <si>
    <t>For a Nuclear Power Installation project in Global / Multi-country, there is a risk during Installation that supplier failure, scarcity or long-lead delay, combined with incomplete information,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</si>
  <si>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Installation gate, local law, interfaces, and the selected delivery model.</t>
  </si>
  <si>
    <t>GER-1311</t>
  </si>
  <si>
    <t>For a Geothermal R&amp;D / Technology Development project in Africa, there is a risk during Manufacturing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</si>
  <si>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Manufacturing gate, local law, interfaces, and the selected delivery model.</t>
  </si>
  <si>
    <t>GER-1312</t>
  </si>
  <si>
    <t>For a LNG Brownfield Modification project in East Asia, there is a risk during Construction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</si>
  <si>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Construction gate, local law, interfaces, and the selected delivery model.</t>
  </si>
  <si>
    <t>GER-1313</t>
  </si>
  <si>
    <t>For a Onshore Wind Owner’s Engineering project in North America, there is a risk during Installation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</si>
  <si>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Onshore Wind, the Installation gate, local law, interfaces, and the selected delivery model.</t>
  </si>
  <si>
    <t>GER-1314</t>
  </si>
  <si>
    <t>For a Biomass / Waste-to-Energy EPCM project in Oceania, there is a risk during Pre-commissioning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</si>
  <si>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Pre-commissioning gate, local law, interfaces, and the selected delivery model.</t>
  </si>
  <si>
    <t>GER-1315</t>
  </si>
  <si>
    <t>For a Oil &amp; Gas Upstream Commissioning &amp; Start-up project in Europe, there is a risk during Commissioning that supplier failure, scarcity or long-lead delay, combined with late decision-making,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</si>
  <si>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Commissioning gate, local law, interfaces, and the selected delivery model.</t>
  </si>
  <si>
    <t>GER-1316</t>
  </si>
  <si>
    <t>For a Battery Energy Storage Installation project in South Asia, there is a risk during Installation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</si>
  <si>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Installation gate, local law, interfaces, and the selected delivery model.</t>
  </si>
  <si>
    <t>GER-1317</t>
  </si>
  <si>
    <t>For a Coal / Thermal Power Operations &amp; Maintenance project in Southeast Asia, there is a risk during Pre-commissioning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</si>
  <si>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Pre-commissioning gate, local law, interfaces, and the selected delivery model.</t>
  </si>
  <si>
    <t>GER-1318</t>
  </si>
  <si>
    <t>For a Concentrated Solar Power Grid Interconnection project in Latin America, there is a risk during Commissioning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</si>
  <si>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Commissioning gate, local law, interfaces, and the selected delivery model.</t>
  </si>
  <si>
    <t>GER-1319</t>
  </si>
  <si>
    <t>For a Transmission &amp; Substations R&amp;D / Technology Development project in Global / Multi-country, there is a risk during Operations / Handover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</si>
  <si>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Operations / Handover gate, local law, interfaces, and the selected delivery model.</t>
  </si>
  <si>
    <t>GER-1320</t>
  </si>
  <si>
    <t>For a Carbon Capture, Utilization &amp; Storage Brownfield Modification project in Middle East, there is a risk during Feasibility &amp; Concept that supplier failure, scarcity or long-lead delay, combined with weak controls,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</si>
  <si>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Feasibility &amp; Concept gate, local law, interfaces, and the selected delivery model.</t>
  </si>
  <si>
    <t>GER-1321</t>
  </si>
  <si>
    <t>For a Natural Gas / CCGT Commissioning &amp; Start-up project in East Asia, there is a risk during Commissioning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</si>
  <si>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Commissioning gate, local law, interfaces, and the selected delivery model.</t>
  </si>
  <si>
    <t>GER-1322</t>
  </si>
  <si>
    <t>For a Marine Energy Decommissioning project in North America, there is a risk during Operations / Handover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</si>
  <si>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Operations / Handover gate, local law, interfaces, and the selected delivery model.</t>
  </si>
  <si>
    <t>GER-1323</t>
  </si>
  <si>
    <t>For a Geothermal EPC / Turnkey project in Oceania, there is a risk during Feasibility &amp; Concept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</si>
  <si>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Feasibility &amp; Concept gate, local law, interfaces, and the selected delivery model.</t>
  </si>
  <si>
    <t>GER-1324</t>
  </si>
  <si>
    <t>For a LNG Installation project in Europe, there is a risk during FEED / Basic Design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</si>
  <si>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FEED / Basic Design gate, local law, interfaces, and the selected delivery model.</t>
  </si>
  <si>
    <t>GER-1325</t>
  </si>
  <si>
    <t>For a Onshore Wind Operations &amp; Maintenance project in Africa, there is a risk during Detailed Engineering that supplier failure, scarcity or long-lead delay, combined with resource constraints,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</si>
  <si>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Onshore Wind, the Detailed Engineering gate, local law, interfaces, and the selected delivery model.</t>
  </si>
  <si>
    <t>GER-1326</t>
  </si>
  <si>
    <t>For a Refining &amp; Petrochemicals Brownfield Modification project in Southeast Asia, there is a risk during Feasibility &amp; Concept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</si>
  <si>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Feasibility &amp; Concept gate, local law, interfaces, and the selected delivery model.</t>
  </si>
  <si>
    <t>GER-1327</t>
  </si>
  <si>
    <t>For a Solar PV Owner’s Engineering project in Latin America, there is a risk during FEED / Basic Design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</si>
  <si>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FEED / Basic Design gate, local law, interfaces, and the selected delivery model.</t>
  </si>
  <si>
    <t>GER-1328</t>
  </si>
  <si>
    <t>For a Battery Energy Storage EPCM project in Global / Multi-country, there is a risk during Detailed Engineering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</si>
  <si>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Detailed Engineering gate, local law, interfaces, and the selected delivery model.</t>
  </si>
  <si>
    <t>GER-1329</t>
  </si>
  <si>
    <t>For a Coal / Thermal Power Commissioning &amp; Start-up project in Middle East, there is a risk during Procurement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</si>
  <si>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Procurement gate, local law, interfaces, and the selected delivery model.</t>
  </si>
  <si>
    <t>GER-1330</t>
  </si>
  <si>
    <t>For a Concentrated Solar Power Decommissioning project in South Asia, there is a risk during Manufacturing that supplier failure, scarcity or long-lead delay, combined with supplier dependency,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</si>
  <si>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Manufacturing gate, local law, interfaces, and the selected delivery model.</t>
  </si>
  <si>
    <t>GER-1331</t>
  </si>
  <si>
    <t>For a District Energy Operations &amp; Maintenance project in North America, there is a risk during Detailed Engineering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</si>
  <si>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Detailed Engineering gate, local law, interfaces, and the selected delivery model.</t>
  </si>
  <si>
    <t>GER-1332</t>
  </si>
  <si>
    <t>For a Pumped Storage Grid Interconnection project in Oceania, there is a risk during Procurement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</si>
  <si>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Procurement gate, local law, interfaces, and the selected delivery model.</t>
  </si>
  <si>
    <t>GER-1333</t>
  </si>
  <si>
    <t>For a Natural Gas / CCGT R&amp;D / Technology Development project in Europe, there is a risk during Manufacturing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</si>
  <si>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Manufacturing gate, local law, interfaces, and the selected delivery model.</t>
  </si>
  <si>
    <t>GER-1334</t>
  </si>
  <si>
    <t>For a Marine Energy Brownfield Modification project in Africa, there is a risk during Construction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</si>
  <si>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Construction gate, local law, interfaces, and the selected delivery model.</t>
  </si>
  <si>
    <t>GER-1335</t>
  </si>
  <si>
    <t>For a Geothermal Owner’s Engineering project in East Asia, there is a risk during Installation that supplier failure, scarcity or long-lead delay, combined with interface complexity,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</si>
  <si>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Installation gate, local law, interfaces, and the selected delivery model.</t>
  </si>
  <si>
    <t>GER-1336</t>
  </si>
  <si>
    <t>For a Offshore Wind Decommissioning project in Latin America, there is a risk during Manufacturing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</si>
  <si>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Manufacturing gate, local law, interfaces, and the selected delivery model.</t>
  </si>
  <si>
    <t>GER-1337</t>
  </si>
  <si>
    <t>For a Green Hydrogen EPC / Turnkey project in Global / Multi-country, there is a risk during Construction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</si>
  <si>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Construction gate, local law, interfaces, and the selected delivery model.</t>
  </si>
  <si>
    <t>GER-1338</t>
  </si>
  <si>
    <t>For a Refining &amp; Petrochemicals Installation project in Middle East, there is a risk during Installation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</si>
  <si>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Installation gate, local law, interfaces, and the selected delivery model.</t>
  </si>
  <si>
    <t>GER-1339</t>
  </si>
  <si>
    <t>For a Solar PV Operations &amp; Maintenance project in South Asia, there is a risk during Pre-commissioning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</si>
  <si>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Pre-commissioning gate, local law, interfaces, and the selected delivery model.</t>
  </si>
  <si>
    <t>GER-1340</t>
  </si>
  <si>
    <t>For a Battery Energy Storage Grid Interconnection project in Southeast Asia, there is a risk during Commissioning that supplier failure, scarcity or long-lead delay, combined with requirements volatility,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</si>
  <si>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Commissioning gate, local law, interfaces, and the selected delivery model.</t>
  </si>
  <si>
    <t>GER-1341</t>
  </si>
  <si>
    <t>For a Hydropower Owner’s Engineering project in Oceania, there is a risk during Installation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</si>
  <si>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Installation gate, local law, interfaces, and the selected delivery model.</t>
  </si>
  <si>
    <t>GER-1342</t>
  </si>
  <si>
    <t>For a Nuclear Power EPCM project in Europe, there is a risk during Pre-commissioning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</si>
  <si>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Pre-commissioning gate, local law, interfaces, and the selected delivery model.</t>
  </si>
  <si>
    <t>GER-1343</t>
  </si>
  <si>
    <t>For a District Energy Commissioning &amp; Start-up project in Africa, there is a risk during Commissioning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</si>
  <si>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Commissioning gate, local law, interfaces, and the selected delivery model.</t>
  </si>
  <si>
    <t>GER-1344</t>
  </si>
  <si>
    <t>For a Pumped Storage Decommissioning project in East Asia, there is a risk during Operations / Handover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</si>
  <si>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Operations / Handover gate, local law, interfaces, and the selected delivery model.</t>
  </si>
  <si>
    <t>GER-1345</t>
  </si>
  <si>
    <t>For a Natural Gas / CCGT EPC / Turnkey project in North America, there is a risk during Feasibility &amp; Concept that supplier failure, scarcity or long-lead delay, combined with regulatory uncertainty,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</si>
  <si>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Feasibility &amp; Concept gate, local law, interfaces, and the selected delivery model.</t>
  </si>
  <si>
    <t>GER-1346</t>
  </si>
  <si>
    <t>For a Biomass / Waste-to-Energy Grid Interconnection project in Global / Multi-country, there is a risk during Commissioning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</si>
  <si>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Commissioning gate, local law, interfaces, and the selected delivery model.</t>
  </si>
  <si>
    <t>GER-1347</t>
  </si>
  <si>
    <t>For a Oil &amp; Gas Upstream R&amp;D / Technology Development project in Middle East, there is a risk during Operations / Handover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</si>
  <si>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Operations / Handover gate, local law, interfaces, and the selected delivery model.</t>
  </si>
  <si>
    <t>GER-1348</t>
  </si>
  <si>
    <t>For a Offshore Wind Brownfield Modification project in South Asia, there is a risk during Feasibility &amp; Concept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</si>
  <si>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Feasibility &amp; Concept gate, local law, interfaces, and the selected delivery model.</t>
  </si>
  <si>
    <t>GER-1349</t>
  </si>
  <si>
    <t>For a Green Hydrogen Owner’s Engineering project in Southeast Asia, there is a risk during FEED / Basic Design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</si>
  <si>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FEED / Basic Design gate, local law, interfaces, and the selected delivery model.</t>
  </si>
  <si>
    <t>GER-1350</t>
  </si>
  <si>
    <t>For a Refining &amp; Petrochemicals EPCM project in Latin America, there is a risk during Detailed Engineering that supplier failure, scarcity or long-lead delay, combined with inadequate verification,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</si>
  <si>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Detailed Engineering gate, local law, interfaces, and the selected delivery model.</t>
  </si>
  <si>
    <t>GER-1351</t>
  </si>
  <si>
    <t>For a Transmission &amp; Substations EPC / Turnkey project in Europe, there is a risk during Feasibility &amp; Concept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</si>
  <si>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Feasibility &amp; Concept gate, local law, interfaces, and the selected delivery model.</t>
  </si>
  <si>
    <t>GER-1352</t>
  </si>
  <si>
    <t>For a Carbon Capture, Utilization &amp; Storage Installation project in Africa, there is a risk during FEED / Basic Design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</si>
  <si>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FEED / Basic Design gate, local law, interfaces, and the selected delivery model.</t>
  </si>
  <si>
    <t>GER-1353</t>
  </si>
  <si>
    <t>For a Hydropower Operations &amp; Maintenance project in East Asia, there is a risk during Detailed Engineering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</si>
  <si>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Detailed Engineering gate, local law, interfaces, and the selected delivery model.</t>
  </si>
  <si>
    <t>GER-1354</t>
  </si>
  <si>
    <t>For a Nuclear Power Grid Interconnection project in North America, there is a risk during Procurement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</si>
  <si>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Procurement gate, local law, interfaces, and the selected delivery model.</t>
  </si>
  <si>
    <t>GER-1355</t>
  </si>
  <si>
    <t>For a District Energy R&amp;D / Technology Development project in Oceania, there is a risk during Manufacturing that supplier failure, scarcity or long-lead delay, combined with poor communication,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</si>
  <si>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Manufacturing gate, local law, interfaces, and the selected delivery model.</t>
  </si>
  <si>
    <t>GER-1356</t>
  </si>
  <si>
    <t>For a LNG EPCM project in Middle East, there is a risk during Detailed Engineering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</si>
  <si>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Detailed Engineering gate, local law, interfaces, and the selected delivery model.</t>
  </si>
  <si>
    <t>GER-1357</t>
  </si>
  <si>
    <t>For a Onshore Wind Commissioning &amp; Start-up project in South Asia, there is a risk during Procurement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</si>
  <si>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Onshore Wind, the Procurement gate, local law, interfaces, and the selected delivery model.</t>
  </si>
  <si>
    <t>GER-1358</t>
  </si>
  <si>
    <t>For a Biomass / Waste-to-Energy Decommissioning project in Southeast Asia, there is a risk during Manufacturing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</si>
  <si>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Manufacturing gate, local law, interfaces, and the selected delivery model.</t>
  </si>
  <si>
    <t>GER-1359</t>
  </si>
  <si>
    <t>For a Oil &amp; Gas Upstream EPC / Turnkey project in Latin America, there is a risk during Construction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</si>
  <si>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Construction gate, local law, interfaces, and the selected delivery model.</t>
  </si>
  <si>
    <t>GER-1360</t>
  </si>
  <si>
    <t>For a Offshore Wind Installation project in Global / Multi-country, there is a risk during Installation that supplier failure, scarcity or long-lead delay, combined with incorrect assumptions,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</si>
  <si>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Installation gate, local law, interfaces, and the selected delivery model.</t>
  </si>
  <si>
    <t>GER-1361</t>
  </si>
  <si>
    <t>For a Coal / Thermal Power R&amp;D / Technology Development project in Africa, there is a risk during Manufacturing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</si>
  <si>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Manufacturing gate, local law, interfaces, and the selected delivery model.</t>
  </si>
  <si>
    <t>GER-1362</t>
  </si>
  <si>
    <t>For a Concentrated Solar Power Brownfield Modification project in East Asia, there is a risk during Construction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</si>
  <si>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Construction gate, local law, interfaces, and the selected delivery model.</t>
  </si>
  <si>
    <t>GER-1363</t>
  </si>
  <si>
    <t>For a Transmission &amp; Substations Owner’s Engineering project in North America, there is a risk during Installation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</si>
  <si>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Installation gate, local law, interfaces, and the selected delivery model.</t>
  </si>
  <si>
    <t>GER-1364</t>
  </si>
  <si>
    <t>For a Carbon Capture, Utilization &amp; Storage EPCM project in Oceania, there is a risk during Pre-commissioning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</si>
  <si>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Pre-commissioning gate, local law, interfaces, and the selected delivery model.</t>
  </si>
  <si>
    <t>GER-1365</t>
  </si>
  <si>
    <t>For a Hydropower Commissioning &amp; Start-up project in Europe, there is a risk during Commissioning that supplier failure, scarcity or long-lead delay, combined with low technical maturity,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</si>
  <si>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Commissioning gate, local law, interfaces, and the selected delivery model.</t>
  </si>
  <si>
    <t>GER-1366</t>
  </si>
  <si>
    <t>For a Marine Energy Installation project in South Asia, there is a risk during Installation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</si>
  <si>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Installation gate, local law, interfaces, and the selected delivery model.</t>
  </si>
  <si>
    <t>GER-1367</t>
  </si>
  <si>
    <t>For a Geothermal Operations &amp; Maintenance project in Southeast Asia, there is a risk during Pre-commissioning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</si>
  <si>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Pre-commissioning gate, local law, interfaces, and the selected delivery model.</t>
  </si>
  <si>
    <t>GER-1368</t>
  </si>
  <si>
    <t>For a LNG Grid Interconnection project in Latin America, there is a risk during Commissioning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</si>
  <si>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Commissioning gate, local law, interfaces, and the selected delivery model.</t>
  </si>
  <si>
    <t>GER-1369</t>
  </si>
  <si>
    <t>For a Onshore Wind R&amp;D / Technology Development project in Global / Multi-country, there is a risk during Operations / Handover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</si>
  <si>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Onshore Wind, the Operations / Handover gate, local law, interfaces, and the selected delivery model.</t>
  </si>
  <si>
    <t>GER-1370</t>
  </si>
  <si>
    <t>For a Biomass / Waste-to-Energy Brownfield Modification project in Middle East, there is a risk during Feasibility &amp; Concept that supplier failure, scarcity or long-lead delay, combined with documentation gaps,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</si>
  <si>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Biomass / Waste-to-Energy, the Feasibility &amp; Concept gate, local law, interfaces, and the selected delivery model.</t>
  </si>
  <si>
    <t>GER-1371</t>
  </si>
  <si>
    <t>For a Solar PV Commissioning &amp; Start-up project in East Asia, there is a risk during Commissioning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</si>
  <si>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Commissioning gate, local law, interfaces, and the selected delivery model.</t>
  </si>
  <si>
    <t>GER-1372</t>
  </si>
  <si>
    <t>For a Battery Energy Storage Decommissioning project in North America, there is a risk during Operations / Handover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</si>
  <si>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Operations / Handover gate, local law, interfaces, and the selected delivery model.</t>
  </si>
  <si>
    <t>GER-1373</t>
  </si>
  <si>
    <t>For a Coal / Thermal Power EPC / Turnkey project in Oceania, there is a risk during Feasibility &amp; Concept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</si>
  <si>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Feasibility &amp; Concept gate, local law, interfaces, and the selected delivery model.</t>
  </si>
  <si>
    <t>GER-1374</t>
  </si>
  <si>
    <t>For a Concentrated Solar Power Installation project in Europe, there is a risk during FEED / Basic Design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</si>
  <si>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Concentrated Solar Power, the FEED / Basic Design gate, local law, interfaces, and the selected delivery model.</t>
  </si>
  <si>
    <t>GER-1375</t>
  </si>
  <si>
    <t>For a Transmission &amp; Substations Operations &amp; Maintenance project in Africa, there is a risk during Detailed Engineering that supplier failure, scarcity or long-lead delay, combined with external disruption,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</si>
  <si>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Transmission &amp; Substations, the Detailed Engineering gate, local law, interfaces, and the selected delivery model.</t>
  </si>
  <si>
    <t>GER-1376</t>
  </si>
  <si>
    <t>For a Pumped Storage Brownfield Modification project in Southeast Asia, there is a risk during Feasibility &amp; Concept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</si>
  <si>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Feasibility &amp; Concept gate, local law, interfaces, and the selected delivery model.</t>
  </si>
  <si>
    <t>GER-1377</t>
  </si>
  <si>
    <t>For a Natural Gas / CCGT Owner’s Engineering project in Latin America, there is a risk during FEED / Basic Design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</si>
  <si>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FEED / Basic Design gate, local law, interfaces, and the selected delivery model.</t>
  </si>
  <si>
    <t>GER-1378</t>
  </si>
  <si>
    <t>For a Marine Energy EPCM project in Global / Multi-country, there is a risk during Detailed Engineering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</si>
  <si>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Detailed Engineering gate, local law, interfaces, and the selected delivery model.</t>
  </si>
  <si>
    <t>GER-1379</t>
  </si>
  <si>
    <t>For a Geothermal Commissioning &amp; Start-up project in Middle East, there is a risk during Procurement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</si>
  <si>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Geothermal, the Procurement gate, local law, interfaces, and the selected delivery model.</t>
  </si>
  <si>
    <t>GER-1380</t>
  </si>
  <si>
    <t>For a LNG Decommissioning project in South Asia, there is a risk during Manufacturing that supplier failure, scarcity or long-lead delay, combined with governance delay,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</si>
  <si>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LNG, the Manufacturing gate, local law, interfaces, and the selected delivery model.</t>
  </si>
  <si>
    <t>GER-1381</t>
  </si>
  <si>
    <t>For a Green Hydrogen Operations &amp; Maintenance project in North America, there is a risk during Detailed Engineering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</si>
  <si>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Detailed Engineering gate, local law, interfaces, and the selected delivery model.</t>
  </si>
  <si>
    <t>GER-1382</t>
  </si>
  <si>
    <t>For a Refining &amp; Petrochemicals Grid Interconnection project in Oceania, there is a risk during Procurement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</si>
  <si>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Procurement gate, local law, interfaces, and the selected delivery model.</t>
  </si>
  <si>
    <t>GER-1383</t>
  </si>
  <si>
    <t>For a Solar PV R&amp;D / Technology Development project in Europe, there is a risk during Manufacturing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</si>
  <si>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Manufacturing gate, local law, interfaces, and the selected delivery model.</t>
  </si>
  <si>
    <t>GER-1384</t>
  </si>
  <si>
    <t>For a Battery Energy Storage Brownfield Modification project in Africa, there is a risk during Construction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</si>
  <si>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Battery Energy Storage, the Construction gate, local law, interfaces, and the selected delivery model.</t>
  </si>
  <si>
    <t>GER-1385</t>
  </si>
  <si>
    <t>For a Coal / Thermal Power Owner’s Engineering project in East Asia, there is a risk during Installation that supplier failure, scarcity or long-lead delay, combined with commercial misalignment,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</si>
  <si>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Coal / Thermal Power, the Installation gate, local law, interfaces, and the selected delivery model.</t>
  </si>
  <si>
    <t>GER-1386</t>
  </si>
  <si>
    <t>For a Nuclear Power Decommissioning project in Latin America, there is a risk during Manufacturing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</si>
  <si>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Manufacturing gate, local law, interfaces, and the selected delivery model.</t>
  </si>
  <si>
    <t>GER-1387</t>
  </si>
  <si>
    <t>For a District Energy EPC / Turnkey project in Global / Multi-country, there is a risk during Construction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</si>
  <si>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Construction gate, local law, interfaces, and the selected delivery model.</t>
  </si>
  <si>
    <t>GER-1388</t>
  </si>
  <si>
    <t>For a Pumped Storage Installation project in Middle East, there is a risk during Installation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</si>
  <si>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Installation gate, local law, interfaces, and the selected delivery model.</t>
  </si>
  <si>
    <t>GER-1389</t>
  </si>
  <si>
    <t>For a Natural Gas / CCGT Operations &amp; Maintenance project in South Asia, there is a risk during Pre-commissioning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</si>
  <si>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Natural Gas / CCGT, the Pre-commissioning gate, local law, interfaces, and the selected delivery model.</t>
  </si>
  <si>
    <t>GER-1390</t>
  </si>
  <si>
    <t>For a Marine Energy Grid Interconnection project in Southeast Asia, there is a risk during Commissioning that supplier failure, scarcity or long-lead delay, combined with quality escape,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</si>
  <si>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Marine Energy, the Commissioning gate, local law, interfaces, and the selected delivery model.</t>
  </si>
  <si>
    <t>GER-1391</t>
  </si>
  <si>
    <t>For a Oil &amp; Gas Upstream Owner’s Engineering project in Oceania, there is a risk during Installation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</si>
  <si>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Oil &amp; Gas Upstream, the Installation gate, local law, interfaces, and the selected delivery model.</t>
  </si>
  <si>
    <t>GER-1392</t>
  </si>
  <si>
    <t>For a Offshore Wind EPCM project in Europe, there is a risk during Pre-commissioning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</si>
  <si>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Offshore Wind, the Pre-commissioning gate, local law, interfaces, and the selected delivery model.</t>
  </si>
  <si>
    <t>GER-1393</t>
  </si>
  <si>
    <t>For a Green Hydrogen Commissioning &amp; Start-up project in Africa, there is a risk during Commissioning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</si>
  <si>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Green Hydrogen, the Commissioning gate, local law, interfaces, and the selected delivery model.</t>
  </si>
  <si>
    <t>GER-1394</t>
  </si>
  <si>
    <t>For a Refining &amp; Petrochemicals Decommissioning project in East Asia, there is a risk during Operations / Handover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</si>
  <si>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Refining &amp; Petrochemicals, the Operations / Handover gate, local law, interfaces, and the selected delivery model.</t>
  </si>
  <si>
    <t>GER-1395</t>
  </si>
  <si>
    <t>For a Solar PV EPC / Turnkey project in North America, there is a risk during Feasibility &amp; Concept that supplier failure, scarcity or long-lead delay, combined with access constraint,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</si>
  <si>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Solar PV, the Feasibility &amp; Concept gate, local law, interfaces, and the selected delivery model.</t>
  </si>
  <si>
    <t>GER-1396</t>
  </si>
  <si>
    <t>For a Carbon Capture, Utilization &amp; Storage Grid Interconnection project in Global / Multi-country, there is a risk during Commissioning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</si>
  <si>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Carbon Capture, Utilization &amp; Storage, the Commissioning gate, local law, interfaces, and the selected delivery model.</t>
  </si>
  <si>
    <t>GER-1397</t>
  </si>
  <si>
    <t>For a Hydropower R&amp;D / Technology Development project in Middle East, there is a risk during Operations / Handover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</si>
  <si>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Hydropower, the Operations / Handover gate, local law, interfaces, and the selected delivery model.</t>
  </si>
  <si>
    <t>GER-1398</t>
  </si>
  <si>
    <t>For a Nuclear Power Brownfield Modification project in South Asia, there is a risk during Feasibility &amp; Concept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</si>
  <si>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Nuclear Power, the Feasibility &amp; Concept gate, local law, interfaces, and the selected delivery model.</t>
  </si>
  <si>
    <t>GER-1399</t>
  </si>
  <si>
    <t>For a District Energy Owner’s Engineering project in Southeast Asia, there is a risk during FEED / Basic Design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</si>
  <si>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District Energy, the FEED / Basic Design gate, local law, interfaces, and the selected delivery model.</t>
  </si>
  <si>
    <t>GER-1400</t>
  </si>
  <si>
    <t>For a Pumped Storage EPCM project in Latin America, there is a risk during Detailed Engineering that supplier failure, scarcity or long-lead delay, combined with performance variability, may adversely affect project objectives through time / cost / quality consequences.</t>
  </si>
  <si>
    <t>Establish controls for supplier failure, scarcity or long-lead delay; assign actions, verify evidence, and review residual exposure at each gate. Tailor the response to Pumped Storage, the Detailed Engineering gate, local law, interfaces, and the selected delivery model.</t>
  </si>
  <si>
    <t>GER-1401</t>
  </si>
  <si>
    <t>For a Onshore Wind EPC / Turnkey project in Europe, there is a risk during Feasibility &amp; Concept that port, customs, route or transport disruption, combined with insufficient planning, may adversely affect project objectives through time / cost consequences.</t>
  </si>
  <si>
    <t>Logistics &amp; Customs</t>
  </si>
  <si>
    <t>Establish controls for port, customs, route or transport disruption; assign actions, verify evidence, and review residual exposure at each gate. Tailor the response to Onshore Wind, the Feasibility &amp; Concept gate, local law, interfaces, and the selected delivery model.</t>
  </si>
  <si>
    <t>Logistics Manager</t>
  </si>
  <si>
    <t>GER-1402</t>
  </si>
  <si>
    <t>For a Biomass / Waste-to-Energy Installation project in Africa, there is a risk during FEED / Basic Design that port, customs, route or transport disruption, combined with insufficient planning,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</si>
  <si>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FEED / Basic Design gate, local law, interfaces, and the selected delivery model.</t>
  </si>
  <si>
    <t>GER-1403</t>
  </si>
  <si>
    <t>For a Oil &amp; Gas Upstream Operations &amp; Maintenance project in East Asia, there is a risk during Detailed Engineering that port, customs, route or transport disruption, combined with insufficient planning,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</si>
  <si>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Detailed Engineering gate, local law, interfaces, and the selected delivery model.</t>
  </si>
  <si>
    <t>GER-1404</t>
  </si>
  <si>
    <t>For a Offshore Wind Grid Interconnection project in North America, there is a risk during Procurement that port, customs, route or transport disruption, combined with insufficient planning,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</si>
  <si>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Procurement gate, local law, interfaces, and the selected delivery model.</t>
  </si>
  <si>
    <t>GER-1405</t>
  </si>
  <si>
    <t>For a Green Hydrogen R&amp;D / Technology Development project in Oceania, there is a risk during Manufacturing that port, customs, route or transport disruption, combined with insufficient planning,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</si>
  <si>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Manufacturing gate, local law, interfaces, and the selected delivery model.</t>
  </si>
  <si>
    <t>GER-1406</t>
  </si>
  <si>
    <t>For a Concentrated Solar Power EPCM project in Middle East, there is a risk during Detailed Engineering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</si>
  <si>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Detailed Engineering gate, local law, interfaces, and the selected delivery model.</t>
  </si>
  <si>
    <t>GER-1407</t>
  </si>
  <si>
    <t>For a Transmission &amp; Substations Commissioning &amp; Start-up project in South Asia, there is a risk during Procurement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</si>
  <si>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Procurement gate, local law, interfaces, and the selected delivery model.</t>
  </si>
  <si>
    <t>GER-1408</t>
  </si>
  <si>
    <t>For a Carbon Capture, Utilization &amp; Storage Decommissioning project in Southeast Asia, there is a risk during Manufacturing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</si>
  <si>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Manufacturing gate, local law, interfaces, and the selected delivery model.</t>
  </si>
  <si>
    <t>GER-1409</t>
  </si>
  <si>
    <t>For a Hydropower EPC / Turnkey project in Latin America, there is a risk during Construction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</si>
  <si>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Construction gate, local law, interfaces, and the selected delivery model.</t>
  </si>
  <si>
    <t>GER-1410</t>
  </si>
  <si>
    <t>For a Nuclear Power Installation project in Global / Multi-country, there is a risk during Installation that port, customs, route or transport disruption, combined with incomplete information,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</si>
  <si>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Installation gate, local law, interfaces, and the selected delivery model.</t>
  </si>
  <si>
    <t>GER-1411</t>
  </si>
  <si>
    <t>For a Geothermal R&amp;D / Technology Development project in Africa, there is a risk during Manufacturing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</si>
  <si>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Manufacturing gate, local law, interfaces, and the selected delivery model.</t>
  </si>
  <si>
    <t>GER-1412</t>
  </si>
  <si>
    <t>For a LNG Brownfield Modification project in East Asia, there is a risk during Construction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</si>
  <si>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LNG, the Construction gate, local law, interfaces, and the selected delivery model.</t>
  </si>
  <si>
    <t>GER-1413</t>
  </si>
  <si>
    <t>For a Onshore Wind Owner’s Engineering project in North America, there is a risk during Installation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</si>
  <si>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Onshore Wind, the Installation gate, local law, interfaces, and the selected delivery model.</t>
  </si>
  <si>
    <t>GER-1414</t>
  </si>
  <si>
    <t>For a Biomass / Waste-to-Energy EPCM project in Oceania, there is a risk during Pre-commissioning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</si>
  <si>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Pre-commissioning gate, local law, interfaces, and the selected delivery model.</t>
  </si>
  <si>
    <t>GER-1415</t>
  </si>
  <si>
    <t>For a Oil &amp; Gas Upstream Commissioning &amp; Start-up project in Europe, there is a risk during Commissioning that port, customs, route or transport disruption, combined with late decision-making,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</si>
  <si>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Commissioning gate, local law, interfaces, and the selected delivery model.</t>
  </si>
  <si>
    <t>GER-1416</t>
  </si>
  <si>
    <t>For a Battery Energy Storage Installation project in South Asia, there is a risk during Installation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</si>
  <si>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Installation gate, local law, interfaces, and the selected delivery model.</t>
  </si>
  <si>
    <t>GER-1417</t>
  </si>
  <si>
    <t>For a Coal / Thermal Power Operations &amp; Maintenance project in Southeast Asia, there is a risk during Pre-commissioning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</si>
  <si>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Pre-commissioning gate, local law, interfaces, and the selected delivery model.</t>
  </si>
  <si>
    <t>GER-1418</t>
  </si>
  <si>
    <t>For a Concentrated Solar Power Grid Interconnection project in Latin America, there is a risk during Commissioning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</si>
  <si>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Commissioning gate, local law, interfaces, and the selected delivery model.</t>
  </si>
  <si>
    <t>GER-1419</t>
  </si>
  <si>
    <t>For a Transmission &amp; Substations R&amp;D / Technology Development project in Global / Multi-country, there is a risk during Operations / Handover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</si>
  <si>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Operations / Handover gate, local law, interfaces, and the selected delivery model.</t>
  </si>
  <si>
    <t>GER-1420</t>
  </si>
  <si>
    <t>For a Carbon Capture, Utilization &amp; Storage Brownfield Modification project in Middle East, there is a risk during Feasibility &amp; Concept that port, customs, route or transport disruption, combined with weak controls,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</si>
  <si>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Feasibility &amp; Concept gate, local law, interfaces, and the selected delivery model.</t>
  </si>
  <si>
    <t>GER-1421</t>
  </si>
  <si>
    <t>For a Natural Gas / CCGT Commissioning &amp; Start-up project in East Asia, there is a risk during Commissioning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</si>
  <si>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Commissioning gate, local law, interfaces, and the selected delivery model.</t>
  </si>
  <si>
    <t>GER-1422</t>
  </si>
  <si>
    <t>For a Marine Energy Decommissioning project in North America, there is a risk during Operations / Handover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</si>
  <si>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Operations / Handover gate, local law, interfaces, and the selected delivery model.</t>
  </si>
  <si>
    <t>GER-1423</t>
  </si>
  <si>
    <t>For a Geothermal EPC / Turnkey project in Oceania, there is a risk during Feasibility &amp; Concept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</si>
  <si>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Feasibility &amp; Concept gate, local law, interfaces, and the selected delivery model.</t>
  </si>
  <si>
    <t>GER-1424</t>
  </si>
  <si>
    <t>For a LNG Installation project in Europe, there is a risk during FEED / Basic Design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</si>
  <si>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LNG, the FEED / Basic Design gate, local law, interfaces, and the selected delivery model.</t>
  </si>
  <si>
    <t>GER-1425</t>
  </si>
  <si>
    <t>For a Onshore Wind Operations &amp; Maintenance project in Africa, there is a risk during Detailed Engineering that port, customs, route or transport disruption, combined with resource constraints, may adversely affect project objectives through time / cost consequences.</t>
  </si>
  <si>
    <t>Establish controls for port, customs, route or transport disruption; assign actions, verify evidence, and review residual exposure at each gate. Tailor the response to Onshore Wind, the Detailed Engineering gate, local law, interfaces, and the selected delivery model.</t>
  </si>
  <si>
    <t>GER-1426</t>
  </si>
  <si>
    <t>For a Refining &amp; Petrochemicals Brownfield Modification project in Southeast Asia, there is a risk during Feasibility &amp; Concept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</si>
  <si>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Feasibility &amp; Concept gate, local law, interfaces, and the selected delivery model.</t>
  </si>
  <si>
    <t>GER-1427</t>
  </si>
  <si>
    <t>For a Solar PV Owner’s Engineering project in Latin America, there is a risk during FEED / Basic Design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</si>
  <si>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FEED / Basic Design gate, local law, interfaces, and the selected delivery model.</t>
  </si>
  <si>
    <t>GER-1428</t>
  </si>
  <si>
    <t>For a Battery Energy Storage EPCM project in Global / Multi-country, there is a risk during Detailed Engineering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</si>
  <si>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Detailed Engineering gate, local law, interfaces, and the selected delivery model.</t>
  </si>
  <si>
    <t>GER-1429</t>
  </si>
  <si>
    <t>For a Coal / Thermal Power Commissioning &amp; Start-up project in Middle East, there is a risk during Procurement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</si>
  <si>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Procurement gate, local law, interfaces, and the selected delivery model.</t>
  </si>
  <si>
    <t>GER-1430</t>
  </si>
  <si>
    <t>For a Concentrated Solar Power Decommissioning project in South Asia, there is a risk during Manufacturing that port, customs, route or transport disruption, combined with supplier dependency,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</si>
  <si>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Manufacturing gate, local law, interfaces, and the selected delivery model.</t>
  </si>
  <si>
    <t>GER-1431</t>
  </si>
  <si>
    <t>For a District Energy Operations &amp; Maintenance project in North America, there is a risk during Detailed Engineering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</si>
  <si>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Detailed Engineering gate, local law, interfaces, and the selected delivery model.</t>
  </si>
  <si>
    <t>GER-1432</t>
  </si>
  <si>
    <t>For a Pumped Storage Grid Interconnection project in Oceania, there is a risk during Procurement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</si>
  <si>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Procurement gate, local law, interfaces, and the selected delivery model.</t>
  </si>
  <si>
    <t>GER-1433</t>
  </si>
  <si>
    <t>For a Natural Gas / CCGT R&amp;D / Technology Development project in Europe, there is a risk during Manufacturing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</si>
  <si>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Manufacturing gate, local law, interfaces, and the selected delivery model.</t>
  </si>
  <si>
    <t>GER-1434</t>
  </si>
  <si>
    <t>For a Marine Energy Brownfield Modification project in Africa, there is a risk during Construction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</si>
  <si>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Construction gate, local law, interfaces, and the selected delivery model.</t>
  </si>
  <si>
    <t>GER-1435</t>
  </si>
  <si>
    <t>For a Geothermal Owner’s Engineering project in East Asia, there is a risk during Installation that port, customs, route or transport disruption, combined with interface complexity,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</si>
  <si>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Installation gate, local law, interfaces, and the selected delivery model.</t>
  </si>
  <si>
    <t>GER-1436</t>
  </si>
  <si>
    <t>For a Offshore Wind Decommissioning project in Latin America, there is a risk during Manufacturing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</si>
  <si>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Manufacturing gate, local law, interfaces, and the selected delivery model.</t>
  </si>
  <si>
    <t>GER-1437</t>
  </si>
  <si>
    <t>For a Green Hydrogen EPC / Turnkey project in Global / Multi-country, there is a risk during Construction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</si>
  <si>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Construction gate, local law, interfaces, and the selected delivery model.</t>
  </si>
  <si>
    <t>GER-1438</t>
  </si>
  <si>
    <t>For a Refining &amp; Petrochemicals Installation project in Middle East, there is a risk during Installation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</si>
  <si>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Installation gate, local law, interfaces, and the selected delivery model.</t>
  </si>
  <si>
    <t>GER-1439</t>
  </si>
  <si>
    <t>For a Solar PV Operations &amp; Maintenance project in South Asia, there is a risk during Pre-commissioning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</si>
  <si>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Pre-commissioning gate, local law, interfaces, and the selected delivery model.</t>
  </si>
  <si>
    <t>GER-1440</t>
  </si>
  <si>
    <t>For a Battery Energy Storage Grid Interconnection project in Southeast Asia, there is a risk during Commissioning that port, customs, route or transport disruption, combined with requirements volatility,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</si>
  <si>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Commissioning gate, local law, interfaces, and the selected delivery model.</t>
  </si>
  <si>
    <t>GER-1441</t>
  </si>
  <si>
    <t>For a Hydropower Owner’s Engineering project in Oceania, there is a risk during Installation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</si>
  <si>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Installation gate, local law, interfaces, and the selected delivery model.</t>
  </si>
  <si>
    <t>GER-1442</t>
  </si>
  <si>
    <t>For a Nuclear Power EPCM project in Europe, there is a risk during Pre-commissioning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</si>
  <si>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Pre-commissioning gate, local law, interfaces, and the selected delivery model.</t>
  </si>
  <si>
    <t>GER-1443</t>
  </si>
  <si>
    <t>For a District Energy Commissioning &amp; Start-up project in Africa, there is a risk during Commissioning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</si>
  <si>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Commissioning gate, local law, interfaces, and the selected delivery model.</t>
  </si>
  <si>
    <t>GER-1444</t>
  </si>
  <si>
    <t>For a Pumped Storage Decommissioning project in East Asia, there is a risk during Operations / Handover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</si>
  <si>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Operations / Handover gate, local law, interfaces, and the selected delivery model.</t>
  </si>
  <si>
    <t>GER-1445</t>
  </si>
  <si>
    <t>For a Natural Gas / CCGT EPC / Turnkey project in North America, there is a risk during Feasibility &amp; Concept that port, customs, route or transport disruption, combined with regulatory uncertainty,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</si>
  <si>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Feasibility &amp; Concept gate, local law, interfaces, and the selected delivery model.</t>
  </si>
  <si>
    <t>GER-1446</t>
  </si>
  <si>
    <t>For a Biomass / Waste-to-Energy Grid Interconnection project in Global / Multi-country, there is a risk during Commissioning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</si>
  <si>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Commissioning gate, local law, interfaces, and the selected delivery model.</t>
  </si>
  <si>
    <t>GER-1447</t>
  </si>
  <si>
    <t>For a Oil &amp; Gas Upstream R&amp;D / Technology Development project in Middle East, there is a risk during Operations / Handover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</si>
  <si>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Operations / Handover gate, local law, interfaces, and the selected delivery model.</t>
  </si>
  <si>
    <t>GER-1448</t>
  </si>
  <si>
    <t>For a Offshore Wind Brownfield Modification project in South Asia, there is a risk during Feasibility &amp; Concept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</si>
  <si>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Feasibility &amp; Concept gate, local law, interfaces, and the selected delivery model.</t>
  </si>
  <si>
    <t>GER-1449</t>
  </si>
  <si>
    <t>For a Green Hydrogen Owner’s Engineering project in Southeast Asia, there is a risk during FEED / Basic Design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</si>
  <si>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FEED / Basic Design gate, local law, interfaces, and the selected delivery model.</t>
  </si>
  <si>
    <t>GER-1450</t>
  </si>
  <si>
    <t>For a Refining &amp; Petrochemicals EPCM project in Latin America, there is a risk during Detailed Engineering that port, customs, route or transport disruption, combined with inadequate verification,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</si>
  <si>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Detailed Engineering gate, local law, interfaces, and the selected delivery model.</t>
  </si>
  <si>
    <t>GER-1451</t>
  </si>
  <si>
    <t>For a Transmission &amp; Substations EPC / Turnkey project in Europe, there is a risk during Feasibility &amp; Concept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</si>
  <si>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Feasibility &amp; Concept gate, local law, interfaces, and the selected delivery model.</t>
  </si>
  <si>
    <t>GER-1452</t>
  </si>
  <si>
    <t>For a Carbon Capture, Utilization &amp; Storage Installation project in Africa, there is a risk during FEED / Basic Design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</si>
  <si>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FEED / Basic Design gate, local law, interfaces, and the selected delivery model.</t>
  </si>
  <si>
    <t>GER-1453</t>
  </si>
  <si>
    <t>For a Hydropower Operations &amp; Maintenance project in East Asia, there is a risk during Detailed Engineering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</si>
  <si>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Detailed Engineering gate, local law, interfaces, and the selected delivery model.</t>
  </si>
  <si>
    <t>GER-1454</t>
  </si>
  <si>
    <t>For a Nuclear Power Grid Interconnection project in North America, there is a risk during Procurement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</si>
  <si>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Procurement gate, local law, interfaces, and the selected delivery model.</t>
  </si>
  <si>
    <t>GER-1455</t>
  </si>
  <si>
    <t>For a District Energy R&amp;D / Technology Development project in Oceania, there is a risk during Manufacturing that port, customs, route or transport disruption, combined with poor communication,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</si>
  <si>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Manufacturing gate, local law, interfaces, and the selected delivery model.</t>
  </si>
  <si>
    <t>GER-1456</t>
  </si>
  <si>
    <t>For a LNG EPCM project in Middle East, there is a risk during Detailed Engineering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</si>
  <si>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LNG, the Detailed Engineering gate, local law, interfaces, and the selected delivery model.</t>
  </si>
  <si>
    <t>GER-1457</t>
  </si>
  <si>
    <t>For a Onshore Wind Commissioning &amp; Start-up project in South Asia, there is a risk during Procurement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</si>
  <si>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Onshore Wind, the Procurement gate, local law, interfaces, and the selected delivery model.</t>
  </si>
  <si>
    <t>GER-1458</t>
  </si>
  <si>
    <t>For a Biomass / Waste-to-Energy Decommissioning project in Southeast Asia, there is a risk during Manufacturing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</si>
  <si>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Manufacturing gate, local law, interfaces, and the selected delivery model.</t>
  </si>
  <si>
    <t>GER-1459</t>
  </si>
  <si>
    <t>For a Oil &amp; Gas Upstream EPC / Turnkey project in Latin America, there is a risk during Construction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</si>
  <si>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Construction gate, local law, interfaces, and the selected delivery model.</t>
  </si>
  <si>
    <t>GER-1460</t>
  </si>
  <si>
    <t>For a Offshore Wind Installation project in Global / Multi-country, there is a risk during Installation that port, customs, route or transport disruption, combined with incorrect assumptions,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</si>
  <si>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Installation gate, local law, interfaces, and the selected delivery model.</t>
  </si>
  <si>
    <t>GER-1461</t>
  </si>
  <si>
    <t>For a Coal / Thermal Power R&amp;D / Technology Development project in Africa, there is a risk during Manufacturing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</si>
  <si>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Manufacturing gate, local law, interfaces, and the selected delivery model.</t>
  </si>
  <si>
    <t>GER-1462</t>
  </si>
  <si>
    <t>For a Concentrated Solar Power Brownfield Modification project in East Asia, there is a risk during Construction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</si>
  <si>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Construction gate, local law, interfaces, and the selected delivery model.</t>
  </si>
  <si>
    <t>GER-1463</t>
  </si>
  <si>
    <t>For a Transmission &amp; Substations Owner’s Engineering project in North America, there is a risk during Installation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</si>
  <si>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Installation gate, local law, interfaces, and the selected delivery model.</t>
  </si>
  <si>
    <t>GER-1464</t>
  </si>
  <si>
    <t>For a Carbon Capture, Utilization &amp; Storage EPCM project in Oceania, there is a risk during Pre-commissioning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</si>
  <si>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Pre-commissioning gate, local law, interfaces, and the selected delivery model.</t>
  </si>
  <si>
    <t>GER-1465</t>
  </si>
  <si>
    <t>For a Hydropower Commissioning &amp; Start-up project in Europe, there is a risk during Commissioning that port, customs, route or transport disruption, combined with low technical maturity,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</si>
  <si>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Commissioning gate, local law, interfaces, and the selected delivery model.</t>
  </si>
  <si>
    <t>GER-1466</t>
  </si>
  <si>
    <t>For a Marine Energy Installation project in South Asia, there is a risk during Installation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</si>
  <si>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Installation gate, local law, interfaces, and the selected delivery model.</t>
  </si>
  <si>
    <t>GER-1467</t>
  </si>
  <si>
    <t>For a Geothermal Operations &amp; Maintenance project in Southeast Asia, there is a risk during Pre-commissioning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</si>
  <si>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Pre-commissioning gate, local law, interfaces, and the selected delivery model.</t>
  </si>
  <si>
    <t>GER-1468</t>
  </si>
  <si>
    <t>For a LNG Grid Interconnection project in Latin America, there is a risk during Commissioning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</si>
  <si>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LNG, the Commissioning gate, local law, interfaces, and the selected delivery model.</t>
  </si>
  <si>
    <t>GER-1469</t>
  </si>
  <si>
    <t>For a Onshore Wind R&amp;D / Technology Development project in Global / Multi-country, there is a risk during Operations / Handover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</si>
  <si>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Onshore Wind, the Operations / Handover gate, local law, interfaces, and the selected delivery model.</t>
  </si>
  <si>
    <t>GER-1470</t>
  </si>
  <si>
    <t>For a Biomass / Waste-to-Energy Brownfield Modification project in Middle East, there is a risk during Feasibility &amp; Concept that port, customs, route or transport disruption, combined with documentation gaps, may adversely affect project objectives through time / cost consequences.</t>
  </si>
  <si>
    <t>Establish controls for port, customs, route or transport disruption; assign actions, verify evidence, and review residual exposure at each gate. Tailor the response to Biomass / Waste-to-Energy, the Feasibility &amp; Concept gate, local law, interfaces, and the selected delivery model.</t>
  </si>
  <si>
    <t>GER-1471</t>
  </si>
  <si>
    <t>For a Solar PV Commissioning &amp; Start-up project in East Asia, there is a risk during Commissioning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</si>
  <si>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Commissioning gate, local law, interfaces, and the selected delivery model.</t>
  </si>
  <si>
    <t>GER-1472</t>
  </si>
  <si>
    <t>For a Battery Energy Storage Decommissioning project in North America, there is a risk during Operations / Handover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</si>
  <si>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Operations / Handover gate, local law, interfaces, and the selected delivery model.</t>
  </si>
  <si>
    <t>GER-1473</t>
  </si>
  <si>
    <t>For a Coal / Thermal Power EPC / Turnkey project in Oceania, there is a risk during Feasibility &amp; Concept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</si>
  <si>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Feasibility &amp; Concept gate, local law, interfaces, and the selected delivery model.</t>
  </si>
  <si>
    <t>GER-1474</t>
  </si>
  <si>
    <t>For a Concentrated Solar Power Installation project in Europe, there is a risk during FEED / Basic Design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</si>
  <si>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Concentrated Solar Power, the FEED / Basic Design gate, local law, interfaces, and the selected delivery model.</t>
  </si>
  <si>
    <t>GER-1475</t>
  </si>
  <si>
    <t>For a Transmission &amp; Substations Operations &amp; Maintenance project in Africa, there is a risk during Detailed Engineering that port, customs, route or transport disruption, combined with external disruption, may adversely affect project objectives through time / cost consequences.</t>
  </si>
  <si>
    <t>Establish controls for port, customs, route or transport disruption; assign actions, verify evidence, and review residual exposure at each gate. Tailor the response to Transmission &amp; Substations, the Detailed Engineering gate, local law, interfaces, and the selected delivery model.</t>
  </si>
  <si>
    <t>GER-1476</t>
  </si>
  <si>
    <t>For a Pumped Storage Brownfield Modification project in Southeast Asia, there is a risk during Feasibility &amp; Concept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</si>
  <si>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Feasibility &amp; Concept gate, local law, interfaces, and the selected delivery model.</t>
  </si>
  <si>
    <t>GER-1477</t>
  </si>
  <si>
    <t>For a Natural Gas / CCGT Owner’s Engineering project in Latin America, there is a risk during FEED / Basic Design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</si>
  <si>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FEED / Basic Design gate, local law, interfaces, and the selected delivery model.</t>
  </si>
  <si>
    <t>GER-1478</t>
  </si>
  <si>
    <t>For a Marine Energy EPCM project in Global / Multi-country, there is a risk during Detailed Engineering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</si>
  <si>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Detailed Engineering gate, local law, interfaces, and the selected delivery model.</t>
  </si>
  <si>
    <t>GER-1479</t>
  </si>
  <si>
    <t>For a Geothermal Commissioning &amp; Start-up project in Middle East, there is a risk during Procurement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</si>
  <si>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Geothermal, the Procurement gate, local law, interfaces, and the selected delivery model.</t>
  </si>
  <si>
    <t>GER-1480</t>
  </si>
  <si>
    <t>For a LNG Decommissioning project in South Asia, there is a risk during Manufacturing that port, customs, route or transport disruption, combined with governance delay, may adversely affect project objectives through time / cost consequences.</t>
  </si>
  <si>
    <t>Establish controls for port, customs, route or transport disruption; assign actions, verify evidence, and review residual exposure at each gate. Tailor the response to LNG, the Manufacturing gate, local law, interfaces, and the selected delivery model.</t>
  </si>
  <si>
    <t>GER-1481</t>
  </si>
  <si>
    <t>For a Green Hydrogen Operations &amp; Maintenance project in North America, there is a risk during Detailed Engineering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</si>
  <si>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Detailed Engineering gate, local law, interfaces, and the selected delivery model.</t>
  </si>
  <si>
    <t>GER-1482</t>
  </si>
  <si>
    <t>For a Refining &amp; Petrochemicals Grid Interconnection project in Oceania, there is a risk during Procurement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</si>
  <si>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Procurement gate, local law, interfaces, and the selected delivery model.</t>
  </si>
  <si>
    <t>GER-1483</t>
  </si>
  <si>
    <t>For a Solar PV R&amp;D / Technology Development project in Europe, there is a risk during Manufacturing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</si>
  <si>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Manufacturing gate, local law, interfaces, and the selected delivery model.</t>
  </si>
  <si>
    <t>GER-1484</t>
  </si>
  <si>
    <t>For a Battery Energy Storage Brownfield Modification project in Africa, there is a risk during Construction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</si>
  <si>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Battery Energy Storage, the Construction gate, local law, interfaces, and the selected delivery model.</t>
  </si>
  <si>
    <t>GER-1485</t>
  </si>
  <si>
    <t>For a Coal / Thermal Power Owner’s Engineering project in East Asia, there is a risk during Installation that port, customs, route or transport disruption, combined with commercial misalignment, may adversely affect project objectives through time / cost consequences.</t>
  </si>
  <si>
    <t>Establish controls for port, customs, route or transport disruption; assign actions, verify evidence, and review residual exposure at each gate. Tailor the response to Coal / Thermal Power, the Installation gate, local law, interfaces, and the selected delivery model.</t>
  </si>
  <si>
    <t>GER-1486</t>
  </si>
  <si>
    <t>For a Nuclear Power Decommissioning project in Latin America, there is a risk during Manufacturing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</si>
  <si>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Manufacturing gate, local law, interfaces, and the selected delivery model.</t>
  </si>
  <si>
    <t>GER-1487</t>
  </si>
  <si>
    <t>For a District Energy EPC / Turnkey project in Global / Multi-country, there is a risk during Construction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</si>
  <si>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Construction gate, local law, interfaces, and the selected delivery model.</t>
  </si>
  <si>
    <t>GER-1488</t>
  </si>
  <si>
    <t>For a Pumped Storage Installation project in Middle East, there is a risk during Installation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</si>
  <si>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Installation gate, local law, interfaces, and the selected delivery model.</t>
  </si>
  <si>
    <t>GER-1489</t>
  </si>
  <si>
    <t>For a Natural Gas / CCGT Operations &amp; Maintenance project in South Asia, there is a risk during Pre-commissioning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</si>
  <si>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Natural Gas / CCGT, the Pre-commissioning gate, local law, interfaces, and the selected delivery model.</t>
  </si>
  <si>
    <t>GER-1490</t>
  </si>
  <si>
    <t>For a Marine Energy Grid Interconnection project in Southeast Asia, there is a risk during Commissioning that port, customs, route or transport disruption, combined with quality escape, may adversely affect project objectives through time / cost consequences.</t>
  </si>
  <si>
    <t>Establish controls for port, customs, route or transport disruption; assign actions, verify evidence, and review residual exposure at each gate. Tailor the response to Marine Energy, the Commissioning gate, local law, interfaces, and the selected delivery model.</t>
  </si>
  <si>
    <t>GER-1491</t>
  </si>
  <si>
    <t>For a Oil &amp; Gas Upstream Owner’s Engineering project in Oceania, there is a risk during Installation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</si>
  <si>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Oil &amp; Gas Upstream, the Installation gate, local law, interfaces, and the selected delivery model.</t>
  </si>
  <si>
    <t>GER-1492</t>
  </si>
  <si>
    <t>For a Offshore Wind EPCM project in Europe, there is a risk during Pre-commissioning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</si>
  <si>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Offshore Wind, the Pre-commissioning gate, local law, interfaces, and the selected delivery model.</t>
  </si>
  <si>
    <t>GER-1493</t>
  </si>
  <si>
    <t>For a Green Hydrogen Commissioning &amp; Start-up project in Africa, there is a risk during Commissioning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</si>
  <si>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Green Hydrogen, the Commissioning gate, local law, interfaces, and the selected delivery model.</t>
  </si>
  <si>
    <t>GER-1494</t>
  </si>
  <si>
    <t>For a Refining &amp; Petrochemicals Decommissioning project in East Asia, there is a risk during Operations / Handover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</si>
  <si>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Refining &amp; Petrochemicals, the Operations / Handover gate, local law, interfaces, and the selected delivery model.</t>
  </si>
  <si>
    <t>GER-1495</t>
  </si>
  <si>
    <t>For a Solar PV EPC / Turnkey project in North America, there is a risk during Feasibility &amp; Concept that port, customs, route or transport disruption, combined with access constraint, may adversely affect project objectives through time / cost consequences.</t>
  </si>
  <si>
    <t>Establish controls for port, customs, route or transport disruption; assign actions, verify evidence, and review residual exposure at each gate. Tailor the response to Solar PV, the Feasibility &amp; Concept gate, local law, interfaces, and the selected delivery model.</t>
  </si>
  <si>
    <t>GER-1496</t>
  </si>
  <si>
    <t>For a Carbon Capture, Utilization &amp; Storage Grid Interconnection project in Global / Multi-country, there is a risk during Commissioning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</si>
  <si>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Carbon Capture, Utilization &amp; Storage, the Commissioning gate, local law, interfaces, and the selected delivery model.</t>
  </si>
  <si>
    <t>GER-1497</t>
  </si>
  <si>
    <t>For a Hydropower R&amp;D / Technology Development project in Middle East, there is a risk during Operations / Handover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</si>
  <si>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Hydropower, the Operations / Handover gate, local law, interfaces, and the selected delivery model.</t>
  </si>
  <si>
    <t>GER-1498</t>
  </si>
  <si>
    <t>For a Nuclear Power Brownfield Modification project in South Asia, there is a risk during Feasibility &amp; Concept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</si>
  <si>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Nuclear Power, the Feasibility &amp; Concept gate, local law, interfaces, and the selected delivery model.</t>
  </si>
  <si>
    <t>GER-1499</t>
  </si>
  <si>
    <t>For a District Energy Owner’s Engineering project in Southeast Asia, there is a risk during FEED / Basic Design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</si>
  <si>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District Energy, the FEED / Basic Design gate, local law, interfaces, and the selected delivery model.</t>
  </si>
  <si>
    <t>GER-1500</t>
  </si>
  <si>
    <t>For a Pumped Storage EPCM project in Latin America, there is a risk during Detailed Engineering that port, customs, route or transport disruption, combined with performance variability, may adversely affect project objectives through time / cost consequences.</t>
  </si>
  <si>
    <t>Establish controls for port, customs, route or transport disruption; assign actions, verify evidence, and review residual exposure at each gate. Tailor the response to Pumped Storage, the Detailed Engineering gate, local law, interfaces, and the selected delivery model.</t>
  </si>
  <si>
    <t>GER-1501</t>
  </si>
  <si>
    <t>For a Onshore Wind EPC / Turnkey project in Europe, there is a risk during Feasibility &amp; Concept that skill shortage, turnover or low productivity, combined with insufficient planning, may adversely affect project objectives through time / cost / quality / hse consequences.</t>
  </si>
  <si>
    <t>Labour &amp; Skills</t>
  </si>
  <si>
    <t>Time / Cost / Quality / HSE</t>
  </si>
  <si>
    <t>Establish controls for skill shortage, turnover or low productivity; assign actions, verify evidence, and review residual exposure at each gate. Tailor the response to Onshore Wind, the Feasibility &amp; Concept gate, local law, interfaces, and the selected delivery model.</t>
  </si>
  <si>
    <t>GER-1502</t>
  </si>
  <si>
    <t>For a Biomass / Waste-to-Energy Installation project in Africa, there is a risk during FEED / Basic Design that skill shortage, turnover or low productivity, combined with insufficient planning,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</si>
  <si>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FEED / Basic Design gate, local law, interfaces, and the selected delivery model.</t>
  </si>
  <si>
    <t>GER-1503</t>
  </si>
  <si>
    <t>For a Oil &amp; Gas Upstream Operations &amp; Maintenance project in East Asia, there is a risk during Detailed Engineering that skill shortage, turnover or low productivity, combined with insufficient planning,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</si>
  <si>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Detailed Engineering gate, local law, interfaces, and the selected delivery model.</t>
  </si>
  <si>
    <t>GER-1504</t>
  </si>
  <si>
    <t>For a Offshore Wind Grid Interconnection project in North America, there is a risk during Procurement that skill shortage, turnover or low productivity, combined with insufficient planning,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</si>
  <si>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Procurement gate, local law, interfaces, and the selected delivery model.</t>
  </si>
  <si>
    <t>GER-1505</t>
  </si>
  <si>
    <t>For a Green Hydrogen R&amp;D / Technology Development project in Oceania, there is a risk during Manufacturing that skill shortage, turnover or low productivity, combined with insufficient planning,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</si>
  <si>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Manufacturing gate, local law, interfaces, and the selected delivery model.</t>
  </si>
  <si>
    <t>GER-1506</t>
  </si>
  <si>
    <t>For a Concentrated Solar Power EPCM project in Middle East, there is a risk during Detailed Engineering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</si>
  <si>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Detailed Engineering gate, local law, interfaces, and the selected delivery model.</t>
  </si>
  <si>
    <t>GER-1507</t>
  </si>
  <si>
    <t>For a Transmission &amp; Substations Commissioning &amp; Start-up project in South Asia, there is a risk during Procurement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</si>
  <si>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Procurement gate, local law, interfaces, and the selected delivery model.</t>
  </si>
  <si>
    <t>GER-1508</t>
  </si>
  <si>
    <t>For a Carbon Capture, Utilization &amp; Storage Decommissioning project in Southeast Asia, there is a risk during Manufacturing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</si>
  <si>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Manufacturing gate, local law, interfaces, and the selected delivery model.</t>
  </si>
  <si>
    <t>GER-1509</t>
  </si>
  <si>
    <t>For a Hydropower EPC / Turnkey project in Latin America, there is a risk during Construction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</si>
  <si>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Construction gate, local law, interfaces, and the selected delivery model.</t>
  </si>
  <si>
    <t>GER-1510</t>
  </si>
  <si>
    <t>For a Nuclear Power Installation project in Global / Multi-country, there is a risk during Installation that skill shortage, turnover or low productivity, combined with incomplete information,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</si>
  <si>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Installation gate, local law, interfaces, and the selected delivery model.</t>
  </si>
  <si>
    <t>GER-1511</t>
  </si>
  <si>
    <t>For a Geothermal R&amp;D / Technology Development project in Africa, there is a risk during Manufacturing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</si>
  <si>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Manufacturing gate, local law, interfaces, and the selected delivery model.</t>
  </si>
  <si>
    <t>GER-1512</t>
  </si>
  <si>
    <t>For a LNG Brownfield Modification project in East Asia, there is a risk during Construction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</si>
  <si>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Construction gate, local law, interfaces, and the selected delivery model.</t>
  </si>
  <si>
    <t>GER-1513</t>
  </si>
  <si>
    <t>For a Onshore Wind Owner’s Engineering project in North America, there is a risk during Installation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</si>
  <si>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Onshore Wind, the Installation gate, local law, interfaces, and the selected delivery model.</t>
  </si>
  <si>
    <t>GER-1514</t>
  </si>
  <si>
    <t>For a Biomass / Waste-to-Energy EPCM project in Oceania, there is a risk during Pre-commissioning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</si>
  <si>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Pre-commissioning gate, local law, interfaces, and the selected delivery model.</t>
  </si>
  <si>
    <t>GER-1515</t>
  </si>
  <si>
    <t>For a Oil &amp; Gas Upstream Commissioning &amp; Start-up project in Europe, there is a risk during Commissioning that skill shortage, turnover or low productivity, combined with late decision-making,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</si>
  <si>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Commissioning gate, local law, interfaces, and the selected delivery model.</t>
  </si>
  <si>
    <t>GER-1516</t>
  </si>
  <si>
    <t>For a Battery Energy Storage Installation project in South Asia, there is a risk during Installation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</si>
  <si>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Installation gate, local law, interfaces, and the selected delivery model.</t>
  </si>
  <si>
    <t>GER-1517</t>
  </si>
  <si>
    <t>For a Coal / Thermal Power Operations &amp; Maintenance project in Southeast Asia, there is a risk during Pre-commissioning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</si>
  <si>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Pre-commissioning gate, local law, interfaces, and the selected delivery model.</t>
  </si>
  <si>
    <t>GER-1518</t>
  </si>
  <si>
    <t>For a Concentrated Solar Power Grid Interconnection project in Latin America, there is a risk during Commissioning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</si>
  <si>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Commissioning gate, local law, interfaces, and the selected delivery model.</t>
  </si>
  <si>
    <t>GER-1519</t>
  </si>
  <si>
    <t>For a Transmission &amp; Substations R&amp;D / Technology Development project in Global / Multi-country, there is a risk during Operations / Handover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</si>
  <si>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Operations / Handover gate, local law, interfaces, and the selected delivery model.</t>
  </si>
  <si>
    <t>GER-1520</t>
  </si>
  <si>
    <t>For a Carbon Capture, Utilization &amp; Storage Brownfield Modification project in Middle East, there is a risk during Feasibility &amp; Concept that skill shortage, turnover or low productivity, combined with weak controls,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</si>
  <si>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Feasibility &amp; Concept gate, local law, interfaces, and the selected delivery model.</t>
  </si>
  <si>
    <t>GER-1521</t>
  </si>
  <si>
    <t>For a Natural Gas / CCGT Commissioning &amp; Start-up project in East Asia, there is a risk during Commissioning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</si>
  <si>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Commissioning gate, local law, interfaces, and the selected delivery model.</t>
  </si>
  <si>
    <t>GER-1522</t>
  </si>
  <si>
    <t>For a Marine Energy Decommissioning project in North America, there is a risk during Operations / Handover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</si>
  <si>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Operations / Handover gate, local law, interfaces, and the selected delivery model.</t>
  </si>
  <si>
    <t>GER-1523</t>
  </si>
  <si>
    <t>For a Geothermal EPC / Turnkey project in Oceania, there is a risk during Feasibility &amp; Concept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</si>
  <si>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Feasibility &amp; Concept gate, local law, interfaces, and the selected delivery model.</t>
  </si>
  <si>
    <t>GER-1524</t>
  </si>
  <si>
    <t>For a LNG Installation project in Europe, there is a risk during FEED / Basic Design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</si>
  <si>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FEED / Basic Design gate, local law, interfaces, and the selected delivery model.</t>
  </si>
  <si>
    <t>GER-1525</t>
  </si>
  <si>
    <t>For a Onshore Wind Operations &amp; Maintenance project in Africa, there is a risk during Detailed Engineering that skill shortage, turnover or low productivity, combined with resource constraints,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</si>
  <si>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Onshore Wind, the Detailed Engineering gate, local law, interfaces, and the selected delivery model.</t>
  </si>
  <si>
    <t>GER-1526</t>
  </si>
  <si>
    <t>For a Refining &amp; Petrochemicals Brownfield Modification project in Southeast Asia, there is a risk during Feasibility &amp; Concept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</si>
  <si>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Feasibility &amp; Concept gate, local law, interfaces, and the selected delivery model.</t>
  </si>
  <si>
    <t>GER-1527</t>
  </si>
  <si>
    <t>For a Solar PV Owner’s Engineering project in Latin America, there is a risk during FEED / Basic Design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</si>
  <si>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FEED / Basic Design gate, local law, interfaces, and the selected delivery model.</t>
  </si>
  <si>
    <t>GER-1528</t>
  </si>
  <si>
    <t>For a Battery Energy Storage EPCM project in Global / Multi-country, there is a risk during Detailed Engineering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</si>
  <si>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Detailed Engineering gate, local law, interfaces, and the selected delivery model.</t>
  </si>
  <si>
    <t>GER-1529</t>
  </si>
  <si>
    <t>For a Coal / Thermal Power Commissioning &amp; Start-up project in Middle East, there is a risk during Procurement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</si>
  <si>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Procurement gate, local law, interfaces, and the selected delivery model.</t>
  </si>
  <si>
    <t>GER-1530</t>
  </si>
  <si>
    <t>For a Concentrated Solar Power Decommissioning project in South Asia, there is a risk during Manufacturing that skill shortage, turnover or low productivity, combined with supplier dependency,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</si>
  <si>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Manufacturing gate, local law, interfaces, and the selected delivery model.</t>
  </si>
  <si>
    <t>GER-1531</t>
  </si>
  <si>
    <t>For a District Energy Operations &amp; Maintenance project in North America, there is a risk during Detailed Engineering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</si>
  <si>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Detailed Engineering gate, local law, interfaces, and the selected delivery model.</t>
  </si>
  <si>
    <t>GER-1532</t>
  </si>
  <si>
    <t>For a Pumped Storage Grid Interconnection project in Oceania, there is a risk during Procurement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</si>
  <si>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Procurement gate, local law, interfaces, and the selected delivery model.</t>
  </si>
  <si>
    <t>GER-1533</t>
  </si>
  <si>
    <t>For a Natural Gas / CCGT R&amp;D / Technology Development project in Europe, there is a risk during Manufacturing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</si>
  <si>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Manufacturing gate, local law, interfaces, and the selected delivery model.</t>
  </si>
  <si>
    <t>GER-1534</t>
  </si>
  <si>
    <t>For a Marine Energy Brownfield Modification project in Africa, there is a risk during Construction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</si>
  <si>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Construction gate, local law, interfaces, and the selected delivery model.</t>
  </si>
  <si>
    <t>GER-1535</t>
  </si>
  <si>
    <t>For a Geothermal Owner’s Engineering project in East Asia, there is a risk during Installation that skill shortage, turnover or low productivity, combined with interface complexity,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</si>
  <si>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Installation gate, local law, interfaces, and the selected delivery model.</t>
  </si>
  <si>
    <t>GER-1536</t>
  </si>
  <si>
    <t>For a Offshore Wind Decommissioning project in Latin America, there is a risk during Manufacturing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</si>
  <si>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Manufacturing gate, local law, interfaces, and the selected delivery model.</t>
  </si>
  <si>
    <t>GER-1537</t>
  </si>
  <si>
    <t>For a Green Hydrogen EPC / Turnkey project in Global / Multi-country, there is a risk during Construction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</si>
  <si>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Construction gate, local law, interfaces, and the selected delivery model.</t>
  </si>
  <si>
    <t>GER-1538</t>
  </si>
  <si>
    <t>For a Refining &amp; Petrochemicals Installation project in Middle East, there is a risk during Installation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</si>
  <si>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Installation gate, local law, interfaces, and the selected delivery model.</t>
  </si>
  <si>
    <t>GER-1539</t>
  </si>
  <si>
    <t>For a Solar PV Operations &amp; Maintenance project in South Asia, there is a risk during Pre-commissioning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</si>
  <si>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Pre-commissioning gate, local law, interfaces, and the selected delivery model.</t>
  </si>
  <si>
    <t>GER-1540</t>
  </si>
  <si>
    <t>For a Battery Energy Storage Grid Interconnection project in Southeast Asia, there is a risk during Commissioning that skill shortage, turnover or low productivity, combined with requirements volatility,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</si>
  <si>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Commissioning gate, local law, interfaces, and the selected delivery model.</t>
  </si>
  <si>
    <t>GER-1541</t>
  </si>
  <si>
    <t>For a Hydropower Owner’s Engineering project in Oceania, there is a risk during Installation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</si>
  <si>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Installation gate, local law, interfaces, and the selected delivery model.</t>
  </si>
  <si>
    <t>GER-1542</t>
  </si>
  <si>
    <t>For a Nuclear Power EPCM project in Europe, there is a risk during Pre-commissioning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</si>
  <si>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Pre-commissioning gate, local law, interfaces, and the selected delivery model.</t>
  </si>
  <si>
    <t>GER-1543</t>
  </si>
  <si>
    <t>For a District Energy Commissioning &amp; Start-up project in Africa, there is a risk during Commissioning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</si>
  <si>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Commissioning gate, local law, interfaces, and the selected delivery model.</t>
  </si>
  <si>
    <t>GER-1544</t>
  </si>
  <si>
    <t>For a Pumped Storage Decommissioning project in East Asia, there is a risk during Operations / Handover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</si>
  <si>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Operations / Handover gate, local law, interfaces, and the selected delivery model.</t>
  </si>
  <si>
    <t>GER-1545</t>
  </si>
  <si>
    <t>For a Natural Gas / CCGT EPC / Turnkey project in North America, there is a risk during Feasibility &amp; Concept that skill shortage, turnover or low productivity, combined with regulatory uncertainty,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</si>
  <si>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Feasibility &amp; Concept gate, local law, interfaces, and the selected delivery model.</t>
  </si>
  <si>
    <t>GER-1546</t>
  </si>
  <si>
    <t>For a Biomass / Waste-to-Energy Grid Interconnection project in Global / Multi-country, there is a risk during Commissioning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</si>
  <si>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Commissioning gate, local law, interfaces, and the selected delivery model.</t>
  </si>
  <si>
    <t>GER-1547</t>
  </si>
  <si>
    <t>For a Oil &amp; Gas Upstream R&amp;D / Technology Development project in Middle East, there is a risk during Operations / Handover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</si>
  <si>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Operations / Handover gate, local law, interfaces, and the selected delivery model.</t>
  </si>
  <si>
    <t>GER-1548</t>
  </si>
  <si>
    <t>For a Offshore Wind Brownfield Modification project in South Asia, there is a risk during Feasibility &amp; Concept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</si>
  <si>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Feasibility &amp; Concept gate, local law, interfaces, and the selected delivery model.</t>
  </si>
  <si>
    <t>GER-1549</t>
  </si>
  <si>
    <t>For a Green Hydrogen Owner’s Engineering project in Southeast Asia, there is a risk during FEED / Basic Design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</si>
  <si>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FEED / Basic Design gate, local law, interfaces, and the selected delivery model.</t>
  </si>
  <si>
    <t>GER-1550</t>
  </si>
  <si>
    <t>For a Refining &amp; Petrochemicals EPCM project in Latin America, there is a risk during Detailed Engineering that skill shortage, turnover or low productivity, combined with inadequate verification,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</si>
  <si>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Detailed Engineering gate, local law, interfaces, and the selected delivery model.</t>
  </si>
  <si>
    <t>GER-1551</t>
  </si>
  <si>
    <t>For a Transmission &amp; Substations EPC / Turnkey project in Europe, there is a risk during Feasibility &amp; Concept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</si>
  <si>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Feasibility &amp; Concept gate, local law, interfaces, and the selected delivery model.</t>
  </si>
  <si>
    <t>GER-1552</t>
  </si>
  <si>
    <t>For a Carbon Capture, Utilization &amp; Storage Installation project in Africa, there is a risk during FEED / Basic Design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</si>
  <si>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FEED / Basic Design gate, local law, interfaces, and the selected delivery model.</t>
  </si>
  <si>
    <t>GER-1553</t>
  </si>
  <si>
    <t>For a Hydropower Operations &amp; Maintenance project in East Asia, there is a risk during Detailed Engineering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</si>
  <si>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Detailed Engineering gate, local law, interfaces, and the selected delivery model.</t>
  </si>
  <si>
    <t>GER-1554</t>
  </si>
  <si>
    <t>For a Nuclear Power Grid Interconnection project in North America, there is a risk during Procurement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</si>
  <si>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Procurement gate, local law, interfaces, and the selected delivery model.</t>
  </si>
  <si>
    <t>GER-1555</t>
  </si>
  <si>
    <t>For a District Energy R&amp;D / Technology Development project in Oceania, there is a risk during Manufacturing that skill shortage, turnover or low productivity, combined with poor communication,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</si>
  <si>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Manufacturing gate, local law, interfaces, and the selected delivery model.</t>
  </si>
  <si>
    <t>GER-1556</t>
  </si>
  <si>
    <t>For a LNG EPCM project in Middle East, there is a risk during Detailed Engineering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</si>
  <si>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Detailed Engineering gate, local law, interfaces, and the selected delivery model.</t>
  </si>
  <si>
    <t>GER-1557</t>
  </si>
  <si>
    <t>For a Onshore Wind Commissioning &amp; Start-up project in South Asia, there is a risk during Procurement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</si>
  <si>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Onshore Wind, the Procurement gate, local law, interfaces, and the selected delivery model.</t>
  </si>
  <si>
    <t>GER-1558</t>
  </si>
  <si>
    <t>For a Biomass / Waste-to-Energy Decommissioning project in Southeast Asia, there is a risk during Manufacturing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</si>
  <si>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Manufacturing gate, local law, interfaces, and the selected delivery model.</t>
  </si>
  <si>
    <t>GER-1559</t>
  </si>
  <si>
    <t>For a Oil &amp; Gas Upstream EPC / Turnkey project in Latin America, there is a risk during Construction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</si>
  <si>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Construction gate, local law, interfaces, and the selected delivery model.</t>
  </si>
  <si>
    <t>GER-1560</t>
  </si>
  <si>
    <t>For a Offshore Wind Installation project in Global / Multi-country, there is a risk during Installation that skill shortage, turnover or low productivity, combined with incorrect assumptions,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</si>
  <si>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Installation gate, local law, interfaces, and the selected delivery model.</t>
  </si>
  <si>
    <t>GER-1561</t>
  </si>
  <si>
    <t>For a Coal / Thermal Power R&amp;D / Technology Development project in Africa, there is a risk during Manufacturing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</si>
  <si>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Manufacturing gate, local law, interfaces, and the selected delivery model.</t>
  </si>
  <si>
    <t>GER-1562</t>
  </si>
  <si>
    <t>For a Concentrated Solar Power Brownfield Modification project in East Asia, there is a risk during Construction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</si>
  <si>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Construction gate, local law, interfaces, and the selected delivery model.</t>
  </si>
  <si>
    <t>GER-1563</t>
  </si>
  <si>
    <t>For a Transmission &amp; Substations Owner’s Engineering project in North America, there is a risk during Installation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</si>
  <si>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Installation gate, local law, interfaces, and the selected delivery model.</t>
  </si>
  <si>
    <t>GER-1564</t>
  </si>
  <si>
    <t>For a Carbon Capture, Utilization &amp; Storage EPCM project in Oceania, there is a risk during Pre-commissioning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</si>
  <si>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Pre-commissioning gate, local law, interfaces, and the selected delivery model.</t>
  </si>
  <si>
    <t>GER-1565</t>
  </si>
  <si>
    <t>For a Hydropower Commissioning &amp; Start-up project in Europe, there is a risk during Commissioning that skill shortage, turnover or low productivity, combined with low technical maturity,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</si>
  <si>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Commissioning gate, local law, interfaces, and the selected delivery model.</t>
  </si>
  <si>
    <t>GER-1566</t>
  </si>
  <si>
    <t>For a Marine Energy Installation project in South Asia, there is a risk during Installation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</si>
  <si>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Installation gate, local law, interfaces, and the selected delivery model.</t>
  </si>
  <si>
    <t>GER-1567</t>
  </si>
  <si>
    <t>For a Geothermal Operations &amp; Maintenance project in Southeast Asia, there is a risk during Pre-commissioning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</si>
  <si>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Pre-commissioning gate, local law, interfaces, and the selected delivery model.</t>
  </si>
  <si>
    <t>GER-1568</t>
  </si>
  <si>
    <t>For a LNG Grid Interconnection project in Latin America, there is a risk during Commissioning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</si>
  <si>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Commissioning gate, local law, interfaces, and the selected delivery model.</t>
  </si>
  <si>
    <t>GER-1569</t>
  </si>
  <si>
    <t>For a Onshore Wind R&amp;D / Technology Development project in Global / Multi-country, there is a risk during Operations / Handover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</si>
  <si>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Onshore Wind, the Operations / Handover gate, local law, interfaces, and the selected delivery model.</t>
  </si>
  <si>
    <t>GER-1570</t>
  </si>
  <si>
    <t>For a Biomass / Waste-to-Energy Brownfield Modification project in Middle East, there is a risk during Feasibility &amp; Concept that skill shortage, turnover or low productivity, combined with documentation gaps,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</si>
  <si>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Biomass / Waste-to-Energy, the Feasibility &amp; Concept gate, local law, interfaces, and the selected delivery model.</t>
  </si>
  <si>
    <t>GER-1571</t>
  </si>
  <si>
    <t>For a Solar PV Commissioning &amp; Start-up project in East Asia, there is a risk during Commissioning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</si>
  <si>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Commissioning gate, local law, interfaces, and the selected delivery model.</t>
  </si>
  <si>
    <t>GER-1572</t>
  </si>
  <si>
    <t>For a Battery Energy Storage Decommissioning project in North America, there is a risk during Operations / Handover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</si>
  <si>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Operations / Handover gate, local law, interfaces, and the selected delivery model.</t>
  </si>
  <si>
    <t>GER-1573</t>
  </si>
  <si>
    <t>For a Coal / Thermal Power EPC / Turnkey project in Oceania, there is a risk during Feasibility &amp; Concept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</si>
  <si>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Feasibility &amp; Concept gate, local law, interfaces, and the selected delivery model.</t>
  </si>
  <si>
    <t>GER-1574</t>
  </si>
  <si>
    <t>For a Concentrated Solar Power Installation project in Europe, there is a risk during FEED / Basic Design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</si>
  <si>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Concentrated Solar Power, the FEED / Basic Design gate, local law, interfaces, and the selected delivery model.</t>
  </si>
  <si>
    <t>GER-1575</t>
  </si>
  <si>
    <t>For a Transmission &amp; Substations Operations &amp; Maintenance project in Africa, there is a risk during Detailed Engineering that skill shortage, turnover or low productivity, combined with external disruption,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</si>
  <si>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Transmission &amp; Substations, the Detailed Engineering gate, local law, interfaces, and the selected delivery model.</t>
  </si>
  <si>
    <t>GER-1576</t>
  </si>
  <si>
    <t>For a Pumped Storage Brownfield Modification project in Southeast Asia, there is a risk during Feasibility &amp; Concept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</si>
  <si>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Feasibility &amp; Concept gate, local law, interfaces, and the selected delivery model.</t>
  </si>
  <si>
    <t>GER-1577</t>
  </si>
  <si>
    <t>For a Natural Gas / CCGT Owner’s Engineering project in Latin America, there is a risk during FEED / Basic Design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</si>
  <si>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FEED / Basic Design gate, local law, interfaces, and the selected delivery model.</t>
  </si>
  <si>
    <t>GER-1578</t>
  </si>
  <si>
    <t>For a Marine Energy EPCM project in Global / Multi-country, there is a risk during Detailed Engineering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</si>
  <si>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Detailed Engineering gate, local law, interfaces, and the selected delivery model.</t>
  </si>
  <si>
    <t>GER-1579</t>
  </si>
  <si>
    <t>For a Geothermal Commissioning &amp; Start-up project in Middle East, there is a risk during Procurement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</si>
  <si>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Geothermal, the Procurement gate, local law, interfaces, and the selected delivery model.</t>
  </si>
  <si>
    <t>GER-1580</t>
  </si>
  <si>
    <t>For a LNG Decommissioning project in South Asia, there is a risk during Manufacturing that skill shortage, turnover or low productivity, combined with governance delay,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</si>
  <si>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LNG, the Manufacturing gate, local law, interfaces, and the selected delivery model.</t>
  </si>
  <si>
    <t>GER-1581</t>
  </si>
  <si>
    <t>For a Green Hydrogen Operations &amp; Maintenance project in North America, there is a risk during Detailed Engineering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</si>
  <si>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Detailed Engineering gate, local law, interfaces, and the selected delivery model.</t>
  </si>
  <si>
    <t>GER-1582</t>
  </si>
  <si>
    <t>For a Refining &amp; Petrochemicals Grid Interconnection project in Oceania, there is a risk during Procurement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</si>
  <si>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Procurement gate, local law, interfaces, and the selected delivery model.</t>
  </si>
  <si>
    <t>GER-1583</t>
  </si>
  <si>
    <t>For a Solar PV R&amp;D / Technology Development project in Europe, there is a risk during Manufacturing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</si>
  <si>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Manufacturing gate, local law, interfaces, and the selected delivery model.</t>
  </si>
  <si>
    <t>GER-1584</t>
  </si>
  <si>
    <t>For a Battery Energy Storage Brownfield Modification project in Africa, there is a risk during Construction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</si>
  <si>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Battery Energy Storage, the Construction gate, local law, interfaces, and the selected delivery model.</t>
  </si>
  <si>
    <t>GER-1585</t>
  </si>
  <si>
    <t>For a Coal / Thermal Power Owner’s Engineering project in East Asia, there is a risk during Installation that skill shortage, turnover or low productivity, combined with commercial misalignment,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</si>
  <si>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Coal / Thermal Power, the Installation gate, local law, interfaces, and the selected delivery model.</t>
  </si>
  <si>
    <t>GER-1586</t>
  </si>
  <si>
    <t>For a Nuclear Power Decommissioning project in Latin America, there is a risk during Manufacturing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</si>
  <si>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Manufacturing gate, local law, interfaces, and the selected delivery model.</t>
  </si>
  <si>
    <t>GER-1587</t>
  </si>
  <si>
    <t>For a District Energy EPC / Turnkey project in Global / Multi-country, there is a risk during Construction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</si>
  <si>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Construction gate, local law, interfaces, and the selected delivery model.</t>
  </si>
  <si>
    <t>GER-1588</t>
  </si>
  <si>
    <t>For a Pumped Storage Installation project in Middle East, there is a risk during Installation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</si>
  <si>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Installation gate, local law, interfaces, and the selected delivery model.</t>
  </si>
  <si>
    <t>GER-1589</t>
  </si>
  <si>
    <t>For a Natural Gas / CCGT Operations &amp; Maintenance project in South Asia, there is a risk during Pre-commissioning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</si>
  <si>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Natural Gas / CCGT, the Pre-commissioning gate, local law, interfaces, and the selected delivery model.</t>
  </si>
  <si>
    <t>GER-1590</t>
  </si>
  <si>
    <t>For a Marine Energy Grid Interconnection project in Southeast Asia, there is a risk during Commissioning that skill shortage, turnover or low productivity, combined with quality escape,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</si>
  <si>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Marine Energy, the Commissioning gate, local law, interfaces, and the selected delivery model.</t>
  </si>
  <si>
    <t>GER-1591</t>
  </si>
  <si>
    <t>For a Oil &amp; Gas Upstream Owner’s Engineering project in Oceania, there is a risk during Installation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</si>
  <si>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Oil &amp; Gas Upstream, the Installation gate, local law, interfaces, and the selected delivery model.</t>
  </si>
  <si>
    <t>GER-1592</t>
  </si>
  <si>
    <t>For a Offshore Wind EPCM project in Europe, there is a risk during Pre-commissioning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</si>
  <si>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Offshore Wind, the Pre-commissioning gate, local law, interfaces, and the selected delivery model.</t>
  </si>
  <si>
    <t>GER-1593</t>
  </si>
  <si>
    <t>For a Green Hydrogen Commissioning &amp; Start-up project in Africa, there is a risk during Commissioning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</si>
  <si>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Green Hydrogen, the Commissioning gate, local law, interfaces, and the selected delivery model.</t>
  </si>
  <si>
    <t>GER-1594</t>
  </si>
  <si>
    <t>For a Refining &amp; Petrochemicals Decommissioning project in East Asia, there is a risk during Operations / Handover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</si>
  <si>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Refining &amp; Petrochemicals, the Operations / Handover gate, local law, interfaces, and the selected delivery model.</t>
  </si>
  <si>
    <t>GER-1595</t>
  </si>
  <si>
    <t>For a Solar PV EPC / Turnkey project in North America, there is a risk during Feasibility &amp; Concept that skill shortage, turnover or low productivity, combined with access constraint,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</si>
  <si>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Solar PV, the Feasibility &amp; Concept gate, local law, interfaces, and the selected delivery model.</t>
  </si>
  <si>
    <t>GER-1596</t>
  </si>
  <si>
    <t>For a Carbon Capture, Utilization &amp; Storage Grid Interconnection project in Global / Multi-country, there is a risk during Commissioning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</si>
  <si>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Carbon Capture, Utilization &amp; Storage, the Commissioning gate, local law, interfaces, and the selected delivery model.</t>
  </si>
  <si>
    <t>GER-1597</t>
  </si>
  <si>
    <t>For a Hydropower R&amp;D / Technology Development project in Middle East, there is a risk during Operations / Handover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</si>
  <si>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Hydropower, the Operations / Handover gate, local law, interfaces, and the selected delivery model.</t>
  </si>
  <si>
    <t>GER-1598</t>
  </si>
  <si>
    <t>For a Nuclear Power Brownfield Modification project in South Asia, there is a risk during Feasibility &amp; Concept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</si>
  <si>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Nuclear Power, the Feasibility &amp; Concept gate, local law, interfaces, and the selected delivery model.</t>
  </si>
  <si>
    <t>GER-1599</t>
  </si>
  <si>
    <t>For a District Energy Owner’s Engineering project in Southeast Asia, there is a risk during FEED / Basic Design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</si>
  <si>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District Energy, the FEED / Basic Design gate, local law, interfaces, and the selected delivery model.</t>
  </si>
  <si>
    <t>GER-1600</t>
  </si>
  <si>
    <t>For a Pumped Storage EPCM project in Latin America, there is a risk during Detailed Engineering that skill shortage, turnover or low productivity, combined with performance variability, may adversely affect project objectives through time / cost / quality / hse consequences.</t>
  </si>
  <si>
    <t>Establish controls for skill shortage, turnover or low productivity; assign actions, verify evidence, and review residual exposure at each gate. Tailor the response to Pumped Storage, the Detailed Engineering gate, local law, interfaces, and the selected delivery model.</t>
  </si>
  <si>
    <t>GER-1601</t>
  </si>
  <si>
    <t>For a Onshore Wind EPC / Turnkey project in Europe, there is a risk during Feasibility &amp; Concept that equipment breakdown, capacity gap or certification lapse, combined with insufficient planning, may adversely affect project objectives through time / cost / hse consequences.</t>
  </si>
  <si>
    <t>Plant &amp; Equipment</t>
  </si>
  <si>
    <t>Establish controls for equipment breakdown, capacity gap or certification lapse; assign actions, verify evidence, and review residual exposure at each gate. Tailor the response to Onshore Wind, the Feasibility &amp; Concept gate, local law, interfaces, and the selected delivery model.</t>
  </si>
  <si>
    <t>Plant Manager</t>
  </si>
  <si>
    <t>GER-1602</t>
  </si>
  <si>
    <t>For a Biomass / Waste-to-Energy Installation project in Africa, there is a risk during FEED / Basic Design that equipment breakdown, capacity gap or certification lapse, combined with insufficient planning,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</si>
  <si>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FEED / Basic Design gate, local law, interfaces, and the selected delivery model.</t>
  </si>
  <si>
    <t>GER-1603</t>
  </si>
  <si>
    <t>For a Oil &amp; Gas Upstream Operations &amp; Maintenance project in East Asia, there is a risk during Detailed Engineering that equipment breakdown, capacity gap or certification lapse, combined with insufficient planning,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</si>
  <si>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Detailed Engineering gate, local law, interfaces, and the selected delivery model.</t>
  </si>
  <si>
    <t>GER-1604</t>
  </si>
  <si>
    <t>For a Offshore Wind Grid Interconnection project in North America, there is a risk during Procurement that equipment breakdown, capacity gap or certification lapse, combined with insufficient planning,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</si>
  <si>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Procurement gate, local law, interfaces, and the selected delivery model.</t>
  </si>
  <si>
    <t>GER-1605</t>
  </si>
  <si>
    <t>For a Green Hydrogen R&amp;D / Technology Development project in Oceania, there is a risk during Manufacturing that equipment breakdown, capacity gap or certification lapse, combined with insufficient planning,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</si>
  <si>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Manufacturing gate, local law, interfaces, and the selected delivery model.</t>
  </si>
  <si>
    <t>GER-1606</t>
  </si>
  <si>
    <t>For a Concentrated Solar Power EPCM project in Middle East, there is a risk during Detailed Engineering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</si>
  <si>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Detailed Engineering gate, local law, interfaces, and the selected delivery model.</t>
  </si>
  <si>
    <t>GER-1607</t>
  </si>
  <si>
    <t>For a Transmission &amp; Substations Commissioning &amp; Start-up project in South Asia, there is a risk during Procurement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</si>
  <si>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Procurement gate, local law, interfaces, and the selected delivery model.</t>
  </si>
  <si>
    <t>GER-1608</t>
  </si>
  <si>
    <t>For a Carbon Capture, Utilization &amp; Storage Decommissioning project in Southeast Asia, there is a risk during Manufacturing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</si>
  <si>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Manufacturing gate, local law, interfaces, and the selected delivery model.</t>
  </si>
  <si>
    <t>GER-1609</t>
  </si>
  <si>
    <t>For a Hydropower EPC / Turnkey project in Latin America, there is a risk during Construction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</si>
  <si>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Construction gate, local law, interfaces, and the selected delivery model.</t>
  </si>
  <si>
    <t>GER-1610</t>
  </si>
  <si>
    <t>For a Nuclear Power Installation project in Global / Multi-country, there is a risk during Installation that equipment breakdown, capacity gap or certification lapse, combined with incomplete information,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</si>
  <si>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Installation gate, local law, interfaces, and the selected delivery model.</t>
  </si>
  <si>
    <t>GER-1611</t>
  </si>
  <si>
    <t>For a Geothermal R&amp;D / Technology Development project in Africa, there is a risk during Manufacturing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</si>
  <si>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Manufacturing gate, local law, interfaces, and the selected delivery model.</t>
  </si>
  <si>
    <t>GER-1612</t>
  </si>
  <si>
    <t>For a LNG Brownfield Modification project in East Asia, there is a risk during Construction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</si>
  <si>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Construction gate, local law, interfaces, and the selected delivery model.</t>
  </si>
  <si>
    <t>GER-1613</t>
  </si>
  <si>
    <t>For a Onshore Wind Owner’s Engineering project in North America, there is a risk during Installation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</si>
  <si>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Onshore Wind, the Installation gate, local law, interfaces, and the selected delivery model.</t>
  </si>
  <si>
    <t>GER-1614</t>
  </si>
  <si>
    <t>For a Biomass / Waste-to-Energy EPCM project in Oceania, there is a risk during Pre-commissioning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</si>
  <si>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Pre-commissioning gate, local law, interfaces, and the selected delivery model.</t>
  </si>
  <si>
    <t>GER-1615</t>
  </si>
  <si>
    <t>For a Oil &amp; Gas Upstream Commissioning &amp; Start-up project in Europe, there is a risk during Commissioning that equipment breakdown, capacity gap or certification lapse, combined with late decision-making,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</si>
  <si>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Commissioning gate, local law, interfaces, and the selected delivery model.</t>
  </si>
  <si>
    <t>GER-1616</t>
  </si>
  <si>
    <t>For a Battery Energy Storage Installation project in South Asia, there is a risk during Installation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</si>
  <si>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Installation gate, local law, interfaces, and the selected delivery model.</t>
  </si>
  <si>
    <t>GER-1617</t>
  </si>
  <si>
    <t>For a Coal / Thermal Power Operations &amp; Maintenance project in Southeast Asia, there is a risk during Pre-commissioning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</si>
  <si>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Pre-commissioning gate, local law, interfaces, and the selected delivery model.</t>
  </si>
  <si>
    <t>GER-1618</t>
  </si>
  <si>
    <t>For a Concentrated Solar Power Grid Interconnection project in Latin America, there is a risk during Commissioning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</si>
  <si>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Commissioning gate, local law, interfaces, and the selected delivery model.</t>
  </si>
  <si>
    <t>GER-1619</t>
  </si>
  <si>
    <t>For a Transmission &amp; Substations R&amp;D / Technology Development project in Global / Multi-country, there is a risk during Operations / Handover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</si>
  <si>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Operations / Handover gate, local law, interfaces, and the selected delivery model.</t>
  </si>
  <si>
    <t>GER-1620</t>
  </si>
  <si>
    <t>For a Carbon Capture, Utilization &amp; Storage Brownfield Modification project in Middle East, there is a risk during Feasibility &amp; Concept that equipment breakdown, capacity gap or certification lapse, combined with weak controls,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</si>
  <si>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Feasibility &amp; Concept gate, local law, interfaces, and the selected delivery model.</t>
  </si>
  <si>
    <t>GER-1621</t>
  </si>
  <si>
    <t>For a Natural Gas / CCGT Commissioning &amp; Start-up project in East Asia, there is a risk during Commissioning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</si>
  <si>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Commissioning gate, local law, interfaces, and the selected delivery model.</t>
  </si>
  <si>
    <t>GER-1622</t>
  </si>
  <si>
    <t>For a Marine Energy Decommissioning project in North America, there is a risk during Operations / Handover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</si>
  <si>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Operations / Handover gate, local law, interfaces, and the selected delivery model.</t>
  </si>
  <si>
    <t>GER-1623</t>
  </si>
  <si>
    <t>For a Geothermal EPC / Turnkey project in Oceania, there is a risk during Feasibility &amp; Concept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</si>
  <si>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Feasibility &amp; Concept gate, local law, interfaces, and the selected delivery model.</t>
  </si>
  <si>
    <t>GER-1624</t>
  </si>
  <si>
    <t>For a LNG Installation project in Europe, there is a risk during FEED / Basic Design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</si>
  <si>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FEED / Basic Design gate, local law, interfaces, and the selected delivery model.</t>
  </si>
  <si>
    <t>GER-1625</t>
  </si>
  <si>
    <t>For a Onshore Wind Operations &amp; Maintenance project in Africa, there is a risk during Detailed Engineering that equipment breakdown, capacity gap or certification lapse, combined with resource constraints,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</si>
  <si>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Onshore Wind, the Detailed Engineering gate, local law, interfaces, and the selected delivery model.</t>
  </si>
  <si>
    <t>GER-1626</t>
  </si>
  <si>
    <t>For a Refining &amp; Petrochemicals Brownfield Modification project in Southeast Asia, there is a risk during Feasibility &amp; Concept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</si>
  <si>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Feasibility &amp; Concept gate, local law, interfaces, and the selected delivery model.</t>
  </si>
  <si>
    <t>GER-1627</t>
  </si>
  <si>
    <t>For a Solar PV Owner’s Engineering project in Latin America, there is a risk during FEED / Basic Design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</si>
  <si>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FEED / Basic Design gate, local law, interfaces, and the selected delivery model.</t>
  </si>
  <si>
    <t>GER-1628</t>
  </si>
  <si>
    <t>For a Battery Energy Storage EPCM project in Global / Multi-country, there is a risk during Detailed Engineering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</si>
  <si>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Detailed Engineering gate, local law, interfaces, and the selected delivery model.</t>
  </si>
  <si>
    <t>GER-1629</t>
  </si>
  <si>
    <t>For a Coal / Thermal Power Commissioning &amp; Start-up project in Middle East, there is a risk during Procurement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</si>
  <si>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Procurement gate, local law, interfaces, and the selected delivery model.</t>
  </si>
  <si>
    <t>GER-1630</t>
  </si>
  <si>
    <t>For a Concentrated Solar Power Decommissioning project in South Asia, there is a risk during Manufacturing that equipment breakdown, capacity gap or certification lapse, combined with supplier dependency,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</si>
  <si>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Manufacturing gate, local law, interfaces, and the selected delivery model.</t>
  </si>
  <si>
    <t>GER-1631</t>
  </si>
  <si>
    <t>For a District Energy Operations &amp; Maintenance project in North America, there is a risk during Detailed Engineering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</si>
  <si>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Detailed Engineering gate, local law, interfaces, and the selected delivery model.</t>
  </si>
  <si>
    <t>GER-1632</t>
  </si>
  <si>
    <t>For a Pumped Storage Grid Interconnection project in Oceania, there is a risk during Procurement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</si>
  <si>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Procurement gate, local law, interfaces, and the selected delivery model.</t>
  </si>
  <si>
    <t>GER-1633</t>
  </si>
  <si>
    <t>For a Natural Gas / CCGT R&amp;D / Technology Development project in Europe, there is a risk during Manufacturing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</si>
  <si>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Manufacturing gate, local law, interfaces, and the selected delivery model.</t>
  </si>
  <si>
    <t>GER-1634</t>
  </si>
  <si>
    <t>For a Marine Energy Brownfield Modification project in Africa, there is a risk during Construction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</si>
  <si>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Construction gate, local law, interfaces, and the selected delivery model.</t>
  </si>
  <si>
    <t>GER-1635</t>
  </si>
  <si>
    <t>For a Geothermal Owner’s Engineering project in East Asia, there is a risk during Installation that equipment breakdown, capacity gap or certification lapse, combined with interface complexity,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</si>
  <si>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Installation gate, local law, interfaces, and the selected delivery model.</t>
  </si>
  <si>
    <t>GER-1636</t>
  </si>
  <si>
    <t>For a Offshore Wind Decommissioning project in Latin America, there is a risk during Manufacturing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</si>
  <si>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Manufacturing gate, local law, interfaces, and the selected delivery model.</t>
  </si>
  <si>
    <t>GER-1637</t>
  </si>
  <si>
    <t>For a Green Hydrogen EPC / Turnkey project in Global / Multi-country, there is a risk during Construction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</si>
  <si>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Construction gate, local law, interfaces, and the selected delivery model.</t>
  </si>
  <si>
    <t>GER-1638</t>
  </si>
  <si>
    <t>For a Refining &amp; Petrochemicals Installation project in Middle East, there is a risk during Installation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</si>
  <si>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Installation gate, local law, interfaces, and the selected delivery model.</t>
  </si>
  <si>
    <t>GER-1639</t>
  </si>
  <si>
    <t>For a Solar PV Operations &amp; Maintenance project in South Asia, there is a risk during Pre-commissioning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</si>
  <si>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Pre-commissioning gate, local law, interfaces, and the selected delivery model.</t>
  </si>
  <si>
    <t>GER-1640</t>
  </si>
  <si>
    <t>For a Battery Energy Storage Grid Interconnection project in Southeast Asia, there is a risk during Commissioning that equipment breakdown, capacity gap or certification lapse, combined with requirements volatility,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</si>
  <si>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Commissioning gate, local law, interfaces, and the selected delivery model.</t>
  </si>
  <si>
    <t>GER-1641</t>
  </si>
  <si>
    <t>For a Hydropower Owner’s Engineering project in Oceania, there is a risk during Installation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</si>
  <si>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Installation gate, local law, interfaces, and the selected delivery model.</t>
  </si>
  <si>
    <t>GER-1642</t>
  </si>
  <si>
    <t>For a Nuclear Power EPCM project in Europe, there is a risk during Pre-commissioning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</si>
  <si>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Pre-commissioning gate, local law, interfaces, and the selected delivery model.</t>
  </si>
  <si>
    <t>GER-1643</t>
  </si>
  <si>
    <t>For a District Energy Commissioning &amp; Start-up project in Africa, there is a risk during Commissioning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</si>
  <si>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Commissioning gate, local law, interfaces, and the selected delivery model.</t>
  </si>
  <si>
    <t>GER-1644</t>
  </si>
  <si>
    <t>For a Pumped Storage Decommissioning project in East Asia, there is a risk during Operations / Handover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</si>
  <si>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Operations / Handover gate, local law, interfaces, and the selected delivery model.</t>
  </si>
  <si>
    <t>GER-1645</t>
  </si>
  <si>
    <t>For a Natural Gas / CCGT EPC / Turnkey project in North America, there is a risk during Feasibility &amp; Concept that equipment breakdown, capacity gap or certification lapse, combined with regulatory uncertainty,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</si>
  <si>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Feasibility &amp; Concept gate, local law, interfaces, and the selected delivery model.</t>
  </si>
  <si>
    <t>GER-1646</t>
  </si>
  <si>
    <t>For a Biomass / Waste-to-Energy Grid Interconnection project in Global / Multi-country, there is a risk during Commissioning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</si>
  <si>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Commissioning gate, local law, interfaces, and the selected delivery model.</t>
  </si>
  <si>
    <t>GER-1647</t>
  </si>
  <si>
    <t>For a Oil &amp; Gas Upstream R&amp;D / Technology Development project in Middle East, there is a risk during Operations / Handover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</si>
  <si>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Operations / Handover gate, local law, interfaces, and the selected delivery model.</t>
  </si>
  <si>
    <t>GER-1648</t>
  </si>
  <si>
    <t>For a Offshore Wind Brownfield Modification project in South Asia, there is a risk during Feasibility &amp; Concept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</si>
  <si>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Feasibility &amp; Concept gate, local law, interfaces, and the selected delivery model.</t>
  </si>
  <si>
    <t>GER-1649</t>
  </si>
  <si>
    <t>For a Green Hydrogen Owner’s Engineering project in Southeast Asia, there is a risk during FEED / Basic Design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</si>
  <si>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FEED / Basic Design gate, local law, interfaces, and the selected delivery model.</t>
  </si>
  <si>
    <t>GER-1650</t>
  </si>
  <si>
    <t>For a Refining &amp; Petrochemicals EPCM project in Latin America, there is a risk during Detailed Engineering that equipment breakdown, capacity gap or certification lapse, combined with inadequate verification,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</si>
  <si>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Detailed Engineering gate, local law, interfaces, and the selected delivery model.</t>
  </si>
  <si>
    <t>GER-1651</t>
  </si>
  <si>
    <t>For a Transmission &amp; Substations EPC / Turnkey project in Europe, there is a risk during Feasibility &amp; Concept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</si>
  <si>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Feasibility &amp; Concept gate, local law, interfaces, and the selected delivery model.</t>
  </si>
  <si>
    <t>GER-1652</t>
  </si>
  <si>
    <t>For a Carbon Capture, Utilization &amp; Storage Installation project in Africa, there is a risk during FEED / Basic Design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</si>
  <si>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FEED / Basic Design gate, local law, interfaces, and the selected delivery model.</t>
  </si>
  <si>
    <t>GER-1653</t>
  </si>
  <si>
    <t>For a Hydropower Operations &amp; Maintenance project in East Asia, there is a risk during Detailed Engineering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</si>
  <si>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Detailed Engineering gate, local law, interfaces, and the selected delivery model.</t>
  </si>
  <si>
    <t>GER-1654</t>
  </si>
  <si>
    <t>For a Nuclear Power Grid Interconnection project in North America, there is a risk during Procurement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</si>
  <si>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Procurement gate, local law, interfaces, and the selected delivery model.</t>
  </si>
  <si>
    <t>GER-1655</t>
  </si>
  <si>
    <t>For a District Energy R&amp;D / Technology Development project in Oceania, there is a risk during Manufacturing that equipment breakdown, capacity gap or certification lapse, combined with poor communication,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</si>
  <si>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Manufacturing gate, local law, interfaces, and the selected delivery model.</t>
  </si>
  <si>
    <t>GER-1656</t>
  </si>
  <si>
    <t>For a LNG EPCM project in Middle East, there is a risk during Detailed Engineering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</si>
  <si>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Detailed Engineering gate, local law, interfaces, and the selected delivery model.</t>
  </si>
  <si>
    <t>GER-1657</t>
  </si>
  <si>
    <t>For a Onshore Wind Commissioning &amp; Start-up project in South Asia, there is a risk during Procurement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</si>
  <si>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Onshore Wind, the Procurement gate, local law, interfaces, and the selected delivery model.</t>
  </si>
  <si>
    <t>GER-1658</t>
  </si>
  <si>
    <t>For a Biomass / Waste-to-Energy Decommissioning project in Southeast Asia, there is a risk during Manufacturing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</si>
  <si>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Manufacturing gate, local law, interfaces, and the selected delivery model.</t>
  </si>
  <si>
    <t>GER-1659</t>
  </si>
  <si>
    <t>For a Oil &amp; Gas Upstream EPC / Turnkey project in Latin America, there is a risk during Construction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</si>
  <si>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Construction gate, local law, interfaces, and the selected delivery model.</t>
  </si>
  <si>
    <t>GER-1660</t>
  </si>
  <si>
    <t>For a Offshore Wind Installation project in Global / Multi-country, there is a risk during Installation that equipment breakdown, capacity gap or certification lapse, combined with incorrect assumptions,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</si>
  <si>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Installation gate, local law, interfaces, and the selected delivery model.</t>
  </si>
  <si>
    <t>GER-1661</t>
  </si>
  <si>
    <t>For a Coal / Thermal Power R&amp;D / Technology Development project in Africa, there is a risk during Manufacturing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</si>
  <si>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Manufacturing gate, local law, interfaces, and the selected delivery model.</t>
  </si>
  <si>
    <t>GER-1662</t>
  </si>
  <si>
    <t>For a Concentrated Solar Power Brownfield Modification project in East Asia, there is a risk during Construction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</si>
  <si>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Construction gate, local law, interfaces, and the selected delivery model.</t>
  </si>
  <si>
    <t>GER-1663</t>
  </si>
  <si>
    <t>For a Transmission &amp; Substations Owner’s Engineering project in North America, there is a risk during Installation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</si>
  <si>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Installation gate, local law, interfaces, and the selected delivery model.</t>
  </si>
  <si>
    <t>GER-1664</t>
  </si>
  <si>
    <t>For a Carbon Capture, Utilization &amp; Storage EPCM project in Oceania, there is a risk during Pre-commissioning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</si>
  <si>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Pre-commissioning gate, local law, interfaces, and the selected delivery model.</t>
  </si>
  <si>
    <t>GER-1665</t>
  </si>
  <si>
    <t>For a Hydropower Commissioning &amp; Start-up project in Europe, there is a risk during Commissioning that equipment breakdown, capacity gap or certification lapse, combined with low technical maturity,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</si>
  <si>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Commissioning gate, local law, interfaces, and the selected delivery model.</t>
  </si>
  <si>
    <t>GER-1666</t>
  </si>
  <si>
    <t>For a Marine Energy Installation project in South Asia, there is a risk during Installation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</si>
  <si>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Installation gate, local law, interfaces, and the selected delivery model.</t>
  </si>
  <si>
    <t>GER-1667</t>
  </si>
  <si>
    <t>For a Geothermal Operations &amp; Maintenance project in Southeast Asia, there is a risk during Pre-commissioning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</si>
  <si>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Pre-commissioning gate, local law, interfaces, and the selected delivery model.</t>
  </si>
  <si>
    <t>GER-1668</t>
  </si>
  <si>
    <t>For a LNG Grid Interconnection project in Latin America, there is a risk during Commissioning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</si>
  <si>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Commissioning gate, local law, interfaces, and the selected delivery model.</t>
  </si>
  <si>
    <t>GER-1669</t>
  </si>
  <si>
    <t>For a Onshore Wind R&amp;D / Technology Development project in Global / Multi-country, there is a risk during Operations / Handover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</si>
  <si>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Onshore Wind, the Operations / Handover gate, local law, interfaces, and the selected delivery model.</t>
  </si>
  <si>
    <t>GER-1670</t>
  </si>
  <si>
    <t>For a Biomass / Waste-to-Energy Brownfield Modification project in Middle East, there is a risk during Feasibility &amp; Concept that equipment breakdown, capacity gap or certification lapse, combined with documentation gaps,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</si>
  <si>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Biomass / Waste-to-Energy, the Feasibility &amp; Concept gate, local law, interfaces, and the selected delivery model.</t>
  </si>
  <si>
    <t>GER-1671</t>
  </si>
  <si>
    <t>For a Solar PV Commissioning &amp; Start-up project in East Asia, there is a risk during Commissioning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</si>
  <si>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Commissioning gate, local law, interfaces, and the selected delivery model.</t>
  </si>
  <si>
    <t>GER-1672</t>
  </si>
  <si>
    <t>For a Battery Energy Storage Decommissioning project in North America, there is a risk during Operations / Handover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</si>
  <si>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Operations / Handover gate, local law, interfaces, and the selected delivery model.</t>
  </si>
  <si>
    <t>GER-1673</t>
  </si>
  <si>
    <t>For a Coal / Thermal Power EPC / Turnkey project in Oceania, there is a risk during Feasibility &amp; Concept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</si>
  <si>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Feasibility &amp; Concept gate, local law, interfaces, and the selected delivery model.</t>
  </si>
  <si>
    <t>GER-1674</t>
  </si>
  <si>
    <t>For a Concentrated Solar Power Installation project in Europe, there is a risk during FEED / Basic Design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</si>
  <si>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Concentrated Solar Power, the FEED / Basic Design gate, local law, interfaces, and the selected delivery model.</t>
  </si>
  <si>
    <t>GER-1675</t>
  </si>
  <si>
    <t>For a Transmission &amp; Substations Operations &amp; Maintenance project in Africa, there is a risk during Detailed Engineering that equipment breakdown, capacity gap or certification lapse, combined with external disruption,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</si>
  <si>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Transmission &amp; Substations, the Detailed Engineering gate, local law, interfaces, and the selected delivery model.</t>
  </si>
  <si>
    <t>GER-1676</t>
  </si>
  <si>
    <t>For a Pumped Storage Brownfield Modification project in Southeast Asia, there is a risk during Feasibility &amp; Concept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</si>
  <si>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Feasibility &amp; Concept gate, local law, interfaces, and the selected delivery model.</t>
  </si>
  <si>
    <t>GER-1677</t>
  </si>
  <si>
    <t>For a Natural Gas / CCGT Owner’s Engineering project in Latin America, there is a risk during FEED / Basic Design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</si>
  <si>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FEED / Basic Design gate, local law, interfaces, and the selected delivery model.</t>
  </si>
  <si>
    <t>GER-1678</t>
  </si>
  <si>
    <t>For a Marine Energy EPCM project in Global / Multi-country, there is a risk during Detailed Engineering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</si>
  <si>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Detailed Engineering gate, local law, interfaces, and the selected delivery model.</t>
  </si>
  <si>
    <t>GER-1679</t>
  </si>
  <si>
    <t>For a Geothermal Commissioning &amp; Start-up project in Middle East, there is a risk during Procurement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</si>
  <si>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Geothermal, the Procurement gate, local law, interfaces, and the selected delivery model.</t>
  </si>
  <si>
    <t>GER-1680</t>
  </si>
  <si>
    <t>For a LNG Decommissioning project in South Asia, there is a risk during Manufacturing that equipment breakdown, capacity gap or certification lapse, combined with governance delay,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</si>
  <si>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LNG, the Manufacturing gate, local law, interfaces, and the selected delivery model.</t>
  </si>
  <si>
    <t>GER-1681</t>
  </si>
  <si>
    <t>For a Green Hydrogen Operations &amp; Maintenance project in North America, there is a risk during Detailed Engineering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</si>
  <si>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Detailed Engineering gate, local law, interfaces, and the selected delivery model.</t>
  </si>
  <si>
    <t>GER-1682</t>
  </si>
  <si>
    <t>For a Refining &amp; Petrochemicals Grid Interconnection project in Oceania, there is a risk during Procurement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</si>
  <si>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Procurement gate, local law, interfaces, and the selected delivery model.</t>
  </si>
  <si>
    <t>GER-1683</t>
  </si>
  <si>
    <t>For a Solar PV R&amp;D / Technology Development project in Europe, there is a risk during Manufacturing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</si>
  <si>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Manufacturing gate, local law, interfaces, and the selected delivery model.</t>
  </si>
  <si>
    <t>GER-1684</t>
  </si>
  <si>
    <t>For a Battery Energy Storage Brownfield Modification project in Africa, there is a risk during Construction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</si>
  <si>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Battery Energy Storage, the Construction gate, local law, interfaces, and the selected delivery model.</t>
  </si>
  <si>
    <t>GER-1685</t>
  </si>
  <si>
    <t>For a Coal / Thermal Power Owner’s Engineering project in East Asia, there is a risk during Installation that equipment breakdown, capacity gap or certification lapse, combined with commercial misalignment,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</si>
  <si>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Coal / Thermal Power, the Installation gate, local law, interfaces, and the selected delivery model.</t>
  </si>
  <si>
    <t>GER-1686</t>
  </si>
  <si>
    <t>For a Nuclear Power Decommissioning project in Latin America, there is a risk during Manufacturing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</si>
  <si>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Manufacturing gate, local law, interfaces, and the selected delivery model.</t>
  </si>
  <si>
    <t>GER-1687</t>
  </si>
  <si>
    <t>For a District Energy EPC / Turnkey project in Global / Multi-country, there is a risk during Construction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</si>
  <si>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Construction gate, local law, interfaces, and the selected delivery model.</t>
  </si>
  <si>
    <t>GER-1688</t>
  </si>
  <si>
    <t>For a Pumped Storage Installation project in Middle East, there is a risk during Installation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</si>
  <si>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Installation gate, local law, interfaces, and the selected delivery model.</t>
  </si>
  <si>
    <t>GER-1689</t>
  </si>
  <si>
    <t>For a Natural Gas / CCGT Operations &amp; Maintenance project in South Asia, there is a risk during Pre-commissioning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</si>
  <si>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Natural Gas / CCGT, the Pre-commissioning gate, local law, interfaces, and the selected delivery model.</t>
  </si>
  <si>
    <t>GER-1690</t>
  </si>
  <si>
    <t>For a Marine Energy Grid Interconnection project in Southeast Asia, there is a risk during Commissioning that equipment breakdown, capacity gap or certification lapse, combined with quality escape,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</si>
  <si>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Marine Energy, the Commissioning gate, local law, interfaces, and the selected delivery model.</t>
  </si>
  <si>
    <t>GER-1691</t>
  </si>
  <si>
    <t>For a Oil &amp; Gas Upstream Owner’s Engineering project in Oceania, there is a risk during Installation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</si>
  <si>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Oil &amp; Gas Upstream, the Installation gate, local law, interfaces, and the selected delivery model.</t>
  </si>
  <si>
    <t>GER-1692</t>
  </si>
  <si>
    <t>For a Offshore Wind EPCM project in Europe, there is a risk during Pre-commissioning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</si>
  <si>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Offshore Wind, the Pre-commissioning gate, local law, interfaces, and the selected delivery model.</t>
  </si>
  <si>
    <t>GER-1693</t>
  </si>
  <si>
    <t>For a Green Hydrogen Commissioning &amp; Start-up project in Africa, there is a risk during Commissioning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</si>
  <si>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Green Hydrogen, the Commissioning gate, local law, interfaces, and the selected delivery model.</t>
  </si>
  <si>
    <t>GER-1694</t>
  </si>
  <si>
    <t>For a Refining &amp; Petrochemicals Decommissioning project in East Asia, there is a risk during Operations / Handover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</si>
  <si>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Refining &amp; Petrochemicals, the Operations / Handover gate, local law, interfaces, and the selected delivery model.</t>
  </si>
  <si>
    <t>GER-1695</t>
  </si>
  <si>
    <t>For a Solar PV EPC / Turnkey project in North America, there is a risk during Feasibility &amp; Concept that equipment breakdown, capacity gap or certification lapse, combined with access constraint,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</si>
  <si>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Solar PV, the Feasibility &amp; Concept gate, local law, interfaces, and the selected delivery model.</t>
  </si>
  <si>
    <t>GER-1696</t>
  </si>
  <si>
    <t>For a Carbon Capture, Utilization &amp; Storage Grid Interconnection project in Global / Multi-country, there is a risk during Commissioning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</si>
  <si>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Carbon Capture, Utilization &amp; Storage, the Commissioning gate, local law, interfaces, and the selected delivery model.</t>
  </si>
  <si>
    <t>GER-1697</t>
  </si>
  <si>
    <t>For a Hydropower R&amp;D / Technology Development project in Middle East, there is a risk during Operations / Handover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</si>
  <si>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Hydropower, the Operations / Handover gate, local law, interfaces, and the selected delivery model.</t>
  </si>
  <si>
    <t>GER-1698</t>
  </si>
  <si>
    <t>For a Nuclear Power Brownfield Modification project in South Asia, there is a risk during Feasibility &amp; Concept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</si>
  <si>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Nuclear Power, the Feasibility &amp; Concept gate, local law, interfaces, and the selected delivery model.</t>
  </si>
  <si>
    <t>GER-1699</t>
  </si>
  <si>
    <t>For a District Energy Owner’s Engineering project in Southeast Asia, there is a risk during FEED / Basic Design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</si>
  <si>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District Energy, the FEED / Basic Design gate, local law, interfaces, and the selected delivery model.</t>
  </si>
  <si>
    <t>GER-1700</t>
  </si>
  <si>
    <t>For a Pumped Storage EPCM project in Latin America, there is a risk during Detailed Engineering that equipment breakdown, capacity gap or certification lapse, combined with performance variability, may adversely affect project objectives through time / cost / hse consequences.</t>
  </si>
  <si>
    <t>Establish controls for equipment breakdown, capacity gap or certification lapse; assign actions, verify evidence, and review residual exposure at each gate. Tailor the response to Pumped Storage, the Detailed Engineering gate, local law, interfaces, and the selected delivery model.</t>
  </si>
  <si>
    <t>GER-1701</t>
  </si>
  <si>
    <t>For a Onshore Wind EPC / Turnkey project in Europe, there is a risk during Feasibility &amp; Concept that scope gap, boundary conflict or late interface data, combined with insufficient planning, may adversely affect project objectives through time / cost / quality consequences.</t>
  </si>
  <si>
    <t>Interfaces</t>
  </si>
  <si>
    <t>Establish controls for scope gap, boundary conflict or late interface data; assign actions, verify evidence, and review residual exposure at each gate. Tailor the response to Onshore Wind, the Feasibility &amp; Concept gate, local law, interfaces, and the selected delivery model.</t>
  </si>
  <si>
    <t>Interface Manager</t>
  </si>
  <si>
    <t>GER-1702</t>
  </si>
  <si>
    <t>For a Biomass / Waste-to-Energy Installation project in Africa, there is a risk during FEED / Basic Design that scope gap, boundary conflict or late interface data, combined with insufficient planning,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</si>
  <si>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FEED / Basic Design gate, local law, interfaces, and the selected delivery model.</t>
  </si>
  <si>
    <t>GER-1703</t>
  </si>
  <si>
    <t>For a Oil &amp; Gas Upstream Operations &amp; Maintenance project in East Asia, there is a risk during Detailed Engineering that scope gap, boundary conflict or late interface data, combined with insufficient planning,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</si>
  <si>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Detailed Engineering gate, local law, interfaces, and the selected delivery model.</t>
  </si>
  <si>
    <t>GER-1704</t>
  </si>
  <si>
    <t>For a Offshore Wind Grid Interconnection project in North America, there is a risk during Procurement that scope gap, boundary conflict or late interface data, combined with insufficient planning,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</si>
  <si>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Procurement gate, local law, interfaces, and the selected delivery model.</t>
  </si>
  <si>
    <t>GER-1705</t>
  </si>
  <si>
    <t>For a Green Hydrogen R&amp;D / Technology Development project in Oceania, there is a risk during Manufacturing that scope gap, boundary conflict or late interface data, combined with insufficient planning,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</si>
  <si>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Manufacturing gate, local law, interfaces, and the selected delivery model.</t>
  </si>
  <si>
    <t>GER-1706</t>
  </si>
  <si>
    <t>For a Concentrated Solar Power EPCM project in Middle East, there is a risk during Detailed Engineering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</si>
  <si>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Detailed Engineering gate, local law, interfaces, and the selected delivery model.</t>
  </si>
  <si>
    <t>GER-1707</t>
  </si>
  <si>
    <t>For a Transmission &amp; Substations Commissioning &amp; Start-up project in South Asia, there is a risk during Procurement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</si>
  <si>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Procurement gate, local law, interfaces, and the selected delivery model.</t>
  </si>
  <si>
    <t>GER-1708</t>
  </si>
  <si>
    <t>For a Carbon Capture, Utilization &amp; Storage Decommissioning project in Southeast Asia, there is a risk during Manufacturing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</si>
  <si>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Manufacturing gate, local law, interfaces, and the selected delivery model.</t>
  </si>
  <si>
    <t>GER-1709</t>
  </si>
  <si>
    <t>For a Hydropower EPC / Turnkey project in Latin America, there is a risk during Construction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</si>
  <si>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Construction gate, local law, interfaces, and the selected delivery model.</t>
  </si>
  <si>
    <t>GER-1710</t>
  </si>
  <si>
    <t>For a Nuclear Power Installation project in Global / Multi-country, there is a risk during Installation that scope gap, boundary conflict or late interface data, combined with incomplete information,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</si>
  <si>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Installation gate, local law, interfaces, and the selected delivery model.</t>
  </si>
  <si>
    <t>GER-1711</t>
  </si>
  <si>
    <t>For a Geothermal R&amp;D / Technology Development project in Africa, there is a risk during Manufacturing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</si>
  <si>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Manufacturing gate, local law, interfaces, and the selected delivery model.</t>
  </si>
  <si>
    <t>GER-1712</t>
  </si>
  <si>
    <t>For a LNG Brownfield Modification project in East Asia, there is a risk during Construction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</si>
  <si>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Construction gate, local law, interfaces, and the selected delivery model.</t>
  </si>
  <si>
    <t>GER-1713</t>
  </si>
  <si>
    <t>For a Onshore Wind Owner’s Engineering project in North America, there is a risk during Installation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</si>
  <si>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Onshore Wind, the Installation gate, local law, interfaces, and the selected delivery model.</t>
  </si>
  <si>
    <t>GER-1714</t>
  </si>
  <si>
    <t>For a Biomass / Waste-to-Energy EPCM project in Oceania, there is a risk during Pre-commissioning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</si>
  <si>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Pre-commissioning gate, local law, interfaces, and the selected delivery model.</t>
  </si>
  <si>
    <t>GER-1715</t>
  </si>
  <si>
    <t>For a Oil &amp; Gas Upstream Commissioning &amp; Start-up project in Europe, there is a risk during Commissioning that scope gap, boundary conflict or late interface data, combined with late decision-making,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</si>
  <si>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Commissioning gate, local law, interfaces, and the selected delivery model.</t>
  </si>
  <si>
    <t>GER-1716</t>
  </si>
  <si>
    <t>For a Battery Energy Storage Installation project in South Asia, there is a risk during Installation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</si>
  <si>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Installation gate, local law, interfaces, and the selected delivery model.</t>
  </si>
  <si>
    <t>GER-1717</t>
  </si>
  <si>
    <t>For a Coal / Thermal Power Operations &amp; Maintenance project in Southeast Asia, there is a risk during Pre-commissioning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</si>
  <si>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Pre-commissioning gate, local law, interfaces, and the selected delivery model.</t>
  </si>
  <si>
    <t>GER-1718</t>
  </si>
  <si>
    <t>For a Concentrated Solar Power Grid Interconnection project in Latin America, there is a risk during Commissioning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</si>
  <si>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Commissioning gate, local law, interfaces, and the selected delivery model.</t>
  </si>
  <si>
    <t>GER-1719</t>
  </si>
  <si>
    <t>For a Transmission &amp; Substations R&amp;D / Technology Development project in Global / Multi-country, there is a risk during Operations / Handover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</si>
  <si>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Operations / Handover gate, local law, interfaces, and the selected delivery model.</t>
  </si>
  <si>
    <t>GER-1720</t>
  </si>
  <si>
    <t>For a Carbon Capture, Utilization &amp; Storage Brownfield Modification project in Middle East, there is a risk during Feasibility &amp; Concept that scope gap, boundary conflict or late interface data, combined with weak controls,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</si>
  <si>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Feasibility &amp; Concept gate, local law, interfaces, and the selected delivery model.</t>
  </si>
  <si>
    <t>GER-1721</t>
  </si>
  <si>
    <t>For a Natural Gas / CCGT Commissioning &amp; Start-up project in East Asia, there is a risk during Commissioning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</si>
  <si>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Commissioning gate, local law, interfaces, and the selected delivery model.</t>
  </si>
  <si>
    <t>GER-1722</t>
  </si>
  <si>
    <t>For a Marine Energy Decommissioning project in North America, there is a risk during Operations / Handover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</si>
  <si>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Operations / Handover gate, local law, interfaces, and the selected delivery model.</t>
  </si>
  <si>
    <t>GER-1723</t>
  </si>
  <si>
    <t>For a Geothermal EPC / Turnkey project in Oceania, there is a risk during Feasibility &amp; Concept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</si>
  <si>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Feasibility &amp; Concept gate, local law, interfaces, and the selected delivery model.</t>
  </si>
  <si>
    <t>GER-1724</t>
  </si>
  <si>
    <t>For a LNG Installation project in Europe, there is a risk during FEED / Basic Design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</si>
  <si>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FEED / Basic Design gate, local law, interfaces, and the selected delivery model.</t>
  </si>
  <si>
    <t>GER-1725</t>
  </si>
  <si>
    <t>For a Onshore Wind Operations &amp; Maintenance project in Africa, there is a risk during Detailed Engineering that scope gap, boundary conflict or late interface data, combined with resource constraints,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</si>
  <si>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Onshore Wind, the Detailed Engineering gate, local law, interfaces, and the selected delivery model.</t>
  </si>
  <si>
    <t>GER-1726</t>
  </si>
  <si>
    <t>For a Refining &amp; Petrochemicals Brownfield Modification project in Southeast Asia, there is a risk during Feasibility &amp; Concept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</si>
  <si>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Feasibility &amp; Concept gate, local law, interfaces, and the selected delivery model.</t>
  </si>
  <si>
    <t>GER-1727</t>
  </si>
  <si>
    <t>For a Solar PV Owner’s Engineering project in Latin America, there is a risk during FEED / Basic Design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</si>
  <si>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FEED / Basic Design gate, local law, interfaces, and the selected delivery model.</t>
  </si>
  <si>
    <t>GER-1728</t>
  </si>
  <si>
    <t>For a Battery Energy Storage EPCM project in Global / Multi-country, there is a risk during Detailed Engineering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</si>
  <si>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Detailed Engineering gate, local law, interfaces, and the selected delivery model.</t>
  </si>
  <si>
    <t>GER-1729</t>
  </si>
  <si>
    <t>For a Coal / Thermal Power Commissioning &amp; Start-up project in Middle East, there is a risk during Procurement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</si>
  <si>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Procurement gate, local law, interfaces, and the selected delivery model.</t>
  </si>
  <si>
    <t>GER-1730</t>
  </si>
  <si>
    <t>For a Concentrated Solar Power Decommissioning project in South Asia, there is a risk during Manufacturing that scope gap, boundary conflict or late interface data, combined with supplier dependency,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</si>
  <si>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Manufacturing gate, local law, interfaces, and the selected delivery model.</t>
  </si>
  <si>
    <t>GER-1731</t>
  </si>
  <si>
    <t>For a District Energy Operations &amp; Maintenance project in North America, there is a risk during Detailed Engineering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</si>
  <si>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Detailed Engineering gate, local law, interfaces, and the selected delivery model.</t>
  </si>
  <si>
    <t>GER-1732</t>
  </si>
  <si>
    <t>For a Pumped Storage Grid Interconnection project in Oceania, there is a risk during Procurement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</si>
  <si>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Procurement gate, local law, interfaces, and the selected delivery model.</t>
  </si>
  <si>
    <t>GER-1733</t>
  </si>
  <si>
    <t>For a Natural Gas / CCGT R&amp;D / Technology Development project in Europe, there is a risk during Manufacturing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</si>
  <si>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Manufacturing gate, local law, interfaces, and the selected delivery model.</t>
  </si>
  <si>
    <t>GER-1734</t>
  </si>
  <si>
    <t>For a Marine Energy Brownfield Modification project in Africa, there is a risk during Construction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</si>
  <si>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Construction gate, local law, interfaces, and the selected delivery model.</t>
  </si>
  <si>
    <t>GER-1735</t>
  </si>
  <si>
    <t>For a Geothermal Owner’s Engineering project in East Asia, there is a risk during Installation that scope gap, boundary conflict or late interface data, combined with interface complexity,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</si>
  <si>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Installation gate, local law, interfaces, and the selected delivery model.</t>
  </si>
  <si>
    <t>GER-1736</t>
  </si>
  <si>
    <t>For a Offshore Wind Decommissioning project in Latin America, there is a risk during Manufacturing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</si>
  <si>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Manufacturing gate, local law, interfaces, and the selected delivery model.</t>
  </si>
  <si>
    <t>GER-1737</t>
  </si>
  <si>
    <t>For a Green Hydrogen EPC / Turnkey project in Global / Multi-country, there is a risk during Construction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</si>
  <si>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Construction gate, local law, interfaces, and the selected delivery model.</t>
  </si>
  <si>
    <t>GER-1738</t>
  </si>
  <si>
    <t>For a Refining &amp; Petrochemicals Installation project in Middle East, there is a risk during Installation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</si>
  <si>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Installation gate, local law, interfaces, and the selected delivery model.</t>
  </si>
  <si>
    <t>GER-1739</t>
  </si>
  <si>
    <t>For a Solar PV Operations &amp; Maintenance project in South Asia, there is a risk during Pre-commissioning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</si>
  <si>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Pre-commissioning gate, local law, interfaces, and the selected delivery model.</t>
  </si>
  <si>
    <t>GER-1740</t>
  </si>
  <si>
    <t>For a Battery Energy Storage Grid Interconnection project in Southeast Asia, there is a risk during Commissioning that scope gap, boundary conflict or late interface data, combined with requirements volatility,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</si>
  <si>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Commissioning gate, local law, interfaces, and the selected delivery model.</t>
  </si>
  <si>
    <t>GER-1741</t>
  </si>
  <si>
    <t>For a Hydropower Owner’s Engineering project in Oceania, there is a risk during Installation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</si>
  <si>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Installation gate, local law, interfaces, and the selected delivery model.</t>
  </si>
  <si>
    <t>GER-1742</t>
  </si>
  <si>
    <t>For a Nuclear Power EPCM project in Europe, there is a risk during Pre-commissioning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</si>
  <si>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Pre-commissioning gate, local law, interfaces, and the selected delivery model.</t>
  </si>
  <si>
    <t>GER-1743</t>
  </si>
  <si>
    <t>For a District Energy Commissioning &amp; Start-up project in Africa, there is a risk during Commissioning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</si>
  <si>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Commissioning gate, local law, interfaces, and the selected delivery model.</t>
  </si>
  <si>
    <t>GER-1744</t>
  </si>
  <si>
    <t>For a Pumped Storage Decommissioning project in East Asia, there is a risk during Operations / Handover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</si>
  <si>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Operations / Handover gate, local law, interfaces, and the selected delivery model.</t>
  </si>
  <si>
    <t>GER-1745</t>
  </si>
  <si>
    <t>For a Natural Gas / CCGT EPC / Turnkey project in North America, there is a risk during Feasibility &amp; Concept that scope gap, boundary conflict or late interface data, combined with regulatory uncertainty,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</si>
  <si>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Feasibility &amp; Concept gate, local law, interfaces, and the selected delivery model.</t>
  </si>
  <si>
    <t>GER-1746</t>
  </si>
  <si>
    <t>For a Biomass / Waste-to-Energy Grid Interconnection project in Global / Multi-country, there is a risk during Commissioning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</si>
  <si>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Commissioning gate, local law, interfaces, and the selected delivery model.</t>
  </si>
  <si>
    <t>GER-1747</t>
  </si>
  <si>
    <t>For a Oil &amp; Gas Upstream R&amp;D / Technology Development project in Middle East, there is a risk during Operations / Handover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</si>
  <si>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Operations / Handover gate, local law, interfaces, and the selected delivery model.</t>
  </si>
  <si>
    <t>GER-1748</t>
  </si>
  <si>
    <t>For a Offshore Wind Brownfield Modification project in South Asia, there is a risk during Feasibility &amp; Concept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</si>
  <si>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Feasibility &amp; Concept gate, local law, interfaces, and the selected delivery model.</t>
  </si>
  <si>
    <t>GER-1749</t>
  </si>
  <si>
    <t>For a Green Hydrogen Owner’s Engineering project in Southeast Asia, there is a risk during FEED / Basic Design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</si>
  <si>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FEED / Basic Design gate, local law, interfaces, and the selected delivery model.</t>
  </si>
  <si>
    <t>GER-1750</t>
  </si>
  <si>
    <t>For a Refining &amp; Petrochemicals EPCM project in Latin America, there is a risk during Detailed Engineering that scope gap, boundary conflict or late interface data, combined with inadequate verification,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</si>
  <si>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Detailed Engineering gate, local law, interfaces, and the selected delivery model.</t>
  </si>
  <si>
    <t>GER-1751</t>
  </si>
  <si>
    <t>For a Transmission &amp; Substations EPC / Turnkey project in Europe, there is a risk during Feasibility &amp; Concept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</si>
  <si>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Feasibility &amp; Concept gate, local law, interfaces, and the selected delivery model.</t>
  </si>
  <si>
    <t>GER-1752</t>
  </si>
  <si>
    <t>For a Carbon Capture, Utilization &amp; Storage Installation project in Africa, there is a risk during FEED / Basic Design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</si>
  <si>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FEED / Basic Design gate, local law, interfaces, and the selected delivery model.</t>
  </si>
  <si>
    <t>GER-1753</t>
  </si>
  <si>
    <t>For a Hydropower Operations &amp; Maintenance project in East Asia, there is a risk during Detailed Engineering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</si>
  <si>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Detailed Engineering gate, local law, interfaces, and the selected delivery model.</t>
  </si>
  <si>
    <t>GER-1754</t>
  </si>
  <si>
    <t>For a Nuclear Power Grid Interconnection project in North America, there is a risk during Procurement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</si>
  <si>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Procurement gate, local law, interfaces, and the selected delivery model.</t>
  </si>
  <si>
    <t>GER-1755</t>
  </si>
  <si>
    <t>For a District Energy R&amp;D / Technology Development project in Oceania, there is a risk during Manufacturing that scope gap, boundary conflict or late interface data, combined with poor communication,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</si>
  <si>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Manufacturing gate, local law, interfaces, and the selected delivery model.</t>
  </si>
  <si>
    <t>GER-1756</t>
  </si>
  <si>
    <t>For a LNG EPCM project in Middle East, there is a risk during Detailed Engineering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</si>
  <si>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Detailed Engineering gate, local law, interfaces, and the selected delivery model.</t>
  </si>
  <si>
    <t>GER-1757</t>
  </si>
  <si>
    <t>For a Onshore Wind Commissioning &amp; Start-up project in South Asia, there is a risk during Procurement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</si>
  <si>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Onshore Wind, the Procurement gate, local law, interfaces, and the selected delivery model.</t>
  </si>
  <si>
    <t>GER-1758</t>
  </si>
  <si>
    <t>For a Biomass / Waste-to-Energy Decommissioning project in Southeast Asia, there is a risk during Manufacturing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</si>
  <si>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Manufacturing gate, local law, interfaces, and the selected delivery model.</t>
  </si>
  <si>
    <t>GER-1759</t>
  </si>
  <si>
    <t>For a Oil &amp; Gas Upstream EPC / Turnkey project in Latin America, there is a risk during Construction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</si>
  <si>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Construction gate, local law, interfaces, and the selected delivery model.</t>
  </si>
  <si>
    <t>GER-1760</t>
  </si>
  <si>
    <t>For a Offshore Wind Installation project in Global / Multi-country, there is a risk during Installation that scope gap, boundary conflict or late interface data, combined with incorrect assumptions,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</si>
  <si>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Installation gate, local law, interfaces, and the selected delivery model.</t>
  </si>
  <si>
    <t>GER-1761</t>
  </si>
  <si>
    <t>For a Coal / Thermal Power R&amp;D / Technology Development project in Africa, there is a risk during Manufacturing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</si>
  <si>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Manufacturing gate, local law, interfaces, and the selected delivery model.</t>
  </si>
  <si>
    <t>GER-1762</t>
  </si>
  <si>
    <t>For a Concentrated Solar Power Brownfield Modification project in East Asia, there is a risk during Construction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</si>
  <si>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Construction gate, local law, interfaces, and the selected delivery model.</t>
  </si>
  <si>
    <t>GER-1763</t>
  </si>
  <si>
    <t>For a Transmission &amp; Substations Owner’s Engineering project in North America, there is a risk during Installation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</si>
  <si>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Installation gate, local law, interfaces, and the selected delivery model.</t>
  </si>
  <si>
    <t>GER-1764</t>
  </si>
  <si>
    <t>For a Carbon Capture, Utilization &amp; Storage EPCM project in Oceania, there is a risk during Pre-commissioning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</si>
  <si>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Pre-commissioning gate, local law, interfaces, and the selected delivery model.</t>
  </si>
  <si>
    <t>GER-1765</t>
  </si>
  <si>
    <t>For a Hydropower Commissioning &amp; Start-up project in Europe, there is a risk during Commissioning that scope gap, boundary conflict or late interface data, combined with low technical maturity,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</si>
  <si>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Commissioning gate, local law, interfaces, and the selected delivery model.</t>
  </si>
  <si>
    <t>GER-1766</t>
  </si>
  <si>
    <t>For a Marine Energy Installation project in South Asia, there is a risk during Installation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</si>
  <si>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Installation gate, local law, interfaces, and the selected delivery model.</t>
  </si>
  <si>
    <t>GER-1767</t>
  </si>
  <si>
    <t>For a Geothermal Operations &amp; Maintenance project in Southeast Asia, there is a risk during Pre-commissioning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</si>
  <si>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Pre-commissioning gate, local law, interfaces, and the selected delivery model.</t>
  </si>
  <si>
    <t>GER-1768</t>
  </si>
  <si>
    <t>For a LNG Grid Interconnection project in Latin America, there is a risk during Commissioning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</si>
  <si>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Commissioning gate, local law, interfaces, and the selected delivery model.</t>
  </si>
  <si>
    <t>GER-1769</t>
  </si>
  <si>
    <t>For a Onshore Wind R&amp;D / Technology Development project in Global / Multi-country, there is a risk during Operations / Handover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</si>
  <si>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Onshore Wind, the Operations / Handover gate, local law, interfaces, and the selected delivery model.</t>
  </si>
  <si>
    <t>GER-1770</t>
  </si>
  <si>
    <t>For a Biomass / Waste-to-Energy Brownfield Modification project in Middle East, there is a risk during Feasibility &amp; Concept that scope gap, boundary conflict or late interface data, combined with documentation gaps,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</si>
  <si>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Biomass / Waste-to-Energy, the Feasibility &amp; Concept gate, local law, interfaces, and the selected delivery model.</t>
  </si>
  <si>
    <t>GER-1771</t>
  </si>
  <si>
    <t>For a Solar PV Commissioning &amp; Start-up project in East Asia, there is a risk during Commissioning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</si>
  <si>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Commissioning gate, local law, interfaces, and the selected delivery model.</t>
  </si>
  <si>
    <t>GER-1772</t>
  </si>
  <si>
    <t>For a Battery Energy Storage Decommissioning project in North America, there is a risk during Operations / Handover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</si>
  <si>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Operations / Handover gate, local law, interfaces, and the selected delivery model.</t>
  </si>
  <si>
    <t>GER-1773</t>
  </si>
  <si>
    <t>For a Coal / Thermal Power EPC / Turnkey project in Oceania, there is a risk during Feasibility &amp; Concept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</si>
  <si>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Feasibility &amp; Concept gate, local law, interfaces, and the selected delivery model.</t>
  </si>
  <si>
    <t>GER-1774</t>
  </si>
  <si>
    <t>For a Concentrated Solar Power Installation project in Europe, there is a risk during FEED / Basic Design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</si>
  <si>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Concentrated Solar Power, the FEED / Basic Design gate, local law, interfaces, and the selected delivery model.</t>
  </si>
  <si>
    <t>GER-1775</t>
  </si>
  <si>
    <t>For a Transmission &amp; Substations Operations &amp; Maintenance project in Africa, there is a risk during Detailed Engineering that scope gap, boundary conflict or late interface data, combined with external disruption,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</si>
  <si>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Transmission &amp; Substations, the Detailed Engineering gate, local law, interfaces, and the selected delivery model.</t>
  </si>
  <si>
    <t>GER-1776</t>
  </si>
  <si>
    <t>For a Pumped Storage Brownfield Modification project in Southeast Asia, there is a risk during Feasibility &amp; Concept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</si>
  <si>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Feasibility &amp; Concept gate, local law, interfaces, and the selected delivery model.</t>
  </si>
  <si>
    <t>GER-1777</t>
  </si>
  <si>
    <t>For a Natural Gas / CCGT Owner’s Engineering project in Latin America, there is a risk during FEED / Basic Design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</si>
  <si>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FEED / Basic Design gate, local law, interfaces, and the selected delivery model.</t>
  </si>
  <si>
    <t>GER-1778</t>
  </si>
  <si>
    <t>For a Marine Energy EPCM project in Global / Multi-country, there is a risk during Detailed Engineering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</si>
  <si>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Detailed Engineering gate, local law, interfaces, and the selected delivery model.</t>
  </si>
  <si>
    <t>GER-1779</t>
  </si>
  <si>
    <t>For a Geothermal Commissioning &amp; Start-up project in Middle East, there is a risk during Procurement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</si>
  <si>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Geothermal, the Procurement gate, local law, interfaces, and the selected delivery model.</t>
  </si>
  <si>
    <t>GER-1780</t>
  </si>
  <si>
    <t>For a LNG Decommissioning project in South Asia, there is a risk during Manufacturing that scope gap, boundary conflict or late interface data, combined with governance delay,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</si>
  <si>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LNG, the Manufacturing gate, local law, interfaces, and the selected delivery model.</t>
  </si>
  <si>
    <t>GER-1781</t>
  </si>
  <si>
    <t>For a Green Hydrogen Operations &amp; Maintenance project in North America, there is a risk during Detailed Engineering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</si>
  <si>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Detailed Engineering gate, local law, interfaces, and the selected delivery model.</t>
  </si>
  <si>
    <t>GER-1782</t>
  </si>
  <si>
    <t>For a Refining &amp; Petrochemicals Grid Interconnection project in Oceania, there is a risk during Procurement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</si>
  <si>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Procurement gate, local law, interfaces, and the selected delivery model.</t>
  </si>
  <si>
    <t>GER-1783</t>
  </si>
  <si>
    <t>For a Solar PV R&amp;D / Technology Development project in Europe, there is a risk during Manufacturing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</si>
  <si>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Manufacturing gate, local law, interfaces, and the selected delivery model.</t>
  </si>
  <si>
    <t>GER-1784</t>
  </si>
  <si>
    <t>For a Battery Energy Storage Brownfield Modification project in Africa, there is a risk during Construction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</si>
  <si>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Battery Energy Storage, the Construction gate, local law, interfaces, and the selected delivery model.</t>
  </si>
  <si>
    <t>GER-1785</t>
  </si>
  <si>
    <t>For a Coal / Thermal Power Owner’s Engineering project in East Asia, there is a risk during Installation that scope gap, boundary conflict or late interface data, combined with commercial misalignment,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</si>
  <si>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Coal / Thermal Power, the Installation gate, local law, interfaces, and the selected delivery model.</t>
  </si>
  <si>
    <t>GER-1786</t>
  </si>
  <si>
    <t>For a Nuclear Power Decommissioning project in Latin America, there is a risk during Manufacturing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</si>
  <si>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Manufacturing gate, local law, interfaces, and the selected delivery model.</t>
  </si>
  <si>
    <t>GER-1787</t>
  </si>
  <si>
    <t>For a District Energy EPC / Turnkey project in Global / Multi-country, there is a risk during Construction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</si>
  <si>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Construction gate, local law, interfaces, and the selected delivery model.</t>
  </si>
  <si>
    <t>GER-1788</t>
  </si>
  <si>
    <t>For a Pumped Storage Installation project in Middle East, there is a risk during Installation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</si>
  <si>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Installation gate, local law, interfaces, and the selected delivery model.</t>
  </si>
  <si>
    <t>GER-1789</t>
  </si>
  <si>
    <t>For a Natural Gas / CCGT Operations &amp; Maintenance project in South Asia, there is a risk during Pre-commissioning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</si>
  <si>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Natural Gas / CCGT, the Pre-commissioning gate, local law, interfaces, and the selected delivery model.</t>
  </si>
  <si>
    <t>GER-1790</t>
  </si>
  <si>
    <t>For a Marine Energy Grid Interconnection project in Southeast Asia, there is a risk during Commissioning that scope gap, boundary conflict or late interface data, combined with quality escape,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</si>
  <si>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Marine Energy, the Commissioning gate, local law, interfaces, and the selected delivery model.</t>
  </si>
  <si>
    <t>GER-1791</t>
  </si>
  <si>
    <t>For a Oil &amp; Gas Upstream Owner’s Engineering project in Oceania, there is a risk during Installation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</si>
  <si>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Oil &amp; Gas Upstream, the Installation gate, local law, interfaces, and the selected delivery model.</t>
  </si>
  <si>
    <t>GER-1792</t>
  </si>
  <si>
    <t>For a Offshore Wind EPCM project in Europe, there is a risk during Pre-commissioning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</si>
  <si>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Offshore Wind, the Pre-commissioning gate, local law, interfaces, and the selected delivery model.</t>
  </si>
  <si>
    <t>GER-1793</t>
  </si>
  <si>
    <t>For a Green Hydrogen Commissioning &amp; Start-up project in Africa, there is a risk during Commissioning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</si>
  <si>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Green Hydrogen, the Commissioning gate, local law, interfaces, and the selected delivery model.</t>
  </si>
  <si>
    <t>GER-1794</t>
  </si>
  <si>
    <t>For a Refining &amp; Petrochemicals Decommissioning project in East Asia, there is a risk during Operations / Handover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</si>
  <si>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Refining &amp; Petrochemicals, the Operations / Handover gate, local law, interfaces, and the selected delivery model.</t>
  </si>
  <si>
    <t>GER-1795</t>
  </si>
  <si>
    <t>For a Solar PV EPC / Turnkey project in North America, there is a risk during Feasibility &amp; Concept that scope gap, boundary conflict or late interface data, combined with access constraint,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</si>
  <si>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Solar PV, the Feasibility &amp; Concept gate, local law, interfaces, and the selected delivery model.</t>
  </si>
  <si>
    <t>GER-1796</t>
  </si>
  <si>
    <t>For a Carbon Capture, Utilization &amp; Storage Grid Interconnection project in Global / Multi-country, there is a risk during Commissioning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</si>
  <si>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Carbon Capture, Utilization &amp; Storage, the Commissioning gate, local law, interfaces, and the selected delivery model.</t>
  </si>
  <si>
    <t>GER-1797</t>
  </si>
  <si>
    <t>For a Hydropower R&amp;D / Technology Development project in Middle East, there is a risk during Operations / Handover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</si>
  <si>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Hydropower, the Operations / Handover gate, local law, interfaces, and the selected delivery model.</t>
  </si>
  <si>
    <t>GER-1798</t>
  </si>
  <si>
    <t>For a Nuclear Power Brownfield Modification project in South Asia, there is a risk during Feasibility &amp; Concept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</si>
  <si>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Nuclear Power, the Feasibility &amp; Concept gate, local law, interfaces, and the selected delivery model.</t>
  </si>
  <si>
    <t>GER-1799</t>
  </si>
  <si>
    <t>For a District Energy Owner’s Engineering project in Southeast Asia, there is a risk during FEED / Basic Design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</si>
  <si>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District Energy, the FEED / Basic Design gate, local law, interfaces, and the selected delivery model.</t>
  </si>
  <si>
    <t>GER-1800</t>
  </si>
  <si>
    <t>For a Pumped Storage EPCM project in Latin America, there is a risk during Detailed Engineering that scope gap, boundary conflict or late interface data, combined with performance variability, may adversely affect project objectives through time / cost / quality consequences.</t>
  </si>
  <si>
    <t>Establish controls for scope gap, boundary conflict or late interface data; assign actions, verify evidence, and review residual exposure at each gate. Tailor the response to Pumped Storage, the Detailed Engineering gate, local law, interfaces, and the selected delivery model.</t>
  </si>
  <si>
    <t>GER-1801</t>
  </si>
  <si>
    <t>For a Onshore Wind EPC / Turnkey project in Europe, there is a risk during Feasibility &amp; Concept that opposition, grievance or expectation conflict, combined with insufficient planning, may adversely affect project objectives through time / cost consequences.</t>
  </si>
  <si>
    <t>Stakeholder &amp; Community</t>
  </si>
  <si>
    <t>Establish controls for opposition, grievance or expectation conflict; assign actions, verify evidence, and review residual exposure at each gate. Tailor the response to Onshore Wind, the Feasibility &amp; Concept gate, local law, interfaces, and the selected delivery model.</t>
  </si>
  <si>
    <t>Stakeholder Manager</t>
  </si>
  <si>
    <t>GER-1802</t>
  </si>
  <si>
    <t>For a Biomass / Waste-to-Energy Installation project in Africa, there is a risk during FEED / Basic Design that opposition, grievance or expectation conflict, combined with insufficient planning,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</si>
  <si>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FEED / Basic Design gate, local law, interfaces, and the selected delivery model.</t>
  </si>
  <si>
    <t>GER-1803</t>
  </si>
  <si>
    <t>For a Oil &amp; Gas Upstream Operations &amp; Maintenance project in East Asia, there is a risk during Detailed Engineering that opposition, grievance or expectation conflict, combined with insufficient planning,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</si>
  <si>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Detailed Engineering gate, local law, interfaces, and the selected delivery model.</t>
  </si>
  <si>
    <t>GER-1804</t>
  </si>
  <si>
    <t>For a Offshore Wind Grid Interconnection project in North America, there is a risk during Procurement that opposition, grievance or expectation conflict, combined with insufficient planning,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</si>
  <si>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Procurement gate, local law, interfaces, and the selected delivery model.</t>
  </si>
  <si>
    <t>GER-1805</t>
  </si>
  <si>
    <t>For a Green Hydrogen R&amp;D / Technology Development project in Oceania, there is a risk during Manufacturing that opposition, grievance or expectation conflict, combined with insufficient planning,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</si>
  <si>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Manufacturing gate, local law, interfaces, and the selected delivery model.</t>
  </si>
  <si>
    <t>GER-1806</t>
  </si>
  <si>
    <t>For a Concentrated Solar Power EPCM project in Middle East, there is a risk during Detailed Engineering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</si>
  <si>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Detailed Engineering gate, local law, interfaces, and the selected delivery model.</t>
  </si>
  <si>
    <t>GER-1807</t>
  </si>
  <si>
    <t>For a Transmission &amp; Substations Commissioning &amp; Start-up project in South Asia, there is a risk during Procurement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</si>
  <si>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Procurement gate, local law, interfaces, and the selected delivery model.</t>
  </si>
  <si>
    <t>GER-1808</t>
  </si>
  <si>
    <t>For a Carbon Capture, Utilization &amp; Storage Decommissioning project in Southeast Asia, there is a risk during Manufacturing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</si>
  <si>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Manufacturing gate, local law, interfaces, and the selected delivery model.</t>
  </si>
  <si>
    <t>GER-1809</t>
  </si>
  <si>
    <t>For a Hydropower EPC / Turnkey project in Latin America, there is a risk during Construction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</si>
  <si>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Construction gate, local law, interfaces, and the selected delivery model.</t>
  </si>
  <si>
    <t>GER-1810</t>
  </si>
  <si>
    <t>For a Nuclear Power Installation project in Global / Multi-country, there is a risk during Installation that opposition, grievance or expectation conflict, combined with incomplete information,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</si>
  <si>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Installation gate, local law, interfaces, and the selected delivery model.</t>
  </si>
  <si>
    <t>GER-1811</t>
  </si>
  <si>
    <t>For a Geothermal R&amp;D / Technology Development project in Africa, there is a risk during Manufacturing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</si>
  <si>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Manufacturing gate, local law, interfaces, and the selected delivery model.</t>
  </si>
  <si>
    <t>GER-1812</t>
  </si>
  <si>
    <t>For a LNG Brownfield Modification project in East Asia, there is a risk during Construction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</si>
  <si>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Construction gate, local law, interfaces, and the selected delivery model.</t>
  </si>
  <si>
    <t>GER-1813</t>
  </si>
  <si>
    <t>For a Onshore Wind Owner’s Engineering project in North America, there is a risk during Installation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</si>
  <si>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Onshore Wind, the Installation gate, local law, interfaces, and the selected delivery model.</t>
  </si>
  <si>
    <t>GER-1814</t>
  </si>
  <si>
    <t>For a Biomass / Waste-to-Energy EPCM project in Oceania, there is a risk during Pre-commissioning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</si>
  <si>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Pre-commissioning gate, local law, interfaces, and the selected delivery model.</t>
  </si>
  <si>
    <t>GER-1815</t>
  </si>
  <si>
    <t>For a Oil &amp; Gas Upstream Commissioning &amp; Start-up project in Europe, there is a risk during Commissioning that opposition, grievance or expectation conflict, combined with late decision-making,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</si>
  <si>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Commissioning gate, local law, interfaces, and the selected delivery model.</t>
  </si>
  <si>
    <t>GER-1816</t>
  </si>
  <si>
    <t>For a Battery Energy Storage Installation project in South Asia, there is a risk during Installation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</si>
  <si>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Installation gate, local law, interfaces, and the selected delivery model.</t>
  </si>
  <si>
    <t>GER-1817</t>
  </si>
  <si>
    <t>For a Coal / Thermal Power Operations &amp; Maintenance project in Southeast Asia, there is a risk during Pre-commissioning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</si>
  <si>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Pre-commissioning gate, local law, interfaces, and the selected delivery model.</t>
  </si>
  <si>
    <t>GER-1818</t>
  </si>
  <si>
    <t>For a Concentrated Solar Power Grid Interconnection project in Latin America, there is a risk during Commissioning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</si>
  <si>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Commissioning gate, local law, interfaces, and the selected delivery model.</t>
  </si>
  <si>
    <t>GER-1819</t>
  </si>
  <si>
    <t>For a Transmission &amp; Substations R&amp;D / Technology Development project in Global / Multi-country, there is a risk during Operations / Handover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</si>
  <si>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Operations / Handover gate, local law, interfaces, and the selected delivery model.</t>
  </si>
  <si>
    <t>GER-1820</t>
  </si>
  <si>
    <t>For a Carbon Capture, Utilization &amp; Storage Brownfield Modification project in Middle East, there is a risk during Feasibility &amp; Concept that opposition, grievance or expectation conflict, combined with weak controls,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</si>
  <si>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Feasibility &amp; Concept gate, local law, interfaces, and the selected delivery model.</t>
  </si>
  <si>
    <t>GER-1821</t>
  </si>
  <si>
    <t>For a Natural Gas / CCGT Commissioning &amp; Start-up project in East Asia, there is a risk during Commissioning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</si>
  <si>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Commissioning gate, local law, interfaces, and the selected delivery model.</t>
  </si>
  <si>
    <t>GER-1822</t>
  </si>
  <si>
    <t>For a Marine Energy Decommissioning project in North America, there is a risk during Operations / Handover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</si>
  <si>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Operations / Handover gate, local law, interfaces, and the selected delivery model.</t>
  </si>
  <si>
    <t>GER-1823</t>
  </si>
  <si>
    <t>For a Geothermal EPC / Turnkey project in Oceania, there is a risk during Feasibility &amp; Concept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</si>
  <si>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Feasibility &amp; Concept gate, local law, interfaces, and the selected delivery model.</t>
  </si>
  <si>
    <t>GER-1824</t>
  </si>
  <si>
    <t>For a LNG Installation project in Europe, there is a risk during FEED / Basic Design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</si>
  <si>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FEED / Basic Design gate, local law, interfaces, and the selected delivery model.</t>
  </si>
  <si>
    <t>GER-1825</t>
  </si>
  <si>
    <t>For a Onshore Wind Operations &amp; Maintenance project in Africa, there is a risk during Detailed Engineering that opposition, grievance or expectation conflict, combined with resource constraints, may adversely affect project objectives through time / cost consequences.</t>
  </si>
  <si>
    <t>Establish controls for opposition, grievance or expectation conflict; assign actions, verify evidence, and review residual exposure at each gate. Tailor the response to Onshore Wind, the Detailed Engineering gate, local law, interfaces, and the selected delivery model.</t>
  </si>
  <si>
    <t>GER-1826</t>
  </si>
  <si>
    <t>For a Refining &amp; Petrochemicals Brownfield Modification project in Southeast Asia, there is a risk during Feasibility &amp; Concept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</si>
  <si>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Feasibility &amp; Concept gate, local law, interfaces, and the selected delivery model.</t>
  </si>
  <si>
    <t>GER-1827</t>
  </si>
  <si>
    <t>For a Solar PV Owner’s Engineering project in Latin America, there is a risk during FEED / Basic Design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</si>
  <si>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FEED / Basic Design gate, local law, interfaces, and the selected delivery model.</t>
  </si>
  <si>
    <t>GER-1828</t>
  </si>
  <si>
    <t>For a Battery Energy Storage EPCM project in Global / Multi-country, there is a risk during Detailed Engineering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</si>
  <si>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Detailed Engineering gate, local law, interfaces, and the selected delivery model.</t>
  </si>
  <si>
    <t>GER-1829</t>
  </si>
  <si>
    <t>For a Coal / Thermal Power Commissioning &amp; Start-up project in Middle East, there is a risk during Procurement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</si>
  <si>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Procurement gate, local law, interfaces, and the selected delivery model.</t>
  </si>
  <si>
    <t>GER-1830</t>
  </si>
  <si>
    <t>For a Concentrated Solar Power Decommissioning project in South Asia, there is a risk during Manufacturing that opposition, grievance or expectation conflict, combined with supplier dependency,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</si>
  <si>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Manufacturing gate, local law, interfaces, and the selected delivery model.</t>
  </si>
  <si>
    <t>GER-1831</t>
  </si>
  <si>
    <t>For a District Energy Operations &amp; Maintenance project in North America, there is a risk during Detailed Engineering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</si>
  <si>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Detailed Engineering gate, local law, interfaces, and the selected delivery model.</t>
  </si>
  <si>
    <t>GER-1832</t>
  </si>
  <si>
    <t>For a Pumped Storage Grid Interconnection project in Oceania, there is a risk during Procurement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</si>
  <si>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Procurement gate, local law, interfaces, and the selected delivery model.</t>
  </si>
  <si>
    <t>GER-1833</t>
  </si>
  <si>
    <t>For a Natural Gas / CCGT R&amp;D / Technology Development project in Europe, there is a risk during Manufacturing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</si>
  <si>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Manufacturing gate, local law, interfaces, and the selected delivery model.</t>
  </si>
  <si>
    <t>GER-1834</t>
  </si>
  <si>
    <t>For a Marine Energy Brownfield Modification project in Africa, there is a risk during Construction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</si>
  <si>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Construction gate, local law, interfaces, and the selected delivery model.</t>
  </si>
  <si>
    <t>GER-1835</t>
  </si>
  <si>
    <t>For a Geothermal Owner’s Engineering project in East Asia, there is a risk during Installation that opposition, grievance or expectation conflict, combined with interface complexity,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</si>
  <si>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Installation gate, local law, interfaces, and the selected delivery model.</t>
  </si>
  <si>
    <t>GER-1836</t>
  </si>
  <si>
    <t>For a Offshore Wind Decommissioning project in Latin America, there is a risk during Manufacturing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</si>
  <si>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Manufacturing gate, local law, interfaces, and the selected delivery model.</t>
  </si>
  <si>
    <t>GER-1837</t>
  </si>
  <si>
    <t>For a Green Hydrogen EPC / Turnkey project in Global / Multi-country, there is a risk during Construction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</si>
  <si>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Construction gate, local law, interfaces, and the selected delivery model.</t>
  </si>
  <si>
    <t>GER-1838</t>
  </si>
  <si>
    <t>For a Refining &amp; Petrochemicals Installation project in Middle East, there is a risk during Installation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</si>
  <si>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Installation gate, local law, interfaces, and the selected delivery model.</t>
  </si>
  <si>
    <t>GER-1839</t>
  </si>
  <si>
    <t>For a Solar PV Operations &amp; Maintenance project in South Asia, there is a risk during Pre-commissioning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</si>
  <si>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Pre-commissioning gate, local law, interfaces, and the selected delivery model.</t>
  </si>
  <si>
    <t>GER-1840</t>
  </si>
  <si>
    <t>For a Battery Energy Storage Grid Interconnection project in Southeast Asia, there is a risk during Commissioning that opposition, grievance or expectation conflict, combined with requirements volatility,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</si>
  <si>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Commissioning gate, local law, interfaces, and the selected delivery model.</t>
  </si>
  <si>
    <t>GER-1841</t>
  </si>
  <si>
    <t>For a Hydropower Owner’s Engineering project in Oceania, there is a risk during Installation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</si>
  <si>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Installation gate, local law, interfaces, and the selected delivery model.</t>
  </si>
  <si>
    <t>GER-1842</t>
  </si>
  <si>
    <t>For a Nuclear Power EPCM project in Europe, there is a risk during Pre-commissioning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</si>
  <si>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Pre-commissioning gate, local law, interfaces, and the selected delivery model.</t>
  </si>
  <si>
    <t>GER-1843</t>
  </si>
  <si>
    <t>For a District Energy Commissioning &amp; Start-up project in Africa, there is a risk during Commissioning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</si>
  <si>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Commissioning gate, local law, interfaces, and the selected delivery model.</t>
  </si>
  <si>
    <t>GER-1844</t>
  </si>
  <si>
    <t>For a Pumped Storage Decommissioning project in East Asia, there is a risk during Operations / Handover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</si>
  <si>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Operations / Handover gate, local law, interfaces, and the selected delivery model.</t>
  </si>
  <si>
    <t>GER-1845</t>
  </si>
  <si>
    <t>For a Natural Gas / CCGT EPC / Turnkey project in North America, there is a risk during Feasibility &amp; Concept that opposition, grievance or expectation conflict, combined with regulatory uncertainty,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</si>
  <si>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Feasibility &amp; Concept gate, local law, interfaces, and the selected delivery model.</t>
  </si>
  <si>
    <t>GER-1846</t>
  </si>
  <si>
    <t>For a Biomass / Waste-to-Energy Grid Interconnection project in Global / Multi-country, there is a risk during Commissioning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</si>
  <si>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Commissioning gate, local law, interfaces, and the selected delivery model.</t>
  </si>
  <si>
    <t>GER-1847</t>
  </si>
  <si>
    <t>For a Oil &amp; Gas Upstream R&amp;D / Technology Development project in Middle East, there is a risk during Operations / Handover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</si>
  <si>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Operations / Handover gate, local law, interfaces, and the selected delivery model.</t>
  </si>
  <si>
    <t>GER-1848</t>
  </si>
  <si>
    <t>For a Offshore Wind Brownfield Modification project in South Asia, there is a risk during Feasibility &amp; Concept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</si>
  <si>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Feasibility &amp; Concept gate, local law, interfaces, and the selected delivery model.</t>
  </si>
  <si>
    <t>GER-1849</t>
  </si>
  <si>
    <t>For a Green Hydrogen Owner’s Engineering project in Southeast Asia, there is a risk during FEED / Basic Design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</si>
  <si>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FEED / Basic Design gate, local law, interfaces, and the selected delivery model.</t>
  </si>
  <si>
    <t>GER-1850</t>
  </si>
  <si>
    <t>For a Refining &amp; Petrochemicals EPCM project in Latin America, there is a risk during Detailed Engineering that opposition, grievance or expectation conflict, combined with inadequate verification,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</si>
  <si>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Detailed Engineering gate, local law, interfaces, and the selected delivery model.</t>
  </si>
  <si>
    <t>GER-1851</t>
  </si>
  <si>
    <t>For a Transmission &amp; Substations EPC / Turnkey project in Europe, there is a risk during Feasibility &amp; Concept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</si>
  <si>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Feasibility &amp; Concept gate, local law, interfaces, and the selected delivery model.</t>
  </si>
  <si>
    <t>GER-1852</t>
  </si>
  <si>
    <t>For a Carbon Capture, Utilization &amp; Storage Installation project in Africa, there is a risk during FEED / Basic Design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</si>
  <si>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FEED / Basic Design gate, local law, interfaces, and the selected delivery model.</t>
  </si>
  <si>
    <t>GER-1853</t>
  </si>
  <si>
    <t>For a Hydropower Operations &amp; Maintenance project in East Asia, there is a risk during Detailed Engineering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</si>
  <si>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Detailed Engineering gate, local law, interfaces, and the selected delivery model.</t>
  </si>
  <si>
    <t>GER-1854</t>
  </si>
  <si>
    <t>For a Nuclear Power Grid Interconnection project in North America, there is a risk during Procurement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</si>
  <si>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Procurement gate, local law, interfaces, and the selected delivery model.</t>
  </si>
  <si>
    <t>GER-1855</t>
  </si>
  <si>
    <t>For a District Energy R&amp;D / Technology Development project in Oceania, there is a risk during Manufacturing that opposition, grievance or expectation conflict, combined with poor communication,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</si>
  <si>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Manufacturing gate, local law, interfaces, and the selected delivery model.</t>
  </si>
  <si>
    <t>GER-1856</t>
  </si>
  <si>
    <t>For a LNG EPCM project in Middle East, there is a risk during Detailed Engineering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</si>
  <si>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Detailed Engineering gate, local law, interfaces, and the selected delivery model.</t>
  </si>
  <si>
    <t>GER-1857</t>
  </si>
  <si>
    <t>For a Onshore Wind Commissioning &amp; Start-up project in South Asia, there is a risk during Procurement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</si>
  <si>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Onshore Wind, the Procurement gate, local law, interfaces, and the selected delivery model.</t>
  </si>
  <si>
    <t>GER-1858</t>
  </si>
  <si>
    <t>For a Biomass / Waste-to-Energy Decommissioning project in Southeast Asia, there is a risk during Manufacturing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</si>
  <si>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Manufacturing gate, local law, interfaces, and the selected delivery model.</t>
  </si>
  <si>
    <t>GER-1859</t>
  </si>
  <si>
    <t>For a Oil &amp; Gas Upstream EPC / Turnkey project in Latin America, there is a risk during Construction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</si>
  <si>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Construction gate, local law, interfaces, and the selected delivery model.</t>
  </si>
  <si>
    <t>GER-1860</t>
  </si>
  <si>
    <t>For a Offshore Wind Installation project in Global / Multi-country, there is a risk during Installation that opposition, grievance or expectation conflict, combined with incorrect assumptions,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</si>
  <si>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Installation gate, local law, interfaces, and the selected delivery model.</t>
  </si>
  <si>
    <t>GER-1861</t>
  </si>
  <si>
    <t>For a Coal / Thermal Power R&amp;D / Technology Development project in Africa, there is a risk during Manufacturing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</si>
  <si>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Manufacturing gate, local law, interfaces, and the selected delivery model.</t>
  </si>
  <si>
    <t>GER-1862</t>
  </si>
  <si>
    <t>For a Concentrated Solar Power Brownfield Modification project in East Asia, there is a risk during Construction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</si>
  <si>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Construction gate, local law, interfaces, and the selected delivery model.</t>
  </si>
  <si>
    <t>GER-1863</t>
  </si>
  <si>
    <t>For a Transmission &amp; Substations Owner’s Engineering project in North America, there is a risk during Installation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</si>
  <si>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Installation gate, local law, interfaces, and the selected delivery model.</t>
  </si>
  <si>
    <t>GER-1864</t>
  </si>
  <si>
    <t>For a Carbon Capture, Utilization &amp; Storage EPCM project in Oceania, there is a risk during Pre-commissioning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</si>
  <si>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Pre-commissioning gate, local law, interfaces, and the selected delivery model.</t>
  </si>
  <si>
    <t>GER-1865</t>
  </si>
  <si>
    <t>For a Hydropower Commissioning &amp; Start-up project in Europe, there is a risk during Commissioning that opposition, grievance or expectation conflict, combined with low technical maturity,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</si>
  <si>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Commissioning gate, local law, interfaces, and the selected delivery model.</t>
  </si>
  <si>
    <t>GER-1866</t>
  </si>
  <si>
    <t>For a Marine Energy Installation project in South Asia, there is a risk during Installation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</si>
  <si>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Installation gate, local law, interfaces, and the selected delivery model.</t>
  </si>
  <si>
    <t>GER-1867</t>
  </si>
  <si>
    <t>For a Geothermal Operations &amp; Maintenance project in Southeast Asia, there is a risk during Pre-commissioning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</si>
  <si>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Pre-commissioning gate, local law, interfaces, and the selected delivery model.</t>
  </si>
  <si>
    <t>GER-1868</t>
  </si>
  <si>
    <t>For a LNG Grid Interconnection project in Latin America, there is a risk during Commissioning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</si>
  <si>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Commissioning gate, local law, interfaces, and the selected delivery model.</t>
  </si>
  <si>
    <t>GER-1869</t>
  </si>
  <si>
    <t>For a Onshore Wind R&amp;D / Technology Development project in Global / Multi-country, there is a risk during Operations / Handover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</si>
  <si>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Onshore Wind, the Operations / Handover gate, local law, interfaces, and the selected delivery model.</t>
  </si>
  <si>
    <t>GER-1870</t>
  </si>
  <si>
    <t>For a Biomass / Waste-to-Energy Brownfield Modification project in Middle East, there is a risk during Feasibility &amp; Concept that opposition, grievance or expectation conflict, combined with documentation gaps, may adversely affect project objectives through time / cost consequences.</t>
  </si>
  <si>
    <t>Establish controls for opposition, grievance or expectation conflict; assign actions, verify evidence, and review residual exposure at each gate. Tailor the response to Biomass / Waste-to-Energy, the Feasibility &amp; Concept gate, local law, interfaces, and the selected delivery model.</t>
  </si>
  <si>
    <t>GER-1871</t>
  </si>
  <si>
    <t>For a Solar PV Commissioning &amp; Start-up project in East Asia, there is a risk during Commissioning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</si>
  <si>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Commissioning gate, local law, interfaces, and the selected delivery model.</t>
  </si>
  <si>
    <t>GER-1872</t>
  </si>
  <si>
    <t>For a Battery Energy Storage Decommissioning project in North America, there is a risk during Operations / Handover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</si>
  <si>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Operations / Handover gate, local law, interfaces, and the selected delivery model.</t>
  </si>
  <si>
    <t>GER-1873</t>
  </si>
  <si>
    <t>For a Coal / Thermal Power EPC / Turnkey project in Oceania, there is a risk during Feasibility &amp; Concept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</si>
  <si>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Feasibility &amp; Concept gate, local law, interfaces, and the selected delivery model.</t>
  </si>
  <si>
    <t>GER-1874</t>
  </si>
  <si>
    <t>For a Concentrated Solar Power Installation project in Europe, there is a risk during FEED / Basic Design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</si>
  <si>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Concentrated Solar Power, the FEED / Basic Design gate, local law, interfaces, and the selected delivery model.</t>
  </si>
  <si>
    <t>GER-1875</t>
  </si>
  <si>
    <t>For a Transmission &amp; Substations Operations &amp; Maintenance project in Africa, there is a risk during Detailed Engineering that opposition, grievance or expectation conflict, combined with external disruption, may adversely affect project objectives through time / cost consequences.</t>
  </si>
  <si>
    <t>Establish controls for opposition, grievance or expectation conflict; assign actions, verify evidence, and review residual exposure at each gate. Tailor the response to Transmission &amp; Substations, the Detailed Engineering gate, local law, interfaces, and the selected delivery model.</t>
  </si>
  <si>
    <t>GER-1876</t>
  </si>
  <si>
    <t>For a Pumped Storage Brownfield Modification project in Southeast Asia, there is a risk during Feasibility &amp; Concept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</si>
  <si>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Feasibility &amp; Concept gate, local law, interfaces, and the selected delivery model.</t>
  </si>
  <si>
    <t>GER-1877</t>
  </si>
  <si>
    <t>For a Natural Gas / CCGT Owner’s Engineering project in Latin America, there is a risk during FEED / Basic Design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</si>
  <si>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FEED / Basic Design gate, local law, interfaces, and the selected delivery model.</t>
  </si>
  <si>
    <t>GER-1878</t>
  </si>
  <si>
    <t>For a Marine Energy EPCM project in Global / Multi-country, there is a risk during Detailed Engineering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</si>
  <si>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Detailed Engineering gate, local law, interfaces, and the selected delivery model.</t>
  </si>
  <si>
    <t>GER-1879</t>
  </si>
  <si>
    <t>For a Geothermal Commissioning &amp; Start-up project in Middle East, there is a risk during Procurement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</si>
  <si>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Geothermal, the Procurement gate, local law, interfaces, and the selected delivery model.</t>
  </si>
  <si>
    <t>GER-1880</t>
  </si>
  <si>
    <t>For a LNG Decommissioning project in South Asia, there is a risk during Manufacturing that opposition, grievance or expectation conflict, combined with governance delay, may adversely affect project objectives through time / cost consequences.</t>
  </si>
  <si>
    <t>Establish controls for opposition, grievance or expectation conflict; assign actions, verify evidence, and review residual exposure at each gate. Tailor the response to LNG, the Manufacturing gate, local law, interfaces, and the selected delivery model.</t>
  </si>
  <si>
    <t>GER-1881</t>
  </si>
  <si>
    <t>For a Green Hydrogen Operations &amp; Maintenance project in North America, there is a risk during Detailed Engineering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</si>
  <si>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Detailed Engineering gate, local law, interfaces, and the selected delivery model.</t>
  </si>
  <si>
    <t>GER-1882</t>
  </si>
  <si>
    <t>For a Refining &amp; Petrochemicals Grid Interconnection project in Oceania, there is a risk during Procurement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</si>
  <si>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Procurement gate, local law, interfaces, and the selected delivery model.</t>
  </si>
  <si>
    <t>GER-1883</t>
  </si>
  <si>
    <t>For a Solar PV R&amp;D / Technology Development project in Europe, there is a risk during Manufacturing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</si>
  <si>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Manufacturing gate, local law, interfaces, and the selected delivery model.</t>
  </si>
  <si>
    <t>GER-1884</t>
  </si>
  <si>
    <t>For a Battery Energy Storage Brownfield Modification project in Africa, there is a risk during Construction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</si>
  <si>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Battery Energy Storage, the Construction gate, local law, interfaces, and the selected delivery model.</t>
  </si>
  <si>
    <t>GER-1885</t>
  </si>
  <si>
    <t>For a Coal / Thermal Power Owner’s Engineering project in East Asia, there is a risk during Installation that opposition, grievance or expectation conflict, combined with commercial misalignment, may adversely affect project objectives through time / cost consequences.</t>
  </si>
  <si>
    <t>Establish controls for opposition, grievance or expectation conflict; assign actions, verify evidence, and review residual exposure at each gate. Tailor the response to Coal / Thermal Power, the Installation gate, local law, interfaces, and the selected delivery model.</t>
  </si>
  <si>
    <t>GER-1886</t>
  </si>
  <si>
    <t>For a Nuclear Power Decommissioning project in Latin America, there is a risk during Manufacturing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</si>
  <si>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Manufacturing gate, local law, interfaces, and the selected delivery model.</t>
  </si>
  <si>
    <t>GER-1887</t>
  </si>
  <si>
    <t>For a District Energy EPC / Turnkey project in Global / Multi-country, there is a risk during Construction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</si>
  <si>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Construction gate, local law, interfaces, and the selected delivery model.</t>
  </si>
  <si>
    <t>GER-1888</t>
  </si>
  <si>
    <t>For a Pumped Storage Installation project in Middle East, there is a risk during Installation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</si>
  <si>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Installation gate, local law, interfaces, and the selected delivery model.</t>
  </si>
  <si>
    <t>GER-1889</t>
  </si>
  <si>
    <t>For a Natural Gas / CCGT Operations &amp; Maintenance project in South Asia, there is a risk during Pre-commissioning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</si>
  <si>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Natural Gas / CCGT, the Pre-commissioning gate, local law, interfaces, and the selected delivery model.</t>
  </si>
  <si>
    <t>GER-1890</t>
  </si>
  <si>
    <t>For a Marine Energy Grid Interconnection project in Southeast Asia, there is a risk during Commissioning that opposition, grievance or expectation conflict, combined with quality escape, may adversely affect project objectives through time / cost consequences.</t>
  </si>
  <si>
    <t>Establish controls for opposition, grievance or expectation conflict; assign actions, verify evidence, and review residual exposure at each gate. Tailor the response to Marine Energy, the Commissioning gate, local law, interfaces, and the selected delivery model.</t>
  </si>
  <si>
    <t>GER-1891</t>
  </si>
  <si>
    <t>For a Oil &amp; Gas Upstream Owner’s Engineering project in Oceania, there is a risk during Installation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</si>
  <si>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Oil &amp; Gas Upstream, the Installation gate, local law, interfaces, and the selected delivery model.</t>
  </si>
  <si>
    <t>GER-1892</t>
  </si>
  <si>
    <t>For a Offshore Wind EPCM project in Europe, there is a risk during Pre-commissioning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</si>
  <si>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Offshore Wind, the Pre-commissioning gate, local law, interfaces, and the selected delivery model.</t>
  </si>
  <si>
    <t>GER-1893</t>
  </si>
  <si>
    <t>For a Green Hydrogen Commissioning &amp; Start-up project in Africa, there is a risk during Commissioning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</si>
  <si>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Green Hydrogen, the Commissioning gate, local law, interfaces, and the selected delivery model.</t>
  </si>
  <si>
    <t>GER-1894</t>
  </si>
  <si>
    <t>For a Refining &amp; Petrochemicals Decommissioning project in East Asia, there is a risk during Operations / Handover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</si>
  <si>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Refining &amp; Petrochemicals, the Operations / Handover gate, local law, interfaces, and the selected delivery model.</t>
  </si>
  <si>
    <t>GER-1895</t>
  </si>
  <si>
    <t>For a Solar PV EPC / Turnkey project in North America, there is a risk during Feasibility &amp; Concept that opposition, grievance or expectation conflict, combined with access constraint, may adversely affect project objectives through time / cost consequences.</t>
  </si>
  <si>
    <t>Establish controls for opposition, grievance or expectation conflict; assign actions, verify evidence, and review residual exposure at each gate. Tailor the response to Solar PV, the Feasibility &amp; Concept gate, local law, interfaces, and the selected delivery model.</t>
  </si>
  <si>
    <t>GER-1896</t>
  </si>
  <si>
    <t>For a Carbon Capture, Utilization &amp; Storage Grid Interconnection project in Global / Multi-country, there is a risk during Commissioning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</si>
  <si>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Carbon Capture, Utilization &amp; Storage, the Commissioning gate, local law, interfaces, and the selected delivery model.</t>
  </si>
  <si>
    <t>GER-1897</t>
  </si>
  <si>
    <t>For a Hydropower R&amp;D / Technology Development project in Middle East, there is a risk during Operations / Handover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</si>
  <si>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Hydropower, the Operations / Handover gate, local law, interfaces, and the selected delivery model.</t>
  </si>
  <si>
    <t>GER-1898</t>
  </si>
  <si>
    <t>For a Nuclear Power Brownfield Modification project in South Asia, there is a risk during Feasibility &amp; Concept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</si>
  <si>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Nuclear Power, the Feasibility &amp; Concept gate, local law, interfaces, and the selected delivery model.</t>
  </si>
  <si>
    <t>GER-1899</t>
  </si>
  <si>
    <t>For a District Energy Owner’s Engineering project in Southeast Asia, there is a risk during FEED / Basic Design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</si>
  <si>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District Energy, the FEED / Basic Design gate, local law, interfaces, and the selected delivery model.</t>
  </si>
  <si>
    <t>GER-1900</t>
  </si>
  <si>
    <t>For a Pumped Storage EPCM project in Latin America, there is a risk during Detailed Engineering that opposition, grievance or expectation conflict, combined with performance variability, may adversely affect project objectives through time / cost consequences.</t>
  </si>
  <si>
    <t>Establish controls for opposition, grievance or expectation conflict; assign actions, verify evidence, and review residual exposure at each gate. Tailor the response to Pumped Storage, the Detailed Engineering gate, local law, interfaces, and the selected delivery model.</t>
  </si>
  <si>
    <t>GER-1901</t>
  </si>
  <si>
    <t>For a Onshore Wind EPC / Turnkey project in Europe, there is a risk during Feasibility &amp; Concept that late acquisition, easement dispute or access denial, combined with insufficient planning, may adversely affect project objectives through time / cost consequences.</t>
  </si>
  <si>
    <t>Land &amp; Right of Way</t>
  </si>
  <si>
    <t>Establish controls for late acquisition, easement dispute or access denial; assign actions, verify evidence, and review residual exposure at each gate. Tailor the response to Onshore Wind, the Feasibility &amp; Concept gate, local law, interfaces, and the selected delivery model.</t>
  </si>
  <si>
    <t>Land Manager</t>
  </si>
  <si>
    <t>GER-1902</t>
  </si>
  <si>
    <t>For a Biomass / Waste-to-Energy Installation project in Africa, there is a risk during FEED / Basic Design that late acquisition, easement dispute or access denial, combined with insufficient planning,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</si>
  <si>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FEED / Basic Design gate, local law, interfaces, and the selected delivery model.</t>
  </si>
  <si>
    <t>GER-1903</t>
  </si>
  <si>
    <t>For a Oil &amp; Gas Upstream Operations &amp; Maintenance project in East Asia, there is a risk during Detailed Engineering that late acquisition, easement dispute or access denial, combined with insufficient planning,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</si>
  <si>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Detailed Engineering gate, local law, interfaces, and the selected delivery model.</t>
  </si>
  <si>
    <t>GER-1904</t>
  </si>
  <si>
    <t>For a Offshore Wind Grid Interconnection project in North America, there is a risk during Procurement that late acquisition, easement dispute or access denial, combined with insufficient planning,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</si>
  <si>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Procurement gate, local law, interfaces, and the selected delivery model.</t>
  </si>
  <si>
    <t>GER-1905</t>
  </si>
  <si>
    <t>For a Green Hydrogen R&amp;D / Technology Development project in Oceania, there is a risk during Manufacturing that late acquisition, easement dispute or access denial, combined with insufficient planning,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</si>
  <si>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Manufacturing gate, local law, interfaces, and the selected delivery model.</t>
  </si>
  <si>
    <t>GER-1906</t>
  </si>
  <si>
    <t>For a Concentrated Solar Power EPCM project in Middle East, there is a risk during Detailed Engineering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</si>
  <si>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Detailed Engineering gate, local law, interfaces, and the selected delivery model.</t>
  </si>
  <si>
    <t>GER-1907</t>
  </si>
  <si>
    <t>For a Transmission &amp; Substations Commissioning &amp; Start-up project in South Asia, there is a risk during Procurement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</si>
  <si>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Procurement gate, local law, interfaces, and the selected delivery model.</t>
  </si>
  <si>
    <t>GER-1908</t>
  </si>
  <si>
    <t>For a Carbon Capture, Utilization &amp; Storage Decommissioning project in Southeast Asia, there is a risk during Manufacturing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</si>
  <si>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Manufacturing gate, local law, interfaces, and the selected delivery model.</t>
  </si>
  <si>
    <t>GER-1909</t>
  </si>
  <si>
    <t>For a Hydropower EPC / Turnkey project in Latin America, there is a risk during Construction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</si>
  <si>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Construction gate, local law, interfaces, and the selected delivery model.</t>
  </si>
  <si>
    <t>GER-1910</t>
  </si>
  <si>
    <t>For a Nuclear Power Installation project in Global / Multi-country, there is a risk during Installation that late acquisition, easement dispute or access denial, combined with incomplete information,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</si>
  <si>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Installation gate, local law, interfaces, and the selected delivery model.</t>
  </si>
  <si>
    <t>GER-1911</t>
  </si>
  <si>
    <t>For a Geothermal R&amp;D / Technology Development project in Africa, there is a risk during Manufacturing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</si>
  <si>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Manufacturing gate, local law, interfaces, and the selected delivery model.</t>
  </si>
  <si>
    <t>GER-1912</t>
  </si>
  <si>
    <t>For a LNG Brownfield Modification project in East Asia, there is a risk during Construction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</si>
  <si>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Construction gate, local law, interfaces, and the selected delivery model.</t>
  </si>
  <si>
    <t>GER-1913</t>
  </si>
  <si>
    <t>For a Onshore Wind Owner’s Engineering project in North America, there is a risk during Installation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</si>
  <si>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Onshore Wind, the Installation gate, local law, interfaces, and the selected delivery model.</t>
  </si>
  <si>
    <t>GER-1914</t>
  </si>
  <si>
    <t>For a Biomass / Waste-to-Energy EPCM project in Oceania, there is a risk during Pre-commissioning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</si>
  <si>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Pre-commissioning gate, local law, interfaces, and the selected delivery model.</t>
  </si>
  <si>
    <t>GER-1915</t>
  </si>
  <si>
    <t>For a Oil &amp; Gas Upstream Commissioning &amp; Start-up project in Europe, there is a risk during Commissioning that late acquisition, easement dispute or access denial, combined with late decision-making,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</si>
  <si>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Commissioning gate, local law, interfaces, and the selected delivery model.</t>
  </si>
  <si>
    <t>GER-1916</t>
  </si>
  <si>
    <t>For a Battery Energy Storage Installation project in South Asia, there is a risk during Installation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</si>
  <si>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Installation gate, local law, interfaces, and the selected delivery model.</t>
  </si>
  <si>
    <t>GER-1917</t>
  </si>
  <si>
    <t>For a Coal / Thermal Power Operations &amp; Maintenance project in Southeast Asia, there is a risk during Pre-commissioning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</si>
  <si>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Pre-commissioning gate, local law, interfaces, and the selected delivery model.</t>
  </si>
  <si>
    <t>GER-1918</t>
  </si>
  <si>
    <t>For a Concentrated Solar Power Grid Interconnection project in Latin America, there is a risk during Commissioning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</si>
  <si>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Commissioning gate, local law, interfaces, and the selected delivery model.</t>
  </si>
  <si>
    <t>GER-1919</t>
  </si>
  <si>
    <t>For a Transmission &amp; Substations R&amp;D / Technology Development project in Global / Multi-country, there is a risk during Operations / Handover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</si>
  <si>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Operations / Handover gate, local law, interfaces, and the selected delivery model.</t>
  </si>
  <si>
    <t>GER-1920</t>
  </si>
  <si>
    <t>For a Carbon Capture, Utilization &amp; Storage Brownfield Modification project in Middle East, there is a risk during Feasibility &amp; Concept that late acquisition, easement dispute or access denial, combined with weak controls,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</si>
  <si>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Feasibility &amp; Concept gate, local law, interfaces, and the selected delivery model.</t>
  </si>
  <si>
    <t>GER-1921</t>
  </si>
  <si>
    <t>For a Natural Gas / CCGT Commissioning &amp; Start-up project in East Asia, there is a risk during Commissioning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</si>
  <si>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Commissioning gate, local law, interfaces, and the selected delivery model.</t>
  </si>
  <si>
    <t>GER-1922</t>
  </si>
  <si>
    <t>For a Marine Energy Decommissioning project in North America, there is a risk during Operations / Handover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</si>
  <si>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Operations / Handover gate, local law, interfaces, and the selected delivery model.</t>
  </si>
  <si>
    <t>GER-1923</t>
  </si>
  <si>
    <t>For a Geothermal EPC / Turnkey project in Oceania, there is a risk during Feasibility &amp; Concept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</si>
  <si>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Feasibility &amp; Concept gate, local law, interfaces, and the selected delivery model.</t>
  </si>
  <si>
    <t>GER-1924</t>
  </si>
  <si>
    <t>For a LNG Installation project in Europe, there is a risk during FEED / Basic Design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</si>
  <si>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FEED / Basic Design gate, local law, interfaces, and the selected delivery model.</t>
  </si>
  <si>
    <t>GER-1925</t>
  </si>
  <si>
    <t>For a Onshore Wind Operations &amp; Maintenance project in Africa, there is a risk during Detailed Engineering that late acquisition, easement dispute or access denial, combined with resource constraints, may adversely affect project objectives through time / cost consequences.</t>
  </si>
  <si>
    <t>Establish controls for late acquisition, easement dispute or access denial; assign actions, verify evidence, and review residual exposure at each gate. Tailor the response to Onshore Wind, the Detailed Engineering gate, local law, interfaces, and the selected delivery model.</t>
  </si>
  <si>
    <t>GER-1926</t>
  </si>
  <si>
    <t>For a Refining &amp; Petrochemicals Brownfield Modification project in Southeast Asia, there is a risk during Feasibility &amp; Concept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</si>
  <si>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Feasibility &amp; Concept gate, local law, interfaces, and the selected delivery model.</t>
  </si>
  <si>
    <t>GER-1927</t>
  </si>
  <si>
    <t>For a Solar PV Owner’s Engineering project in Latin America, there is a risk during FEED / Basic Design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</si>
  <si>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FEED / Basic Design gate, local law, interfaces, and the selected delivery model.</t>
  </si>
  <si>
    <t>GER-1928</t>
  </si>
  <si>
    <t>For a Battery Energy Storage EPCM project in Global / Multi-country, there is a risk during Detailed Engineering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</si>
  <si>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Detailed Engineering gate, local law, interfaces, and the selected delivery model.</t>
  </si>
  <si>
    <t>GER-1929</t>
  </si>
  <si>
    <t>For a Coal / Thermal Power Commissioning &amp; Start-up project in Middle East, there is a risk during Procurement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</si>
  <si>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Procurement gate, local law, interfaces, and the selected delivery model.</t>
  </si>
  <si>
    <t>GER-1930</t>
  </si>
  <si>
    <t>For a Concentrated Solar Power Decommissioning project in South Asia, there is a risk during Manufacturing that late acquisition, easement dispute or access denial, combined with supplier dependency,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</si>
  <si>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Manufacturing gate, local law, interfaces, and the selected delivery model.</t>
  </si>
  <si>
    <t>GER-1931</t>
  </si>
  <si>
    <t>For a District Energy Operations &amp; Maintenance project in North America, there is a risk during Detailed Engineering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</si>
  <si>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Detailed Engineering gate, local law, interfaces, and the selected delivery model.</t>
  </si>
  <si>
    <t>GER-1932</t>
  </si>
  <si>
    <t>For a Pumped Storage Grid Interconnection project in Oceania, there is a risk during Procurement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</si>
  <si>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Procurement gate, local law, interfaces, and the selected delivery model.</t>
  </si>
  <si>
    <t>GER-1933</t>
  </si>
  <si>
    <t>For a Natural Gas / CCGT R&amp;D / Technology Development project in Europe, there is a risk during Manufacturing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</si>
  <si>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Manufacturing gate, local law, interfaces, and the selected delivery model.</t>
  </si>
  <si>
    <t>GER-1934</t>
  </si>
  <si>
    <t>For a Marine Energy Brownfield Modification project in Africa, there is a risk during Construction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</si>
  <si>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Construction gate, local law, interfaces, and the selected delivery model.</t>
  </si>
  <si>
    <t>GER-1935</t>
  </si>
  <si>
    <t>For a Geothermal Owner’s Engineering project in East Asia, there is a risk during Installation that late acquisition, easement dispute or access denial, combined with interface complexity,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</si>
  <si>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Installation gate, local law, interfaces, and the selected delivery model.</t>
  </si>
  <si>
    <t>GER-1936</t>
  </si>
  <si>
    <t>For a Offshore Wind Decommissioning project in Latin America, there is a risk during Manufacturing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</si>
  <si>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Manufacturing gate, local law, interfaces, and the selected delivery model.</t>
  </si>
  <si>
    <t>GER-1937</t>
  </si>
  <si>
    <t>For a Green Hydrogen EPC / Turnkey project in Global / Multi-country, there is a risk during Construction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</si>
  <si>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Construction gate, local law, interfaces, and the selected delivery model.</t>
  </si>
  <si>
    <t>GER-1938</t>
  </si>
  <si>
    <t>For a Refining &amp; Petrochemicals Installation project in Middle East, there is a risk during Installation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</si>
  <si>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Installation gate, local law, interfaces, and the selected delivery model.</t>
  </si>
  <si>
    <t>GER-1939</t>
  </si>
  <si>
    <t>For a Solar PV Operations &amp; Maintenance project in South Asia, there is a risk during Pre-commissioning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</si>
  <si>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Pre-commissioning gate, local law, interfaces, and the selected delivery model.</t>
  </si>
  <si>
    <t>GER-1940</t>
  </si>
  <si>
    <t>For a Battery Energy Storage Grid Interconnection project in Southeast Asia, there is a risk during Commissioning that late acquisition, easement dispute or access denial, combined with requirements volatility,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</si>
  <si>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Commissioning gate, local law, interfaces, and the selected delivery model.</t>
  </si>
  <si>
    <t>GER-1941</t>
  </si>
  <si>
    <t>For a Hydropower Owner’s Engineering project in Oceania, there is a risk during Installation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</si>
  <si>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Installation gate, local law, interfaces, and the selected delivery model.</t>
  </si>
  <si>
    <t>GER-1942</t>
  </si>
  <si>
    <t>For a Nuclear Power EPCM project in Europe, there is a risk during Pre-commissioning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</si>
  <si>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Pre-commissioning gate, local law, interfaces, and the selected delivery model.</t>
  </si>
  <si>
    <t>GER-1943</t>
  </si>
  <si>
    <t>For a District Energy Commissioning &amp; Start-up project in Africa, there is a risk during Commissioning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</si>
  <si>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Commissioning gate, local law, interfaces, and the selected delivery model.</t>
  </si>
  <si>
    <t>GER-1944</t>
  </si>
  <si>
    <t>For a Pumped Storage Decommissioning project in East Asia, there is a risk during Operations / Handover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</si>
  <si>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Operations / Handover gate, local law, interfaces, and the selected delivery model.</t>
  </si>
  <si>
    <t>GER-1945</t>
  </si>
  <si>
    <t>For a Natural Gas / CCGT EPC / Turnkey project in North America, there is a risk during Feasibility &amp; Concept that late acquisition, easement dispute or access denial, combined with regulatory uncertainty,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</si>
  <si>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Feasibility &amp; Concept gate, local law, interfaces, and the selected delivery model.</t>
  </si>
  <si>
    <t>GER-1946</t>
  </si>
  <si>
    <t>For a Biomass / Waste-to-Energy Grid Interconnection project in Global / Multi-country, there is a risk during Commissioning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</si>
  <si>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Commissioning gate, local law, interfaces, and the selected delivery model.</t>
  </si>
  <si>
    <t>GER-1947</t>
  </si>
  <si>
    <t>For a Oil &amp; Gas Upstream R&amp;D / Technology Development project in Middle East, there is a risk during Operations / Handover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</si>
  <si>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Operations / Handover gate, local law, interfaces, and the selected delivery model.</t>
  </si>
  <si>
    <t>GER-1948</t>
  </si>
  <si>
    <t>For a Offshore Wind Brownfield Modification project in South Asia, there is a risk during Feasibility &amp; Concept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</si>
  <si>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Feasibility &amp; Concept gate, local law, interfaces, and the selected delivery model.</t>
  </si>
  <si>
    <t>GER-1949</t>
  </si>
  <si>
    <t>For a Green Hydrogen Owner’s Engineering project in Southeast Asia, there is a risk during FEED / Basic Design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</si>
  <si>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FEED / Basic Design gate, local law, interfaces, and the selected delivery model.</t>
  </si>
  <si>
    <t>GER-1950</t>
  </si>
  <si>
    <t>For a Refining &amp; Petrochemicals EPCM project in Latin America, there is a risk during Detailed Engineering that late acquisition, easement dispute or access denial, combined with inadequate verification,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</si>
  <si>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Detailed Engineering gate, local law, interfaces, and the selected delivery model.</t>
  </si>
  <si>
    <t>GER-1951</t>
  </si>
  <si>
    <t>For a Transmission &amp; Substations EPC / Turnkey project in Europe, there is a risk during Feasibility &amp; Concept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</si>
  <si>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Feasibility &amp; Concept gate, local law, interfaces, and the selected delivery model.</t>
  </si>
  <si>
    <t>GER-1952</t>
  </si>
  <si>
    <t>For a Carbon Capture, Utilization &amp; Storage Installation project in Africa, there is a risk during FEED / Basic Design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</si>
  <si>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FEED / Basic Design gate, local law, interfaces, and the selected delivery model.</t>
  </si>
  <si>
    <t>GER-1953</t>
  </si>
  <si>
    <t>For a Hydropower Operations &amp; Maintenance project in East Asia, there is a risk during Detailed Engineering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</si>
  <si>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Detailed Engineering gate, local law, interfaces, and the selected delivery model.</t>
  </si>
  <si>
    <t>GER-1954</t>
  </si>
  <si>
    <t>For a Nuclear Power Grid Interconnection project in North America, there is a risk during Procurement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</si>
  <si>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Procurement gate, local law, interfaces, and the selected delivery model.</t>
  </si>
  <si>
    <t>GER-1955</t>
  </si>
  <si>
    <t>For a District Energy R&amp;D / Technology Development project in Oceania, there is a risk during Manufacturing that late acquisition, easement dispute or access denial, combined with poor communication,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</si>
  <si>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Manufacturing gate, local law, interfaces, and the selected delivery model.</t>
  </si>
  <si>
    <t>GER-1956</t>
  </si>
  <si>
    <t>For a LNG EPCM project in Middle East, there is a risk during Detailed Engineering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</si>
  <si>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Detailed Engineering gate, local law, interfaces, and the selected delivery model.</t>
  </si>
  <si>
    <t>GER-1957</t>
  </si>
  <si>
    <t>For a Onshore Wind Commissioning &amp; Start-up project in South Asia, there is a risk during Procurement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</si>
  <si>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Onshore Wind, the Procurement gate, local law, interfaces, and the selected delivery model.</t>
  </si>
  <si>
    <t>GER-1958</t>
  </si>
  <si>
    <t>For a Biomass / Waste-to-Energy Decommissioning project in Southeast Asia, there is a risk during Manufacturing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</si>
  <si>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Manufacturing gate, local law, interfaces, and the selected delivery model.</t>
  </si>
  <si>
    <t>GER-1959</t>
  </si>
  <si>
    <t>For a Oil &amp; Gas Upstream EPC / Turnkey project in Latin America, there is a risk during Construction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</si>
  <si>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Construction gate, local law, interfaces, and the selected delivery model.</t>
  </si>
  <si>
    <t>GER-1960</t>
  </si>
  <si>
    <t>For a Offshore Wind Installation project in Global / Multi-country, there is a risk during Installation that late acquisition, easement dispute or access denial, combined with incorrect assumptions,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</si>
  <si>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Installation gate, local law, interfaces, and the selected delivery model.</t>
  </si>
  <si>
    <t>GER-1961</t>
  </si>
  <si>
    <t>For a Coal / Thermal Power R&amp;D / Technology Development project in Africa, there is a risk during Manufacturing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</si>
  <si>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Manufacturing gate, local law, interfaces, and the selected delivery model.</t>
  </si>
  <si>
    <t>GER-1962</t>
  </si>
  <si>
    <t>For a Concentrated Solar Power Brownfield Modification project in East Asia, there is a risk during Construction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</si>
  <si>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Construction gate, local law, interfaces, and the selected delivery model.</t>
  </si>
  <si>
    <t>GER-1963</t>
  </si>
  <si>
    <t>For a Transmission &amp; Substations Owner’s Engineering project in North America, there is a risk during Installation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</si>
  <si>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Installation gate, local law, interfaces, and the selected delivery model.</t>
  </si>
  <si>
    <t>GER-1964</t>
  </si>
  <si>
    <t>For a Carbon Capture, Utilization &amp; Storage EPCM project in Oceania, there is a risk during Pre-commissioning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</si>
  <si>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Pre-commissioning gate, local law, interfaces, and the selected delivery model.</t>
  </si>
  <si>
    <t>GER-1965</t>
  </si>
  <si>
    <t>For a Hydropower Commissioning &amp; Start-up project in Europe, there is a risk during Commissioning that late acquisition, easement dispute or access denial, combined with low technical maturity,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</si>
  <si>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Commissioning gate, local law, interfaces, and the selected delivery model.</t>
  </si>
  <si>
    <t>GER-1966</t>
  </si>
  <si>
    <t>For a Marine Energy Installation project in South Asia, there is a risk during Installation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</si>
  <si>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Installation gate, local law, interfaces, and the selected delivery model.</t>
  </si>
  <si>
    <t>GER-1967</t>
  </si>
  <si>
    <t>For a Geothermal Operations &amp; Maintenance project in Southeast Asia, there is a risk during Pre-commissioning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</si>
  <si>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Pre-commissioning gate, local law, interfaces, and the selected delivery model.</t>
  </si>
  <si>
    <t>GER-1968</t>
  </si>
  <si>
    <t>For a LNG Grid Interconnection project in Latin America, there is a risk during Commissioning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</si>
  <si>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Commissioning gate, local law, interfaces, and the selected delivery model.</t>
  </si>
  <si>
    <t>GER-1969</t>
  </si>
  <si>
    <t>For a Onshore Wind R&amp;D / Technology Development project in Global / Multi-country, there is a risk during Operations / Handover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</si>
  <si>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Onshore Wind, the Operations / Handover gate, local law, interfaces, and the selected delivery model.</t>
  </si>
  <si>
    <t>GER-1970</t>
  </si>
  <si>
    <t>For a Biomass / Waste-to-Energy Brownfield Modification project in Middle East, there is a risk during Feasibility &amp; Concept that late acquisition, easement dispute or access denial, combined with documentation gaps, may adversely affect project objectives through time / cost consequences.</t>
  </si>
  <si>
    <t>Establish controls for late acquisition, easement dispute or access denial; assign actions, verify evidence, and review residual exposure at each gate. Tailor the response to Biomass / Waste-to-Energy, the Feasibility &amp; Concept gate, local law, interfaces, and the selected delivery model.</t>
  </si>
  <si>
    <t>GER-1971</t>
  </si>
  <si>
    <t>For a Solar PV Commissioning &amp; Start-up project in East Asia, there is a risk during Commissioning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</si>
  <si>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Commissioning gate, local law, interfaces, and the selected delivery model.</t>
  </si>
  <si>
    <t>GER-1972</t>
  </si>
  <si>
    <t>For a Battery Energy Storage Decommissioning project in North America, there is a risk during Operations / Handover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</si>
  <si>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Operations / Handover gate, local law, interfaces, and the selected delivery model.</t>
  </si>
  <si>
    <t>GER-1973</t>
  </si>
  <si>
    <t>For a Coal / Thermal Power EPC / Turnkey project in Oceania, there is a risk during Feasibility &amp; Concept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</si>
  <si>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Feasibility &amp; Concept gate, local law, interfaces, and the selected delivery model.</t>
  </si>
  <si>
    <t>GER-1974</t>
  </si>
  <si>
    <t>For a Concentrated Solar Power Installation project in Europe, there is a risk during FEED / Basic Design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</si>
  <si>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Concentrated Solar Power, the FEED / Basic Design gate, local law, interfaces, and the selected delivery model.</t>
  </si>
  <si>
    <t>GER-1975</t>
  </si>
  <si>
    <t>For a Transmission &amp; Substations Operations &amp; Maintenance project in Africa, there is a risk during Detailed Engineering that late acquisition, easement dispute or access denial, combined with external disruption, may adversely affect project objectives through time / cost consequences.</t>
  </si>
  <si>
    <t>Establish controls for late acquisition, easement dispute or access denial; assign actions, verify evidence, and review residual exposure at each gate. Tailor the response to Transmission &amp; Substations, the Detailed Engineering gate, local law, interfaces, and the selected delivery model.</t>
  </si>
  <si>
    <t>GER-1976</t>
  </si>
  <si>
    <t>For a Pumped Storage Brownfield Modification project in Southeast Asia, there is a risk during Feasibility &amp; Concept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</si>
  <si>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Feasibility &amp; Concept gate, local law, interfaces, and the selected delivery model.</t>
  </si>
  <si>
    <t>GER-1977</t>
  </si>
  <si>
    <t>For a Natural Gas / CCGT Owner’s Engineering project in Latin America, there is a risk during FEED / Basic Design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</si>
  <si>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FEED / Basic Design gate, local law, interfaces, and the selected delivery model.</t>
  </si>
  <si>
    <t>GER-1978</t>
  </si>
  <si>
    <t>For a Marine Energy EPCM project in Global / Multi-country, there is a risk during Detailed Engineering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</si>
  <si>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Detailed Engineering gate, local law, interfaces, and the selected delivery model.</t>
  </si>
  <si>
    <t>GER-1979</t>
  </si>
  <si>
    <t>For a Geothermal Commissioning &amp; Start-up project in Middle East, there is a risk during Procurement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</si>
  <si>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Geothermal, the Procurement gate, local law, interfaces, and the selected delivery model.</t>
  </si>
  <si>
    <t>GER-1980</t>
  </si>
  <si>
    <t>For a LNG Decommissioning project in South Asia, there is a risk during Manufacturing that late acquisition, easement dispute or access denial, combined with governance delay, may adversely affect project objectives through time / cost consequences.</t>
  </si>
  <si>
    <t>Establish controls for late acquisition, easement dispute or access denial; assign actions, verify evidence, and review residual exposure at each gate. Tailor the response to LNG, the Manufacturing gate, local law, interfaces, and the selected delivery model.</t>
  </si>
  <si>
    <t>GER-1981</t>
  </si>
  <si>
    <t>For a Green Hydrogen Operations &amp; Maintenance project in North America, there is a risk during Detailed Engineering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</si>
  <si>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Detailed Engineering gate, local law, interfaces, and the selected delivery model.</t>
  </si>
  <si>
    <t>GER-1982</t>
  </si>
  <si>
    <t>For a Refining &amp; Petrochemicals Grid Interconnection project in Oceania, there is a risk during Procurement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</si>
  <si>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Procurement gate, local law, interfaces, and the selected delivery model.</t>
  </si>
  <si>
    <t>GER-1983</t>
  </si>
  <si>
    <t>For a Solar PV R&amp;D / Technology Development project in Europe, there is a risk during Manufacturing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</si>
  <si>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Manufacturing gate, local law, interfaces, and the selected delivery model.</t>
  </si>
  <si>
    <t>GER-1984</t>
  </si>
  <si>
    <t>For a Battery Energy Storage Brownfield Modification project in Africa, there is a risk during Construction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</si>
  <si>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Battery Energy Storage, the Construction gate, local law, interfaces, and the selected delivery model.</t>
  </si>
  <si>
    <t>GER-1985</t>
  </si>
  <si>
    <t>For a Coal / Thermal Power Owner’s Engineering project in East Asia, there is a risk during Installation that late acquisition, easement dispute or access denial, combined with commercial misalignment, may adversely affect project objectives through time / cost consequences.</t>
  </si>
  <si>
    <t>Establish controls for late acquisition, easement dispute or access denial; assign actions, verify evidence, and review residual exposure at each gate. Tailor the response to Coal / Thermal Power, the Installation gate, local law, interfaces, and the selected delivery model.</t>
  </si>
  <si>
    <t>GER-1986</t>
  </si>
  <si>
    <t>For a Nuclear Power Decommissioning project in Latin America, there is a risk during Manufacturing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</si>
  <si>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Manufacturing gate, local law, interfaces, and the selected delivery model.</t>
  </si>
  <si>
    <t>GER-1987</t>
  </si>
  <si>
    <t>For a District Energy EPC / Turnkey project in Global / Multi-country, there is a risk during Construction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</si>
  <si>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Construction gate, local law, interfaces, and the selected delivery model.</t>
  </si>
  <si>
    <t>GER-1988</t>
  </si>
  <si>
    <t>For a Pumped Storage Installation project in Middle East, there is a risk during Installation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</si>
  <si>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Installation gate, local law, interfaces, and the selected delivery model.</t>
  </si>
  <si>
    <t>GER-1989</t>
  </si>
  <si>
    <t>For a Natural Gas / CCGT Operations &amp; Maintenance project in South Asia, there is a risk during Pre-commissioning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</si>
  <si>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Natural Gas / CCGT, the Pre-commissioning gate, local law, interfaces, and the selected delivery model.</t>
  </si>
  <si>
    <t>GER-1990</t>
  </si>
  <si>
    <t>For a Marine Energy Grid Interconnection project in Southeast Asia, there is a risk during Commissioning that late acquisition, easement dispute or access denial, combined with quality escape, may adversely affect project objectives through time / cost consequences.</t>
  </si>
  <si>
    <t>Establish controls for late acquisition, easement dispute or access denial; assign actions, verify evidence, and review residual exposure at each gate. Tailor the response to Marine Energy, the Commissioning gate, local law, interfaces, and the selected delivery model.</t>
  </si>
  <si>
    <t>GER-1991</t>
  </si>
  <si>
    <t>For a Oil &amp; Gas Upstream Owner’s Engineering project in Oceania, there is a risk during Installation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</si>
  <si>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Oil &amp; Gas Upstream, the Installation gate, local law, interfaces, and the selected delivery model.</t>
  </si>
  <si>
    <t>GER-1992</t>
  </si>
  <si>
    <t>For a Offshore Wind EPCM project in Europe, there is a risk during Pre-commissioning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</si>
  <si>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Offshore Wind, the Pre-commissioning gate, local law, interfaces, and the selected delivery model.</t>
  </si>
  <si>
    <t>GER-1993</t>
  </si>
  <si>
    <t>For a Green Hydrogen Commissioning &amp; Start-up project in Africa, there is a risk during Commissioning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</si>
  <si>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Green Hydrogen, the Commissioning gate, local law, interfaces, and the selected delivery model.</t>
  </si>
  <si>
    <t>GER-1994</t>
  </si>
  <si>
    <t>For a Refining &amp; Petrochemicals Decommissioning project in East Asia, there is a risk during Operations / Handover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</si>
  <si>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Refining &amp; Petrochemicals, the Operations / Handover gate, local law, interfaces, and the selected delivery model.</t>
  </si>
  <si>
    <t>GER-1995</t>
  </si>
  <si>
    <t>For a Solar PV EPC / Turnkey project in North America, there is a risk during Feasibility &amp; Concept that late acquisition, easement dispute or access denial, combined with access constraint, may adversely affect project objectives through time / cost consequences.</t>
  </si>
  <si>
    <t>Establish controls for late acquisition, easement dispute or access denial; assign actions, verify evidence, and review residual exposure at each gate. Tailor the response to Solar PV, the Feasibility &amp; Concept gate, local law, interfaces, and the selected delivery model.</t>
  </si>
  <si>
    <t>GER-1996</t>
  </si>
  <si>
    <t>For a Carbon Capture, Utilization &amp; Storage Grid Interconnection project in Global / Multi-country, there is a risk during Commissioning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</si>
  <si>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Carbon Capture, Utilization &amp; Storage, the Commissioning gate, local law, interfaces, and the selected delivery model.</t>
  </si>
  <si>
    <t>GER-1997</t>
  </si>
  <si>
    <t>For a Hydropower R&amp;D / Technology Development project in Middle East, there is a risk during Operations / Handover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</si>
  <si>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Hydropower, the Operations / Handover gate, local law, interfaces, and the selected delivery model.</t>
  </si>
  <si>
    <t>GER-1998</t>
  </si>
  <si>
    <t>For a Nuclear Power Brownfield Modification project in South Asia, there is a risk during Feasibility &amp; Concept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</si>
  <si>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Nuclear Power, the Feasibility &amp; Concept gate, local law, interfaces, and the selected delivery model.</t>
  </si>
  <si>
    <t>GER-1999</t>
  </si>
  <si>
    <t>For a District Energy Owner’s Engineering project in Southeast Asia, there is a risk during FEED / Basic Design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</si>
  <si>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District Energy, the FEED / Basic Design gate, local law, interfaces, and the selected delivery model.</t>
  </si>
  <si>
    <t>GER-2000</t>
  </si>
  <si>
    <t>For a Pumped Storage EPCM project in Latin America, there is a risk during Detailed Engineering that late acquisition, easement dispute or access denial, combined with performance variability, may adversely affect project objectives through time / cost consequences.</t>
  </si>
  <si>
    <t>Establish controls for late acquisition, easement dispute or access denial; assign actions, verify evidence, and review residual exposure at each gate. Tailor the response to Pumped Storage, the Detailed Engineering gate, local law, interfaces, and the selected delivery model.</t>
  </si>
  <si>
    <t>GER-2001</t>
  </si>
  <si>
    <t>For a Onshore Wind EPC / Turnkey project in Europe, there is a risk during Feasibility &amp; Concept that late certification, funding constraint or withholding, combined with insufficient planning, may adversely affect project objectives through cost / time consequences.</t>
  </si>
  <si>
    <t>Payment &amp; Cash Flow</t>
  </si>
  <si>
    <t>Establish controls for late certification, funding constraint or withholding; assign actions, verify evidence, and review residual exposure at each gate. Tailor the response to Onshore Wind, the Feasibility &amp; Concept gate, local law, interfaces, and the selected delivery model.</t>
  </si>
  <si>
    <t>GER-2002</t>
  </si>
  <si>
    <t>For a Biomass / Waste-to-Energy Installation project in Africa, there is a risk during FEED / Basic Design that late certification, funding constraint or withholding, combined with insufficient planning,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</si>
  <si>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FEED / Basic Design gate, local law, interfaces, and the selected delivery model.</t>
  </si>
  <si>
    <t>GER-2003</t>
  </si>
  <si>
    <t>For a Oil &amp; Gas Upstream Operations &amp; Maintenance project in East Asia, there is a risk during Detailed Engineering that late certification, funding constraint or withholding, combined with insufficient planning,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</si>
  <si>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Detailed Engineering gate, local law, interfaces, and the selected delivery model.</t>
  </si>
  <si>
    <t>GER-2004</t>
  </si>
  <si>
    <t>For a Offshore Wind Grid Interconnection project in North America, there is a risk during Procurement that late certification, funding constraint or withholding, combined with insufficient planning,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</si>
  <si>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Procurement gate, local law, interfaces, and the selected delivery model.</t>
  </si>
  <si>
    <t>GER-2005</t>
  </si>
  <si>
    <t>For a Green Hydrogen R&amp;D / Technology Development project in Oceania, there is a risk during Manufacturing that late certification, funding constraint or withholding, combined with insufficient planning,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</si>
  <si>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Manufacturing gate, local law, interfaces, and the selected delivery model.</t>
  </si>
  <si>
    <t>GER-2006</t>
  </si>
  <si>
    <t>For a Concentrated Solar Power EPCM project in Middle East, there is a risk during Detailed Engineering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</si>
  <si>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Detailed Engineering gate, local law, interfaces, and the selected delivery model.</t>
  </si>
  <si>
    <t>GER-2007</t>
  </si>
  <si>
    <t>For a Transmission &amp; Substations Commissioning &amp; Start-up project in South Asia, there is a risk during Procurement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</si>
  <si>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Procurement gate, local law, interfaces, and the selected delivery model.</t>
  </si>
  <si>
    <t>GER-2008</t>
  </si>
  <si>
    <t>For a Carbon Capture, Utilization &amp; Storage Decommissioning project in Southeast Asia, there is a risk during Manufacturing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</si>
  <si>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Manufacturing gate, local law, interfaces, and the selected delivery model.</t>
  </si>
  <si>
    <t>GER-2009</t>
  </si>
  <si>
    <t>For a Hydropower EPC / Turnkey project in Latin America, there is a risk during Construction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</si>
  <si>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Construction gate, local law, interfaces, and the selected delivery model.</t>
  </si>
  <si>
    <t>GER-2010</t>
  </si>
  <si>
    <t>For a Nuclear Power Installation project in Global / Multi-country, there is a risk during Installation that late certification, funding constraint or withholding, combined with incomplete information,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</si>
  <si>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Installation gate, local law, interfaces, and the selected delivery model.</t>
  </si>
  <si>
    <t>GER-2011</t>
  </si>
  <si>
    <t>For a Geothermal R&amp;D / Technology Development project in Africa, there is a risk during Manufacturing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</si>
  <si>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Manufacturing gate, local law, interfaces, and the selected delivery model.</t>
  </si>
  <si>
    <t>GER-2012</t>
  </si>
  <si>
    <t>For a LNG Brownfield Modification project in East Asia, there is a risk during Construction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</si>
  <si>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Construction gate, local law, interfaces, and the selected delivery model.</t>
  </si>
  <si>
    <t>GER-2013</t>
  </si>
  <si>
    <t>For a Onshore Wind Owner’s Engineering project in North America, there is a risk during Installation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</si>
  <si>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Onshore Wind, the Installation gate, local law, interfaces, and the selected delivery model.</t>
  </si>
  <si>
    <t>GER-2014</t>
  </si>
  <si>
    <t>For a Biomass / Waste-to-Energy EPCM project in Oceania, there is a risk during Pre-commissioning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</si>
  <si>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Pre-commissioning gate, local law, interfaces, and the selected delivery model.</t>
  </si>
  <si>
    <t>GER-2015</t>
  </si>
  <si>
    <t>For a Oil &amp; Gas Upstream Commissioning &amp; Start-up project in Europe, there is a risk during Commissioning that late certification, funding constraint or withholding, combined with late decision-making,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</si>
  <si>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Commissioning gate, local law, interfaces, and the selected delivery model.</t>
  </si>
  <si>
    <t>GER-2016</t>
  </si>
  <si>
    <t>For a Battery Energy Storage Installation project in South Asia, there is a risk during Installation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</si>
  <si>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Installation gate, local law, interfaces, and the selected delivery model.</t>
  </si>
  <si>
    <t>GER-2017</t>
  </si>
  <si>
    <t>For a Coal / Thermal Power Operations &amp; Maintenance project in Southeast Asia, there is a risk during Pre-commissioning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</si>
  <si>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Pre-commissioning gate, local law, interfaces, and the selected delivery model.</t>
  </si>
  <si>
    <t>GER-2018</t>
  </si>
  <si>
    <t>For a Concentrated Solar Power Grid Interconnection project in Latin America, there is a risk during Commissioning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</si>
  <si>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Commissioning gate, local law, interfaces, and the selected delivery model.</t>
  </si>
  <si>
    <t>GER-2019</t>
  </si>
  <si>
    <t>For a Transmission &amp; Substations R&amp;D / Technology Development project in Global / Multi-country, there is a risk during Operations / Handover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</si>
  <si>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Operations / Handover gate, local law, interfaces, and the selected delivery model.</t>
  </si>
  <si>
    <t>GER-2020</t>
  </si>
  <si>
    <t>For a Carbon Capture, Utilization &amp; Storage Brownfield Modification project in Middle East, there is a risk during Feasibility &amp; Concept that late certification, funding constraint or withholding, combined with weak controls,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</si>
  <si>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Feasibility &amp; Concept gate, local law, interfaces, and the selected delivery model.</t>
  </si>
  <si>
    <t>GER-2021</t>
  </si>
  <si>
    <t>For a Natural Gas / CCGT Commissioning &amp; Start-up project in East Asia, there is a risk during Commissioning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</si>
  <si>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Commissioning gate, local law, interfaces, and the selected delivery model.</t>
  </si>
  <si>
    <t>GER-2022</t>
  </si>
  <si>
    <t>For a Marine Energy Decommissioning project in North America, there is a risk during Operations / Handover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</si>
  <si>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Operations / Handover gate, local law, interfaces, and the selected delivery model.</t>
  </si>
  <si>
    <t>GER-2023</t>
  </si>
  <si>
    <t>For a Geothermal EPC / Turnkey project in Oceania, there is a risk during Feasibility &amp; Concept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</si>
  <si>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Feasibility &amp; Concept gate, local law, interfaces, and the selected delivery model.</t>
  </si>
  <si>
    <t>GER-2024</t>
  </si>
  <si>
    <t>For a LNG Installation project in Europe, there is a risk during FEED / Basic Design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</si>
  <si>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FEED / Basic Design gate, local law, interfaces, and the selected delivery model.</t>
  </si>
  <si>
    <t>GER-2025</t>
  </si>
  <si>
    <t>For a Onshore Wind Operations &amp; Maintenance project in Africa, there is a risk during Detailed Engineering that late certification, funding constraint or withholding, combined with resource constraints,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</si>
  <si>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Onshore Wind, the Detailed Engineering gate, local law, interfaces, and the selected delivery model.</t>
  </si>
  <si>
    <t>GER-2026</t>
  </si>
  <si>
    <t>For a Refining &amp; Petrochemicals Brownfield Modification project in Southeast Asia, there is a risk during Feasibility &amp; Concept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</si>
  <si>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Feasibility &amp; Concept gate, local law, interfaces, and the selected delivery model.</t>
  </si>
  <si>
    <t>GER-2027</t>
  </si>
  <si>
    <t>For a Solar PV Owner’s Engineering project in Latin America, there is a risk during FEED / Basic Design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</si>
  <si>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FEED / Basic Design gate, local law, interfaces, and the selected delivery model.</t>
  </si>
  <si>
    <t>GER-2028</t>
  </si>
  <si>
    <t>For a Battery Energy Storage EPCM project in Global / Multi-country, there is a risk during Detailed Engineering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</si>
  <si>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Detailed Engineering gate, local law, interfaces, and the selected delivery model.</t>
  </si>
  <si>
    <t>GER-2029</t>
  </si>
  <si>
    <t>For a Coal / Thermal Power Commissioning &amp; Start-up project in Middle East, there is a risk during Procurement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</si>
  <si>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Procurement gate, local law, interfaces, and the selected delivery model.</t>
  </si>
  <si>
    <t>GER-2030</t>
  </si>
  <si>
    <t>For a Concentrated Solar Power Decommissioning project in South Asia, there is a risk during Manufacturing that late certification, funding constraint or withholding, combined with supplier dependency,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</si>
  <si>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Manufacturing gate, local law, interfaces, and the selected delivery model.</t>
  </si>
  <si>
    <t>GER-2031</t>
  </si>
  <si>
    <t>For a District Energy Operations &amp; Maintenance project in North America, there is a risk during Detailed Engineering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</si>
  <si>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Detailed Engineering gate, local law, interfaces, and the selected delivery model.</t>
  </si>
  <si>
    <t>GER-2032</t>
  </si>
  <si>
    <t>For a Pumped Storage Grid Interconnection project in Oceania, there is a risk during Procurement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</si>
  <si>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Procurement gate, local law, interfaces, and the selected delivery model.</t>
  </si>
  <si>
    <t>GER-2033</t>
  </si>
  <si>
    <t>For a Natural Gas / CCGT R&amp;D / Technology Development project in Europe, there is a risk during Manufacturing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</si>
  <si>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Manufacturing gate, local law, interfaces, and the selected delivery model.</t>
  </si>
  <si>
    <t>GER-2034</t>
  </si>
  <si>
    <t>For a Marine Energy Brownfield Modification project in Africa, there is a risk during Construction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</si>
  <si>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Construction gate, local law, interfaces, and the selected delivery model.</t>
  </si>
  <si>
    <t>GER-2035</t>
  </si>
  <si>
    <t>For a Geothermal Owner’s Engineering project in East Asia, there is a risk during Installation that late certification, funding constraint or withholding, combined with interface complexity,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</si>
  <si>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Installation gate, local law, interfaces, and the selected delivery model.</t>
  </si>
  <si>
    <t>GER-2036</t>
  </si>
  <si>
    <t>For a Offshore Wind Decommissioning project in Latin America, there is a risk during Manufacturing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</si>
  <si>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Manufacturing gate, local law, interfaces, and the selected delivery model.</t>
  </si>
  <si>
    <t>GER-2037</t>
  </si>
  <si>
    <t>For a Green Hydrogen EPC / Turnkey project in Global / Multi-country, there is a risk during Construction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</si>
  <si>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Construction gate, local law, interfaces, and the selected delivery model.</t>
  </si>
  <si>
    <t>GER-2038</t>
  </si>
  <si>
    <t>For a Refining &amp; Petrochemicals Installation project in Middle East, there is a risk during Installation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</si>
  <si>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Installation gate, local law, interfaces, and the selected delivery model.</t>
  </si>
  <si>
    <t>GER-2039</t>
  </si>
  <si>
    <t>For a Solar PV Operations &amp; Maintenance project in South Asia, there is a risk during Pre-commissioning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</si>
  <si>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Pre-commissioning gate, local law, interfaces, and the selected delivery model.</t>
  </si>
  <si>
    <t>GER-2040</t>
  </si>
  <si>
    <t>For a Battery Energy Storage Grid Interconnection project in Southeast Asia, there is a risk during Commissioning that late certification, funding constraint or withholding, combined with requirements volatility,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</si>
  <si>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Commissioning gate, local law, interfaces, and the selected delivery model.</t>
  </si>
  <si>
    <t>GER-2041</t>
  </si>
  <si>
    <t>For a Hydropower Owner’s Engineering project in Oceania, there is a risk during Installation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</si>
  <si>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Installation gate, local law, interfaces, and the selected delivery model.</t>
  </si>
  <si>
    <t>GER-2042</t>
  </si>
  <si>
    <t>For a Nuclear Power EPCM project in Europe, there is a risk during Pre-commissioning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</si>
  <si>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Pre-commissioning gate, local law, interfaces, and the selected delivery model.</t>
  </si>
  <si>
    <t>GER-2043</t>
  </si>
  <si>
    <t>For a District Energy Commissioning &amp; Start-up project in Africa, there is a risk during Commissioning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</si>
  <si>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Commissioning gate, local law, interfaces, and the selected delivery model.</t>
  </si>
  <si>
    <t>GER-2044</t>
  </si>
  <si>
    <t>For a Pumped Storage Decommissioning project in East Asia, there is a risk during Operations / Handover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</si>
  <si>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Operations / Handover gate, local law, interfaces, and the selected delivery model.</t>
  </si>
  <si>
    <t>GER-2045</t>
  </si>
  <si>
    <t>For a Natural Gas / CCGT EPC / Turnkey project in North America, there is a risk during Feasibility &amp; Concept that late certification, funding constraint or withholding, combined with regulatory uncertainty,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</si>
  <si>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Feasibility &amp; Concept gate, local law, interfaces, and the selected delivery model.</t>
  </si>
  <si>
    <t>GER-2046</t>
  </si>
  <si>
    <t>For a Biomass / Waste-to-Energy Grid Interconnection project in Global / Multi-country, there is a risk during Commissioning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</si>
  <si>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Commissioning gate, local law, interfaces, and the selected delivery model.</t>
  </si>
  <si>
    <t>GER-2047</t>
  </si>
  <si>
    <t>For a Oil &amp; Gas Upstream R&amp;D / Technology Development project in Middle East, there is a risk during Operations / Handover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</si>
  <si>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Operations / Handover gate, local law, interfaces, and the selected delivery model.</t>
  </si>
  <si>
    <t>GER-2048</t>
  </si>
  <si>
    <t>For a Offshore Wind Brownfield Modification project in South Asia, there is a risk during Feasibility &amp; Concept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</si>
  <si>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Feasibility &amp; Concept gate, local law, interfaces, and the selected delivery model.</t>
  </si>
  <si>
    <t>GER-2049</t>
  </si>
  <si>
    <t>For a Green Hydrogen Owner’s Engineering project in Southeast Asia, there is a risk during FEED / Basic Design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</si>
  <si>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FEED / Basic Design gate, local law, interfaces, and the selected delivery model.</t>
  </si>
  <si>
    <t>GER-2050</t>
  </si>
  <si>
    <t>For a Refining &amp; Petrochemicals EPCM project in Latin America, there is a risk during Detailed Engineering that late certification, funding constraint or withholding, combined with inadequate verification,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</si>
  <si>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Detailed Engineering gate, local law, interfaces, and the selected delivery model.</t>
  </si>
  <si>
    <t>GER-2051</t>
  </si>
  <si>
    <t>For a Transmission &amp; Substations EPC / Turnkey project in Europe, there is a risk during Feasibility &amp; Concept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</si>
  <si>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Feasibility &amp; Concept gate, local law, interfaces, and the selected delivery model.</t>
  </si>
  <si>
    <t>GER-2052</t>
  </si>
  <si>
    <t>For a Carbon Capture, Utilization &amp; Storage Installation project in Africa, there is a risk during FEED / Basic Design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</si>
  <si>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FEED / Basic Design gate, local law, interfaces, and the selected delivery model.</t>
  </si>
  <si>
    <t>GER-2053</t>
  </si>
  <si>
    <t>For a Hydropower Operations &amp; Maintenance project in East Asia, there is a risk during Detailed Engineering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</si>
  <si>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Detailed Engineering gate, local law, interfaces, and the selected delivery model.</t>
  </si>
  <si>
    <t>GER-2054</t>
  </si>
  <si>
    <t>For a Nuclear Power Grid Interconnection project in North America, there is a risk during Procurement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</si>
  <si>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Procurement gate, local law, interfaces, and the selected delivery model.</t>
  </si>
  <si>
    <t>GER-2055</t>
  </si>
  <si>
    <t>For a District Energy R&amp;D / Technology Development project in Oceania, there is a risk during Manufacturing that late certification, funding constraint or withholding, combined with poor communication,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</si>
  <si>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Manufacturing gate, local law, interfaces, and the selected delivery model.</t>
  </si>
  <si>
    <t>GER-2056</t>
  </si>
  <si>
    <t>For a LNG EPCM project in Middle East, there is a risk during Detailed Engineering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</si>
  <si>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Detailed Engineering gate, local law, interfaces, and the selected delivery model.</t>
  </si>
  <si>
    <t>GER-2057</t>
  </si>
  <si>
    <t>For a Onshore Wind Commissioning &amp; Start-up project in South Asia, there is a risk during Procurement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</si>
  <si>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Onshore Wind, the Procurement gate, local law, interfaces, and the selected delivery model.</t>
  </si>
  <si>
    <t>GER-2058</t>
  </si>
  <si>
    <t>For a Biomass / Waste-to-Energy Decommissioning project in Southeast Asia, there is a risk during Manufacturing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</si>
  <si>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Manufacturing gate, local law, interfaces, and the selected delivery model.</t>
  </si>
  <si>
    <t>GER-2059</t>
  </si>
  <si>
    <t>For a Oil &amp; Gas Upstream EPC / Turnkey project in Latin America, there is a risk during Construction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</si>
  <si>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Construction gate, local law, interfaces, and the selected delivery model.</t>
  </si>
  <si>
    <t>GER-2060</t>
  </si>
  <si>
    <t>For a Offshore Wind Installation project in Global / Multi-country, there is a risk during Installation that late certification, funding constraint or withholding, combined with incorrect assumptions,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</si>
  <si>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Installation gate, local law, interfaces, and the selected delivery model.</t>
  </si>
  <si>
    <t>GER-2061</t>
  </si>
  <si>
    <t>For a Coal / Thermal Power R&amp;D / Technology Development project in Africa, there is a risk during Manufacturing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</si>
  <si>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Manufacturing gate, local law, interfaces, and the selected delivery model.</t>
  </si>
  <si>
    <t>GER-2062</t>
  </si>
  <si>
    <t>For a Concentrated Solar Power Brownfield Modification project in East Asia, there is a risk during Construction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</si>
  <si>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Construction gate, local law, interfaces, and the selected delivery model.</t>
  </si>
  <si>
    <t>GER-2063</t>
  </si>
  <si>
    <t>For a Transmission &amp; Substations Owner’s Engineering project in North America, there is a risk during Installation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</si>
  <si>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Installation gate, local law, interfaces, and the selected delivery model.</t>
  </si>
  <si>
    <t>GER-2064</t>
  </si>
  <si>
    <t>For a Carbon Capture, Utilization &amp; Storage EPCM project in Oceania, there is a risk during Pre-commissioning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</si>
  <si>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Pre-commissioning gate, local law, interfaces, and the selected delivery model.</t>
  </si>
  <si>
    <t>GER-2065</t>
  </si>
  <si>
    <t>For a Hydropower Commissioning &amp; Start-up project in Europe, there is a risk during Commissioning that late certification, funding constraint or withholding, combined with low technical maturity,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</si>
  <si>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Commissioning gate, local law, interfaces, and the selected delivery model.</t>
  </si>
  <si>
    <t>GER-2066</t>
  </si>
  <si>
    <t>For a Marine Energy Installation project in South Asia, there is a risk during Installation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</si>
  <si>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Installation gate, local law, interfaces, and the selected delivery model.</t>
  </si>
  <si>
    <t>GER-2067</t>
  </si>
  <si>
    <t>For a Geothermal Operations &amp; Maintenance project in Southeast Asia, there is a risk during Pre-commissioning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</si>
  <si>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Pre-commissioning gate, local law, interfaces, and the selected delivery model.</t>
  </si>
  <si>
    <t>GER-2068</t>
  </si>
  <si>
    <t>For a LNG Grid Interconnection project in Latin America, there is a risk during Commissioning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</si>
  <si>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Commissioning gate, local law, interfaces, and the selected delivery model.</t>
  </si>
  <si>
    <t>GER-2069</t>
  </si>
  <si>
    <t>For a Onshore Wind R&amp;D / Technology Development project in Global / Multi-country, there is a risk during Operations / Handover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</si>
  <si>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Onshore Wind, the Operations / Handover gate, local law, interfaces, and the selected delivery model.</t>
  </si>
  <si>
    <t>GER-2070</t>
  </si>
  <si>
    <t>For a Biomass / Waste-to-Energy Brownfield Modification project in Middle East, there is a risk during Feasibility &amp; Concept that late certification, funding constraint or withholding, combined with documentation gaps,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</si>
  <si>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Biomass / Waste-to-Energy, the Feasibility &amp; Concept gate, local law, interfaces, and the selected delivery model.</t>
  </si>
  <si>
    <t>GER-2071</t>
  </si>
  <si>
    <t>For a Solar PV Commissioning &amp; Start-up project in East Asia, there is a risk during Commissioning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</si>
  <si>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Commissioning gate, local law, interfaces, and the selected delivery model.</t>
  </si>
  <si>
    <t>GER-2072</t>
  </si>
  <si>
    <t>For a Battery Energy Storage Decommissioning project in North America, there is a risk during Operations / Handover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</si>
  <si>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Operations / Handover gate, local law, interfaces, and the selected delivery model.</t>
  </si>
  <si>
    <t>GER-2073</t>
  </si>
  <si>
    <t>For a Coal / Thermal Power EPC / Turnkey project in Oceania, there is a risk during Feasibility &amp; Concept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</si>
  <si>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Feasibility &amp; Concept gate, local law, interfaces, and the selected delivery model.</t>
  </si>
  <si>
    <t>GER-2074</t>
  </si>
  <si>
    <t>For a Concentrated Solar Power Installation project in Europe, there is a risk during FEED / Basic Design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</si>
  <si>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Concentrated Solar Power, the FEED / Basic Design gate, local law, interfaces, and the selected delivery model.</t>
  </si>
  <si>
    <t>GER-2075</t>
  </si>
  <si>
    <t>For a Transmission &amp; Substations Operations &amp; Maintenance project in Africa, there is a risk during Detailed Engineering that late certification, funding constraint or withholding, combined with external disruption, may adversely affect project objectives through cost / time consequences.</t>
  </si>
  <si>
    <t>Establish controls for late certification, funding constraint or withholding; assign actions, verify evidence, and review residual exposure at each gate. Tailor the response to Transmission &amp; Substations, the Detailed Engineering gate, local law, interfaces, and the selected delivery model.</t>
  </si>
  <si>
    <t>GER-2076</t>
  </si>
  <si>
    <t>For a Pumped Storage Brownfield Modification project in Southeast Asia, there is a risk during Feasibility &amp; Concept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</si>
  <si>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Feasibility &amp; Concept gate, local law, interfaces, and the selected delivery model.</t>
  </si>
  <si>
    <t>GER-2077</t>
  </si>
  <si>
    <t>For a Natural Gas / CCGT Owner’s Engineering project in Latin America, there is a risk during FEED / Basic Design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</si>
  <si>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FEED / Basic Design gate, local law, interfaces, and the selected delivery model.</t>
  </si>
  <si>
    <t>GER-2078</t>
  </si>
  <si>
    <t>For a Marine Energy EPCM project in Global / Multi-country, there is a risk during Detailed Engineering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</si>
  <si>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Detailed Engineering gate, local law, interfaces, and the selected delivery model.</t>
  </si>
  <si>
    <t>GER-2079</t>
  </si>
  <si>
    <t>For a Geothermal Commissioning &amp; Start-up project in Middle East, there is a risk during Procurement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</si>
  <si>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Geothermal, the Procurement gate, local law, interfaces, and the selected delivery model.</t>
  </si>
  <si>
    <t>GER-2080</t>
  </si>
  <si>
    <t>For a LNG Decommissioning project in South Asia, there is a risk during Manufacturing that late certification, funding constraint or withholding, combined with governance delay,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</si>
  <si>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LNG, the Manufacturing gate, local law, interfaces, and the selected delivery model.</t>
  </si>
  <si>
    <t>GER-2081</t>
  </si>
  <si>
    <t>For a Green Hydrogen Operations &amp; Maintenance project in North America, there is a risk during Detailed Engineering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</si>
  <si>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Detailed Engineering gate, local law, interfaces, and the selected delivery model.</t>
  </si>
  <si>
    <t>GER-2082</t>
  </si>
  <si>
    <t>For a Refining &amp; Petrochemicals Grid Interconnection project in Oceania, there is a risk during Procurement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</si>
  <si>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Procurement gate, local law, interfaces, and the selected delivery model.</t>
  </si>
  <si>
    <t>GER-2083</t>
  </si>
  <si>
    <t>For a Solar PV R&amp;D / Technology Development project in Europe, there is a risk during Manufacturing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</si>
  <si>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Manufacturing gate, local law, interfaces, and the selected delivery model.</t>
  </si>
  <si>
    <t>GER-2084</t>
  </si>
  <si>
    <t>For a Battery Energy Storage Brownfield Modification project in Africa, there is a risk during Construction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</si>
  <si>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Battery Energy Storage, the Construction gate, local law, interfaces, and the selected delivery model.</t>
  </si>
  <si>
    <t>GER-2085</t>
  </si>
  <si>
    <t>For a Coal / Thermal Power Owner’s Engineering project in East Asia, there is a risk during Installation that late certification, funding constraint or withholding, combined with commercial misalignment,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</si>
  <si>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Coal / Thermal Power, the Installation gate, local law, interfaces, and the selected delivery model.</t>
  </si>
  <si>
    <t>GER-2086</t>
  </si>
  <si>
    <t>For a Nuclear Power Decommissioning project in Latin America, there is a risk during Manufacturing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</si>
  <si>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Manufacturing gate, local law, interfaces, and the selected delivery model.</t>
  </si>
  <si>
    <t>GER-2087</t>
  </si>
  <si>
    <t>For a District Energy EPC / Turnkey project in Global / Multi-country, there is a risk during Construction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</si>
  <si>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Construction gate, local law, interfaces, and the selected delivery model.</t>
  </si>
  <si>
    <t>GER-2088</t>
  </si>
  <si>
    <t>For a Pumped Storage Installation project in Middle East, there is a risk during Installation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</si>
  <si>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Installation gate, local law, interfaces, and the selected delivery model.</t>
  </si>
  <si>
    <t>GER-2089</t>
  </si>
  <si>
    <t>For a Natural Gas / CCGT Operations &amp; Maintenance project in South Asia, there is a risk during Pre-commissioning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</si>
  <si>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Natural Gas / CCGT, the Pre-commissioning gate, local law, interfaces, and the selected delivery model.</t>
  </si>
  <si>
    <t>GER-2090</t>
  </si>
  <si>
    <t>For a Marine Energy Grid Interconnection project in Southeast Asia, there is a risk during Commissioning that late certification, funding constraint or withholding, combined with quality escape, may adversely affect project objectives through cost / time consequences.</t>
  </si>
  <si>
    <t>Establish controls for late certification, funding constraint or withholding; assign actions, verify evidence, and review residual exposure at each gate. Tailor the response to Marine Energy, the Commissioning gate, local law, interfaces, and the selected delivery model.</t>
  </si>
  <si>
    <t>GER-2091</t>
  </si>
  <si>
    <t>For a Oil &amp; Gas Upstream Owner’s Engineering project in Oceania, there is a risk during Installation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</si>
  <si>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Oil &amp; Gas Upstream, the Installation gate, local law, interfaces, and the selected delivery model.</t>
  </si>
  <si>
    <t>GER-2092</t>
  </si>
  <si>
    <t>For a Offshore Wind EPCM project in Europe, there is a risk during Pre-commissioning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</si>
  <si>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Offshore Wind, the Pre-commissioning gate, local law, interfaces, and the selected delivery model.</t>
  </si>
  <si>
    <t>GER-2093</t>
  </si>
  <si>
    <t>For a Green Hydrogen Commissioning &amp; Start-up project in Africa, there is a risk during Commissioning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</si>
  <si>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Green Hydrogen, the Commissioning gate, local law, interfaces, and the selected delivery model.</t>
  </si>
  <si>
    <t>GER-2094</t>
  </si>
  <si>
    <t>For a Refining &amp; Petrochemicals Decommissioning project in East Asia, there is a risk during Operations / Handover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</si>
  <si>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Refining &amp; Petrochemicals, the Operations / Handover gate, local law, interfaces, and the selected delivery model.</t>
  </si>
  <si>
    <t>GER-2095</t>
  </si>
  <si>
    <t>For a Solar PV EPC / Turnkey project in North America, there is a risk during Feasibility &amp; Concept that late certification, funding constraint or withholding, combined with access constraint, may adversely affect project objectives through cost / time consequences.</t>
  </si>
  <si>
    <t>Establish controls for late certification, funding constraint or withholding; assign actions, verify evidence, and review residual exposure at each gate. Tailor the response to Solar PV, the Feasibility &amp; Concept gate, local law, interfaces, and the selected delivery model.</t>
  </si>
  <si>
    <t>GER-2096</t>
  </si>
  <si>
    <t>For a Carbon Capture, Utilization &amp; Storage Grid Interconnection project in Global / Multi-country, there is a risk during Commissioning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</si>
  <si>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Carbon Capture, Utilization &amp; Storage, the Commissioning gate, local law, interfaces, and the selected delivery model.</t>
  </si>
  <si>
    <t>GER-2097</t>
  </si>
  <si>
    <t>For a Hydropower R&amp;D / Technology Development project in Middle East, there is a risk during Operations / Handover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</si>
  <si>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Hydropower, the Operations / Handover gate, local law, interfaces, and the selected delivery model.</t>
  </si>
  <si>
    <t>GER-2098</t>
  </si>
  <si>
    <t>For a Nuclear Power Brownfield Modification project in South Asia, there is a risk during Feasibility &amp; Concept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</si>
  <si>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Nuclear Power, the Feasibility &amp; Concept gate, local law, interfaces, and the selected delivery model.</t>
  </si>
  <si>
    <t>GER-2099</t>
  </si>
  <si>
    <t>For a District Energy Owner’s Engineering project in Southeast Asia, there is a risk during FEED / Basic Design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</si>
  <si>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District Energy, the FEED / Basic Design gate, local law, interfaces, and the selected delivery model.</t>
  </si>
  <si>
    <t>GER-2100</t>
  </si>
  <si>
    <t>For a Pumped Storage EPCM project in Latin America, there is a risk during Detailed Engineering that late certification, funding constraint or withholding, combined with performance variability, may adversely affect project objectives through cost / time consequences.</t>
  </si>
  <si>
    <t>Establish controls for late certification, funding constraint or withholding; assign actions, verify evidence, and review residual exposure at each gate. Tailor the response to Pumped Storage, the Detailed Engineering gate, local law, interfaces, and the selected delivery model.</t>
  </si>
  <si>
    <t>GER-2101</t>
  </si>
  <si>
    <t>For a Onshore Wind EPC / Turnkey project in Europe, there is a risk during Feasibility &amp; Concept that late notice, poor records or valuation disagreement, combined with insufficient planning, may adversely affect project objectives through cost / time consequences.</t>
  </si>
  <si>
    <t>Claims &amp; Disputes</t>
  </si>
  <si>
    <t>Establish controls for late notice, poor records or valuation disagreement; assign actions, verify evidence, and review residual exposure at each gate. Tailor the response to Onshore Wind, the Feasibility &amp; Concept gate, local law, interfaces, and the selected delivery model.</t>
  </si>
  <si>
    <t>Claims Manager</t>
  </si>
  <si>
    <t>GER-2102</t>
  </si>
  <si>
    <t>For a Biomass / Waste-to-Energy Installation project in Africa, there is a risk during FEED / Basic Design that late notice, poor records or valuation disagreement, combined with insufficient planning,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</si>
  <si>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FEED / Basic Design gate, local law, interfaces, and the selected delivery model.</t>
  </si>
  <si>
    <t>GER-2103</t>
  </si>
  <si>
    <t>For a Oil &amp; Gas Upstream Operations &amp; Maintenance project in East Asia, there is a risk during Detailed Engineering that late notice, poor records or valuation disagreement, combined with insufficient planning,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</si>
  <si>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Detailed Engineering gate, local law, interfaces, and the selected delivery model.</t>
  </si>
  <si>
    <t>GER-2104</t>
  </si>
  <si>
    <t>For a Offshore Wind Grid Interconnection project in North America, there is a risk during Procurement that late notice, poor records or valuation disagreement, combined with insufficient planning,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</si>
  <si>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Procurement gate, local law, interfaces, and the selected delivery model.</t>
  </si>
  <si>
    <t>GER-2105</t>
  </si>
  <si>
    <t>For a Green Hydrogen R&amp;D / Technology Development project in Oceania, there is a risk during Manufacturing that late notice, poor records or valuation disagreement, combined with insufficient planning,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</si>
  <si>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Manufacturing gate, local law, interfaces, and the selected delivery model.</t>
  </si>
  <si>
    <t>GER-2106</t>
  </si>
  <si>
    <t>For a Concentrated Solar Power EPCM project in Middle East, there is a risk during Detailed Engineering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</si>
  <si>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Detailed Engineering gate, local law, interfaces, and the selected delivery model.</t>
  </si>
  <si>
    <t>GER-2107</t>
  </si>
  <si>
    <t>For a Transmission &amp; Substations Commissioning &amp; Start-up project in South Asia, there is a risk during Procurement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</si>
  <si>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Procurement gate, local law, interfaces, and the selected delivery model.</t>
  </si>
  <si>
    <t>GER-2108</t>
  </si>
  <si>
    <t>For a Carbon Capture, Utilization &amp; Storage Decommissioning project in Southeast Asia, there is a risk during Manufacturing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</si>
  <si>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Manufacturing gate, local law, interfaces, and the selected delivery model.</t>
  </si>
  <si>
    <t>GER-2109</t>
  </si>
  <si>
    <t>For a Hydropower EPC / Turnkey project in Latin America, there is a risk during Construction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</si>
  <si>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Construction gate, local law, interfaces, and the selected delivery model.</t>
  </si>
  <si>
    <t>GER-2110</t>
  </si>
  <si>
    <t>For a Nuclear Power Installation project in Global / Multi-country, there is a risk during Installation that late notice, poor records or valuation disagreement, combined with incomplete information,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</si>
  <si>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Installation gate, local law, interfaces, and the selected delivery model.</t>
  </si>
  <si>
    <t>GER-2111</t>
  </si>
  <si>
    <t>For a Geothermal R&amp;D / Technology Development project in Africa, there is a risk during Manufacturing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</si>
  <si>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Manufacturing gate, local law, interfaces, and the selected delivery model.</t>
  </si>
  <si>
    <t>GER-2112</t>
  </si>
  <si>
    <t>For a LNG Brownfield Modification project in East Asia, there is a risk during Construction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</si>
  <si>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Construction gate, local law, interfaces, and the selected delivery model.</t>
  </si>
  <si>
    <t>GER-2113</t>
  </si>
  <si>
    <t>For a Onshore Wind Owner’s Engineering project in North America, there is a risk during Installation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</si>
  <si>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Onshore Wind, the Installation gate, local law, interfaces, and the selected delivery model.</t>
  </si>
  <si>
    <t>GER-2114</t>
  </si>
  <si>
    <t>For a Biomass / Waste-to-Energy EPCM project in Oceania, there is a risk during Pre-commissioning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</si>
  <si>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Pre-commissioning gate, local law, interfaces, and the selected delivery model.</t>
  </si>
  <si>
    <t>GER-2115</t>
  </si>
  <si>
    <t>For a Oil &amp; Gas Upstream Commissioning &amp; Start-up project in Europe, there is a risk during Commissioning that late notice, poor records or valuation disagreement, combined with late decision-making,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</si>
  <si>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Commissioning gate, local law, interfaces, and the selected delivery model.</t>
  </si>
  <si>
    <t>GER-2116</t>
  </si>
  <si>
    <t>For a Battery Energy Storage Installation project in South Asia, there is a risk during Installation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</si>
  <si>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Installation gate, local law, interfaces, and the selected delivery model.</t>
  </si>
  <si>
    <t>GER-2117</t>
  </si>
  <si>
    <t>For a Coal / Thermal Power Operations &amp; Maintenance project in Southeast Asia, there is a risk during Pre-commissioning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</si>
  <si>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Pre-commissioning gate, local law, interfaces, and the selected delivery model.</t>
  </si>
  <si>
    <t>GER-2118</t>
  </si>
  <si>
    <t>For a Concentrated Solar Power Grid Interconnection project in Latin America, there is a risk during Commissioning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</si>
  <si>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Commissioning gate, local law, interfaces, and the selected delivery model.</t>
  </si>
  <si>
    <t>GER-2119</t>
  </si>
  <si>
    <t>For a Transmission &amp; Substations R&amp;D / Technology Development project in Global / Multi-country, there is a risk during Operations / Handover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</si>
  <si>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Operations / Handover gate, local law, interfaces, and the selected delivery model.</t>
  </si>
  <si>
    <t>GER-2120</t>
  </si>
  <si>
    <t>For a Carbon Capture, Utilization &amp; Storage Brownfield Modification project in Middle East, there is a risk during Feasibility &amp; Concept that late notice, poor records or valuation disagreement, combined with weak controls,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</si>
  <si>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Feasibility &amp; Concept gate, local law, interfaces, and the selected delivery model.</t>
  </si>
  <si>
    <t>GER-2121</t>
  </si>
  <si>
    <t>For a Natural Gas / CCGT Commissioning &amp; Start-up project in East Asia, there is a risk during Commissioning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</si>
  <si>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Commissioning gate, local law, interfaces, and the selected delivery model.</t>
  </si>
  <si>
    <t>GER-2122</t>
  </si>
  <si>
    <t>For a Marine Energy Decommissioning project in North America, there is a risk during Operations / Handover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</si>
  <si>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Operations / Handover gate, local law, interfaces, and the selected delivery model.</t>
  </si>
  <si>
    <t>GER-2123</t>
  </si>
  <si>
    <t>For a Geothermal EPC / Turnkey project in Oceania, there is a risk during Feasibility &amp; Concept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</si>
  <si>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Feasibility &amp; Concept gate, local law, interfaces, and the selected delivery model.</t>
  </si>
  <si>
    <t>GER-2124</t>
  </si>
  <si>
    <t>For a LNG Installation project in Europe, there is a risk during FEED / Basic Design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</si>
  <si>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FEED / Basic Design gate, local law, interfaces, and the selected delivery model.</t>
  </si>
  <si>
    <t>GER-2125</t>
  </si>
  <si>
    <t>For a Onshore Wind Operations &amp; Maintenance project in Africa, there is a risk during Detailed Engineering that late notice, poor records or valuation disagreement, combined with resource constraints, may adversely affect project objectives through cost / time consequences.</t>
  </si>
  <si>
    <t>Establish controls for late notice, poor records or valuation disagreement; assign actions, verify evidence, and review residual exposure at each gate. Tailor the response to Onshore Wind, the Detailed Engineering gate, local law, interfaces, and the selected delivery model.</t>
  </si>
  <si>
    <t>GER-2126</t>
  </si>
  <si>
    <t>For a Refining &amp; Petrochemicals Brownfield Modification project in Southeast Asia, there is a risk during Feasibility &amp; Concept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</si>
  <si>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Feasibility &amp; Concept gate, local law, interfaces, and the selected delivery model.</t>
  </si>
  <si>
    <t>GER-2127</t>
  </si>
  <si>
    <t>For a Solar PV Owner’s Engineering project in Latin America, there is a risk during FEED / Basic Design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</si>
  <si>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FEED / Basic Design gate, local law, interfaces, and the selected delivery model.</t>
  </si>
  <si>
    <t>GER-2128</t>
  </si>
  <si>
    <t>For a Battery Energy Storage EPCM project in Global / Multi-country, there is a risk during Detailed Engineering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</si>
  <si>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Detailed Engineering gate, local law, interfaces, and the selected delivery model.</t>
  </si>
  <si>
    <t>GER-2129</t>
  </si>
  <si>
    <t>For a Coal / Thermal Power Commissioning &amp; Start-up project in Middle East, there is a risk during Procurement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</si>
  <si>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Procurement gate, local law, interfaces, and the selected delivery model.</t>
  </si>
  <si>
    <t>GER-2130</t>
  </si>
  <si>
    <t>For a Concentrated Solar Power Decommissioning project in South Asia, there is a risk during Manufacturing that late notice, poor records or valuation disagreement, combined with supplier dependency,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</si>
  <si>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Manufacturing gate, local law, interfaces, and the selected delivery model.</t>
  </si>
  <si>
    <t>GER-2131</t>
  </si>
  <si>
    <t>For a District Energy Operations &amp; Maintenance project in North America, there is a risk during Detailed Engineering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</si>
  <si>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Detailed Engineering gate, local law, interfaces, and the selected delivery model.</t>
  </si>
  <si>
    <t>GER-2132</t>
  </si>
  <si>
    <t>For a Pumped Storage Grid Interconnection project in Oceania, there is a risk during Procurement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</si>
  <si>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Procurement gate, local law, interfaces, and the selected delivery model.</t>
  </si>
  <si>
    <t>GER-2133</t>
  </si>
  <si>
    <t>For a Natural Gas / CCGT R&amp;D / Technology Development project in Europe, there is a risk during Manufacturing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</si>
  <si>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Manufacturing gate, local law, interfaces, and the selected delivery model.</t>
  </si>
  <si>
    <t>GER-2134</t>
  </si>
  <si>
    <t>For a Marine Energy Brownfield Modification project in Africa, there is a risk during Construction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</si>
  <si>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Construction gate, local law, interfaces, and the selected delivery model.</t>
  </si>
  <si>
    <t>GER-2135</t>
  </si>
  <si>
    <t>For a Geothermal Owner’s Engineering project in East Asia, there is a risk during Installation that late notice, poor records or valuation disagreement, combined with interface complexity,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</si>
  <si>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Installation gate, local law, interfaces, and the selected delivery model.</t>
  </si>
  <si>
    <t>GER-2136</t>
  </si>
  <si>
    <t>For a Offshore Wind Decommissioning project in Latin America, there is a risk during Manufacturing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</si>
  <si>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Manufacturing gate, local law, interfaces, and the selected delivery model.</t>
  </si>
  <si>
    <t>GER-2137</t>
  </si>
  <si>
    <t>For a Green Hydrogen EPC / Turnkey project in Global / Multi-country, there is a risk during Construction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</si>
  <si>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Construction gate, local law, interfaces, and the selected delivery model.</t>
  </si>
  <si>
    <t>GER-2138</t>
  </si>
  <si>
    <t>For a Refining &amp; Petrochemicals Installation project in Middle East, there is a risk during Installation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</si>
  <si>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Installation gate, local law, interfaces, and the selected delivery model.</t>
  </si>
  <si>
    <t>GER-2139</t>
  </si>
  <si>
    <t>For a Solar PV Operations &amp; Maintenance project in South Asia, there is a risk during Pre-commissioning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</si>
  <si>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Pre-commissioning gate, local law, interfaces, and the selected delivery model.</t>
  </si>
  <si>
    <t>GER-2140</t>
  </si>
  <si>
    <t>For a Battery Energy Storage Grid Interconnection project in Southeast Asia, there is a risk during Commissioning that late notice, poor records or valuation disagreement, combined with requirements volatility,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</si>
  <si>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Commissioning gate, local law, interfaces, and the selected delivery model.</t>
  </si>
  <si>
    <t>GER-2141</t>
  </si>
  <si>
    <t>For a Hydropower Owner’s Engineering project in Oceania, there is a risk during Installation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</si>
  <si>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Installation gate, local law, interfaces, and the selected delivery model.</t>
  </si>
  <si>
    <t>GER-2142</t>
  </si>
  <si>
    <t>For a Nuclear Power EPCM project in Europe, there is a risk during Pre-commissioning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</si>
  <si>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Pre-commissioning gate, local law, interfaces, and the selected delivery model.</t>
  </si>
  <si>
    <t>GER-2143</t>
  </si>
  <si>
    <t>For a District Energy Commissioning &amp; Start-up project in Africa, there is a risk during Commissioning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</si>
  <si>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Commissioning gate, local law, interfaces, and the selected delivery model.</t>
  </si>
  <si>
    <t>GER-2144</t>
  </si>
  <si>
    <t>For a Pumped Storage Decommissioning project in East Asia, there is a risk during Operations / Handover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</si>
  <si>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Operations / Handover gate, local law, interfaces, and the selected delivery model.</t>
  </si>
  <si>
    <t>GER-2145</t>
  </si>
  <si>
    <t>For a Natural Gas / CCGT EPC / Turnkey project in North America, there is a risk during Feasibility &amp; Concept that late notice, poor records or valuation disagreement, combined with regulatory uncertainty,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</si>
  <si>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Feasibility &amp; Concept gate, local law, interfaces, and the selected delivery model.</t>
  </si>
  <si>
    <t>GER-2146</t>
  </si>
  <si>
    <t>For a Biomass / Waste-to-Energy Grid Interconnection project in Global / Multi-country, there is a risk during Commissioning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</si>
  <si>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Commissioning gate, local law, interfaces, and the selected delivery model.</t>
  </si>
  <si>
    <t>GER-2147</t>
  </si>
  <si>
    <t>For a Oil &amp; Gas Upstream R&amp;D / Technology Development project in Middle East, there is a risk during Operations / Handover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</si>
  <si>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Operations / Handover gate, local law, interfaces, and the selected delivery model.</t>
  </si>
  <si>
    <t>GER-2148</t>
  </si>
  <si>
    <t>For a Offshore Wind Brownfield Modification project in South Asia, there is a risk during Feasibility &amp; Concept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</si>
  <si>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Feasibility &amp; Concept gate, local law, interfaces, and the selected delivery model.</t>
  </si>
  <si>
    <t>GER-2149</t>
  </si>
  <si>
    <t>For a Green Hydrogen Owner’s Engineering project in Southeast Asia, there is a risk during FEED / Basic Design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</si>
  <si>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FEED / Basic Design gate, local law, interfaces, and the selected delivery model.</t>
  </si>
  <si>
    <t>GER-2150</t>
  </si>
  <si>
    <t>For a Refining &amp; Petrochemicals EPCM project in Latin America, there is a risk during Detailed Engineering that late notice, poor records or valuation disagreement, combined with inadequate verification,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</si>
  <si>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Detailed Engineering gate, local law, interfaces, and the selected delivery model.</t>
  </si>
  <si>
    <t>GER-2151</t>
  </si>
  <si>
    <t>For a Transmission &amp; Substations EPC / Turnkey project in Europe, there is a risk during Feasibility &amp; Concept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</si>
  <si>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Feasibility &amp; Concept gate, local law, interfaces, and the selected delivery model.</t>
  </si>
  <si>
    <t>GER-2152</t>
  </si>
  <si>
    <t>For a Carbon Capture, Utilization &amp; Storage Installation project in Africa, there is a risk during FEED / Basic Design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</si>
  <si>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FEED / Basic Design gate, local law, interfaces, and the selected delivery model.</t>
  </si>
  <si>
    <t>GER-2153</t>
  </si>
  <si>
    <t>For a Hydropower Operations &amp; Maintenance project in East Asia, there is a risk during Detailed Engineering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</si>
  <si>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Detailed Engineering gate, local law, interfaces, and the selected delivery model.</t>
  </si>
  <si>
    <t>GER-2154</t>
  </si>
  <si>
    <t>For a Nuclear Power Grid Interconnection project in North America, there is a risk during Procurement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</si>
  <si>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Procurement gate, local law, interfaces, and the selected delivery model.</t>
  </si>
  <si>
    <t>GER-2155</t>
  </si>
  <si>
    <t>For a District Energy R&amp;D / Technology Development project in Oceania, there is a risk during Manufacturing that late notice, poor records or valuation disagreement, combined with poor communication,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</si>
  <si>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Manufacturing gate, local law, interfaces, and the selected delivery model.</t>
  </si>
  <si>
    <t>GER-2156</t>
  </si>
  <si>
    <t>For a LNG EPCM project in Middle East, there is a risk during Detailed Engineering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</si>
  <si>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Detailed Engineering gate, local law, interfaces, and the selected delivery model.</t>
  </si>
  <si>
    <t>GER-2157</t>
  </si>
  <si>
    <t>For a Onshore Wind Commissioning &amp; Start-up project in South Asia, there is a risk during Procurement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</si>
  <si>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Onshore Wind, the Procurement gate, local law, interfaces, and the selected delivery model.</t>
  </si>
  <si>
    <t>GER-2158</t>
  </si>
  <si>
    <t>For a Biomass / Waste-to-Energy Decommissioning project in Southeast Asia, there is a risk during Manufacturing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</si>
  <si>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Manufacturing gate, local law, interfaces, and the selected delivery model.</t>
  </si>
  <si>
    <t>GER-2159</t>
  </si>
  <si>
    <t>For a Oil &amp; Gas Upstream EPC / Turnkey project in Latin America, there is a risk during Construction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</si>
  <si>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Construction gate, local law, interfaces, and the selected delivery model.</t>
  </si>
  <si>
    <t>GER-2160</t>
  </si>
  <si>
    <t>For a Offshore Wind Installation project in Global / Multi-country, there is a risk during Installation that late notice, poor records or valuation disagreement, combined with incorrect assumptions,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</si>
  <si>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Installation gate, local law, interfaces, and the selected delivery model.</t>
  </si>
  <si>
    <t>GER-2161</t>
  </si>
  <si>
    <t>For a Coal / Thermal Power R&amp;D / Technology Development project in Africa, there is a risk during Manufacturing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</si>
  <si>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Manufacturing gate, local law, interfaces, and the selected delivery model.</t>
  </si>
  <si>
    <t>GER-2162</t>
  </si>
  <si>
    <t>For a Concentrated Solar Power Brownfield Modification project in East Asia, there is a risk during Construction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</si>
  <si>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Construction gate, local law, interfaces, and the selected delivery model.</t>
  </si>
  <si>
    <t>GER-2163</t>
  </si>
  <si>
    <t>For a Transmission &amp; Substations Owner’s Engineering project in North America, there is a risk during Installation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</si>
  <si>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Installation gate, local law, interfaces, and the selected delivery model.</t>
  </si>
  <si>
    <t>GER-2164</t>
  </si>
  <si>
    <t>For a Carbon Capture, Utilization &amp; Storage EPCM project in Oceania, there is a risk during Pre-commissioning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</si>
  <si>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Pre-commissioning gate, local law, interfaces, and the selected delivery model.</t>
  </si>
  <si>
    <t>GER-2165</t>
  </si>
  <si>
    <t>For a Hydropower Commissioning &amp; Start-up project in Europe, there is a risk during Commissioning that late notice, poor records or valuation disagreement, combined with low technical maturity,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</si>
  <si>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Commissioning gate, local law, interfaces, and the selected delivery model.</t>
  </si>
  <si>
    <t>GER-2166</t>
  </si>
  <si>
    <t>For a Marine Energy Installation project in South Asia, there is a risk during Installation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</si>
  <si>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Installation gate, local law, interfaces, and the selected delivery model.</t>
  </si>
  <si>
    <t>GER-2167</t>
  </si>
  <si>
    <t>For a Geothermal Operations &amp; Maintenance project in Southeast Asia, there is a risk during Pre-commissioning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</si>
  <si>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Pre-commissioning gate, local law, interfaces, and the selected delivery model.</t>
  </si>
  <si>
    <t>GER-2168</t>
  </si>
  <si>
    <t>For a LNG Grid Interconnection project in Latin America, there is a risk during Commissioning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</si>
  <si>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Commissioning gate, local law, interfaces, and the selected delivery model.</t>
  </si>
  <si>
    <t>GER-2169</t>
  </si>
  <si>
    <t>For a Onshore Wind R&amp;D / Technology Development project in Global / Multi-country, there is a risk during Operations / Handover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</si>
  <si>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Onshore Wind, the Operations / Handover gate, local law, interfaces, and the selected delivery model.</t>
  </si>
  <si>
    <t>GER-2170</t>
  </si>
  <si>
    <t>For a Biomass / Waste-to-Energy Brownfield Modification project in Middle East, there is a risk during Feasibility &amp; Concept that late notice, poor records or valuation disagreement, combined with documentation gaps, may adversely affect project objectives through cost / time consequences.</t>
  </si>
  <si>
    <t>Establish controls for late notice, poor records or valuation disagreement; assign actions, verify evidence, and review residual exposure at each gate. Tailor the response to Biomass / Waste-to-Energy, the Feasibility &amp; Concept gate, local law, interfaces, and the selected delivery model.</t>
  </si>
  <si>
    <t>GER-2171</t>
  </si>
  <si>
    <t>For a Solar PV Commissioning &amp; Start-up project in East Asia, there is a risk during Commissioning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</si>
  <si>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Commissioning gate, local law, interfaces, and the selected delivery model.</t>
  </si>
  <si>
    <t>GER-2172</t>
  </si>
  <si>
    <t>For a Battery Energy Storage Decommissioning project in North America, there is a risk during Operations / Handover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</si>
  <si>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Operations / Handover gate, local law, interfaces, and the selected delivery model.</t>
  </si>
  <si>
    <t>GER-2173</t>
  </si>
  <si>
    <t>For a Coal / Thermal Power EPC / Turnkey project in Oceania, there is a risk during Feasibility &amp; Concept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</si>
  <si>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Feasibility &amp; Concept gate, local law, interfaces, and the selected delivery model.</t>
  </si>
  <si>
    <t>GER-2174</t>
  </si>
  <si>
    <t>For a Concentrated Solar Power Installation project in Europe, there is a risk during FEED / Basic Design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</si>
  <si>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Concentrated Solar Power, the FEED / Basic Design gate, local law, interfaces, and the selected delivery model.</t>
  </si>
  <si>
    <t>GER-2175</t>
  </si>
  <si>
    <t>For a Transmission &amp; Substations Operations &amp; Maintenance project in Africa, there is a risk during Detailed Engineering that late notice, poor records or valuation disagreement, combined with external disruption, may adversely affect project objectives through cost / time consequences.</t>
  </si>
  <si>
    <t>Establish controls for late notice, poor records or valuation disagreement; assign actions, verify evidence, and review residual exposure at each gate. Tailor the response to Transmission &amp; Substations, the Detailed Engineering gate, local law, interfaces, and the selected delivery model.</t>
  </si>
  <si>
    <t>GER-2176</t>
  </si>
  <si>
    <t>For a Pumped Storage Brownfield Modification project in Southeast Asia, there is a risk during Feasibility &amp; Concept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</si>
  <si>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Feasibility &amp; Concept gate, local law, interfaces, and the selected delivery model.</t>
  </si>
  <si>
    <t>GER-2177</t>
  </si>
  <si>
    <t>For a Natural Gas / CCGT Owner’s Engineering project in Latin America, there is a risk during FEED / Basic Design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</si>
  <si>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FEED / Basic Design gate, local law, interfaces, and the selected delivery model.</t>
  </si>
  <si>
    <t>GER-2178</t>
  </si>
  <si>
    <t>For a Marine Energy EPCM project in Global / Multi-country, there is a risk during Detailed Engineering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</si>
  <si>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Detailed Engineering gate, local law, interfaces, and the selected delivery model.</t>
  </si>
  <si>
    <t>GER-2179</t>
  </si>
  <si>
    <t>For a Geothermal Commissioning &amp; Start-up project in Middle East, there is a risk during Procurement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</si>
  <si>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Geothermal, the Procurement gate, local law, interfaces, and the selected delivery model.</t>
  </si>
  <si>
    <t>GER-2180</t>
  </si>
  <si>
    <t>For a LNG Decommissioning project in South Asia, there is a risk during Manufacturing that late notice, poor records or valuation disagreement, combined with governance delay, may adversely affect project objectives through cost / time consequences.</t>
  </si>
  <si>
    <t>Establish controls for late notice, poor records or valuation disagreement; assign actions, verify evidence, and review residual exposure at each gate. Tailor the response to LNG, the Manufacturing gate, local law, interfaces, and the selected delivery model.</t>
  </si>
  <si>
    <t>GER-2181</t>
  </si>
  <si>
    <t>For a Green Hydrogen Operations &amp; Maintenance project in North America, there is a risk during Detailed Engineering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</si>
  <si>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Detailed Engineering gate, local law, interfaces, and the selected delivery model.</t>
  </si>
  <si>
    <t>GER-2182</t>
  </si>
  <si>
    <t>For a Refining &amp; Petrochemicals Grid Interconnection project in Oceania, there is a risk during Procurement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</si>
  <si>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Procurement gate, local law, interfaces, and the selected delivery model.</t>
  </si>
  <si>
    <t>GER-2183</t>
  </si>
  <si>
    <t>For a Solar PV R&amp;D / Technology Development project in Europe, there is a risk during Manufacturing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</si>
  <si>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Manufacturing gate, local law, interfaces, and the selected delivery model.</t>
  </si>
  <si>
    <t>GER-2184</t>
  </si>
  <si>
    <t>For a Battery Energy Storage Brownfield Modification project in Africa, there is a risk during Construction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</si>
  <si>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Battery Energy Storage, the Construction gate, local law, interfaces, and the selected delivery model.</t>
  </si>
  <si>
    <t>GER-2185</t>
  </si>
  <si>
    <t>For a Coal / Thermal Power Owner’s Engineering project in East Asia, there is a risk during Installation that late notice, poor records or valuation disagreement, combined with commercial misalignment, may adversely affect project objectives through cost / time consequences.</t>
  </si>
  <si>
    <t>Establish controls for late notice, poor records or valuation disagreement; assign actions, verify evidence, and review residual exposure at each gate. Tailor the response to Coal / Thermal Power, the Installation gate, local law, interfaces, and the selected delivery model.</t>
  </si>
  <si>
    <t>GER-2186</t>
  </si>
  <si>
    <t>For a Nuclear Power Decommissioning project in Latin America, there is a risk during Manufacturing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</si>
  <si>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Manufacturing gate, local law, interfaces, and the selected delivery model.</t>
  </si>
  <si>
    <t>GER-2187</t>
  </si>
  <si>
    <t>For a District Energy EPC / Turnkey project in Global / Multi-country, there is a risk during Construction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</si>
  <si>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Construction gate, local law, interfaces, and the selected delivery model.</t>
  </si>
  <si>
    <t>GER-2188</t>
  </si>
  <si>
    <t>For a Pumped Storage Installation project in Middle East, there is a risk during Installation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</si>
  <si>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Installation gate, local law, interfaces, and the selected delivery model.</t>
  </si>
  <si>
    <t>GER-2189</t>
  </si>
  <si>
    <t>For a Natural Gas / CCGT Operations &amp; Maintenance project in South Asia, there is a risk during Pre-commissioning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</si>
  <si>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Natural Gas / CCGT, the Pre-commissioning gate, local law, interfaces, and the selected delivery model.</t>
  </si>
  <si>
    <t>GER-2190</t>
  </si>
  <si>
    <t>For a Marine Energy Grid Interconnection project in Southeast Asia, there is a risk during Commissioning that late notice, poor records or valuation disagreement, combined with quality escape, may adversely affect project objectives through cost / time consequences.</t>
  </si>
  <si>
    <t>Establish controls for late notice, poor records or valuation disagreement; assign actions, verify evidence, and review residual exposure at each gate. Tailor the response to Marine Energy, the Commissioning gate, local law, interfaces, and the selected delivery model.</t>
  </si>
  <si>
    <t>GER-2191</t>
  </si>
  <si>
    <t>For a Oil &amp; Gas Upstream Owner’s Engineering project in Oceania, there is a risk during Installation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</si>
  <si>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Oil &amp; Gas Upstream, the Installation gate, local law, interfaces, and the selected delivery model.</t>
  </si>
  <si>
    <t>GER-2192</t>
  </si>
  <si>
    <t>For a Offshore Wind EPCM project in Europe, there is a risk during Pre-commissioning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</si>
  <si>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Offshore Wind, the Pre-commissioning gate, local law, interfaces, and the selected delivery model.</t>
  </si>
  <si>
    <t>GER-2193</t>
  </si>
  <si>
    <t>For a Green Hydrogen Commissioning &amp; Start-up project in Africa, there is a risk during Commissioning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</si>
  <si>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Green Hydrogen, the Commissioning gate, local law, interfaces, and the selected delivery model.</t>
  </si>
  <si>
    <t>GER-2194</t>
  </si>
  <si>
    <t>For a Refining &amp; Petrochemicals Decommissioning project in East Asia, there is a risk during Operations / Handover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</si>
  <si>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Refining &amp; Petrochemicals, the Operations / Handover gate, local law, interfaces, and the selected delivery model.</t>
  </si>
  <si>
    <t>GER-2195</t>
  </si>
  <si>
    <t>For a Solar PV EPC / Turnkey project in North America, there is a risk during Feasibility &amp; Concept that late notice, poor records or valuation disagreement, combined with access constraint, may adversely affect project objectives through cost / time consequences.</t>
  </si>
  <si>
    <t>Establish controls for late notice, poor records or valuation disagreement; assign actions, verify evidence, and review residual exposure at each gate. Tailor the response to Solar PV, the Feasibility &amp; Concept gate, local law, interfaces, and the selected delivery model.</t>
  </si>
  <si>
    <t>GER-2196</t>
  </si>
  <si>
    <t>For a Carbon Capture, Utilization &amp; Storage Grid Interconnection project in Global / Multi-country, there is a risk during Commissioning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</si>
  <si>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Carbon Capture, Utilization &amp; Storage, the Commissioning gate, local law, interfaces, and the selected delivery model.</t>
  </si>
  <si>
    <t>GER-2197</t>
  </si>
  <si>
    <t>For a Hydropower R&amp;D / Technology Development project in Middle East, there is a risk during Operations / Handover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</si>
  <si>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Hydropower, the Operations / Handover gate, local law, interfaces, and the selected delivery model.</t>
  </si>
  <si>
    <t>GER-2198</t>
  </si>
  <si>
    <t>For a Nuclear Power Brownfield Modification project in South Asia, there is a risk during Feasibility &amp; Concept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</si>
  <si>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Nuclear Power, the Feasibility &amp; Concept gate, local law, interfaces, and the selected delivery model.</t>
  </si>
  <si>
    <t>GER-2199</t>
  </si>
  <si>
    <t>For a District Energy Owner’s Engineering project in Southeast Asia, there is a risk during FEED / Basic Design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</si>
  <si>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District Energy, the FEED / Basic Design gate, local law, interfaces, and the selected delivery model.</t>
  </si>
  <si>
    <t>GER-2200</t>
  </si>
  <si>
    <t>For a Pumped Storage EPCM project in Latin America, there is a risk during Detailed Engineering that late notice, poor records or valuation disagreement, combined with performance variability, may adversely affect project objectives through cost / time consequences.</t>
  </si>
  <si>
    <t>Establish controls for late notice, poor records or valuation disagreement; assign actions, verify evidence, and review residual exposure at each gate. Tailor the response to Pumped Storage, the Detailed Engineering gate, local law, interfaces, and the selected delivery model.</t>
  </si>
  <si>
    <t>GER-2201</t>
  </si>
  <si>
    <t>For a Onshore Wind EPC / Turnkey project in Europe, there is a risk during Feasibility &amp; Concept that scope creep, late change or uncontrolled instruction, combined with insufficient planning, may adversely affect project objectives through cost / time / quality consequences.</t>
  </si>
  <si>
    <t>Change &amp; Scope</t>
  </si>
  <si>
    <t>Establish controls for scope creep, late change or uncontrolled instruction; assign actions, verify evidence, and review residual exposure at each gate. Tailor the response to Onshore Wind, the Feasibility &amp; Concept gate, local law, interfaces, and the selected delivery model.</t>
  </si>
  <si>
    <t>Change Manager</t>
  </si>
  <si>
    <t>GER-2202</t>
  </si>
  <si>
    <t>For a Biomass / Waste-to-Energy Installation project in Africa, there is a risk during FEED / Basic Design that scope creep, late change or uncontrolled instruction, combined with insufficient planning,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</si>
  <si>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FEED / Basic Design gate, local law, interfaces, and the selected delivery model.</t>
  </si>
  <si>
    <t>GER-2203</t>
  </si>
  <si>
    <t>For a Oil &amp; Gas Upstream Operations &amp; Maintenance project in East Asia, there is a risk during Detailed Engineering that scope creep, late change or uncontrolled instruction, combined with insufficient planning,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</si>
  <si>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Detailed Engineering gate, local law, interfaces, and the selected delivery model.</t>
  </si>
  <si>
    <t>GER-2204</t>
  </si>
  <si>
    <t>For a Offshore Wind Grid Interconnection project in North America, there is a risk during Procurement that scope creep, late change or uncontrolled instruction, combined with insufficient planning,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</si>
  <si>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Procurement gate, local law, interfaces, and the selected delivery model.</t>
  </si>
  <si>
    <t>GER-2205</t>
  </si>
  <si>
    <t>For a Green Hydrogen R&amp;D / Technology Development project in Oceania, there is a risk during Manufacturing that scope creep, late change or uncontrolled instruction, combined with insufficient planning,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</si>
  <si>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Manufacturing gate, local law, interfaces, and the selected delivery model.</t>
  </si>
  <si>
    <t>GER-2206</t>
  </si>
  <si>
    <t>For a Concentrated Solar Power EPCM project in Middle East, there is a risk during Detailed Engineering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</si>
  <si>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Detailed Engineering gate, local law, interfaces, and the selected delivery model.</t>
  </si>
  <si>
    <t>GER-2207</t>
  </si>
  <si>
    <t>For a Transmission &amp; Substations Commissioning &amp; Start-up project in South Asia, there is a risk during Procurement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</si>
  <si>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Procurement gate, local law, interfaces, and the selected delivery model.</t>
  </si>
  <si>
    <t>GER-2208</t>
  </si>
  <si>
    <t>For a Carbon Capture, Utilization &amp; Storage Decommissioning project in Southeast Asia, there is a risk during Manufacturing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</si>
  <si>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Manufacturing gate, local law, interfaces, and the selected delivery model.</t>
  </si>
  <si>
    <t>GER-2209</t>
  </si>
  <si>
    <t>For a Hydropower EPC / Turnkey project in Latin America, there is a risk during Construction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</si>
  <si>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Construction gate, local law, interfaces, and the selected delivery model.</t>
  </si>
  <si>
    <t>GER-2210</t>
  </si>
  <si>
    <t>For a Nuclear Power Installation project in Global / Multi-country, there is a risk during Installation that scope creep, late change or uncontrolled instruction, combined with incomplete information,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</si>
  <si>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Installation gate, local law, interfaces, and the selected delivery model.</t>
  </si>
  <si>
    <t>GER-2211</t>
  </si>
  <si>
    <t>For a Geothermal R&amp;D / Technology Development project in Africa, there is a risk during Manufacturing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</si>
  <si>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Manufacturing gate, local law, interfaces, and the selected delivery model.</t>
  </si>
  <si>
    <t>GER-2212</t>
  </si>
  <si>
    <t>For a LNG Brownfield Modification project in East Asia, there is a risk during Construction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</si>
  <si>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Construction gate, local law, interfaces, and the selected delivery model.</t>
  </si>
  <si>
    <t>GER-2213</t>
  </si>
  <si>
    <t>For a Onshore Wind Owner’s Engineering project in North America, there is a risk during Installation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</si>
  <si>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Onshore Wind, the Installation gate, local law, interfaces, and the selected delivery model.</t>
  </si>
  <si>
    <t>GER-2214</t>
  </si>
  <si>
    <t>For a Biomass / Waste-to-Energy EPCM project in Oceania, there is a risk during Pre-commissioning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</si>
  <si>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Pre-commissioning gate, local law, interfaces, and the selected delivery model.</t>
  </si>
  <si>
    <t>GER-2215</t>
  </si>
  <si>
    <t>For a Oil &amp; Gas Upstream Commissioning &amp; Start-up project in Europe, there is a risk during Commissioning that scope creep, late change or uncontrolled instruction, combined with late decision-making,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</si>
  <si>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Commissioning gate, local law, interfaces, and the selected delivery model.</t>
  </si>
  <si>
    <t>GER-2216</t>
  </si>
  <si>
    <t>For a Battery Energy Storage Installation project in South Asia, there is a risk during Installation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</si>
  <si>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Installation gate, local law, interfaces, and the selected delivery model.</t>
  </si>
  <si>
    <t>GER-2217</t>
  </si>
  <si>
    <t>For a Coal / Thermal Power Operations &amp; Maintenance project in Southeast Asia, there is a risk during Pre-commissioning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</si>
  <si>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Pre-commissioning gate, local law, interfaces, and the selected delivery model.</t>
  </si>
  <si>
    <t>GER-2218</t>
  </si>
  <si>
    <t>For a Concentrated Solar Power Grid Interconnection project in Latin America, there is a risk during Commissioning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</si>
  <si>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Commissioning gate, local law, interfaces, and the selected delivery model.</t>
  </si>
  <si>
    <t>GER-2219</t>
  </si>
  <si>
    <t>For a Transmission &amp; Substations R&amp;D / Technology Development project in Global / Multi-country, there is a risk during Operations / Handover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</si>
  <si>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Operations / Handover gate, local law, interfaces, and the selected delivery model.</t>
  </si>
  <si>
    <t>GER-2220</t>
  </si>
  <si>
    <t>For a Carbon Capture, Utilization &amp; Storage Brownfield Modification project in Middle East, there is a risk during Feasibility &amp; Concept that scope creep, late change or uncontrolled instruction, combined with weak controls,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</si>
  <si>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Feasibility &amp; Concept gate, local law, interfaces, and the selected delivery model.</t>
  </si>
  <si>
    <t>GER-2221</t>
  </si>
  <si>
    <t>For a Natural Gas / CCGT Commissioning &amp; Start-up project in East Asia, there is a risk during Commissioning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</si>
  <si>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Commissioning gate, local law, interfaces, and the selected delivery model.</t>
  </si>
  <si>
    <t>GER-2222</t>
  </si>
  <si>
    <t>For a Marine Energy Decommissioning project in North America, there is a risk during Operations / Handover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</si>
  <si>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Operations / Handover gate, local law, interfaces, and the selected delivery model.</t>
  </si>
  <si>
    <t>GER-2223</t>
  </si>
  <si>
    <t>For a Geothermal EPC / Turnkey project in Oceania, there is a risk during Feasibility &amp; Concept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</si>
  <si>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Feasibility &amp; Concept gate, local law, interfaces, and the selected delivery model.</t>
  </si>
  <si>
    <t>GER-2224</t>
  </si>
  <si>
    <t>For a LNG Installation project in Europe, there is a risk during FEED / Basic Design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</si>
  <si>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FEED / Basic Design gate, local law, interfaces, and the selected delivery model.</t>
  </si>
  <si>
    <t>GER-2225</t>
  </si>
  <si>
    <t>For a Onshore Wind Operations &amp; Maintenance project in Africa, there is a risk during Detailed Engineering that scope creep, late change or uncontrolled instruction, combined with resource constraints,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</si>
  <si>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Onshore Wind, the Detailed Engineering gate, local law, interfaces, and the selected delivery model.</t>
  </si>
  <si>
    <t>GER-2226</t>
  </si>
  <si>
    <t>For a Refining &amp; Petrochemicals Brownfield Modification project in Southeast Asia, there is a risk during Feasibility &amp; Concept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</si>
  <si>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Feasibility &amp; Concept gate, local law, interfaces, and the selected delivery model.</t>
  </si>
  <si>
    <t>GER-2227</t>
  </si>
  <si>
    <t>For a Solar PV Owner’s Engineering project in Latin America, there is a risk during FEED / Basic Design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</si>
  <si>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FEED / Basic Design gate, local law, interfaces, and the selected delivery model.</t>
  </si>
  <si>
    <t>GER-2228</t>
  </si>
  <si>
    <t>For a Battery Energy Storage EPCM project in Global / Multi-country, there is a risk during Detailed Engineering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</si>
  <si>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Detailed Engineering gate, local law, interfaces, and the selected delivery model.</t>
  </si>
  <si>
    <t>GER-2229</t>
  </si>
  <si>
    <t>For a Coal / Thermal Power Commissioning &amp; Start-up project in Middle East, there is a risk during Procurement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</si>
  <si>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Procurement gate, local law, interfaces, and the selected delivery model.</t>
  </si>
  <si>
    <t>GER-2230</t>
  </si>
  <si>
    <t>For a Concentrated Solar Power Decommissioning project in South Asia, there is a risk during Manufacturing that scope creep, late change or uncontrolled instruction, combined with supplier dependency,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</si>
  <si>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Manufacturing gate, local law, interfaces, and the selected delivery model.</t>
  </si>
  <si>
    <t>GER-2231</t>
  </si>
  <si>
    <t>For a District Energy Operations &amp; Maintenance project in North America, there is a risk during Detailed Engineering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</si>
  <si>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Detailed Engineering gate, local law, interfaces, and the selected delivery model.</t>
  </si>
  <si>
    <t>GER-2232</t>
  </si>
  <si>
    <t>For a Pumped Storage Grid Interconnection project in Oceania, there is a risk during Procurement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</si>
  <si>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Procurement gate, local law, interfaces, and the selected delivery model.</t>
  </si>
  <si>
    <t>GER-2233</t>
  </si>
  <si>
    <t>For a Natural Gas / CCGT R&amp;D / Technology Development project in Europe, there is a risk during Manufacturing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</si>
  <si>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Manufacturing gate, local law, interfaces, and the selected delivery model.</t>
  </si>
  <si>
    <t>GER-2234</t>
  </si>
  <si>
    <t>For a Marine Energy Brownfield Modification project in Africa, there is a risk during Construction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</si>
  <si>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Construction gate, local law, interfaces, and the selected delivery model.</t>
  </si>
  <si>
    <t>GER-2235</t>
  </si>
  <si>
    <t>For a Geothermal Owner’s Engineering project in East Asia, there is a risk during Installation that scope creep, late change or uncontrolled instruction, combined with interface complexity,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</si>
  <si>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Installation gate, local law, interfaces, and the selected delivery model.</t>
  </si>
  <si>
    <t>GER-2236</t>
  </si>
  <si>
    <t>For a Offshore Wind Decommissioning project in Latin America, there is a risk during Manufacturing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</si>
  <si>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Manufacturing gate, local law, interfaces, and the selected delivery model.</t>
  </si>
  <si>
    <t>GER-2237</t>
  </si>
  <si>
    <t>For a Green Hydrogen EPC / Turnkey project in Global / Multi-country, there is a risk during Construction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</si>
  <si>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Construction gate, local law, interfaces, and the selected delivery model.</t>
  </si>
  <si>
    <t>GER-2238</t>
  </si>
  <si>
    <t>For a Refining &amp; Petrochemicals Installation project in Middle East, there is a risk during Installation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</si>
  <si>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Installation gate, local law, interfaces, and the selected delivery model.</t>
  </si>
  <si>
    <t>GER-2239</t>
  </si>
  <si>
    <t>For a Solar PV Operations &amp; Maintenance project in South Asia, there is a risk during Pre-commissioning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</si>
  <si>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Pre-commissioning gate, local law, interfaces, and the selected delivery model.</t>
  </si>
  <si>
    <t>GER-2240</t>
  </si>
  <si>
    <t>For a Battery Energy Storage Grid Interconnection project in Southeast Asia, there is a risk during Commissioning that scope creep, late change or uncontrolled instruction, combined with requirements volatility,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</si>
  <si>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Commissioning gate, local law, interfaces, and the selected delivery model.</t>
  </si>
  <si>
    <t>GER-2241</t>
  </si>
  <si>
    <t>For a Hydropower Owner’s Engineering project in Oceania, there is a risk during Installation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</si>
  <si>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Installation gate, local law, interfaces, and the selected delivery model.</t>
  </si>
  <si>
    <t>GER-2242</t>
  </si>
  <si>
    <t>For a Nuclear Power EPCM project in Europe, there is a risk during Pre-commissioning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</si>
  <si>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Pre-commissioning gate, local law, interfaces, and the selected delivery model.</t>
  </si>
  <si>
    <t>GER-2243</t>
  </si>
  <si>
    <t>For a District Energy Commissioning &amp; Start-up project in Africa, there is a risk during Commissioning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</si>
  <si>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Commissioning gate, local law, interfaces, and the selected delivery model.</t>
  </si>
  <si>
    <t>GER-2244</t>
  </si>
  <si>
    <t>For a Pumped Storage Decommissioning project in East Asia, there is a risk during Operations / Handover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</si>
  <si>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Operations / Handover gate, local law, interfaces, and the selected delivery model.</t>
  </si>
  <si>
    <t>GER-2245</t>
  </si>
  <si>
    <t>For a Natural Gas / CCGT EPC / Turnkey project in North America, there is a risk during Feasibility &amp; Concept that scope creep, late change or uncontrolled instruction, combined with regulatory uncertainty,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</si>
  <si>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Feasibility &amp; Concept gate, local law, interfaces, and the selected delivery model.</t>
  </si>
  <si>
    <t>GER-2246</t>
  </si>
  <si>
    <t>For a Biomass / Waste-to-Energy Grid Interconnection project in Global / Multi-country, there is a risk during Commissioning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</si>
  <si>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Commissioning gate, local law, interfaces, and the selected delivery model.</t>
  </si>
  <si>
    <t>GER-2247</t>
  </si>
  <si>
    <t>For a Oil &amp; Gas Upstream R&amp;D / Technology Development project in Middle East, there is a risk during Operations / Handover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</si>
  <si>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Operations / Handover gate, local law, interfaces, and the selected delivery model.</t>
  </si>
  <si>
    <t>GER-2248</t>
  </si>
  <si>
    <t>For a Offshore Wind Brownfield Modification project in South Asia, there is a risk during Feasibility &amp; Concept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</si>
  <si>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Feasibility &amp; Concept gate, local law, interfaces, and the selected delivery model.</t>
  </si>
  <si>
    <t>GER-2249</t>
  </si>
  <si>
    <t>For a Green Hydrogen Owner’s Engineering project in Southeast Asia, there is a risk during FEED / Basic Design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</si>
  <si>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FEED / Basic Design gate, local law, interfaces, and the selected delivery model.</t>
  </si>
  <si>
    <t>GER-2250</t>
  </si>
  <si>
    <t>For a Refining &amp; Petrochemicals EPCM project in Latin America, there is a risk during Detailed Engineering that scope creep, late change or uncontrolled instruction, combined with inadequate verification,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</si>
  <si>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Detailed Engineering gate, local law, interfaces, and the selected delivery model.</t>
  </si>
  <si>
    <t>GER-2251</t>
  </si>
  <si>
    <t>For a Transmission &amp; Substations EPC / Turnkey project in Europe, there is a risk during Feasibility &amp; Concept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</si>
  <si>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Feasibility &amp; Concept gate, local law, interfaces, and the selected delivery model.</t>
  </si>
  <si>
    <t>GER-2252</t>
  </si>
  <si>
    <t>For a Carbon Capture, Utilization &amp; Storage Installation project in Africa, there is a risk during FEED / Basic Design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</si>
  <si>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FEED / Basic Design gate, local law, interfaces, and the selected delivery model.</t>
  </si>
  <si>
    <t>GER-2253</t>
  </si>
  <si>
    <t>For a Hydropower Operations &amp; Maintenance project in East Asia, there is a risk during Detailed Engineering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</si>
  <si>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Detailed Engineering gate, local law, interfaces, and the selected delivery model.</t>
  </si>
  <si>
    <t>GER-2254</t>
  </si>
  <si>
    <t>For a Nuclear Power Grid Interconnection project in North America, there is a risk during Procurement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</si>
  <si>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Procurement gate, local law, interfaces, and the selected delivery model.</t>
  </si>
  <si>
    <t>GER-2255</t>
  </si>
  <si>
    <t>For a District Energy R&amp;D / Technology Development project in Oceania, there is a risk during Manufacturing that scope creep, late change or uncontrolled instruction, combined with poor communication,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</si>
  <si>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Manufacturing gate, local law, interfaces, and the selected delivery model.</t>
  </si>
  <si>
    <t>GER-2256</t>
  </si>
  <si>
    <t>For a LNG EPCM project in Middle East, there is a risk during Detailed Engineering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</si>
  <si>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Detailed Engineering gate, local law, interfaces, and the selected delivery model.</t>
  </si>
  <si>
    <t>GER-2257</t>
  </si>
  <si>
    <t>For a Onshore Wind Commissioning &amp; Start-up project in South Asia, there is a risk during Procurement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</si>
  <si>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Onshore Wind, the Procurement gate, local law, interfaces, and the selected delivery model.</t>
  </si>
  <si>
    <t>GER-2258</t>
  </si>
  <si>
    <t>For a Biomass / Waste-to-Energy Decommissioning project in Southeast Asia, there is a risk during Manufacturing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</si>
  <si>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Manufacturing gate, local law, interfaces, and the selected delivery model.</t>
  </si>
  <si>
    <t>GER-2259</t>
  </si>
  <si>
    <t>For a Oil &amp; Gas Upstream EPC / Turnkey project in Latin America, there is a risk during Construction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</si>
  <si>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Construction gate, local law, interfaces, and the selected delivery model.</t>
  </si>
  <si>
    <t>GER-2260</t>
  </si>
  <si>
    <t>For a Offshore Wind Installation project in Global / Multi-country, there is a risk during Installation that scope creep, late change or uncontrolled instruction, combined with incorrect assumptions,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</si>
  <si>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Installation gate, local law, interfaces, and the selected delivery model.</t>
  </si>
  <si>
    <t>GER-2261</t>
  </si>
  <si>
    <t>For a Coal / Thermal Power R&amp;D / Technology Development project in Africa, there is a risk during Manufacturing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</si>
  <si>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Manufacturing gate, local law, interfaces, and the selected delivery model.</t>
  </si>
  <si>
    <t>GER-2262</t>
  </si>
  <si>
    <t>For a Concentrated Solar Power Brownfield Modification project in East Asia, there is a risk during Construction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</si>
  <si>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Construction gate, local law, interfaces, and the selected delivery model.</t>
  </si>
  <si>
    <t>GER-2263</t>
  </si>
  <si>
    <t>For a Transmission &amp; Substations Owner’s Engineering project in North America, there is a risk during Installation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</si>
  <si>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Installation gate, local law, interfaces, and the selected delivery model.</t>
  </si>
  <si>
    <t>GER-2264</t>
  </si>
  <si>
    <t>For a Carbon Capture, Utilization &amp; Storage EPCM project in Oceania, there is a risk during Pre-commissioning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</si>
  <si>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Pre-commissioning gate, local law, interfaces, and the selected delivery model.</t>
  </si>
  <si>
    <t>GER-2265</t>
  </si>
  <si>
    <t>For a Hydropower Commissioning &amp; Start-up project in Europe, there is a risk during Commissioning that scope creep, late change or uncontrolled instruction, combined with low technical maturity,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</si>
  <si>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Commissioning gate, local law, interfaces, and the selected delivery model.</t>
  </si>
  <si>
    <t>GER-2266</t>
  </si>
  <si>
    <t>For a Marine Energy Installation project in South Asia, there is a risk during Installation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</si>
  <si>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Installation gate, local law, interfaces, and the selected delivery model.</t>
  </si>
  <si>
    <t>GER-2267</t>
  </si>
  <si>
    <t>For a Geothermal Operations &amp; Maintenance project in Southeast Asia, there is a risk during Pre-commissioning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</si>
  <si>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Pre-commissioning gate, local law, interfaces, and the selected delivery model.</t>
  </si>
  <si>
    <t>GER-2268</t>
  </si>
  <si>
    <t>For a LNG Grid Interconnection project in Latin America, there is a risk during Commissioning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</si>
  <si>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Commissioning gate, local law, interfaces, and the selected delivery model.</t>
  </si>
  <si>
    <t>GER-2269</t>
  </si>
  <si>
    <t>For a Onshore Wind R&amp;D / Technology Development project in Global / Multi-country, there is a risk during Operations / Handover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</si>
  <si>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Onshore Wind, the Operations / Handover gate, local law, interfaces, and the selected delivery model.</t>
  </si>
  <si>
    <t>GER-2270</t>
  </si>
  <si>
    <t>For a Biomass / Waste-to-Energy Brownfield Modification project in Middle East, there is a risk during Feasibility &amp; Concept that scope creep, late change or uncontrolled instruction, combined with documentation gaps,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</si>
  <si>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Biomass / Waste-to-Energy, the Feasibility &amp; Concept gate, local law, interfaces, and the selected delivery model.</t>
  </si>
  <si>
    <t>GER-2271</t>
  </si>
  <si>
    <t>For a Solar PV Commissioning &amp; Start-up project in East Asia, there is a risk during Commissioning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</si>
  <si>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Commissioning gate, local law, interfaces, and the selected delivery model.</t>
  </si>
  <si>
    <t>GER-2272</t>
  </si>
  <si>
    <t>For a Battery Energy Storage Decommissioning project in North America, there is a risk during Operations / Handover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</si>
  <si>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Operations / Handover gate, local law, interfaces, and the selected delivery model.</t>
  </si>
  <si>
    <t>GER-2273</t>
  </si>
  <si>
    <t>For a Coal / Thermal Power EPC / Turnkey project in Oceania, there is a risk during Feasibility &amp; Concept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</si>
  <si>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Feasibility &amp; Concept gate, local law, interfaces, and the selected delivery model.</t>
  </si>
  <si>
    <t>GER-2274</t>
  </si>
  <si>
    <t>For a Concentrated Solar Power Installation project in Europe, there is a risk during FEED / Basic Design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</si>
  <si>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Concentrated Solar Power, the FEED / Basic Design gate, local law, interfaces, and the selected delivery model.</t>
  </si>
  <si>
    <t>GER-2275</t>
  </si>
  <si>
    <t>For a Transmission &amp; Substations Operations &amp; Maintenance project in Africa, there is a risk during Detailed Engineering that scope creep, late change or uncontrolled instruction, combined with external disruption,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</si>
  <si>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Transmission &amp; Substations, the Detailed Engineering gate, local law, interfaces, and the selected delivery model.</t>
  </si>
  <si>
    <t>GER-2276</t>
  </si>
  <si>
    <t>For a Pumped Storage Brownfield Modification project in Southeast Asia, there is a risk during Feasibility &amp; Concept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</si>
  <si>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Feasibility &amp; Concept gate, local law, interfaces, and the selected delivery model.</t>
  </si>
  <si>
    <t>GER-2277</t>
  </si>
  <si>
    <t>For a Natural Gas / CCGT Owner’s Engineering project in Latin America, there is a risk during FEED / Basic Design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</si>
  <si>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FEED / Basic Design gate, local law, interfaces, and the selected delivery model.</t>
  </si>
  <si>
    <t>GER-2278</t>
  </si>
  <si>
    <t>For a Marine Energy EPCM project in Global / Multi-country, there is a risk during Detailed Engineering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</si>
  <si>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Detailed Engineering gate, local law, interfaces, and the selected delivery model.</t>
  </si>
  <si>
    <t>GER-2279</t>
  </si>
  <si>
    <t>For a Geothermal Commissioning &amp; Start-up project in Middle East, there is a risk during Procurement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</si>
  <si>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Geothermal, the Procurement gate, local law, interfaces, and the selected delivery model.</t>
  </si>
  <si>
    <t>GER-2280</t>
  </si>
  <si>
    <t>For a LNG Decommissioning project in South Asia, there is a risk during Manufacturing that scope creep, late change or uncontrolled instruction, combined with governance delay,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</si>
  <si>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LNG, the Manufacturing gate, local law, interfaces, and the selected delivery model.</t>
  </si>
  <si>
    <t>GER-2281</t>
  </si>
  <si>
    <t>For a Green Hydrogen Operations &amp; Maintenance project in North America, there is a risk during Detailed Engineering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</si>
  <si>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Detailed Engineering gate, local law, interfaces, and the selected delivery model.</t>
  </si>
  <si>
    <t>GER-2282</t>
  </si>
  <si>
    <t>For a Refining &amp; Petrochemicals Grid Interconnection project in Oceania, there is a risk during Procurement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</si>
  <si>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Procurement gate, local law, interfaces, and the selected delivery model.</t>
  </si>
  <si>
    <t>GER-2283</t>
  </si>
  <si>
    <t>For a Solar PV R&amp;D / Technology Development project in Europe, there is a risk during Manufacturing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</si>
  <si>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Manufacturing gate, local law, interfaces, and the selected delivery model.</t>
  </si>
  <si>
    <t>GER-2284</t>
  </si>
  <si>
    <t>For a Battery Energy Storage Brownfield Modification project in Africa, there is a risk during Construction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</si>
  <si>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Battery Energy Storage, the Construction gate, local law, interfaces, and the selected delivery model.</t>
  </si>
  <si>
    <t>GER-2285</t>
  </si>
  <si>
    <t>For a Coal / Thermal Power Owner’s Engineering project in East Asia, there is a risk during Installation that scope creep, late change or uncontrolled instruction, combined with commercial misalignment,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</si>
  <si>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Coal / Thermal Power, the Installation gate, local law, interfaces, and the selected delivery model.</t>
  </si>
  <si>
    <t>GER-2286</t>
  </si>
  <si>
    <t>For a Nuclear Power Decommissioning project in Latin America, there is a risk during Manufacturing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</si>
  <si>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Manufacturing gate, local law, interfaces, and the selected delivery model.</t>
  </si>
  <si>
    <t>GER-2287</t>
  </si>
  <si>
    <t>For a District Energy EPC / Turnkey project in Global / Multi-country, there is a risk during Construction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</si>
  <si>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Construction gate, local law, interfaces, and the selected delivery model.</t>
  </si>
  <si>
    <t>GER-2288</t>
  </si>
  <si>
    <t>For a Pumped Storage Installation project in Middle East, there is a risk during Installation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</si>
  <si>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Installation gate, local law, interfaces, and the selected delivery model.</t>
  </si>
  <si>
    <t>GER-2289</t>
  </si>
  <si>
    <t>For a Natural Gas / CCGT Operations &amp; Maintenance project in South Asia, there is a risk during Pre-commissioning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</si>
  <si>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Natural Gas / CCGT, the Pre-commissioning gate, local law, interfaces, and the selected delivery model.</t>
  </si>
  <si>
    <t>GER-2290</t>
  </si>
  <si>
    <t>For a Marine Energy Grid Interconnection project in Southeast Asia, there is a risk during Commissioning that scope creep, late change or uncontrolled instruction, combined with quality escape,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</si>
  <si>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Marine Energy, the Commissioning gate, local law, interfaces, and the selected delivery model.</t>
  </si>
  <si>
    <t>GER-2291</t>
  </si>
  <si>
    <t>For a Oil &amp; Gas Upstream Owner’s Engineering project in Oceania, there is a risk during Installation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</si>
  <si>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Oil &amp; Gas Upstream, the Installation gate, local law, interfaces, and the selected delivery model.</t>
  </si>
  <si>
    <t>GER-2292</t>
  </si>
  <si>
    <t>For a Offshore Wind EPCM project in Europe, there is a risk during Pre-commissioning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</si>
  <si>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Offshore Wind, the Pre-commissioning gate, local law, interfaces, and the selected delivery model.</t>
  </si>
  <si>
    <t>GER-2293</t>
  </si>
  <si>
    <t>For a Green Hydrogen Commissioning &amp; Start-up project in Africa, there is a risk during Commissioning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</si>
  <si>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Green Hydrogen, the Commissioning gate, local law, interfaces, and the selected delivery model.</t>
  </si>
  <si>
    <t>GER-2294</t>
  </si>
  <si>
    <t>For a Refining &amp; Petrochemicals Decommissioning project in East Asia, there is a risk during Operations / Handover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</si>
  <si>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Refining &amp; Petrochemicals, the Operations / Handover gate, local law, interfaces, and the selected delivery model.</t>
  </si>
  <si>
    <t>GER-2295</t>
  </si>
  <si>
    <t>For a Solar PV EPC / Turnkey project in North America, there is a risk during Feasibility &amp; Concept that scope creep, late change or uncontrolled instruction, combined with access constraint,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</si>
  <si>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Solar PV, the Feasibility &amp; Concept gate, local law, interfaces, and the selected delivery model.</t>
  </si>
  <si>
    <t>GER-2296</t>
  </si>
  <si>
    <t>For a Carbon Capture, Utilization &amp; Storage Grid Interconnection project in Global / Multi-country, there is a risk during Commissioning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</si>
  <si>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Carbon Capture, Utilization &amp; Storage, the Commissioning gate, local law, interfaces, and the selected delivery model.</t>
  </si>
  <si>
    <t>GER-2297</t>
  </si>
  <si>
    <t>For a Hydropower R&amp;D / Technology Development project in Middle East, there is a risk during Operations / Handover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</si>
  <si>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Hydropower, the Operations / Handover gate, local law, interfaces, and the selected delivery model.</t>
  </si>
  <si>
    <t>GER-2298</t>
  </si>
  <si>
    <t>For a Nuclear Power Brownfield Modification project in South Asia, there is a risk during Feasibility &amp; Concept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</si>
  <si>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Nuclear Power, the Feasibility &amp; Concept gate, local law, interfaces, and the selected delivery model.</t>
  </si>
  <si>
    <t>GER-2299</t>
  </si>
  <si>
    <t>For a District Energy Owner’s Engineering project in Southeast Asia, there is a risk during FEED / Basic Design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</si>
  <si>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District Energy, the FEED / Basic Design gate, local law, interfaces, and the selected delivery model.</t>
  </si>
  <si>
    <t>GER-2300</t>
  </si>
  <si>
    <t>For a Pumped Storage EPCM project in Latin America, there is a risk during Detailed Engineering that scope creep, late change or uncontrolled instruction, combined with performance variability, may adversely affect project objectives through cost / time / quality consequences.</t>
  </si>
  <si>
    <t>Establish controls for scope creep, late change or uncontrolled instruction; assign actions, verify evidence, and review residual exposure at each gate. Tailor the response to Pumped Storage, the Detailed Engineering gate, local law, interfaces, and the selected delivery model.</t>
  </si>
  <si>
    <t>GER-2301</t>
  </si>
  <si>
    <t>For a Onshore Wind EPC / Turnkey project in Europe, there is a risk during Feasibility &amp; Concept that unproven technology, prototype failure or obsolescence, combined with insufficient planning, may adversely affect project objectives through quality / time / cost consequences.</t>
  </si>
  <si>
    <t>Technology &amp; Maturity</t>
  </si>
  <si>
    <t>Establish controls for unproven technology, prototype failure or obsolescence; assign actions, verify evidence, and review residual exposure at each gate. Tailor the response to Onshore Wind, the Feasibility &amp; Concept gate, local law, interfaces, and the selected delivery model.</t>
  </si>
  <si>
    <t>Technical Manager</t>
  </si>
  <si>
    <t>GER-2302</t>
  </si>
  <si>
    <t>For a Biomass / Waste-to-Energy Installation project in Africa, there is a risk during FEED / Basic Design that unproven technology, prototype failure or obsolescence, combined with insufficient planning,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</si>
  <si>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FEED / Basic Design gate, local law, interfaces, and the selected delivery model.</t>
  </si>
  <si>
    <t>GER-2303</t>
  </si>
  <si>
    <t>For a Oil &amp; Gas Upstream Operations &amp; Maintenance project in East Asia, there is a risk during Detailed Engineering that unproven technology, prototype failure or obsolescence, combined with insufficient planning,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</si>
  <si>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Detailed Engineering gate, local law, interfaces, and the selected delivery model.</t>
  </si>
  <si>
    <t>GER-2304</t>
  </si>
  <si>
    <t>For a Offshore Wind Grid Interconnection project in North America, there is a risk during Procurement that unproven technology, prototype failure or obsolescence, combined with insufficient planning,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</si>
  <si>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Procurement gate, local law, interfaces, and the selected delivery model.</t>
  </si>
  <si>
    <t>GER-2305</t>
  </si>
  <si>
    <t>For a Green Hydrogen R&amp;D / Technology Development project in Oceania, there is a risk during Manufacturing that unproven technology, prototype failure or obsolescence, combined with insufficient planning,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</si>
  <si>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Manufacturing gate, local law, interfaces, and the selected delivery model.</t>
  </si>
  <si>
    <t>GER-2306</t>
  </si>
  <si>
    <t>For a Concentrated Solar Power EPCM project in Middle East, there is a risk during Detailed Engineering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</si>
  <si>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Detailed Engineering gate, local law, interfaces, and the selected delivery model.</t>
  </si>
  <si>
    <t>GER-2307</t>
  </si>
  <si>
    <t>For a Transmission &amp; Substations Commissioning &amp; Start-up project in South Asia, there is a risk during Procurement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</si>
  <si>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Procurement gate, local law, interfaces, and the selected delivery model.</t>
  </si>
  <si>
    <t>GER-2308</t>
  </si>
  <si>
    <t>For a Carbon Capture, Utilization &amp; Storage Decommissioning project in Southeast Asia, there is a risk during Manufacturing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</si>
  <si>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Manufacturing gate, local law, interfaces, and the selected delivery model.</t>
  </si>
  <si>
    <t>GER-2309</t>
  </si>
  <si>
    <t>For a Hydropower EPC / Turnkey project in Latin America, there is a risk during Construction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</si>
  <si>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Construction gate, local law, interfaces, and the selected delivery model.</t>
  </si>
  <si>
    <t>GER-2310</t>
  </si>
  <si>
    <t>For a Nuclear Power Installation project in Global / Multi-country, there is a risk during Installation that unproven technology, prototype failure or obsolescence, combined with incomplete information,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</si>
  <si>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Installation gate, local law, interfaces, and the selected delivery model.</t>
  </si>
  <si>
    <t>GER-2311</t>
  </si>
  <si>
    <t>For a Geothermal R&amp;D / Technology Development project in Africa, there is a risk during Manufacturing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</si>
  <si>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Manufacturing gate, local law, interfaces, and the selected delivery model.</t>
  </si>
  <si>
    <t>GER-2312</t>
  </si>
  <si>
    <t>For a LNG Brownfield Modification project in East Asia, there is a risk during Construction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</si>
  <si>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Construction gate, local law, interfaces, and the selected delivery model.</t>
  </si>
  <si>
    <t>GER-2313</t>
  </si>
  <si>
    <t>For a Onshore Wind Owner’s Engineering project in North America, there is a risk during Installation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</si>
  <si>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Onshore Wind, the Installation gate, local law, interfaces, and the selected delivery model.</t>
  </si>
  <si>
    <t>GER-2314</t>
  </si>
  <si>
    <t>For a Biomass / Waste-to-Energy EPCM project in Oceania, there is a risk during Pre-commissioning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</si>
  <si>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Pre-commissioning gate, local law, interfaces, and the selected delivery model.</t>
  </si>
  <si>
    <t>GER-2315</t>
  </si>
  <si>
    <t>For a Oil &amp; Gas Upstream Commissioning &amp; Start-up project in Europe, there is a risk during Commissioning that unproven technology, prototype failure or obsolescence, combined with late decision-making,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</si>
  <si>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Commissioning gate, local law, interfaces, and the selected delivery model.</t>
  </si>
  <si>
    <t>GER-2316</t>
  </si>
  <si>
    <t>For a Battery Energy Storage Installation project in South Asia, there is a risk during Installation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</si>
  <si>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Installation gate, local law, interfaces, and the selected delivery model.</t>
  </si>
  <si>
    <t>GER-2317</t>
  </si>
  <si>
    <t>For a Coal / Thermal Power Operations &amp; Maintenance project in Southeast Asia, there is a risk during Pre-commissioning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</si>
  <si>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Pre-commissioning gate, local law, interfaces, and the selected delivery model.</t>
  </si>
  <si>
    <t>GER-2318</t>
  </si>
  <si>
    <t>For a Concentrated Solar Power Grid Interconnection project in Latin America, there is a risk during Commissioning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</si>
  <si>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Commissioning gate, local law, interfaces, and the selected delivery model.</t>
  </si>
  <si>
    <t>GER-2319</t>
  </si>
  <si>
    <t>For a Transmission &amp; Substations R&amp;D / Technology Development project in Global / Multi-country, there is a risk during Operations / Handover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</si>
  <si>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Operations / Handover gate, local law, interfaces, and the selected delivery model.</t>
  </si>
  <si>
    <t>GER-2320</t>
  </si>
  <si>
    <t>For a Carbon Capture, Utilization &amp; Storage Brownfield Modification project in Middle East, there is a risk during Feasibility &amp; Concept that unproven technology, prototype failure or obsolescence, combined with weak controls,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</si>
  <si>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Feasibility &amp; Concept gate, local law, interfaces, and the selected delivery model.</t>
  </si>
  <si>
    <t>GER-2321</t>
  </si>
  <si>
    <t>For a Natural Gas / CCGT Commissioning &amp; Start-up project in East Asia, there is a risk during Commissioning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</si>
  <si>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Commissioning gate, local law, interfaces, and the selected delivery model.</t>
  </si>
  <si>
    <t>GER-2322</t>
  </si>
  <si>
    <t>For a Marine Energy Decommissioning project in North America, there is a risk during Operations / Handover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</si>
  <si>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Operations / Handover gate, local law, interfaces, and the selected delivery model.</t>
  </si>
  <si>
    <t>GER-2323</t>
  </si>
  <si>
    <t>For a Geothermal EPC / Turnkey project in Oceania, there is a risk during Feasibility &amp; Concept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</si>
  <si>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Feasibility &amp; Concept gate, local law, interfaces, and the selected delivery model.</t>
  </si>
  <si>
    <t>GER-2324</t>
  </si>
  <si>
    <t>For a LNG Installation project in Europe, there is a risk during FEED / Basic Design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</si>
  <si>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FEED / Basic Design gate, local law, interfaces, and the selected delivery model.</t>
  </si>
  <si>
    <t>GER-2325</t>
  </si>
  <si>
    <t>For a Onshore Wind Operations &amp; Maintenance project in Africa, there is a risk during Detailed Engineering that unproven technology, prototype failure or obsolescence, combined with resource constraints,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</si>
  <si>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Onshore Wind, the Detailed Engineering gate, local law, interfaces, and the selected delivery model.</t>
  </si>
  <si>
    <t>GER-2326</t>
  </si>
  <si>
    <t>For a Refining &amp; Petrochemicals Brownfield Modification project in Southeast Asia, there is a risk during Feasibility &amp; Concept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</si>
  <si>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Feasibility &amp; Concept gate, local law, interfaces, and the selected delivery model.</t>
  </si>
  <si>
    <t>GER-2327</t>
  </si>
  <si>
    <t>For a Solar PV Owner’s Engineering project in Latin America, there is a risk during FEED / Basic Design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</si>
  <si>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FEED / Basic Design gate, local law, interfaces, and the selected delivery model.</t>
  </si>
  <si>
    <t>GER-2328</t>
  </si>
  <si>
    <t>For a Battery Energy Storage EPCM project in Global / Multi-country, there is a risk during Detailed Engineering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</si>
  <si>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Detailed Engineering gate, local law, interfaces, and the selected delivery model.</t>
  </si>
  <si>
    <t>GER-2329</t>
  </si>
  <si>
    <t>For a Coal / Thermal Power Commissioning &amp; Start-up project in Middle East, there is a risk during Procurement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</si>
  <si>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Procurement gate, local law, interfaces, and the selected delivery model.</t>
  </si>
  <si>
    <t>GER-2330</t>
  </si>
  <si>
    <t>For a Concentrated Solar Power Decommissioning project in South Asia, there is a risk during Manufacturing that unproven technology, prototype failure or obsolescence, combined with supplier dependency,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</si>
  <si>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Manufacturing gate, local law, interfaces, and the selected delivery model.</t>
  </si>
  <si>
    <t>GER-2331</t>
  </si>
  <si>
    <t>For a District Energy Operations &amp; Maintenance project in North America, there is a risk during Detailed Engineering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</si>
  <si>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Detailed Engineering gate, local law, interfaces, and the selected delivery model.</t>
  </si>
  <si>
    <t>GER-2332</t>
  </si>
  <si>
    <t>For a Pumped Storage Grid Interconnection project in Oceania, there is a risk during Procurement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</si>
  <si>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Procurement gate, local law, interfaces, and the selected delivery model.</t>
  </si>
  <si>
    <t>GER-2333</t>
  </si>
  <si>
    <t>For a Natural Gas / CCGT R&amp;D / Technology Development project in Europe, there is a risk during Manufacturing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</si>
  <si>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Manufacturing gate, local law, interfaces, and the selected delivery model.</t>
  </si>
  <si>
    <t>GER-2334</t>
  </si>
  <si>
    <t>For a Marine Energy Brownfield Modification project in Africa, there is a risk during Construction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</si>
  <si>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Construction gate, local law, interfaces, and the selected delivery model.</t>
  </si>
  <si>
    <t>GER-2335</t>
  </si>
  <si>
    <t>For a Geothermal Owner’s Engineering project in East Asia, there is a risk during Installation that unproven technology, prototype failure or obsolescence, combined with interface complexity,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</si>
  <si>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Installation gate, local law, interfaces, and the selected delivery model.</t>
  </si>
  <si>
    <t>GER-2336</t>
  </si>
  <si>
    <t>For a Offshore Wind Decommissioning project in Latin America, there is a risk during Manufacturing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</si>
  <si>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Manufacturing gate, local law, interfaces, and the selected delivery model.</t>
  </si>
  <si>
    <t>GER-2337</t>
  </si>
  <si>
    <t>For a Green Hydrogen EPC / Turnkey project in Global / Multi-country, there is a risk during Construction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</si>
  <si>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Construction gate, local law, interfaces, and the selected delivery model.</t>
  </si>
  <si>
    <t>GER-2338</t>
  </si>
  <si>
    <t>For a Refining &amp; Petrochemicals Installation project in Middle East, there is a risk during Installation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</si>
  <si>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Installation gate, local law, interfaces, and the selected delivery model.</t>
  </si>
  <si>
    <t>GER-2339</t>
  </si>
  <si>
    <t>For a Solar PV Operations &amp; Maintenance project in South Asia, there is a risk during Pre-commissioning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</si>
  <si>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Pre-commissioning gate, local law, interfaces, and the selected delivery model.</t>
  </si>
  <si>
    <t>GER-2340</t>
  </si>
  <si>
    <t>For a Battery Energy Storage Grid Interconnection project in Southeast Asia, there is a risk during Commissioning that unproven technology, prototype failure or obsolescence, combined with requirements volatility,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</si>
  <si>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Commissioning gate, local law, interfaces, and the selected delivery model.</t>
  </si>
  <si>
    <t>GER-2341</t>
  </si>
  <si>
    <t>For a Hydropower Owner’s Engineering project in Oceania, there is a risk during Installation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</si>
  <si>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Installation gate, local law, interfaces, and the selected delivery model.</t>
  </si>
  <si>
    <t>GER-2342</t>
  </si>
  <si>
    <t>For a Nuclear Power EPCM project in Europe, there is a risk during Pre-commissioning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</si>
  <si>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Pre-commissioning gate, local law, interfaces, and the selected delivery model.</t>
  </si>
  <si>
    <t>GER-2343</t>
  </si>
  <si>
    <t>For a District Energy Commissioning &amp; Start-up project in Africa, there is a risk during Commissioning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</si>
  <si>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Commissioning gate, local law, interfaces, and the selected delivery model.</t>
  </si>
  <si>
    <t>GER-2344</t>
  </si>
  <si>
    <t>For a Pumped Storage Decommissioning project in East Asia, there is a risk during Operations / Handover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</si>
  <si>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Operations / Handover gate, local law, interfaces, and the selected delivery model.</t>
  </si>
  <si>
    <t>GER-2345</t>
  </si>
  <si>
    <t>For a Natural Gas / CCGT EPC / Turnkey project in North America, there is a risk during Feasibility &amp; Concept that unproven technology, prototype failure or obsolescence, combined with regulatory uncertainty,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</si>
  <si>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Feasibility &amp; Concept gate, local law, interfaces, and the selected delivery model.</t>
  </si>
  <si>
    <t>GER-2346</t>
  </si>
  <si>
    <t>For a Biomass / Waste-to-Energy Grid Interconnection project in Global / Multi-country, there is a risk during Commissioning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</si>
  <si>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Commissioning gate, local law, interfaces, and the selected delivery model.</t>
  </si>
  <si>
    <t>GER-2347</t>
  </si>
  <si>
    <t>For a Oil &amp; Gas Upstream R&amp;D / Technology Development project in Middle East, there is a risk during Operations / Handover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</si>
  <si>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Operations / Handover gate, local law, interfaces, and the selected delivery model.</t>
  </si>
  <si>
    <t>GER-2348</t>
  </si>
  <si>
    <t>For a Offshore Wind Brownfield Modification project in South Asia, there is a risk during Feasibility &amp; Concept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</si>
  <si>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Feasibility &amp; Concept gate, local law, interfaces, and the selected delivery model.</t>
  </si>
  <si>
    <t>GER-2349</t>
  </si>
  <si>
    <t>For a Green Hydrogen Owner’s Engineering project in Southeast Asia, there is a risk during FEED / Basic Design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</si>
  <si>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FEED / Basic Design gate, local law, interfaces, and the selected delivery model.</t>
  </si>
  <si>
    <t>GER-2350</t>
  </si>
  <si>
    <t>For a Refining &amp; Petrochemicals EPCM project in Latin America, there is a risk during Detailed Engineering that unproven technology, prototype failure or obsolescence, combined with inadequate verification,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</si>
  <si>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Detailed Engineering gate, local law, interfaces, and the selected delivery model.</t>
  </si>
  <si>
    <t>GER-2351</t>
  </si>
  <si>
    <t>For a Transmission &amp; Substations EPC / Turnkey project in Europe, there is a risk during Feasibility &amp; Concept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</si>
  <si>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Feasibility &amp; Concept gate, local law, interfaces, and the selected delivery model.</t>
  </si>
  <si>
    <t>GER-2352</t>
  </si>
  <si>
    <t>For a Carbon Capture, Utilization &amp; Storage Installation project in Africa, there is a risk during FEED / Basic Design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</si>
  <si>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FEED / Basic Design gate, local law, interfaces, and the selected delivery model.</t>
  </si>
  <si>
    <t>GER-2353</t>
  </si>
  <si>
    <t>For a Hydropower Operations &amp; Maintenance project in East Asia, there is a risk during Detailed Engineering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</si>
  <si>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Detailed Engineering gate, local law, interfaces, and the selected delivery model.</t>
  </si>
  <si>
    <t>GER-2354</t>
  </si>
  <si>
    <t>For a Nuclear Power Grid Interconnection project in North America, there is a risk during Procurement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</si>
  <si>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Procurement gate, local law, interfaces, and the selected delivery model.</t>
  </si>
  <si>
    <t>GER-2355</t>
  </si>
  <si>
    <t>For a District Energy R&amp;D / Technology Development project in Oceania, there is a risk during Manufacturing that unproven technology, prototype failure or obsolescence, combined with poor communication,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</si>
  <si>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Manufacturing gate, local law, interfaces, and the selected delivery model.</t>
  </si>
  <si>
    <t>GER-2356</t>
  </si>
  <si>
    <t>For a LNG EPCM project in Middle East, there is a risk during Detailed Engineering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</si>
  <si>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Detailed Engineering gate, local law, interfaces, and the selected delivery model.</t>
  </si>
  <si>
    <t>GER-2357</t>
  </si>
  <si>
    <t>For a Onshore Wind Commissioning &amp; Start-up project in South Asia, there is a risk during Procurement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</si>
  <si>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Onshore Wind, the Procurement gate, local law, interfaces, and the selected delivery model.</t>
  </si>
  <si>
    <t>GER-2358</t>
  </si>
  <si>
    <t>For a Biomass / Waste-to-Energy Decommissioning project in Southeast Asia, there is a risk during Manufacturing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</si>
  <si>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Manufacturing gate, local law, interfaces, and the selected delivery model.</t>
  </si>
  <si>
    <t>GER-2359</t>
  </si>
  <si>
    <t>For a Oil &amp; Gas Upstream EPC / Turnkey project in Latin America, there is a risk during Construction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</si>
  <si>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Construction gate, local law, interfaces, and the selected delivery model.</t>
  </si>
  <si>
    <t>GER-2360</t>
  </si>
  <si>
    <t>For a Offshore Wind Installation project in Global / Multi-country, there is a risk during Installation that unproven technology, prototype failure or obsolescence, combined with incorrect assumptions,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</si>
  <si>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Installation gate, local law, interfaces, and the selected delivery model.</t>
  </si>
  <si>
    <t>GER-2361</t>
  </si>
  <si>
    <t>For a Coal / Thermal Power R&amp;D / Technology Development project in Africa, there is a risk during Manufacturing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</si>
  <si>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Manufacturing gate, local law, interfaces, and the selected delivery model.</t>
  </si>
  <si>
    <t>GER-2362</t>
  </si>
  <si>
    <t>For a Concentrated Solar Power Brownfield Modification project in East Asia, there is a risk during Construction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</si>
  <si>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Construction gate, local law, interfaces, and the selected delivery model.</t>
  </si>
  <si>
    <t>GER-2363</t>
  </si>
  <si>
    <t>For a Transmission &amp; Substations Owner’s Engineering project in North America, there is a risk during Installation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</si>
  <si>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Installation gate, local law, interfaces, and the selected delivery model.</t>
  </si>
  <si>
    <t>GER-2364</t>
  </si>
  <si>
    <t>For a Carbon Capture, Utilization &amp; Storage EPCM project in Oceania, there is a risk during Pre-commissioning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</si>
  <si>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Pre-commissioning gate, local law, interfaces, and the selected delivery model.</t>
  </si>
  <si>
    <t>GER-2365</t>
  </si>
  <si>
    <t>For a Hydropower Commissioning &amp; Start-up project in Europe, there is a risk during Commissioning that unproven technology, prototype failure or obsolescence, combined with low technical maturity,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</si>
  <si>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Commissioning gate, local law, interfaces, and the selected delivery model.</t>
  </si>
  <si>
    <t>GER-2366</t>
  </si>
  <si>
    <t>For a Marine Energy Installation project in South Asia, there is a risk during Installation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</si>
  <si>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Installation gate, local law, interfaces, and the selected delivery model.</t>
  </si>
  <si>
    <t>GER-2367</t>
  </si>
  <si>
    <t>For a Geothermal Operations &amp; Maintenance project in Southeast Asia, there is a risk during Pre-commissioning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</si>
  <si>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Pre-commissioning gate, local law, interfaces, and the selected delivery model.</t>
  </si>
  <si>
    <t>GER-2368</t>
  </si>
  <si>
    <t>For a LNG Grid Interconnection project in Latin America, there is a risk during Commissioning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</si>
  <si>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Commissioning gate, local law, interfaces, and the selected delivery model.</t>
  </si>
  <si>
    <t>GER-2369</t>
  </si>
  <si>
    <t>For a Onshore Wind R&amp;D / Technology Development project in Global / Multi-country, there is a risk during Operations / Handover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</si>
  <si>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Onshore Wind, the Operations / Handover gate, local law, interfaces, and the selected delivery model.</t>
  </si>
  <si>
    <t>GER-2370</t>
  </si>
  <si>
    <t>For a Biomass / Waste-to-Energy Brownfield Modification project in Middle East, there is a risk during Feasibility &amp; Concept that unproven technology, prototype failure or obsolescence, combined with documentation gaps,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</si>
  <si>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Biomass / Waste-to-Energy, the Feasibility &amp; Concept gate, local law, interfaces, and the selected delivery model.</t>
  </si>
  <si>
    <t>GER-2371</t>
  </si>
  <si>
    <t>For a Solar PV Commissioning &amp; Start-up project in East Asia, there is a risk during Commissioning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</si>
  <si>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Commissioning gate, local law, interfaces, and the selected delivery model.</t>
  </si>
  <si>
    <t>GER-2372</t>
  </si>
  <si>
    <t>For a Battery Energy Storage Decommissioning project in North America, there is a risk during Operations / Handover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</si>
  <si>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Operations / Handover gate, local law, interfaces, and the selected delivery model.</t>
  </si>
  <si>
    <t>GER-2373</t>
  </si>
  <si>
    <t>For a Coal / Thermal Power EPC / Turnkey project in Oceania, there is a risk during Feasibility &amp; Concept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</si>
  <si>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Feasibility &amp; Concept gate, local law, interfaces, and the selected delivery model.</t>
  </si>
  <si>
    <t>GER-2374</t>
  </si>
  <si>
    <t>For a Concentrated Solar Power Installation project in Europe, there is a risk during FEED / Basic Design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</si>
  <si>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Concentrated Solar Power, the FEED / Basic Design gate, local law, interfaces, and the selected delivery model.</t>
  </si>
  <si>
    <t>GER-2375</t>
  </si>
  <si>
    <t>For a Transmission &amp; Substations Operations &amp; Maintenance project in Africa, there is a risk during Detailed Engineering that unproven technology, prototype failure or obsolescence, combined with external disruption,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</si>
  <si>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Transmission &amp; Substations, the Detailed Engineering gate, local law, interfaces, and the selected delivery model.</t>
  </si>
  <si>
    <t>GER-2376</t>
  </si>
  <si>
    <t>For a Pumped Storage Brownfield Modification project in Southeast Asia, there is a risk during Feasibility &amp; Concept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</si>
  <si>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Feasibility &amp; Concept gate, local law, interfaces, and the selected delivery model.</t>
  </si>
  <si>
    <t>GER-2377</t>
  </si>
  <si>
    <t>For a Natural Gas / CCGT Owner’s Engineering project in Latin America, there is a risk during FEED / Basic Design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</si>
  <si>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FEED / Basic Design gate, local law, interfaces, and the selected delivery model.</t>
  </si>
  <si>
    <t>GER-2378</t>
  </si>
  <si>
    <t>For a Marine Energy EPCM project in Global / Multi-country, there is a risk during Detailed Engineering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</si>
  <si>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Detailed Engineering gate, local law, interfaces, and the selected delivery model.</t>
  </si>
  <si>
    <t>GER-2379</t>
  </si>
  <si>
    <t>For a Geothermal Commissioning &amp; Start-up project in Middle East, there is a risk during Procurement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</si>
  <si>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Geothermal, the Procurement gate, local law, interfaces, and the selected delivery model.</t>
  </si>
  <si>
    <t>GER-2380</t>
  </si>
  <si>
    <t>For a LNG Decommissioning project in South Asia, there is a risk during Manufacturing that unproven technology, prototype failure or obsolescence, combined with governance delay,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</si>
  <si>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LNG, the Manufacturing gate, local law, interfaces, and the selected delivery model.</t>
  </si>
  <si>
    <t>GER-2381</t>
  </si>
  <si>
    <t>For a Green Hydrogen Operations &amp; Maintenance project in North America, there is a risk during Detailed Engineering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</si>
  <si>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Detailed Engineering gate, local law, interfaces, and the selected delivery model.</t>
  </si>
  <si>
    <t>GER-2382</t>
  </si>
  <si>
    <t>For a Refining &amp; Petrochemicals Grid Interconnection project in Oceania, there is a risk during Procurement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</si>
  <si>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Procurement gate, local law, interfaces, and the selected delivery model.</t>
  </si>
  <si>
    <t>GER-2383</t>
  </si>
  <si>
    <t>For a Solar PV R&amp;D / Technology Development project in Europe, there is a risk during Manufacturing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</si>
  <si>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Manufacturing gate, local law, interfaces, and the selected delivery model.</t>
  </si>
  <si>
    <t>GER-2384</t>
  </si>
  <si>
    <t>For a Battery Energy Storage Brownfield Modification project in Africa, there is a risk during Construction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</si>
  <si>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Battery Energy Storage, the Construction gate, local law, interfaces, and the selected delivery model.</t>
  </si>
  <si>
    <t>GER-2385</t>
  </si>
  <si>
    <t>For a Coal / Thermal Power Owner’s Engineering project in East Asia, there is a risk during Installation that unproven technology, prototype failure or obsolescence, combined with commercial misalignment,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</si>
  <si>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Coal / Thermal Power, the Installation gate, local law, interfaces, and the selected delivery model.</t>
  </si>
  <si>
    <t>GER-2386</t>
  </si>
  <si>
    <t>For a Nuclear Power Decommissioning project in Latin America, there is a risk during Manufacturing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</si>
  <si>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Manufacturing gate, local law, interfaces, and the selected delivery model.</t>
  </si>
  <si>
    <t>GER-2387</t>
  </si>
  <si>
    <t>For a District Energy EPC / Turnkey project in Global / Multi-country, there is a risk during Construction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</si>
  <si>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Construction gate, local law, interfaces, and the selected delivery model.</t>
  </si>
  <si>
    <t>GER-2388</t>
  </si>
  <si>
    <t>For a Pumped Storage Installation project in Middle East, there is a risk during Installation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</si>
  <si>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Installation gate, local law, interfaces, and the selected delivery model.</t>
  </si>
  <si>
    <t>GER-2389</t>
  </si>
  <si>
    <t>For a Natural Gas / CCGT Operations &amp; Maintenance project in South Asia, there is a risk during Pre-commissioning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</si>
  <si>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Natural Gas / CCGT, the Pre-commissioning gate, local law, interfaces, and the selected delivery model.</t>
  </si>
  <si>
    <t>GER-2390</t>
  </si>
  <si>
    <t>For a Marine Energy Grid Interconnection project in Southeast Asia, there is a risk during Commissioning that unproven technology, prototype failure or obsolescence, combined with quality escape,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</si>
  <si>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Marine Energy, the Commissioning gate, local law, interfaces, and the selected delivery model.</t>
  </si>
  <si>
    <t>GER-2391</t>
  </si>
  <si>
    <t>For a Oil &amp; Gas Upstream Owner’s Engineering project in Oceania, there is a risk during Installation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</si>
  <si>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Oil &amp; Gas Upstream, the Installation gate, local law, interfaces, and the selected delivery model.</t>
  </si>
  <si>
    <t>GER-2392</t>
  </si>
  <si>
    <t>For a Offshore Wind EPCM project in Europe, there is a risk during Pre-commissioning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</si>
  <si>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Offshore Wind, the Pre-commissioning gate, local law, interfaces, and the selected delivery model.</t>
  </si>
  <si>
    <t>GER-2393</t>
  </si>
  <si>
    <t>For a Green Hydrogen Commissioning &amp; Start-up project in Africa, there is a risk during Commissioning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</si>
  <si>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Green Hydrogen, the Commissioning gate, local law, interfaces, and the selected delivery model.</t>
  </si>
  <si>
    <t>GER-2394</t>
  </si>
  <si>
    <t>For a Refining &amp; Petrochemicals Decommissioning project in East Asia, there is a risk during Operations / Handover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</si>
  <si>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Refining &amp; Petrochemicals, the Operations / Handover gate, local law, interfaces, and the selected delivery model.</t>
  </si>
  <si>
    <t>GER-2395</t>
  </si>
  <si>
    <t>For a Solar PV EPC / Turnkey project in North America, there is a risk during Feasibility &amp; Concept that unproven technology, prototype failure or obsolescence, combined with access constraint,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</si>
  <si>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Solar PV, the Feasibility &amp; Concept gate, local law, interfaces, and the selected delivery model.</t>
  </si>
  <si>
    <t>GER-2396</t>
  </si>
  <si>
    <t>For a Carbon Capture, Utilization &amp; Storage Grid Interconnection project in Global / Multi-country, there is a risk during Commissioning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</si>
  <si>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Carbon Capture, Utilization &amp; Storage, the Commissioning gate, local law, interfaces, and the selected delivery model.</t>
  </si>
  <si>
    <t>GER-2397</t>
  </si>
  <si>
    <t>For a Hydropower R&amp;D / Technology Development project in Middle East, there is a risk during Operations / Handover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</si>
  <si>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Hydropower, the Operations / Handover gate, local law, interfaces, and the selected delivery model.</t>
  </si>
  <si>
    <t>GER-2398</t>
  </si>
  <si>
    <t>For a Nuclear Power Brownfield Modification project in South Asia, there is a risk during Feasibility &amp; Concept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</si>
  <si>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Nuclear Power, the Feasibility &amp; Concept gate, local law, interfaces, and the selected delivery model.</t>
  </si>
  <si>
    <t>GER-2399</t>
  </si>
  <si>
    <t>For a District Energy Owner’s Engineering project in Southeast Asia, there is a risk during FEED / Basic Design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</si>
  <si>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District Energy, the FEED / Basic Design gate, local law, interfaces, and the selected delivery model.</t>
  </si>
  <si>
    <t>GER-2400</t>
  </si>
  <si>
    <t>For a Pumped Storage EPCM project in Latin America, there is a risk during Detailed Engineering that unproven technology, prototype failure or obsolescence, combined with performance variability, may adversely affect project objectives through quality / time / cost consequences.</t>
  </si>
  <si>
    <t>Establish controls for unproven technology, prototype failure or obsolescence; assign actions, verify evidence, and review residual exposure at each gate. Tailor the response to Pumped Storage, the Detailed Engineering gate, local law, interfaces, and the selected delivery model.</t>
  </si>
  <si>
    <t>GER-2401</t>
  </si>
  <si>
    <t>For a Onshore Wind EPC / Turnkey project in Europe, there is a risk during Feasibility &amp; Concept that cyberattack, data corruption or integration failure, combined with insufficient planning, may adversely affect project objectives through quality / time / cost consequences.</t>
  </si>
  <si>
    <t>Digital, Data &amp; Cybersecurity</t>
  </si>
  <si>
    <t>Establish controls for cyberattack, data corruption or integration failure; assign actions, verify evidence, and review residual exposure at each gate. Tailor the response to Onshore Wind, the Feasibility &amp; Concept gate, local law, interfaces, and the selected delivery model.</t>
  </si>
  <si>
    <t>Digital Project Manager</t>
  </si>
  <si>
    <t>GER-2402</t>
  </si>
  <si>
    <t>For a Biomass / Waste-to-Energy Installation project in Africa, there is a risk during FEED / Basic Design that cyberattack, data corruption or integration failure, combined with insufficient planning,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</si>
  <si>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FEED / Basic Design gate, local law, interfaces, and the selected delivery model.</t>
  </si>
  <si>
    <t>GER-2403</t>
  </si>
  <si>
    <t>For a Oil &amp; Gas Upstream Operations &amp; Maintenance project in East Asia, there is a risk during Detailed Engineering that cyberattack, data corruption or integration failure, combined with insufficient planning,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</si>
  <si>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Detailed Engineering gate, local law, interfaces, and the selected delivery model.</t>
  </si>
  <si>
    <t>GER-2404</t>
  </si>
  <si>
    <t>For a Offshore Wind Grid Interconnection project in North America, there is a risk during Procurement that cyberattack, data corruption or integration failure, combined with insufficient planning,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</si>
  <si>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Procurement gate, local law, interfaces, and the selected delivery model.</t>
  </si>
  <si>
    <t>GER-2405</t>
  </si>
  <si>
    <t>For a Green Hydrogen R&amp;D / Technology Development project in Oceania, there is a risk during Manufacturing that cyberattack, data corruption or integration failure, combined with insufficient planning,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</si>
  <si>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Manufacturing gate, local law, interfaces, and the selected delivery model.</t>
  </si>
  <si>
    <t>GER-2406</t>
  </si>
  <si>
    <t>For a Concentrated Solar Power EPCM project in Middle East, there is a risk during Detailed Engineering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</si>
  <si>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Detailed Engineering gate, local law, interfaces, and the selected delivery model.</t>
  </si>
  <si>
    <t>GER-2407</t>
  </si>
  <si>
    <t>For a Transmission &amp; Substations Commissioning &amp; Start-up project in South Asia, there is a risk during Procurement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</si>
  <si>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Procurement gate, local law, interfaces, and the selected delivery model.</t>
  </si>
  <si>
    <t>GER-2408</t>
  </si>
  <si>
    <t>For a Carbon Capture, Utilization &amp; Storage Decommissioning project in Southeast Asia, there is a risk during Manufacturing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</si>
  <si>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Manufacturing gate, local law, interfaces, and the selected delivery model.</t>
  </si>
  <si>
    <t>GER-2409</t>
  </si>
  <si>
    <t>For a Hydropower EPC / Turnkey project in Latin America, there is a risk during Construction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</si>
  <si>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Construction gate, local law, interfaces, and the selected delivery model.</t>
  </si>
  <si>
    <t>GER-2410</t>
  </si>
  <si>
    <t>For a Nuclear Power Installation project in Global / Multi-country, there is a risk during Installation that cyberattack, data corruption or integration failure, combined with incomplete information,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</si>
  <si>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Installation gate, local law, interfaces, and the selected delivery model.</t>
  </si>
  <si>
    <t>GER-2411</t>
  </si>
  <si>
    <t>For a Geothermal R&amp;D / Technology Development project in Africa, there is a risk during Manufacturing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</si>
  <si>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Manufacturing gate, local law, interfaces, and the selected delivery model.</t>
  </si>
  <si>
    <t>GER-2412</t>
  </si>
  <si>
    <t>For a LNG Brownfield Modification project in East Asia, there is a risk during Construction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</si>
  <si>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Construction gate, local law, interfaces, and the selected delivery model.</t>
  </si>
  <si>
    <t>GER-2413</t>
  </si>
  <si>
    <t>For a Onshore Wind Owner’s Engineering project in North America, there is a risk during Installation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</si>
  <si>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Onshore Wind, the Installation gate, local law, interfaces, and the selected delivery model.</t>
  </si>
  <si>
    <t>GER-2414</t>
  </si>
  <si>
    <t>For a Biomass / Waste-to-Energy EPCM project in Oceania, there is a risk during Pre-commissioning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</si>
  <si>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Pre-commissioning gate, local law, interfaces, and the selected delivery model.</t>
  </si>
  <si>
    <t>GER-2415</t>
  </si>
  <si>
    <t>For a Oil &amp; Gas Upstream Commissioning &amp; Start-up project in Europe, there is a risk during Commissioning that cyberattack, data corruption or integration failure, combined with late decision-making,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</si>
  <si>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Commissioning gate, local law, interfaces, and the selected delivery model.</t>
  </si>
  <si>
    <t>GER-2416</t>
  </si>
  <si>
    <t>For a Battery Energy Storage Installation project in South Asia, there is a risk during Installation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</si>
  <si>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Installation gate, local law, interfaces, and the selected delivery model.</t>
  </si>
  <si>
    <t>GER-2417</t>
  </si>
  <si>
    <t>For a Coal / Thermal Power Operations &amp; Maintenance project in Southeast Asia, there is a risk during Pre-commissioning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</si>
  <si>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Pre-commissioning gate, local law, interfaces, and the selected delivery model.</t>
  </si>
  <si>
    <t>GER-2418</t>
  </si>
  <si>
    <t>For a Concentrated Solar Power Grid Interconnection project in Latin America, there is a risk during Commissioning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</si>
  <si>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Commissioning gate, local law, interfaces, and the selected delivery model.</t>
  </si>
  <si>
    <t>GER-2419</t>
  </si>
  <si>
    <t>For a Transmission &amp; Substations R&amp;D / Technology Development project in Global / Multi-country, there is a risk during Operations / Handover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</si>
  <si>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Operations / Handover gate, local law, interfaces, and the selected delivery model.</t>
  </si>
  <si>
    <t>GER-2420</t>
  </si>
  <si>
    <t>For a Carbon Capture, Utilization &amp; Storage Brownfield Modification project in Middle East, there is a risk during Feasibility &amp; Concept that cyberattack, data corruption or integration failure, combined with weak controls,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</si>
  <si>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Feasibility &amp; Concept gate, local law, interfaces, and the selected delivery model.</t>
  </si>
  <si>
    <t>GER-2421</t>
  </si>
  <si>
    <t>For a Natural Gas / CCGT Commissioning &amp; Start-up project in East Asia, there is a risk during Commissioning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</si>
  <si>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Commissioning gate, local law, interfaces, and the selected delivery model.</t>
  </si>
  <si>
    <t>GER-2422</t>
  </si>
  <si>
    <t>For a Marine Energy Decommissioning project in North America, there is a risk during Operations / Handover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</si>
  <si>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Operations / Handover gate, local law, interfaces, and the selected delivery model.</t>
  </si>
  <si>
    <t>GER-2423</t>
  </si>
  <si>
    <t>For a Geothermal EPC / Turnkey project in Oceania, there is a risk during Feasibility &amp; Concept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</si>
  <si>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Feasibility &amp; Concept gate, local law, interfaces, and the selected delivery model.</t>
  </si>
  <si>
    <t>GER-2424</t>
  </si>
  <si>
    <t>For a LNG Installation project in Europe, there is a risk during FEED / Basic Design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</si>
  <si>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FEED / Basic Design gate, local law, interfaces, and the selected delivery model.</t>
  </si>
  <si>
    <t>GER-2425</t>
  </si>
  <si>
    <t>For a Onshore Wind Operations &amp; Maintenance project in Africa, there is a risk during Detailed Engineering that cyberattack, data corruption or integration failure, combined with resource constraints,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</si>
  <si>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Onshore Wind, the Detailed Engineering gate, local law, interfaces, and the selected delivery model.</t>
  </si>
  <si>
    <t>GER-2426</t>
  </si>
  <si>
    <t>For a Refining &amp; Petrochemicals Brownfield Modification project in Southeast Asia, there is a risk during Feasibility &amp; Concept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</si>
  <si>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Feasibility &amp; Concept gate, local law, interfaces, and the selected delivery model.</t>
  </si>
  <si>
    <t>GER-2427</t>
  </si>
  <si>
    <t>For a Solar PV Owner’s Engineering project in Latin America, there is a risk during FEED / Basic Design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</si>
  <si>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FEED / Basic Design gate, local law, interfaces, and the selected delivery model.</t>
  </si>
  <si>
    <t>GER-2428</t>
  </si>
  <si>
    <t>For a Battery Energy Storage EPCM project in Global / Multi-country, there is a risk during Detailed Engineering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</si>
  <si>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Detailed Engineering gate, local law, interfaces, and the selected delivery model.</t>
  </si>
  <si>
    <t>GER-2429</t>
  </si>
  <si>
    <t>For a Coal / Thermal Power Commissioning &amp; Start-up project in Middle East, there is a risk during Procurement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</si>
  <si>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Procurement gate, local law, interfaces, and the selected delivery model.</t>
  </si>
  <si>
    <t>GER-2430</t>
  </si>
  <si>
    <t>For a Concentrated Solar Power Decommissioning project in South Asia, there is a risk during Manufacturing that cyberattack, data corruption or integration failure, combined with supplier dependency,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</si>
  <si>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Manufacturing gate, local law, interfaces, and the selected delivery model.</t>
  </si>
  <si>
    <t>GER-2431</t>
  </si>
  <si>
    <t>For a District Energy Operations &amp; Maintenance project in North America, there is a risk during Detailed Engineering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</si>
  <si>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Detailed Engineering gate, local law, interfaces, and the selected delivery model.</t>
  </si>
  <si>
    <t>GER-2432</t>
  </si>
  <si>
    <t>For a Pumped Storage Grid Interconnection project in Oceania, there is a risk during Procurement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</si>
  <si>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Procurement gate, local law, interfaces, and the selected delivery model.</t>
  </si>
  <si>
    <t>GER-2433</t>
  </si>
  <si>
    <t>For a Natural Gas / CCGT R&amp;D / Technology Development project in Europe, there is a risk during Manufacturing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</si>
  <si>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Manufacturing gate, local law, interfaces, and the selected delivery model.</t>
  </si>
  <si>
    <t>GER-2434</t>
  </si>
  <si>
    <t>For a Marine Energy Brownfield Modification project in Africa, there is a risk during Construction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</si>
  <si>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Construction gate, local law, interfaces, and the selected delivery model.</t>
  </si>
  <si>
    <t>GER-2435</t>
  </si>
  <si>
    <t>For a Geothermal Owner’s Engineering project in East Asia, there is a risk during Installation that cyberattack, data corruption or integration failure, combined with interface complexity,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</si>
  <si>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Installation gate, local law, interfaces, and the selected delivery model.</t>
  </si>
  <si>
    <t>GER-2436</t>
  </si>
  <si>
    <t>For a Offshore Wind Decommissioning project in Latin America, there is a risk during Manufacturing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</si>
  <si>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Manufacturing gate, local law, interfaces, and the selected delivery model.</t>
  </si>
  <si>
    <t>GER-2437</t>
  </si>
  <si>
    <t>For a Green Hydrogen EPC / Turnkey project in Global / Multi-country, there is a risk during Construction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</si>
  <si>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Construction gate, local law, interfaces, and the selected delivery model.</t>
  </si>
  <si>
    <t>GER-2438</t>
  </si>
  <si>
    <t>For a Refining &amp; Petrochemicals Installation project in Middle East, there is a risk during Installation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</si>
  <si>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Installation gate, local law, interfaces, and the selected delivery model.</t>
  </si>
  <si>
    <t>GER-2439</t>
  </si>
  <si>
    <t>For a Solar PV Operations &amp; Maintenance project in South Asia, there is a risk during Pre-commissioning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</si>
  <si>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Pre-commissioning gate, local law, interfaces, and the selected delivery model.</t>
  </si>
  <si>
    <t>GER-2440</t>
  </si>
  <si>
    <t>For a Battery Energy Storage Grid Interconnection project in Southeast Asia, there is a risk during Commissioning that cyberattack, data corruption or integration failure, combined with requirements volatility,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</si>
  <si>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Commissioning gate, local law, interfaces, and the selected delivery model.</t>
  </si>
  <si>
    <t>GER-2441</t>
  </si>
  <si>
    <t>For a Hydropower Owner’s Engineering project in Oceania, there is a risk during Installation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</si>
  <si>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Installation gate, local law, interfaces, and the selected delivery model.</t>
  </si>
  <si>
    <t>GER-2442</t>
  </si>
  <si>
    <t>For a Nuclear Power EPCM project in Europe, there is a risk during Pre-commissioning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</si>
  <si>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Pre-commissioning gate, local law, interfaces, and the selected delivery model.</t>
  </si>
  <si>
    <t>GER-2443</t>
  </si>
  <si>
    <t>For a District Energy Commissioning &amp; Start-up project in Africa, there is a risk during Commissioning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</si>
  <si>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Commissioning gate, local law, interfaces, and the selected delivery model.</t>
  </si>
  <si>
    <t>GER-2444</t>
  </si>
  <si>
    <t>For a Pumped Storage Decommissioning project in East Asia, there is a risk during Operations / Handover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</si>
  <si>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Operations / Handover gate, local law, interfaces, and the selected delivery model.</t>
  </si>
  <si>
    <t>GER-2445</t>
  </si>
  <si>
    <t>For a Natural Gas / CCGT EPC / Turnkey project in North America, there is a risk during Feasibility &amp; Concept that cyberattack, data corruption or integration failure, combined with regulatory uncertainty,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</si>
  <si>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Feasibility &amp; Concept gate, local law, interfaces, and the selected delivery model.</t>
  </si>
  <si>
    <t>GER-2446</t>
  </si>
  <si>
    <t>For a Biomass / Waste-to-Energy Grid Interconnection project in Global / Multi-country, there is a risk during Commissioning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</si>
  <si>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Commissioning gate, local law, interfaces, and the selected delivery model.</t>
  </si>
  <si>
    <t>GER-2447</t>
  </si>
  <si>
    <t>For a Oil &amp; Gas Upstream R&amp;D / Technology Development project in Middle East, there is a risk during Operations / Handover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</si>
  <si>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Operations / Handover gate, local law, interfaces, and the selected delivery model.</t>
  </si>
  <si>
    <t>GER-2448</t>
  </si>
  <si>
    <t>For a Offshore Wind Brownfield Modification project in South Asia, there is a risk during Feasibility &amp; Concept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</si>
  <si>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Feasibility &amp; Concept gate, local law, interfaces, and the selected delivery model.</t>
  </si>
  <si>
    <t>GER-2449</t>
  </si>
  <si>
    <t>For a Green Hydrogen Owner’s Engineering project in Southeast Asia, there is a risk during FEED / Basic Design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</si>
  <si>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FEED / Basic Design gate, local law, interfaces, and the selected delivery model.</t>
  </si>
  <si>
    <t>GER-2450</t>
  </si>
  <si>
    <t>For a Refining &amp; Petrochemicals EPCM project in Latin America, there is a risk during Detailed Engineering that cyberattack, data corruption or integration failure, combined with inadequate verification,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</si>
  <si>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Detailed Engineering gate, local law, interfaces, and the selected delivery model.</t>
  </si>
  <si>
    <t>GER-2451</t>
  </si>
  <si>
    <t>For a Transmission &amp; Substations EPC / Turnkey project in Europe, there is a risk during Feasibility &amp; Concept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</si>
  <si>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Feasibility &amp; Concept gate, local law, interfaces, and the selected delivery model.</t>
  </si>
  <si>
    <t>GER-2452</t>
  </si>
  <si>
    <t>For a Carbon Capture, Utilization &amp; Storage Installation project in Africa, there is a risk during FEED / Basic Design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</si>
  <si>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FEED / Basic Design gate, local law, interfaces, and the selected delivery model.</t>
  </si>
  <si>
    <t>GER-2453</t>
  </si>
  <si>
    <t>For a Hydropower Operations &amp; Maintenance project in East Asia, there is a risk during Detailed Engineering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</si>
  <si>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Detailed Engineering gate, local law, interfaces, and the selected delivery model.</t>
  </si>
  <si>
    <t>GER-2454</t>
  </si>
  <si>
    <t>For a Nuclear Power Grid Interconnection project in North America, there is a risk during Procurement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</si>
  <si>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Procurement gate, local law, interfaces, and the selected delivery model.</t>
  </si>
  <si>
    <t>GER-2455</t>
  </si>
  <si>
    <t>For a District Energy R&amp;D / Technology Development project in Oceania, there is a risk during Manufacturing that cyberattack, data corruption or integration failure, combined with poor communication,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</si>
  <si>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Manufacturing gate, local law, interfaces, and the selected delivery model.</t>
  </si>
  <si>
    <t>GER-2456</t>
  </si>
  <si>
    <t>For a LNG EPCM project in Middle East, there is a risk during Detailed Engineering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</si>
  <si>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Detailed Engineering gate, local law, interfaces, and the selected delivery model.</t>
  </si>
  <si>
    <t>GER-2457</t>
  </si>
  <si>
    <t>For a Onshore Wind Commissioning &amp; Start-up project in South Asia, there is a risk during Procurement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</si>
  <si>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Onshore Wind, the Procurement gate, local law, interfaces, and the selected delivery model.</t>
  </si>
  <si>
    <t>GER-2458</t>
  </si>
  <si>
    <t>For a Biomass / Waste-to-Energy Decommissioning project in Southeast Asia, there is a risk during Manufacturing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</si>
  <si>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Manufacturing gate, local law, interfaces, and the selected delivery model.</t>
  </si>
  <si>
    <t>GER-2459</t>
  </si>
  <si>
    <t>For a Oil &amp; Gas Upstream EPC / Turnkey project in Latin America, there is a risk during Construction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</si>
  <si>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Construction gate, local law, interfaces, and the selected delivery model.</t>
  </si>
  <si>
    <t>GER-2460</t>
  </si>
  <si>
    <t>For a Offshore Wind Installation project in Global / Multi-country, there is a risk during Installation that cyberattack, data corruption or integration failure, combined with incorrect assumptions,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</si>
  <si>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Installation gate, local law, interfaces, and the selected delivery model.</t>
  </si>
  <si>
    <t>GER-2461</t>
  </si>
  <si>
    <t>For a Coal / Thermal Power R&amp;D / Technology Development project in Africa, there is a risk during Manufacturing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</si>
  <si>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Manufacturing gate, local law, interfaces, and the selected delivery model.</t>
  </si>
  <si>
    <t>GER-2462</t>
  </si>
  <si>
    <t>For a Concentrated Solar Power Brownfield Modification project in East Asia, there is a risk during Construction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</si>
  <si>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Construction gate, local law, interfaces, and the selected delivery model.</t>
  </si>
  <si>
    <t>GER-2463</t>
  </si>
  <si>
    <t>For a Transmission &amp; Substations Owner’s Engineering project in North America, there is a risk during Installation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</si>
  <si>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Installation gate, local law, interfaces, and the selected delivery model.</t>
  </si>
  <si>
    <t>GER-2464</t>
  </si>
  <si>
    <t>For a Carbon Capture, Utilization &amp; Storage EPCM project in Oceania, there is a risk during Pre-commissioning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</si>
  <si>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Pre-commissioning gate, local law, interfaces, and the selected delivery model.</t>
  </si>
  <si>
    <t>GER-2465</t>
  </si>
  <si>
    <t>For a Hydropower Commissioning &amp; Start-up project in Europe, there is a risk during Commissioning that cyberattack, data corruption or integration failure, combined with low technical maturity,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</si>
  <si>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Commissioning gate, local law, interfaces, and the selected delivery model.</t>
  </si>
  <si>
    <t>GER-2466</t>
  </si>
  <si>
    <t>For a Marine Energy Installation project in South Asia, there is a risk during Installation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</si>
  <si>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Installation gate, local law, interfaces, and the selected delivery model.</t>
  </si>
  <si>
    <t>GER-2467</t>
  </si>
  <si>
    <t>For a Geothermal Operations &amp; Maintenance project in Southeast Asia, there is a risk during Pre-commissioning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</si>
  <si>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Pre-commissioning gate, local law, interfaces, and the selected delivery model.</t>
  </si>
  <si>
    <t>GER-2468</t>
  </si>
  <si>
    <t>For a LNG Grid Interconnection project in Latin America, there is a risk during Commissioning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</si>
  <si>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Commissioning gate, local law, interfaces, and the selected delivery model.</t>
  </si>
  <si>
    <t>GER-2469</t>
  </si>
  <si>
    <t>For a Onshore Wind R&amp;D / Technology Development project in Global / Multi-country, there is a risk during Operations / Handover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</si>
  <si>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Onshore Wind, the Operations / Handover gate, local law, interfaces, and the selected delivery model.</t>
  </si>
  <si>
    <t>GER-2470</t>
  </si>
  <si>
    <t>For a Biomass / Waste-to-Energy Brownfield Modification project in Middle East, there is a risk during Feasibility &amp; Concept that cyberattack, data corruption or integration failure, combined with documentation gaps,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</si>
  <si>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Biomass / Waste-to-Energy, the Feasibility &amp; Concept gate, local law, interfaces, and the selected delivery model.</t>
  </si>
  <si>
    <t>GER-2471</t>
  </si>
  <si>
    <t>For a Solar PV Commissioning &amp; Start-up project in East Asia, there is a risk during Commissioning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</si>
  <si>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Commissioning gate, local law, interfaces, and the selected delivery model.</t>
  </si>
  <si>
    <t>GER-2472</t>
  </si>
  <si>
    <t>For a Battery Energy Storage Decommissioning project in North America, there is a risk during Operations / Handover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</si>
  <si>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Operations / Handover gate, local law, interfaces, and the selected delivery model.</t>
  </si>
  <si>
    <t>GER-2473</t>
  </si>
  <si>
    <t>For a Coal / Thermal Power EPC / Turnkey project in Oceania, there is a risk during Feasibility &amp; Concept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</si>
  <si>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Feasibility &amp; Concept gate, local law, interfaces, and the selected delivery model.</t>
  </si>
  <si>
    <t>GER-2474</t>
  </si>
  <si>
    <t>For a Concentrated Solar Power Installation project in Europe, there is a risk during FEED / Basic Design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</si>
  <si>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Concentrated Solar Power, the FEED / Basic Design gate, local law, interfaces, and the selected delivery model.</t>
  </si>
  <si>
    <t>GER-2475</t>
  </si>
  <si>
    <t>For a Transmission &amp; Substations Operations &amp; Maintenance project in Africa, there is a risk during Detailed Engineering that cyberattack, data corruption or integration failure, combined with external disruption,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</si>
  <si>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Transmission &amp; Substations, the Detailed Engineering gate, local law, interfaces, and the selected delivery model.</t>
  </si>
  <si>
    <t>GER-2476</t>
  </si>
  <si>
    <t>For a Pumped Storage Brownfield Modification project in Southeast Asia, there is a risk during Feasibility &amp; Concept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</si>
  <si>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Feasibility &amp; Concept gate, local law, interfaces, and the selected delivery model.</t>
  </si>
  <si>
    <t>GER-2477</t>
  </si>
  <si>
    <t>For a Natural Gas / CCGT Owner’s Engineering project in Latin America, there is a risk during FEED / Basic Design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</si>
  <si>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FEED / Basic Design gate, local law, interfaces, and the selected delivery model.</t>
  </si>
  <si>
    <t>GER-2478</t>
  </si>
  <si>
    <t>For a Marine Energy EPCM project in Global / Multi-country, there is a risk during Detailed Engineering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</si>
  <si>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Detailed Engineering gate, local law, interfaces, and the selected delivery model.</t>
  </si>
  <si>
    <t>GER-2479</t>
  </si>
  <si>
    <t>For a Geothermal Commissioning &amp; Start-up project in Middle East, there is a risk during Procurement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</si>
  <si>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Geothermal, the Procurement gate, local law, interfaces, and the selected delivery model.</t>
  </si>
  <si>
    <t>GER-2480</t>
  </si>
  <si>
    <t>For a LNG Decommissioning project in South Asia, there is a risk during Manufacturing that cyberattack, data corruption or integration failure, combined with governance delay,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</si>
  <si>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LNG, the Manufacturing gate, local law, interfaces, and the selected delivery model.</t>
  </si>
  <si>
    <t>GER-2481</t>
  </si>
  <si>
    <t>For a Green Hydrogen Operations &amp; Maintenance project in North America, there is a risk during Detailed Engineering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</si>
  <si>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Detailed Engineering gate, local law, interfaces, and the selected delivery model.</t>
  </si>
  <si>
    <t>GER-2482</t>
  </si>
  <si>
    <t>For a Refining &amp; Petrochemicals Grid Interconnection project in Oceania, there is a risk during Procurement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</si>
  <si>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Procurement gate, local law, interfaces, and the selected delivery model.</t>
  </si>
  <si>
    <t>GER-2483</t>
  </si>
  <si>
    <t>For a Solar PV R&amp;D / Technology Development project in Europe, there is a risk during Manufacturing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</si>
  <si>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Manufacturing gate, local law, interfaces, and the selected delivery model.</t>
  </si>
  <si>
    <t>GER-2484</t>
  </si>
  <si>
    <t>For a Battery Energy Storage Brownfield Modification project in Africa, there is a risk during Construction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</si>
  <si>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Battery Energy Storage, the Construction gate, local law, interfaces, and the selected delivery model.</t>
  </si>
  <si>
    <t>GER-2485</t>
  </si>
  <si>
    <t>For a Coal / Thermal Power Owner’s Engineering project in East Asia, there is a risk during Installation that cyberattack, data corruption or integration failure, combined with commercial misalignment,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</si>
  <si>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Coal / Thermal Power, the Installation gate, local law, interfaces, and the selected delivery model.</t>
  </si>
  <si>
    <t>GER-2486</t>
  </si>
  <si>
    <t>For a Nuclear Power Decommissioning project in Latin America, there is a risk during Manufacturing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</si>
  <si>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Manufacturing gate, local law, interfaces, and the selected delivery model.</t>
  </si>
  <si>
    <t>GER-2487</t>
  </si>
  <si>
    <t>For a District Energy EPC / Turnkey project in Global / Multi-country, there is a risk during Construction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</si>
  <si>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Construction gate, local law, interfaces, and the selected delivery model.</t>
  </si>
  <si>
    <t>GER-2488</t>
  </si>
  <si>
    <t>For a Pumped Storage Installation project in Middle East, there is a risk during Installation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</si>
  <si>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Installation gate, local law, interfaces, and the selected delivery model.</t>
  </si>
  <si>
    <t>GER-2489</t>
  </si>
  <si>
    <t>For a Natural Gas / CCGT Operations &amp; Maintenance project in South Asia, there is a risk during Pre-commissioning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</si>
  <si>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Natural Gas / CCGT, the Pre-commissioning gate, local law, interfaces, and the selected delivery model.</t>
  </si>
  <si>
    <t>GER-2490</t>
  </si>
  <si>
    <t>For a Marine Energy Grid Interconnection project in Southeast Asia, there is a risk during Commissioning that cyberattack, data corruption or integration failure, combined with quality escape,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</si>
  <si>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Marine Energy, the Commissioning gate, local law, interfaces, and the selected delivery model.</t>
  </si>
  <si>
    <t>GER-2491</t>
  </si>
  <si>
    <t>For a Oil &amp; Gas Upstream Owner’s Engineering project in Oceania, there is a risk during Installation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</si>
  <si>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Oil &amp; Gas Upstream, the Installation gate, local law, interfaces, and the selected delivery model.</t>
  </si>
  <si>
    <t>GER-2492</t>
  </si>
  <si>
    <t>For a Offshore Wind EPCM project in Europe, there is a risk during Pre-commissioning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</si>
  <si>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Offshore Wind, the Pre-commissioning gate, local law, interfaces, and the selected delivery model.</t>
  </si>
  <si>
    <t>GER-2493</t>
  </si>
  <si>
    <t>For a Green Hydrogen Commissioning &amp; Start-up project in Africa, there is a risk during Commissioning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</si>
  <si>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Green Hydrogen, the Commissioning gate, local law, interfaces, and the selected delivery model.</t>
  </si>
  <si>
    <t>GER-2494</t>
  </si>
  <si>
    <t>For a Refining &amp; Petrochemicals Decommissioning project in East Asia, there is a risk during Operations / Handover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</si>
  <si>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Refining &amp; Petrochemicals, the Operations / Handover gate, local law, interfaces, and the selected delivery model.</t>
  </si>
  <si>
    <t>GER-2495</t>
  </si>
  <si>
    <t>For a Solar PV EPC / Turnkey project in North America, there is a risk during Feasibility &amp; Concept that cyberattack, data corruption or integration failure, combined with access constraint,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</si>
  <si>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Solar PV, the Feasibility &amp; Concept gate, local law, interfaces, and the selected delivery model.</t>
  </si>
  <si>
    <t>GER-2496</t>
  </si>
  <si>
    <t>For a Carbon Capture, Utilization &amp; Storage Grid Interconnection project in Global / Multi-country, there is a risk during Commissioning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</si>
  <si>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Carbon Capture, Utilization &amp; Storage, the Commissioning gate, local law, interfaces, and the selected delivery model.</t>
  </si>
  <si>
    <t>GER-2497</t>
  </si>
  <si>
    <t>For a Hydropower R&amp;D / Technology Development project in Middle East, there is a risk during Operations / Handover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</si>
  <si>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Hydropower, the Operations / Handover gate, local law, interfaces, and the selected delivery model.</t>
  </si>
  <si>
    <t>GER-2498</t>
  </si>
  <si>
    <t>For a Nuclear Power Brownfield Modification project in South Asia, there is a risk during Feasibility &amp; Concept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</si>
  <si>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Nuclear Power, the Feasibility &amp; Concept gate, local law, interfaces, and the selected delivery model.</t>
  </si>
  <si>
    <t>GER-2499</t>
  </si>
  <si>
    <t>For a District Energy Owner’s Engineering project in Southeast Asia, there is a risk during FEED / Basic Design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</si>
  <si>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District Energy, the FEED / Basic Design gate, local law, interfaces, and the selected delivery model.</t>
  </si>
  <si>
    <t>GER-2500</t>
  </si>
  <si>
    <t>For a Pumped Storage EPCM project in Latin America, there is a risk during Detailed Engineering that cyberattack, data corruption or integration failure, combined with performance variability, may adversely affect project objectives through quality / time / cost consequences.</t>
  </si>
  <si>
    <t>Establish controls for cyberattack, data corruption or integration failure; assign actions, verify evidence, and review residual exposure at each gate. Tailor the response to Pumped Storage, the Detailed Engineering gate, local law, interfaces, and the selected delivery model.</t>
  </si>
  <si>
    <t>GER-2501</t>
  </si>
  <si>
    <t>For a Onshore Wind EPC / Turnkey project in Europe, there is a risk during Feasibility &amp; Concept that failed test, incomplete turnover or unstable start-up, combined with insufficient planning, may adversely affect project objectives through time / quality / hse consequences.</t>
  </si>
  <si>
    <t>Time / Quality / HSE</t>
  </si>
  <si>
    <t>Establish controls for failed test, incomplete turnover or unstable start-up; assign actions, verify evidence, and review residual exposure at each gate. Tailor the response to Onshore Wind, the Feasibility &amp; Concept gate, local law, interfaces, and the selected delivery model.</t>
  </si>
  <si>
    <t>Commissioning Manager</t>
  </si>
  <si>
    <t>GER-2502</t>
  </si>
  <si>
    <t>For a Biomass / Waste-to-Energy Installation project in Africa, there is a risk during FEED / Basic Design that failed test, incomplete turnover or unstable start-up, combined with insufficient planning,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</si>
  <si>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FEED / Basic Design gate, local law, interfaces, and the selected delivery model.</t>
  </si>
  <si>
    <t>GER-2503</t>
  </si>
  <si>
    <t>For a Oil &amp; Gas Upstream Operations &amp; Maintenance project in East Asia, there is a risk during Detailed Engineering that failed test, incomplete turnover or unstable start-up, combined with insufficient planning,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</si>
  <si>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Detailed Engineering gate, local law, interfaces, and the selected delivery model.</t>
  </si>
  <si>
    <t>GER-2504</t>
  </si>
  <si>
    <t>For a Offshore Wind Grid Interconnection project in North America, there is a risk during Procurement that failed test, incomplete turnover or unstable start-up, combined with insufficient planning,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</si>
  <si>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Procurement gate, local law, interfaces, and the selected delivery model.</t>
  </si>
  <si>
    <t>GER-2505</t>
  </si>
  <si>
    <t>For a Green Hydrogen R&amp;D / Technology Development project in Oceania, there is a risk during Manufacturing that failed test, incomplete turnover or unstable start-up, combined with insufficient planning,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</si>
  <si>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Manufacturing gate, local law, interfaces, and the selected delivery model.</t>
  </si>
  <si>
    <t>GER-2506</t>
  </si>
  <si>
    <t>For a Concentrated Solar Power EPCM project in Middle East, there is a risk during Detailed Engineering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</si>
  <si>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Detailed Engineering gate, local law, interfaces, and the selected delivery model.</t>
  </si>
  <si>
    <t>GER-2507</t>
  </si>
  <si>
    <t>For a Transmission &amp; Substations Commissioning &amp; Start-up project in South Asia, there is a risk during Procurement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</si>
  <si>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Procurement gate, local law, interfaces, and the selected delivery model.</t>
  </si>
  <si>
    <t>GER-2508</t>
  </si>
  <si>
    <t>For a Carbon Capture, Utilization &amp; Storage Decommissioning project in Southeast Asia, there is a risk during Manufacturing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</si>
  <si>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Manufacturing gate, local law, interfaces, and the selected delivery model.</t>
  </si>
  <si>
    <t>GER-2509</t>
  </si>
  <si>
    <t>For a Hydropower EPC / Turnkey project in Latin America, there is a risk during Construction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</si>
  <si>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Construction gate, local law, interfaces, and the selected delivery model.</t>
  </si>
  <si>
    <t>GER-2510</t>
  </si>
  <si>
    <t>For a Nuclear Power Installation project in Global / Multi-country, there is a risk during Installation that failed test, incomplete turnover or unstable start-up, combined with incomplete information,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</si>
  <si>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Installation gate, local law, interfaces, and the selected delivery model.</t>
  </si>
  <si>
    <t>GER-2511</t>
  </si>
  <si>
    <t>For a Geothermal R&amp;D / Technology Development project in Africa, there is a risk during Manufacturing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</si>
  <si>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Manufacturing gate, local law, interfaces, and the selected delivery model.</t>
  </si>
  <si>
    <t>GER-2512</t>
  </si>
  <si>
    <t>For a LNG Brownfield Modification project in East Asia, there is a risk during Construction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</si>
  <si>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Construction gate, local law, interfaces, and the selected delivery model.</t>
  </si>
  <si>
    <t>GER-2513</t>
  </si>
  <si>
    <t>For a Onshore Wind Owner’s Engineering project in North America, there is a risk during Installation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</si>
  <si>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Onshore Wind, the Installation gate, local law, interfaces, and the selected delivery model.</t>
  </si>
  <si>
    <t>GER-2514</t>
  </si>
  <si>
    <t>For a Biomass / Waste-to-Energy EPCM project in Oceania, there is a risk during Pre-commissioning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</si>
  <si>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Pre-commissioning gate, local law, interfaces, and the selected delivery model.</t>
  </si>
  <si>
    <t>GER-2515</t>
  </si>
  <si>
    <t>For a Oil &amp; Gas Upstream Commissioning &amp; Start-up project in Europe, there is a risk during Commissioning that failed test, incomplete turnover or unstable start-up, combined with late decision-making,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</si>
  <si>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Commissioning gate, local law, interfaces, and the selected delivery model.</t>
  </si>
  <si>
    <t>GER-2516</t>
  </si>
  <si>
    <t>For a Battery Energy Storage Installation project in South Asia, there is a risk during Installation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</si>
  <si>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Installation gate, local law, interfaces, and the selected delivery model.</t>
  </si>
  <si>
    <t>GER-2517</t>
  </si>
  <si>
    <t>For a Coal / Thermal Power Operations &amp; Maintenance project in Southeast Asia, there is a risk during Pre-commissioning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</si>
  <si>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Pre-commissioning gate, local law, interfaces, and the selected delivery model.</t>
  </si>
  <si>
    <t>GER-2518</t>
  </si>
  <si>
    <t>For a Concentrated Solar Power Grid Interconnection project in Latin America, there is a risk during Commissioning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</si>
  <si>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Commissioning gate, local law, interfaces, and the selected delivery model.</t>
  </si>
  <si>
    <t>GER-2519</t>
  </si>
  <si>
    <t>For a Transmission &amp; Substations R&amp;D / Technology Development project in Global / Multi-country, there is a risk during Operations / Handover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</si>
  <si>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Operations / Handover gate, local law, interfaces, and the selected delivery model.</t>
  </si>
  <si>
    <t>GER-2520</t>
  </si>
  <si>
    <t>For a Carbon Capture, Utilization &amp; Storage Brownfield Modification project in Middle East, there is a risk during Feasibility &amp; Concept that failed test, incomplete turnover or unstable start-up, combined with weak controls,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</si>
  <si>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Feasibility &amp; Concept gate, local law, interfaces, and the selected delivery model.</t>
  </si>
  <si>
    <t>GER-2521</t>
  </si>
  <si>
    <t>For a Natural Gas / CCGT Commissioning &amp; Start-up project in East Asia, there is a risk during Commissioning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</si>
  <si>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Commissioning gate, local law, interfaces, and the selected delivery model.</t>
  </si>
  <si>
    <t>GER-2522</t>
  </si>
  <si>
    <t>For a Marine Energy Decommissioning project in North America, there is a risk during Operations / Handover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</si>
  <si>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Operations / Handover gate, local law, interfaces, and the selected delivery model.</t>
  </si>
  <si>
    <t>GER-2523</t>
  </si>
  <si>
    <t>For a Geothermal EPC / Turnkey project in Oceania, there is a risk during Feasibility &amp; Concept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</si>
  <si>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Feasibility &amp; Concept gate, local law, interfaces, and the selected delivery model.</t>
  </si>
  <si>
    <t>GER-2524</t>
  </si>
  <si>
    <t>For a LNG Installation project in Europe, there is a risk during FEED / Basic Design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</si>
  <si>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FEED / Basic Design gate, local law, interfaces, and the selected delivery model.</t>
  </si>
  <si>
    <t>GER-2525</t>
  </si>
  <si>
    <t>For a Onshore Wind Operations &amp; Maintenance project in Africa, there is a risk during Detailed Engineering that failed test, incomplete turnover or unstable start-up, combined with resource constraints,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</si>
  <si>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Onshore Wind, the Detailed Engineering gate, local law, interfaces, and the selected delivery model.</t>
  </si>
  <si>
    <t>GER-2526</t>
  </si>
  <si>
    <t>For a Refining &amp; Petrochemicals Brownfield Modification project in Southeast Asia, there is a risk during Feasibility &amp; Concept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</si>
  <si>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Feasibility &amp; Concept gate, local law, interfaces, and the selected delivery model.</t>
  </si>
  <si>
    <t>GER-2527</t>
  </si>
  <si>
    <t>For a Solar PV Owner’s Engineering project in Latin America, there is a risk during FEED / Basic Design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</si>
  <si>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FEED / Basic Design gate, local law, interfaces, and the selected delivery model.</t>
  </si>
  <si>
    <t>GER-2528</t>
  </si>
  <si>
    <t>For a Battery Energy Storage EPCM project in Global / Multi-country, there is a risk during Detailed Engineering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</si>
  <si>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Detailed Engineering gate, local law, interfaces, and the selected delivery model.</t>
  </si>
  <si>
    <t>GER-2529</t>
  </si>
  <si>
    <t>For a Coal / Thermal Power Commissioning &amp; Start-up project in Middle East, there is a risk during Procurement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</si>
  <si>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Procurement gate, local law, interfaces, and the selected delivery model.</t>
  </si>
  <si>
    <t>GER-2530</t>
  </si>
  <si>
    <t>For a Concentrated Solar Power Decommissioning project in South Asia, there is a risk during Manufacturing that failed test, incomplete turnover or unstable start-up, combined with supplier dependency,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</si>
  <si>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Manufacturing gate, local law, interfaces, and the selected delivery model.</t>
  </si>
  <si>
    <t>GER-2531</t>
  </si>
  <si>
    <t>For a District Energy Operations &amp; Maintenance project in North America, there is a risk during Detailed Engineering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</si>
  <si>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Detailed Engineering gate, local law, interfaces, and the selected delivery model.</t>
  </si>
  <si>
    <t>GER-2532</t>
  </si>
  <si>
    <t>For a Pumped Storage Grid Interconnection project in Oceania, there is a risk during Procurement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</si>
  <si>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Procurement gate, local law, interfaces, and the selected delivery model.</t>
  </si>
  <si>
    <t>GER-2533</t>
  </si>
  <si>
    <t>For a Natural Gas / CCGT R&amp;D / Technology Development project in Europe, there is a risk during Manufacturing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</si>
  <si>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Manufacturing gate, local law, interfaces, and the selected delivery model.</t>
  </si>
  <si>
    <t>GER-2534</t>
  </si>
  <si>
    <t>For a Marine Energy Brownfield Modification project in Africa, there is a risk during Construction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</si>
  <si>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Construction gate, local law, interfaces, and the selected delivery model.</t>
  </si>
  <si>
    <t>GER-2535</t>
  </si>
  <si>
    <t>For a Geothermal Owner’s Engineering project in East Asia, there is a risk during Installation that failed test, incomplete turnover or unstable start-up, combined with interface complexity,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</si>
  <si>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Installation gate, local law, interfaces, and the selected delivery model.</t>
  </si>
  <si>
    <t>GER-2536</t>
  </si>
  <si>
    <t>For a Offshore Wind Decommissioning project in Latin America, there is a risk during Manufacturing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</si>
  <si>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Manufacturing gate, local law, interfaces, and the selected delivery model.</t>
  </si>
  <si>
    <t>GER-2537</t>
  </si>
  <si>
    <t>For a Green Hydrogen EPC / Turnkey project in Global / Multi-country, there is a risk during Construction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</si>
  <si>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Construction gate, local law, interfaces, and the selected delivery model.</t>
  </si>
  <si>
    <t>GER-2538</t>
  </si>
  <si>
    <t>For a Refining &amp; Petrochemicals Installation project in Middle East, there is a risk during Installation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</si>
  <si>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Installation gate, local law, interfaces, and the selected delivery model.</t>
  </si>
  <si>
    <t>GER-2539</t>
  </si>
  <si>
    <t>For a Solar PV Operations &amp; Maintenance project in South Asia, there is a risk during Pre-commissioning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</si>
  <si>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Pre-commissioning gate, local law, interfaces, and the selected delivery model.</t>
  </si>
  <si>
    <t>GER-2540</t>
  </si>
  <si>
    <t>For a Battery Energy Storage Grid Interconnection project in Southeast Asia, there is a risk during Commissioning that failed test, incomplete turnover or unstable start-up, combined with requirements volatility,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</si>
  <si>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Commissioning gate, local law, interfaces, and the selected delivery model.</t>
  </si>
  <si>
    <t>GER-2541</t>
  </si>
  <si>
    <t>For a Hydropower Owner’s Engineering project in Oceania, there is a risk during Installation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</si>
  <si>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Installation gate, local law, interfaces, and the selected delivery model.</t>
  </si>
  <si>
    <t>GER-2542</t>
  </si>
  <si>
    <t>For a Nuclear Power EPCM project in Europe, there is a risk during Pre-commissioning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</si>
  <si>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Pre-commissioning gate, local law, interfaces, and the selected delivery model.</t>
  </si>
  <si>
    <t>GER-2543</t>
  </si>
  <si>
    <t>For a District Energy Commissioning &amp; Start-up project in Africa, there is a risk during Commissioning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</si>
  <si>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Commissioning gate, local law, interfaces, and the selected delivery model.</t>
  </si>
  <si>
    <t>GER-2544</t>
  </si>
  <si>
    <t>For a Pumped Storage Decommissioning project in East Asia, there is a risk during Operations / Handover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</si>
  <si>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Operations / Handover gate, local law, interfaces, and the selected delivery model.</t>
  </si>
  <si>
    <t>GER-2545</t>
  </si>
  <si>
    <t>For a Natural Gas / CCGT EPC / Turnkey project in North America, there is a risk during Feasibility &amp; Concept that failed test, incomplete turnover or unstable start-up, combined with regulatory uncertainty,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</si>
  <si>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Feasibility &amp; Concept gate, local law, interfaces, and the selected delivery model.</t>
  </si>
  <si>
    <t>GER-2546</t>
  </si>
  <si>
    <t>For a Biomass / Waste-to-Energy Grid Interconnection project in Global / Multi-country, there is a risk during Commissioning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</si>
  <si>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Commissioning gate, local law, interfaces, and the selected delivery model.</t>
  </si>
  <si>
    <t>GER-2547</t>
  </si>
  <si>
    <t>For a Oil &amp; Gas Upstream R&amp;D / Technology Development project in Middle East, there is a risk during Operations / Handover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</si>
  <si>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Operations / Handover gate, local law, interfaces, and the selected delivery model.</t>
  </si>
  <si>
    <t>GER-2548</t>
  </si>
  <si>
    <t>For a Offshore Wind Brownfield Modification project in South Asia, there is a risk during Feasibility &amp; Concept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</si>
  <si>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Feasibility &amp; Concept gate, local law, interfaces, and the selected delivery model.</t>
  </si>
  <si>
    <t>GER-2549</t>
  </si>
  <si>
    <t>For a Green Hydrogen Owner’s Engineering project in Southeast Asia, there is a risk during FEED / Basic Design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</si>
  <si>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FEED / Basic Design gate, local law, interfaces, and the selected delivery model.</t>
  </si>
  <si>
    <t>GER-2550</t>
  </si>
  <si>
    <t>For a Refining &amp; Petrochemicals EPCM project in Latin America, there is a risk during Detailed Engineering that failed test, incomplete turnover or unstable start-up, combined with inadequate verification,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</si>
  <si>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Detailed Engineering gate, local law, interfaces, and the selected delivery model.</t>
  </si>
  <si>
    <t>GER-2551</t>
  </si>
  <si>
    <t>For a Transmission &amp; Substations EPC / Turnkey project in Europe, there is a risk during Feasibility &amp; Concept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</si>
  <si>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Feasibility &amp; Concept gate, local law, interfaces, and the selected delivery model.</t>
  </si>
  <si>
    <t>GER-2552</t>
  </si>
  <si>
    <t>For a Carbon Capture, Utilization &amp; Storage Installation project in Africa, there is a risk during FEED / Basic Design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</si>
  <si>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FEED / Basic Design gate, local law, interfaces, and the selected delivery model.</t>
  </si>
  <si>
    <t>GER-2553</t>
  </si>
  <si>
    <t>For a Hydropower Operations &amp; Maintenance project in East Asia, there is a risk during Detailed Engineering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</si>
  <si>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Detailed Engineering gate, local law, interfaces, and the selected delivery model.</t>
  </si>
  <si>
    <t>GER-2554</t>
  </si>
  <si>
    <t>For a Nuclear Power Grid Interconnection project in North America, there is a risk during Procurement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</si>
  <si>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Procurement gate, local law, interfaces, and the selected delivery model.</t>
  </si>
  <si>
    <t>GER-2555</t>
  </si>
  <si>
    <t>For a District Energy R&amp;D / Technology Development project in Oceania, there is a risk during Manufacturing that failed test, incomplete turnover or unstable start-up, combined with poor communication,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</si>
  <si>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Manufacturing gate, local law, interfaces, and the selected delivery model.</t>
  </si>
  <si>
    <t>GER-2556</t>
  </si>
  <si>
    <t>For a LNG EPCM project in Middle East, there is a risk during Detailed Engineering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</si>
  <si>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Detailed Engineering gate, local law, interfaces, and the selected delivery model.</t>
  </si>
  <si>
    <t>GER-2557</t>
  </si>
  <si>
    <t>For a Onshore Wind Commissioning &amp; Start-up project in South Asia, there is a risk during Procurement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</si>
  <si>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Onshore Wind, the Procurement gate, local law, interfaces, and the selected delivery model.</t>
  </si>
  <si>
    <t>GER-2558</t>
  </si>
  <si>
    <t>For a Biomass / Waste-to-Energy Decommissioning project in Southeast Asia, there is a risk during Manufacturing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</si>
  <si>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Manufacturing gate, local law, interfaces, and the selected delivery model.</t>
  </si>
  <si>
    <t>GER-2559</t>
  </si>
  <si>
    <t>For a Oil &amp; Gas Upstream EPC / Turnkey project in Latin America, there is a risk during Construction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</si>
  <si>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Construction gate, local law, interfaces, and the selected delivery model.</t>
  </si>
  <si>
    <t>GER-2560</t>
  </si>
  <si>
    <t>For a Offshore Wind Installation project in Global / Multi-country, there is a risk during Installation that failed test, incomplete turnover or unstable start-up, combined with incorrect assumptions,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</si>
  <si>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Installation gate, local law, interfaces, and the selected delivery model.</t>
  </si>
  <si>
    <t>GER-2561</t>
  </si>
  <si>
    <t>For a Coal / Thermal Power R&amp;D / Technology Development project in Africa, there is a risk during Manufacturing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</si>
  <si>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Manufacturing gate, local law, interfaces, and the selected delivery model.</t>
  </si>
  <si>
    <t>GER-2562</t>
  </si>
  <si>
    <t>For a Concentrated Solar Power Brownfield Modification project in East Asia, there is a risk during Construction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</si>
  <si>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Construction gate, local law, interfaces, and the selected delivery model.</t>
  </si>
  <si>
    <t>GER-2563</t>
  </si>
  <si>
    <t>For a Transmission &amp; Substations Owner’s Engineering project in North America, there is a risk during Installation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</si>
  <si>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Installation gate, local law, interfaces, and the selected delivery model.</t>
  </si>
  <si>
    <t>GER-2564</t>
  </si>
  <si>
    <t>For a Carbon Capture, Utilization &amp; Storage EPCM project in Oceania, there is a risk during Pre-commissioning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</si>
  <si>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Pre-commissioning gate, local law, interfaces, and the selected delivery model.</t>
  </si>
  <si>
    <t>GER-2565</t>
  </si>
  <si>
    <t>For a Hydropower Commissioning &amp; Start-up project in Europe, there is a risk during Commissioning that failed test, incomplete turnover or unstable start-up, combined with low technical maturity,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</si>
  <si>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Commissioning gate, local law, interfaces, and the selected delivery model.</t>
  </si>
  <si>
    <t>GER-2566</t>
  </si>
  <si>
    <t>For a Marine Energy Installation project in South Asia, there is a risk during Installation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</si>
  <si>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Installation gate, local law, interfaces, and the selected delivery model.</t>
  </si>
  <si>
    <t>GER-2567</t>
  </si>
  <si>
    <t>For a Geothermal Operations &amp; Maintenance project in Southeast Asia, there is a risk during Pre-commissioning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</si>
  <si>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Pre-commissioning gate, local law, interfaces, and the selected delivery model.</t>
  </si>
  <si>
    <t>GER-2568</t>
  </si>
  <si>
    <t>For a LNG Grid Interconnection project in Latin America, there is a risk during Commissioning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</si>
  <si>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Commissioning gate, local law, interfaces, and the selected delivery model.</t>
  </si>
  <si>
    <t>GER-2569</t>
  </si>
  <si>
    <t>For a Onshore Wind R&amp;D / Technology Development project in Global / Multi-country, there is a risk during Operations / Handover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</si>
  <si>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Onshore Wind, the Operations / Handover gate, local law, interfaces, and the selected delivery model.</t>
  </si>
  <si>
    <t>GER-2570</t>
  </si>
  <si>
    <t>For a Biomass / Waste-to-Energy Brownfield Modification project in Middle East, there is a risk during Feasibility &amp; Concept that failed test, incomplete turnover or unstable start-up, combined with documentation gaps,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</si>
  <si>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Biomass / Waste-to-Energy, the Feasibility &amp; Concept gate, local law, interfaces, and the selected delivery model.</t>
  </si>
  <si>
    <t>GER-2571</t>
  </si>
  <si>
    <t>For a Solar PV Commissioning &amp; Start-up project in East Asia, there is a risk during Commissioning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</si>
  <si>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Commissioning gate, local law, interfaces, and the selected delivery model.</t>
  </si>
  <si>
    <t>GER-2572</t>
  </si>
  <si>
    <t>For a Battery Energy Storage Decommissioning project in North America, there is a risk during Operations / Handover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</si>
  <si>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Operations / Handover gate, local law, interfaces, and the selected delivery model.</t>
  </si>
  <si>
    <t>GER-2573</t>
  </si>
  <si>
    <t>For a Coal / Thermal Power EPC / Turnkey project in Oceania, there is a risk during Feasibility &amp; Concept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</si>
  <si>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Feasibility &amp; Concept gate, local law, interfaces, and the selected delivery model.</t>
  </si>
  <si>
    <t>GER-2574</t>
  </si>
  <si>
    <t>For a Concentrated Solar Power Installation project in Europe, there is a risk during FEED / Basic Design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</si>
  <si>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Concentrated Solar Power, the FEED / Basic Design gate, local law, interfaces, and the selected delivery model.</t>
  </si>
  <si>
    <t>GER-2575</t>
  </si>
  <si>
    <t>For a Transmission &amp; Substations Operations &amp; Maintenance project in Africa, there is a risk during Detailed Engineering that failed test, incomplete turnover or unstable start-up, combined with external disruption,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</si>
  <si>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Transmission &amp; Substations, the Detailed Engineering gate, local law, interfaces, and the selected delivery model.</t>
  </si>
  <si>
    <t>GER-2576</t>
  </si>
  <si>
    <t>For a Pumped Storage Brownfield Modification project in Southeast Asia, there is a risk during Feasibility &amp; Concept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</si>
  <si>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Feasibility &amp; Concept gate, local law, interfaces, and the selected delivery model.</t>
  </si>
  <si>
    <t>GER-2577</t>
  </si>
  <si>
    <t>For a Natural Gas / CCGT Owner’s Engineering project in Latin America, there is a risk during FEED / Basic Design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</si>
  <si>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FEED / Basic Design gate, local law, interfaces, and the selected delivery model.</t>
  </si>
  <si>
    <t>GER-2578</t>
  </si>
  <si>
    <t>For a Marine Energy EPCM project in Global / Multi-country, there is a risk during Detailed Engineering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</si>
  <si>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Detailed Engineering gate, local law, interfaces, and the selected delivery model.</t>
  </si>
  <si>
    <t>GER-2579</t>
  </si>
  <si>
    <t>For a Geothermal Commissioning &amp; Start-up project in Middle East, there is a risk during Procurement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</si>
  <si>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Geothermal, the Procurement gate, local law, interfaces, and the selected delivery model.</t>
  </si>
  <si>
    <t>GER-2580</t>
  </si>
  <si>
    <t>For a LNG Decommissioning project in South Asia, there is a risk during Manufacturing that failed test, incomplete turnover or unstable start-up, combined with governance delay,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</si>
  <si>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LNG, the Manufacturing gate, local law, interfaces, and the selected delivery model.</t>
  </si>
  <si>
    <t>GER-2581</t>
  </si>
  <si>
    <t>For a Green Hydrogen Operations &amp; Maintenance project in North America, there is a risk during Detailed Engineering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</si>
  <si>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Detailed Engineering gate, local law, interfaces, and the selected delivery model.</t>
  </si>
  <si>
    <t>GER-2582</t>
  </si>
  <si>
    <t>For a Refining &amp; Petrochemicals Grid Interconnection project in Oceania, there is a risk during Procurement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</si>
  <si>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Procurement gate, local law, interfaces, and the selected delivery model.</t>
  </si>
  <si>
    <t>GER-2583</t>
  </si>
  <si>
    <t>For a Solar PV R&amp;D / Technology Development project in Europe, there is a risk during Manufacturing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</si>
  <si>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Manufacturing gate, local law, interfaces, and the selected delivery model.</t>
  </si>
  <si>
    <t>GER-2584</t>
  </si>
  <si>
    <t>For a Battery Energy Storage Brownfield Modification project in Africa, there is a risk during Construction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</si>
  <si>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Battery Energy Storage, the Construction gate, local law, interfaces, and the selected delivery model.</t>
  </si>
  <si>
    <t>GER-2585</t>
  </si>
  <si>
    <t>For a Coal / Thermal Power Owner’s Engineering project in East Asia, there is a risk during Installation that failed test, incomplete turnover or unstable start-up, combined with commercial misalignment,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</si>
  <si>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Coal / Thermal Power, the Installation gate, local law, interfaces, and the selected delivery model.</t>
  </si>
  <si>
    <t>GER-2586</t>
  </si>
  <si>
    <t>For a Nuclear Power Decommissioning project in Latin America, there is a risk during Manufacturing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</si>
  <si>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Manufacturing gate, local law, interfaces, and the selected delivery model.</t>
  </si>
  <si>
    <t>GER-2587</t>
  </si>
  <si>
    <t>For a District Energy EPC / Turnkey project in Global / Multi-country, there is a risk during Construction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</si>
  <si>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Construction gate, local law, interfaces, and the selected delivery model.</t>
  </si>
  <si>
    <t>GER-2588</t>
  </si>
  <si>
    <t>For a Pumped Storage Installation project in Middle East, there is a risk during Installation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</si>
  <si>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Installation gate, local law, interfaces, and the selected delivery model.</t>
  </si>
  <si>
    <t>GER-2589</t>
  </si>
  <si>
    <t>For a Natural Gas / CCGT Operations &amp; Maintenance project in South Asia, there is a risk during Pre-commissioning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</si>
  <si>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Natural Gas / CCGT, the Pre-commissioning gate, local law, interfaces, and the selected delivery model.</t>
  </si>
  <si>
    <t>GER-2590</t>
  </si>
  <si>
    <t>For a Marine Energy Grid Interconnection project in Southeast Asia, there is a risk during Commissioning that failed test, incomplete turnover or unstable start-up, combined with quality escape,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</si>
  <si>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Marine Energy, the Commissioning gate, local law, interfaces, and the selected delivery model.</t>
  </si>
  <si>
    <t>GER-2591</t>
  </si>
  <si>
    <t>For a Oil &amp; Gas Upstream Owner’s Engineering project in Oceania, there is a risk during Installation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</si>
  <si>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Oil &amp; Gas Upstream, the Installation gate, local law, interfaces, and the selected delivery model.</t>
  </si>
  <si>
    <t>GER-2592</t>
  </si>
  <si>
    <t>For a Offshore Wind EPCM project in Europe, there is a risk during Pre-commissioning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</si>
  <si>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Offshore Wind, the Pre-commissioning gate, local law, interfaces, and the selected delivery model.</t>
  </si>
  <si>
    <t>GER-2593</t>
  </si>
  <si>
    <t>For a Green Hydrogen Commissioning &amp; Start-up project in Africa, there is a risk during Commissioning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</si>
  <si>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Green Hydrogen, the Commissioning gate, local law, interfaces, and the selected delivery model.</t>
  </si>
  <si>
    <t>GER-2594</t>
  </si>
  <si>
    <t>For a Refining &amp; Petrochemicals Decommissioning project in East Asia, there is a risk during Operations / Handover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</si>
  <si>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Refining &amp; Petrochemicals, the Operations / Handover gate, local law, interfaces, and the selected delivery model.</t>
  </si>
  <si>
    <t>GER-2595</t>
  </si>
  <si>
    <t>For a Solar PV EPC / Turnkey project in North America, there is a risk during Feasibility &amp; Concept that failed test, incomplete turnover or unstable start-up, combined with access constraint,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</si>
  <si>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Solar PV, the Feasibility &amp; Concept gate, local law, interfaces, and the selected delivery model.</t>
  </si>
  <si>
    <t>GER-2596</t>
  </si>
  <si>
    <t>For a Carbon Capture, Utilization &amp; Storage Grid Interconnection project in Global / Multi-country, there is a risk during Commissioning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</si>
  <si>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Carbon Capture, Utilization &amp; Storage, the Commissioning gate, local law, interfaces, and the selected delivery model.</t>
  </si>
  <si>
    <t>GER-2597</t>
  </si>
  <si>
    <t>For a Hydropower R&amp;D / Technology Development project in Middle East, there is a risk during Operations / Handover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</si>
  <si>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Hydropower, the Operations / Handover gate, local law, interfaces, and the selected delivery model.</t>
  </si>
  <si>
    <t>GER-2598</t>
  </si>
  <si>
    <t>For a Nuclear Power Brownfield Modification project in South Asia, there is a risk during Feasibility &amp; Concept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</si>
  <si>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Nuclear Power, the Feasibility &amp; Concept gate, local law, interfaces, and the selected delivery model.</t>
  </si>
  <si>
    <t>GER-2599</t>
  </si>
  <si>
    <t>For a District Energy Owner’s Engineering project in Southeast Asia, there is a risk during FEED / Basic Design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</si>
  <si>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District Energy, the FEED / Basic Design gate, local law, interfaces, and the selected delivery model.</t>
  </si>
  <si>
    <t>GER-2600</t>
  </si>
  <si>
    <t>For a Pumped Storage EPCM project in Latin America, there is a risk during Detailed Engineering that failed test, incomplete turnover or unstable start-up, combined with performance variability, may adversely affect project objectives through time / quality / hse consequences.</t>
  </si>
  <si>
    <t>Establish controls for failed test, incomplete turnover or unstable start-up; assign actions, verify evidence, and review residual exposure at each gate. Tailor the response to Pumped Storage, the Detailed Engineering gate, local law, interfaces, and the selected delivery model.</t>
  </si>
  <si>
    <t>GER-2601</t>
  </si>
  <si>
    <t>For a Onshore Wind EPC / Turnkey project in Europe, there is a risk during Feasibility &amp; Concept that poor maintainability, missing spares or training gap, combined with insufficient planning, may adversely affect project objectives through quality / cost / hse consequences.</t>
  </si>
  <si>
    <t>Operations &amp; Maintainability</t>
  </si>
  <si>
    <t>Quality / Cost / HSE</t>
  </si>
  <si>
    <t>Establish controls for poor maintainability, missing spares or training gap; assign actions, verify evidence, and review residual exposure at each gate. Tailor the response to Onshore Wind, the Feasibility &amp; Concept gate, local law, interfaces, and the selected delivery model.</t>
  </si>
  <si>
    <t>Operations Readiness Manager</t>
  </si>
  <si>
    <t>GER-2602</t>
  </si>
  <si>
    <t>For a Biomass / Waste-to-Energy Installation project in Africa, there is a risk during FEED / Basic Design that poor maintainability, missing spares or training gap, combined with insufficient planning,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</si>
  <si>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FEED / Basic Design gate, local law, interfaces, and the selected delivery model.</t>
  </si>
  <si>
    <t>GER-2603</t>
  </si>
  <si>
    <t>For a Oil &amp; Gas Upstream Operations &amp; Maintenance project in East Asia, there is a risk during Detailed Engineering that poor maintainability, missing spares or training gap, combined with insufficient planning,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</si>
  <si>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Detailed Engineering gate, local law, interfaces, and the selected delivery model.</t>
  </si>
  <si>
    <t>GER-2604</t>
  </si>
  <si>
    <t>For a Offshore Wind Grid Interconnection project in North America, there is a risk during Procurement that poor maintainability, missing spares or training gap, combined with insufficient planning,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</si>
  <si>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Procurement gate, local law, interfaces, and the selected delivery model.</t>
  </si>
  <si>
    <t>GER-2605</t>
  </si>
  <si>
    <t>For a Green Hydrogen R&amp;D / Technology Development project in Oceania, there is a risk during Manufacturing that poor maintainability, missing spares or training gap, combined with insufficient planning,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</si>
  <si>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Manufacturing gate, local law, interfaces, and the selected delivery model.</t>
  </si>
  <si>
    <t>GER-2606</t>
  </si>
  <si>
    <t>For a Concentrated Solar Power EPCM project in Middle East, there is a risk during Detailed Engineering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</si>
  <si>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Detailed Engineering gate, local law, interfaces, and the selected delivery model.</t>
  </si>
  <si>
    <t>GER-2607</t>
  </si>
  <si>
    <t>For a Transmission &amp; Substations Commissioning &amp; Start-up project in South Asia, there is a risk during Procurement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</si>
  <si>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Procurement gate, local law, interfaces, and the selected delivery model.</t>
  </si>
  <si>
    <t>GER-2608</t>
  </si>
  <si>
    <t>For a Carbon Capture, Utilization &amp; Storage Decommissioning project in Southeast Asia, there is a risk during Manufacturing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</si>
  <si>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Manufacturing gate, local law, interfaces, and the selected delivery model.</t>
  </si>
  <si>
    <t>GER-2609</t>
  </si>
  <si>
    <t>For a Hydropower EPC / Turnkey project in Latin America, there is a risk during Construction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</si>
  <si>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Construction gate, local law, interfaces, and the selected delivery model.</t>
  </si>
  <si>
    <t>GER-2610</t>
  </si>
  <si>
    <t>For a Nuclear Power Installation project in Global / Multi-country, there is a risk during Installation that poor maintainability, missing spares or training gap, combined with incomplete information,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</si>
  <si>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Installation gate, local law, interfaces, and the selected delivery model.</t>
  </si>
  <si>
    <t>GER-2611</t>
  </si>
  <si>
    <t>For a Geothermal R&amp;D / Technology Development project in Africa, there is a risk during Manufacturing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</si>
  <si>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Manufacturing gate, local law, interfaces, and the selected delivery model.</t>
  </si>
  <si>
    <t>GER-2612</t>
  </si>
  <si>
    <t>For a LNG Brownfield Modification project in East Asia, there is a risk during Construction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</si>
  <si>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Construction gate, local law, interfaces, and the selected delivery model.</t>
  </si>
  <si>
    <t>GER-2613</t>
  </si>
  <si>
    <t>For a Onshore Wind Owner’s Engineering project in North America, there is a risk during Installation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</si>
  <si>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Onshore Wind, the Installation gate, local law, interfaces, and the selected delivery model.</t>
  </si>
  <si>
    <t>GER-2614</t>
  </si>
  <si>
    <t>For a Biomass / Waste-to-Energy EPCM project in Oceania, there is a risk during Pre-commissioning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</si>
  <si>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Pre-commissioning gate, local law, interfaces, and the selected delivery model.</t>
  </si>
  <si>
    <t>GER-2615</t>
  </si>
  <si>
    <t>For a Oil &amp; Gas Upstream Commissioning &amp; Start-up project in Europe, there is a risk during Commissioning that poor maintainability, missing spares or training gap, combined with late decision-making,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</si>
  <si>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Commissioning gate, local law, interfaces, and the selected delivery model.</t>
  </si>
  <si>
    <t>GER-2616</t>
  </si>
  <si>
    <t>For a Battery Energy Storage Installation project in South Asia, there is a risk during Installation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</si>
  <si>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Installation gate, local law, interfaces, and the selected delivery model.</t>
  </si>
  <si>
    <t>GER-2617</t>
  </si>
  <si>
    <t>For a Coal / Thermal Power Operations &amp; Maintenance project in Southeast Asia, there is a risk during Pre-commissioning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</si>
  <si>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Pre-commissioning gate, local law, interfaces, and the selected delivery model.</t>
  </si>
  <si>
    <t>GER-2618</t>
  </si>
  <si>
    <t>For a Concentrated Solar Power Grid Interconnection project in Latin America, there is a risk during Commissioning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</si>
  <si>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Commissioning gate, local law, interfaces, and the selected delivery model.</t>
  </si>
  <si>
    <t>GER-2619</t>
  </si>
  <si>
    <t>For a Transmission &amp; Substations R&amp;D / Technology Development project in Global / Multi-country, there is a risk during Operations / Handover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</si>
  <si>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Operations / Handover gate, local law, interfaces, and the selected delivery model.</t>
  </si>
  <si>
    <t>GER-2620</t>
  </si>
  <si>
    <t>For a Carbon Capture, Utilization &amp; Storage Brownfield Modification project in Middle East, there is a risk during Feasibility &amp; Concept that poor maintainability, missing spares or training gap, combined with weak controls,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</si>
  <si>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Feasibility &amp; Concept gate, local law, interfaces, and the selected delivery model.</t>
  </si>
  <si>
    <t>GER-2621</t>
  </si>
  <si>
    <t>For a Natural Gas / CCGT Commissioning &amp; Start-up project in East Asia, there is a risk during Commissioning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</si>
  <si>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Commissioning gate, local law, interfaces, and the selected delivery model.</t>
  </si>
  <si>
    <t>GER-2622</t>
  </si>
  <si>
    <t>For a Marine Energy Decommissioning project in North America, there is a risk during Operations / Handover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</si>
  <si>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Operations / Handover gate, local law, interfaces, and the selected delivery model.</t>
  </si>
  <si>
    <t>GER-2623</t>
  </si>
  <si>
    <t>For a Geothermal EPC / Turnkey project in Oceania, there is a risk during Feasibility &amp; Concept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</si>
  <si>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Feasibility &amp; Concept gate, local law, interfaces, and the selected delivery model.</t>
  </si>
  <si>
    <t>GER-2624</t>
  </si>
  <si>
    <t>For a LNG Installation project in Europe, there is a risk during FEED / Basic Design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</si>
  <si>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FEED / Basic Design gate, local law, interfaces, and the selected delivery model.</t>
  </si>
  <si>
    <t>GER-2625</t>
  </si>
  <si>
    <t>For a Onshore Wind Operations &amp; Maintenance project in Africa, there is a risk during Detailed Engineering that poor maintainability, missing spares or training gap, combined with resource constraints,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</si>
  <si>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Onshore Wind, the Detailed Engineering gate, local law, interfaces, and the selected delivery model.</t>
  </si>
  <si>
    <t>GER-2626</t>
  </si>
  <si>
    <t>For a Refining &amp; Petrochemicals Brownfield Modification project in Southeast Asia, there is a risk during Feasibility &amp; Concept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</si>
  <si>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Feasibility &amp; Concept gate, local law, interfaces, and the selected delivery model.</t>
  </si>
  <si>
    <t>GER-2627</t>
  </si>
  <si>
    <t>For a Solar PV Owner’s Engineering project in Latin America, there is a risk during FEED / Basic Design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</si>
  <si>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FEED / Basic Design gate, local law, interfaces, and the selected delivery model.</t>
  </si>
  <si>
    <t>GER-2628</t>
  </si>
  <si>
    <t>For a Battery Energy Storage EPCM project in Global / Multi-country, there is a risk during Detailed Engineering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</si>
  <si>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Detailed Engineering gate, local law, interfaces, and the selected delivery model.</t>
  </si>
  <si>
    <t>GER-2629</t>
  </si>
  <si>
    <t>For a Coal / Thermal Power Commissioning &amp; Start-up project in Middle East, there is a risk during Procurement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</si>
  <si>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Procurement gate, local law, interfaces, and the selected delivery model.</t>
  </si>
  <si>
    <t>GER-2630</t>
  </si>
  <si>
    <t>For a Concentrated Solar Power Decommissioning project in South Asia, there is a risk during Manufacturing that poor maintainability, missing spares or training gap, combined with supplier dependency,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</si>
  <si>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Manufacturing gate, local law, interfaces, and the selected delivery model.</t>
  </si>
  <si>
    <t>GER-2631</t>
  </si>
  <si>
    <t>For a District Energy Operations &amp; Maintenance project in North America, there is a risk during Detailed Engineering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</si>
  <si>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Detailed Engineering gate, local law, interfaces, and the selected delivery model.</t>
  </si>
  <si>
    <t>GER-2632</t>
  </si>
  <si>
    <t>For a Pumped Storage Grid Interconnection project in Oceania, there is a risk during Procurement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</si>
  <si>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Procurement gate, local law, interfaces, and the selected delivery model.</t>
  </si>
  <si>
    <t>GER-2633</t>
  </si>
  <si>
    <t>For a Natural Gas / CCGT R&amp;D / Technology Development project in Europe, there is a risk during Manufacturing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</si>
  <si>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Manufacturing gate, local law, interfaces, and the selected delivery model.</t>
  </si>
  <si>
    <t>GER-2634</t>
  </si>
  <si>
    <t>For a Marine Energy Brownfield Modification project in Africa, there is a risk during Construction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</si>
  <si>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Construction gate, local law, interfaces, and the selected delivery model.</t>
  </si>
  <si>
    <t>GER-2635</t>
  </si>
  <si>
    <t>For a Geothermal Owner’s Engineering project in East Asia, there is a risk during Installation that poor maintainability, missing spares or training gap, combined with interface complexity,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</si>
  <si>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Installation gate, local law, interfaces, and the selected delivery model.</t>
  </si>
  <si>
    <t>GER-2636</t>
  </si>
  <si>
    <t>For a Offshore Wind Decommissioning project in Latin America, there is a risk during Manufacturing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</si>
  <si>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Manufacturing gate, local law, interfaces, and the selected delivery model.</t>
  </si>
  <si>
    <t>GER-2637</t>
  </si>
  <si>
    <t>For a Green Hydrogen EPC / Turnkey project in Global / Multi-country, there is a risk during Construction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</si>
  <si>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Construction gate, local law, interfaces, and the selected delivery model.</t>
  </si>
  <si>
    <t>GER-2638</t>
  </si>
  <si>
    <t>For a Refining &amp; Petrochemicals Installation project in Middle East, there is a risk during Installation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</si>
  <si>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Installation gate, local law, interfaces, and the selected delivery model.</t>
  </si>
  <si>
    <t>GER-2639</t>
  </si>
  <si>
    <t>For a Solar PV Operations &amp; Maintenance project in South Asia, there is a risk during Pre-commissioning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</si>
  <si>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Pre-commissioning gate, local law, interfaces, and the selected delivery model.</t>
  </si>
  <si>
    <t>GER-2640</t>
  </si>
  <si>
    <t>For a Battery Energy Storage Grid Interconnection project in Southeast Asia, there is a risk during Commissioning that poor maintainability, missing spares or training gap, combined with requirements volatility,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</si>
  <si>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Commissioning gate, local law, interfaces, and the selected delivery model.</t>
  </si>
  <si>
    <t>GER-2641</t>
  </si>
  <si>
    <t>For a Hydropower Owner’s Engineering project in Oceania, there is a risk during Installation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</si>
  <si>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Installation gate, local law, interfaces, and the selected delivery model.</t>
  </si>
  <si>
    <t>GER-2642</t>
  </si>
  <si>
    <t>For a Nuclear Power EPCM project in Europe, there is a risk during Pre-commissioning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</si>
  <si>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Pre-commissioning gate, local law, interfaces, and the selected delivery model.</t>
  </si>
  <si>
    <t>GER-2643</t>
  </si>
  <si>
    <t>For a District Energy Commissioning &amp; Start-up project in Africa, there is a risk during Commissioning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</si>
  <si>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Commissioning gate, local law, interfaces, and the selected delivery model.</t>
  </si>
  <si>
    <t>GER-2644</t>
  </si>
  <si>
    <t>For a Pumped Storage Decommissioning project in East Asia, there is a risk during Operations / Handover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</si>
  <si>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Operations / Handover gate, local law, interfaces, and the selected delivery model.</t>
  </si>
  <si>
    <t>GER-2645</t>
  </si>
  <si>
    <t>For a Natural Gas / CCGT EPC / Turnkey project in North America, there is a risk during Feasibility &amp; Concept that poor maintainability, missing spares or training gap, combined with regulatory uncertainty,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</si>
  <si>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Feasibility &amp; Concept gate, local law, interfaces, and the selected delivery model.</t>
  </si>
  <si>
    <t>GER-2646</t>
  </si>
  <si>
    <t>For a Biomass / Waste-to-Energy Grid Interconnection project in Global / Multi-country, there is a risk during Commissioning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</si>
  <si>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Commissioning gate, local law, interfaces, and the selected delivery model.</t>
  </si>
  <si>
    <t>GER-2647</t>
  </si>
  <si>
    <t>For a Oil &amp; Gas Upstream R&amp;D / Technology Development project in Middle East, there is a risk during Operations / Handover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</si>
  <si>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Operations / Handover gate, local law, interfaces, and the selected delivery model.</t>
  </si>
  <si>
    <t>GER-2648</t>
  </si>
  <si>
    <t>For a Offshore Wind Brownfield Modification project in South Asia, there is a risk during Feasibility &amp; Concept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</si>
  <si>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Feasibility &amp; Concept gate, local law, interfaces, and the selected delivery model.</t>
  </si>
  <si>
    <t>GER-2649</t>
  </si>
  <si>
    <t>For a Green Hydrogen Owner’s Engineering project in Southeast Asia, there is a risk during FEED / Basic Design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</si>
  <si>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FEED / Basic Design gate, local law, interfaces, and the selected delivery model.</t>
  </si>
  <si>
    <t>GER-2650</t>
  </si>
  <si>
    <t>For a Refining &amp; Petrochemicals EPCM project in Latin America, there is a risk during Detailed Engineering that poor maintainability, missing spares or training gap, combined with inadequate verification,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</si>
  <si>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Detailed Engineering gate, local law, interfaces, and the selected delivery model.</t>
  </si>
  <si>
    <t>GER-2651</t>
  </si>
  <si>
    <t>For a Transmission &amp; Substations EPC / Turnkey project in Europe, there is a risk during Feasibility &amp; Concept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</si>
  <si>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Feasibility &amp; Concept gate, local law, interfaces, and the selected delivery model.</t>
  </si>
  <si>
    <t>GER-2652</t>
  </si>
  <si>
    <t>For a Carbon Capture, Utilization &amp; Storage Installation project in Africa, there is a risk during FEED / Basic Design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</si>
  <si>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FEED / Basic Design gate, local law, interfaces, and the selected delivery model.</t>
  </si>
  <si>
    <t>GER-2653</t>
  </si>
  <si>
    <t>For a Hydropower Operations &amp; Maintenance project in East Asia, there is a risk during Detailed Engineering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</si>
  <si>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Detailed Engineering gate, local law, interfaces, and the selected delivery model.</t>
  </si>
  <si>
    <t>GER-2654</t>
  </si>
  <si>
    <t>For a Nuclear Power Grid Interconnection project in North America, there is a risk during Procurement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</si>
  <si>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Procurement gate, local law, interfaces, and the selected delivery model.</t>
  </si>
  <si>
    <t>GER-2655</t>
  </si>
  <si>
    <t>For a District Energy R&amp;D / Technology Development project in Oceania, there is a risk during Manufacturing that poor maintainability, missing spares or training gap, combined with poor communication,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</si>
  <si>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Manufacturing gate, local law, interfaces, and the selected delivery model.</t>
  </si>
  <si>
    <t>GER-2656</t>
  </si>
  <si>
    <t>For a LNG EPCM project in Middle East, there is a risk during Detailed Engineering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</si>
  <si>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Detailed Engineering gate, local law, interfaces, and the selected delivery model.</t>
  </si>
  <si>
    <t>GER-2657</t>
  </si>
  <si>
    <t>For a Onshore Wind Commissioning &amp; Start-up project in South Asia, there is a risk during Procurement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</si>
  <si>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Onshore Wind, the Procurement gate, local law, interfaces, and the selected delivery model.</t>
  </si>
  <si>
    <t>GER-2658</t>
  </si>
  <si>
    <t>For a Biomass / Waste-to-Energy Decommissioning project in Southeast Asia, there is a risk during Manufacturing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</si>
  <si>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Manufacturing gate, local law, interfaces, and the selected delivery model.</t>
  </si>
  <si>
    <t>GER-2659</t>
  </si>
  <si>
    <t>For a Oil &amp; Gas Upstream EPC / Turnkey project in Latin America, there is a risk during Construction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</si>
  <si>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Construction gate, local law, interfaces, and the selected delivery model.</t>
  </si>
  <si>
    <t>GER-2660</t>
  </si>
  <si>
    <t>For a Offshore Wind Installation project in Global / Multi-country, there is a risk during Installation that poor maintainability, missing spares or training gap, combined with incorrect assumptions,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</si>
  <si>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Installation gate, local law, interfaces, and the selected delivery model.</t>
  </si>
  <si>
    <t>GER-2661</t>
  </si>
  <si>
    <t>For a Coal / Thermal Power R&amp;D / Technology Development project in Africa, there is a risk during Manufacturing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</si>
  <si>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Manufacturing gate, local law, interfaces, and the selected delivery model.</t>
  </si>
  <si>
    <t>GER-2662</t>
  </si>
  <si>
    <t>For a Concentrated Solar Power Brownfield Modification project in East Asia, there is a risk during Construction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</si>
  <si>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Construction gate, local law, interfaces, and the selected delivery model.</t>
  </si>
  <si>
    <t>GER-2663</t>
  </si>
  <si>
    <t>For a Transmission &amp; Substations Owner’s Engineering project in North America, there is a risk during Installation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</si>
  <si>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Installation gate, local law, interfaces, and the selected delivery model.</t>
  </si>
  <si>
    <t>GER-2664</t>
  </si>
  <si>
    <t>For a Carbon Capture, Utilization &amp; Storage EPCM project in Oceania, there is a risk during Pre-commissioning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</si>
  <si>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Pre-commissioning gate, local law, interfaces, and the selected delivery model.</t>
  </si>
  <si>
    <t>GER-2665</t>
  </si>
  <si>
    <t>For a Hydropower Commissioning &amp; Start-up project in Europe, there is a risk during Commissioning that poor maintainability, missing spares or training gap, combined with low technical maturity,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</si>
  <si>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Commissioning gate, local law, interfaces, and the selected delivery model.</t>
  </si>
  <si>
    <t>GER-2666</t>
  </si>
  <si>
    <t>For a Marine Energy Installation project in South Asia, there is a risk during Installation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</si>
  <si>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Installation gate, local law, interfaces, and the selected delivery model.</t>
  </si>
  <si>
    <t>GER-2667</t>
  </si>
  <si>
    <t>For a Geothermal Operations &amp; Maintenance project in Southeast Asia, there is a risk during Pre-commissioning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</si>
  <si>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Pre-commissioning gate, local law, interfaces, and the selected delivery model.</t>
  </si>
  <si>
    <t>GER-2668</t>
  </si>
  <si>
    <t>For a LNG Grid Interconnection project in Latin America, there is a risk during Commissioning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</si>
  <si>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Commissioning gate, local law, interfaces, and the selected delivery model.</t>
  </si>
  <si>
    <t>GER-2669</t>
  </si>
  <si>
    <t>For a Onshore Wind R&amp;D / Technology Development project in Global / Multi-country, there is a risk during Operations / Handover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</si>
  <si>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Onshore Wind, the Operations / Handover gate, local law, interfaces, and the selected delivery model.</t>
  </si>
  <si>
    <t>GER-2670</t>
  </si>
  <si>
    <t>For a Biomass / Waste-to-Energy Brownfield Modification project in Middle East, there is a risk during Feasibility &amp; Concept that poor maintainability, missing spares or training gap, combined with documentation gaps,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</si>
  <si>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Biomass / Waste-to-Energy, the Feasibility &amp; Concept gate, local law, interfaces, and the selected delivery model.</t>
  </si>
  <si>
    <t>GER-2671</t>
  </si>
  <si>
    <t>For a Solar PV Commissioning &amp; Start-up project in East Asia, there is a risk during Commissioning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</si>
  <si>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Commissioning gate, local law, interfaces, and the selected delivery model.</t>
  </si>
  <si>
    <t>GER-2672</t>
  </si>
  <si>
    <t>For a Battery Energy Storage Decommissioning project in North America, there is a risk during Operations / Handover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</si>
  <si>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Operations / Handover gate, local law, interfaces, and the selected delivery model.</t>
  </si>
  <si>
    <t>GER-2673</t>
  </si>
  <si>
    <t>For a Coal / Thermal Power EPC / Turnkey project in Oceania, there is a risk during Feasibility &amp; Concept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</si>
  <si>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Feasibility &amp; Concept gate, local law, interfaces, and the selected delivery model.</t>
  </si>
  <si>
    <t>GER-2674</t>
  </si>
  <si>
    <t>For a Concentrated Solar Power Installation project in Europe, there is a risk during FEED / Basic Design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</si>
  <si>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Concentrated Solar Power, the FEED / Basic Design gate, local law, interfaces, and the selected delivery model.</t>
  </si>
  <si>
    <t>GER-2675</t>
  </si>
  <si>
    <t>For a Transmission &amp; Substations Operations &amp; Maintenance project in Africa, there is a risk during Detailed Engineering that poor maintainability, missing spares or training gap, combined with external disruption,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</si>
  <si>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Transmission &amp; Substations, the Detailed Engineering gate, local law, interfaces, and the selected delivery model.</t>
  </si>
  <si>
    <t>GER-2676</t>
  </si>
  <si>
    <t>For a Pumped Storage Brownfield Modification project in Southeast Asia, there is a risk during Feasibility &amp; Concept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</si>
  <si>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Feasibility &amp; Concept gate, local law, interfaces, and the selected delivery model.</t>
  </si>
  <si>
    <t>GER-2677</t>
  </si>
  <si>
    <t>For a Natural Gas / CCGT Owner’s Engineering project in Latin America, there is a risk during FEED / Basic Design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</si>
  <si>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FEED / Basic Design gate, local law, interfaces, and the selected delivery model.</t>
  </si>
  <si>
    <t>GER-2678</t>
  </si>
  <si>
    <t>For a Marine Energy EPCM project in Global / Multi-country, there is a risk during Detailed Engineering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</si>
  <si>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Detailed Engineering gate, local law, interfaces, and the selected delivery model.</t>
  </si>
  <si>
    <t>GER-2679</t>
  </si>
  <si>
    <t>For a Geothermal Commissioning &amp; Start-up project in Middle East, there is a risk during Procurement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</si>
  <si>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Geothermal, the Procurement gate, local law, interfaces, and the selected delivery model.</t>
  </si>
  <si>
    <t>GER-2680</t>
  </si>
  <si>
    <t>For a LNG Decommissioning project in South Asia, there is a risk during Manufacturing that poor maintainability, missing spares or training gap, combined with governance delay,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</si>
  <si>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LNG, the Manufacturing gate, local law, interfaces, and the selected delivery model.</t>
  </si>
  <si>
    <t>GER-2681</t>
  </si>
  <si>
    <t>For a Green Hydrogen Operations &amp; Maintenance project in North America, there is a risk during Detailed Engineering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</si>
  <si>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Detailed Engineering gate, local law, interfaces, and the selected delivery model.</t>
  </si>
  <si>
    <t>GER-2682</t>
  </si>
  <si>
    <t>For a Refining &amp; Petrochemicals Grid Interconnection project in Oceania, there is a risk during Procurement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</si>
  <si>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Procurement gate, local law, interfaces, and the selected delivery model.</t>
  </si>
  <si>
    <t>GER-2683</t>
  </si>
  <si>
    <t>For a Solar PV R&amp;D / Technology Development project in Europe, there is a risk during Manufacturing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</si>
  <si>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Manufacturing gate, local law, interfaces, and the selected delivery model.</t>
  </si>
  <si>
    <t>GER-2684</t>
  </si>
  <si>
    <t>For a Battery Energy Storage Brownfield Modification project in Africa, there is a risk during Construction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</si>
  <si>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Battery Energy Storage, the Construction gate, local law, interfaces, and the selected delivery model.</t>
  </si>
  <si>
    <t>GER-2685</t>
  </si>
  <si>
    <t>For a Coal / Thermal Power Owner’s Engineering project in East Asia, there is a risk during Installation that poor maintainability, missing spares or training gap, combined with commercial misalignment,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</si>
  <si>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Coal / Thermal Power, the Installation gate, local law, interfaces, and the selected delivery model.</t>
  </si>
  <si>
    <t>GER-2686</t>
  </si>
  <si>
    <t>For a Nuclear Power Decommissioning project in Latin America, there is a risk during Manufacturing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</si>
  <si>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Manufacturing gate, local law, interfaces, and the selected delivery model.</t>
  </si>
  <si>
    <t>GER-2687</t>
  </si>
  <si>
    <t>For a District Energy EPC / Turnkey project in Global / Multi-country, there is a risk during Construction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</si>
  <si>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Construction gate, local law, interfaces, and the selected delivery model.</t>
  </si>
  <si>
    <t>GER-2688</t>
  </si>
  <si>
    <t>For a Pumped Storage Installation project in Middle East, there is a risk during Installation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</si>
  <si>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Installation gate, local law, interfaces, and the selected delivery model.</t>
  </si>
  <si>
    <t>GER-2689</t>
  </si>
  <si>
    <t>For a Natural Gas / CCGT Operations &amp; Maintenance project in South Asia, there is a risk during Pre-commissioning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</si>
  <si>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Natural Gas / CCGT, the Pre-commissioning gate, local law, interfaces, and the selected delivery model.</t>
  </si>
  <si>
    <t>GER-2690</t>
  </si>
  <si>
    <t>For a Marine Energy Grid Interconnection project in Southeast Asia, there is a risk during Commissioning that poor maintainability, missing spares or training gap, combined with quality escape,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</si>
  <si>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Marine Energy, the Commissioning gate, local law, interfaces, and the selected delivery model.</t>
  </si>
  <si>
    <t>GER-2691</t>
  </si>
  <si>
    <t>For a Oil &amp; Gas Upstream Owner’s Engineering project in Oceania, there is a risk during Installation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</si>
  <si>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Oil &amp; Gas Upstream, the Installation gate, local law, interfaces, and the selected delivery model.</t>
  </si>
  <si>
    <t>GER-2692</t>
  </si>
  <si>
    <t>For a Offshore Wind EPCM project in Europe, there is a risk during Pre-commissioning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</si>
  <si>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Offshore Wind, the Pre-commissioning gate, local law, interfaces, and the selected delivery model.</t>
  </si>
  <si>
    <t>GER-2693</t>
  </si>
  <si>
    <t>For a Green Hydrogen Commissioning &amp; Start-up project in Africa, there is a risk during Commissioning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</si>
  <si>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Green Hydrogen, the Commissioning gate, local law, interfaces, and the selected delivery model.</t>
  </si>
  <si>
    <t>GER-2694</t>
  </si>
  <si>
    <t>For a Refining &amp; Petrochemicals Decommissioning project in East Asia, there is a risk during Operations / Handover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</si>
  <si>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Refining &amp; Petrochemicals, the Operations / Handover gate, local law, interfaces, and the selected delivery model.</t>
  </si>
  <si>
    <t>GER-2695</t>
  </si>
  <si>
    <t>For a Solar PV EPC / Turnkey project in North America, there is a risk during Feasibility &amp; Concept that poor maintainability, missing spares or training gap, combined with access constraint,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</si>
  <si>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Solar PV, the Feasibility &amp; Concept gate, local law, interfaces, and the selected delivery model.</t>
  </si>
  <si>
    <t>GER-2696</t>
  </si>
  <si>
    <t>For a Carbon Capture, Utilization &amp; Storage Grid Interconnection project in Global / Multi-country, there is a risk during Commissioning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</si>
  <si>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Carbon Capture, Utilization &amp; Storage, the Commissioning gate, local law, interfaces, and the selected delivery model.</t>
  </si>
  <si>
    <t>GER-2697</t>
  </si>
  <si>
    <t>For a Hydropower R&amp;D / Technology Development project in Middle East, there is a risk during Operations / Handover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</si>
  <si>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Hydropower, the Operations / Handover gate, local law, interfaces, and the selected delivery model.</t>
  </si>
  <si>
    <t>GER-2698</t>
  </si>
  <si>
    <t>For a Nuclear Power Brownfield Modification project in South Asia, there is a risk during Feasibility &amp; Concept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</si>
  <si>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Nuclear Power, the Feasibility &amp; Concept gate, local law, interfaces, and the selected delivery model.</t>
  </si>
  <si>
    <t>GER-2699</t>
  </si>
  <si>
    <t>For a District Energy Owner’s Engineering project in Southeast Asia, there is a risk during FEED / Basic Design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</si>
  <si>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District Energy, the FEED / Basic Design gate, local law, interfaces, and the selected delivery model.</t>
  </si>
  <si>
    <t>GER-2700</t>
  </si>
  <si>
    <t>For a Pumped Storage EPCM project in Latin America, there is a risk during Detailed Engineering that poor maintainability, missing spares or training gap, combined with performance variability, may adversely affect project objectives through quality / cost / hse consequences.</t>
  </si>
  <si>
    <t>Establish controls for poor maintainability, missing spares or training gap; assign actions, verify evidence, and review residual exposure at each gate. Tailor the response to Pumped Storage, the Detailed Engineering gate, local law, interfaces, and the selected delivery model.</t>
  </si>
  <si>
    <t>GER-2701</t>
  </si>
  <si>
    <t>For a Onshore Wind EPC / Turnkey project in Europe, there is a risk during Feasibility &amp; Concept that slow decision, unclear authority or weak escalation, combined with insufficient planning, may adversely affect project objectives through time / cost consequences.</t>
  </si>
  <si>
    <t>Governance &amp; Decision Making</t>
  </si>
  <si>
    <t>Establish controls for slow decision, unclear authority or weak escalation; assign actions, verify evidence, and review residual exposure at each gate. Tailor the response to Onshore Wind, the Feasibility &amp; Concept gate, local law, interfaces, and the selected delivery model.</t>
  </si>
  <si>
    <t>GER-2702</t>
  </si>
  <si>
    <t>For a Biomass / Waste-to-Energy Installation project in Africa, there is a risk during FEED / Basic Design that slow decision, unclear authority or weak escalation, combined with insufficient planning,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</si>
  <si>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FEED / Basic Design gate, local law, interfaces, and the selected delivery model.</t>
  </si>
  <si>
    <t>GER-2703</t>
  </si>
  <si>
    <t>For a Oil &amp; Gas Upstream Operations &amp; Maintenance project in East Asia, there is a risk during Detailed Engineering that slow decision, unclear authority or weak escalation, combined with insufficient planning,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</si>
  <si>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Detailed Engineering gate, local law, interfaces, and the selected delivery model.</t>
  </si>
  <si>
    <t>GER-2704</t>
  </si>
  <si>
    <t>For a Offshore Wind Grid Interconnection project in North America, there is a risk during Procurement that slow decision, unclear authority or weak escalation, combined with insufficient planning,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</si>
  <si>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Procurement gate, local law, interfaces, and the selected delivery model.</t>
  </si>
  <si>
    <t>GER-2705</t>
  </si>
  <si>
    <t>For a Green Hydrogen R&amp;D / Technology Development project in Oceania, there is a risk during Manufacturing that slow decision, unclear authority or weak escalation, combined with insufficient planning,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</si>
  <si>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Manufacturing gate, local law, interfaces, and the selected delivery model.</t>
  </si>
  <si>
    <t>GER-2706</t>
  </si>
  <si>
    <t>For a Concentrated Solar Power EPCM project in Middle East, there is a risk during Detailed Engineering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</si>
  <si>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Detailed Engineering gate, local law, interfaces, and the selected delivery model.</t>
  </si>
  <si>
    <t>GER-2707</t>
  </si>
  <si>
    <t>For a Transmission &amp; Substations Commissioning &amp; Start-up project in South Asia, there is a risk during Procurement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</si>
  <si>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Procurement gate, local law, interfaces, and the selected delivery model.</t>
  </si>
  <si>
    <t>GER-2708</t>
  </si>
  <si>
    <t>For a Carbon Capture, Utilization &amp; Storage Decommissioning project in Southeast Asia, there is a risk during Manufacturing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</si>
  <si>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Manufacturing gate, local law, interfaces, and the selected delivery model.</t>
  </si>
  <si>
    <t>GER-2709</t>
  </si>
  <si>
    <t>For a Hydropower EPC / Turnkey project in Latin America, there is a risk during Construction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</si>
  <si>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Construction gate, local law, interfaces, and the selected delivery model.</t>
  </si>
  <si>
    <t>GER-2710</t>
  </si>
  <si>
    <t>For a Nuclear Power Installation project in Global / Multi-country, there is a risk during Installation that slow decision, unclear authority or weak escalation, combined with incomplete information,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</si>
  <si>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Installation gate, local law, interfaces, and the selected delivery model.</t>
  </si>
  <si>
    <t>GER-2711</t>
  </si>
  <si>
    <t>For a Geothermal R&amp;D / Technology Development project in Africa, there is a risk during Manufacturing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</si>
  <si>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Manufacturing gate, local law, interfaces, and the selected delivery model.</t>
  </si>
  <si>
    <t>GER-2712</t>
  </si>
  <si>
    <t>For a LNG Brownfield Modification project in East Asia, there is a risk during Construction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</si>
  <si>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Construction gate, local law, interfaces, and the selected delivery model.</t>
  </si>
  <si>
    <t>GER-2713</t>
  </si>
  <si>
    <t>For a Onshore Wind Owner’s Engineering project in North America, there is a risk during Installation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</si>
  <si>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Onshore Wind, the Installation gate, local law, interfaces, and the selected delivery model.</t>
  </si>
  <si>
    <t>GER-2714</t>
  </si>
  <si>
    <t>For a Biomass / Waste-to-Energy EPCM project in Oceania, there is a risk during Pre-commissioning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</si>
  <si>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Pre-commissioning gate, local law, interfaces, and the selected delivery model.</t>
  </si>
  <si>
    <t>GER-2715</t>
  </si>
  <si>
    <t>For a Oil &amp; Gas Upstream Commissioning &amp; Start-up project in Europe, there is a risk during Commissioning that slow decision, unclear authority or weak escalation, combined with late decision-making,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</si>
  <si>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Commissioning gate, local law, interfaces, and the selected delivery model.</t>
  </si>
  <si>
    <t>GER-2716</t>
  </si>
  <si>
    <t>For a Battery Energy Storage Installation project in South Asia, there is a risk during Installation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</si>
  <si>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Installation gate, local law, interfaces, and the selected delivery model.</t>
  </si>
  <si>
    <t>GER-2717</t>
  </si>
  <si>
    <t>For a Coal / Thermal Power Operations &amp; Maintenance project in Southeast Asia, there is a risk during Pre-commissioning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</si>
  <si>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Pre-commissioning gate, local law, interfaces, and the selected delivery model.</t>
  </si>
  <si>
    <t>GER-2718</t>
  </si>
  <si>
    <t>For a Concentrated Solar Power Grid Interconnection project in Latin America, there is a risk during Commissioning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</si>
  <si>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Commissioning gate, local law, interfaces, and the selected delivery model.</t>
  </si>
  <si>
    <t>GER-2719</t>
  </si>
  <si>
    <t>For a Transmission &amp; Substations R&amp;D / Technology Development project in Global / Multi-country, there is a risk during Operations / Handover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</si>
  <si>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Operations / Handover gate, local law, interfaces, and the selected delivery model.</t>
  </si>
  <si>
    <t>GER-2720</t>
  </si>
  <si>
    <t>For a Carbon Capture, Utilization &amp; Storage Brownfield Modification project in Middle East, there is a risk during Feasibility &amp; Concept that slow decision, unclear authority or weak escalation, combined with weak controls,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</si>
  <si>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Feasibility &amp; Concept gate, local law, interfaces, and the selected delivery model.</t>
  </si>
  <si>
    <t>GER-2721</t>
  </si>
  <si>
    <t>For a Natural Gas / CCGT Commissioning &amp; Start-up project in East Asia, there is a risk during Commissioning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</si>
  <si>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Commissioning gate, local law, interfaces, and the selected delivery model.</t>
  </si>
  <si>
    <t>GER-2722</t>
  </si>
  <si>
    <t>For a Marine Energy Decommissioning project in North America, there is a risk during Operations / Handover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</si>
  <si>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Operations / Handover gate, local law, interfaces, and the selected delivery model.</t>
  </si>
  <si>
    <t>GER-2723</t>
  </si>
  <si>
    <t>For a Geothermal EPC / Turnkey project in Oceania, there is a risk during Feasibility &amp; Concept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</si>
  <si>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Feasibility &amp; Concept gate, local law, interfaces, and the selected delivery model.</t>
  </si>
  <si>
    <t>GER-2724</t>
  </si>
  <si>
    <t>For a LNG Installation project in Europe, there is a risk during FEED / Basic Design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</si>
  <si>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FEED / Basic Design gate, local law, interfaces, and the selected delivery model.</t>
  </si>
  <si>
    <t>GER-2725</t>
  </si>
  <si>
    <t>For a Onshore Wind Operations &amp; Maintenance project in Africa, there is a risk during Detailed Engineering that slow decision, unclear authority or weak escalation, combined with resource constraints, may adversely affect project objectives through time / cost consequences.</t>
  </si>
  <si>
    <t>Establish controls for slow decision, unclear authority or weak escalation; assign actions, verify evidence, and review residual exposure at each gate. Tailor the response to Onshore Wind, the Detailed Engineering gate, local law, interfaces, and the selected delivery model.</t>
  </si>
  <si>
    <t>GER-2726</t>
  </si>
  <si>
    <t>For a Refining &amp; Petrochemicals Brownfield Modification project in Southeast Asia, there is a risk during Feasibility &amp; Concept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</si>
  <si>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Feasibility &amp; Concept gate, local law, interfaces, and the selected delivery model.</t>
  </si>
  <si>
    <t>GER-2727</t>
  </si>
  <si>
    <t>For a Solar PV Owner’s Engineering project in Latin America, there is a risk during FEED / Basic Design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</si>
  <si>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FEED / Basic Design gate, local law, interfaces, and the selected delivery model.</t>
  </si>
  <si>
    <t>GER-2728</t>
  </si>
  <si>
    <t>For a Battery Energy Storage EPCM project in Global / Multi-country, there is a risk during Detailed Engineering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</si>
  <si>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Detailed Engineering gate, local law, interfaces, and the selected delivery model.</t>
  </si>
  <si>
    <t>GER-2729</t>
  </si>
  <si>
    <t>For a Coal / Thermal Power Commissioning &amp; Start-up project in Middle East, there is a risk during Procurement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</si>
  <si>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Procurement gate, local law, interfaces, and the selected delivery model.</t>
  </si>
  <si>
    <t>GER-2730</t>
  </si>
  <si>
    <t>For a Concentrated Solar Power Decommissioning project in South Asia, there is a risk during Manufacturing that slow decision, unclear authority or weak escalation, combined with supplier dependency,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</si>
  <si>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Manufacturing gate, local law, interfaces, and the selected delivery model.</t>
  </si>
  <si>
    <t>GER-2731</t>
  </si>
  <si>
    <t>For a District Energy Operations &amp; Maintenance project in North America, there is a risk during Detailed Engineering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</si>
  <si>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Detailed Engineering gate, local law, interfaces, and the selected delivery model.</t>
  </si>
  <si>
    <t>GER-2732</t>
  </si>
  <si>
    <t>For a Pumped Storage Grid Interconnection project in Oceania, there is a risk during Procurement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</si>
  <si>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Procurement gate, local law, interfaces, and the selected delivery model.</t>
  </si>
  <si>
    <t>GER-2733</t>
  </si>
  <si>
    <t>For a Natural Gas / CCGT R&amp;D / Technology Development project in Europe, there is a risk during Manufacturing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</si>
  <si>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Manufacturing gate, local law, interfaces, and the selected delivery model.</t>
  </si>
  <si>
    <t>GER-2734</t>
  </si>
  <si>
    <t>For a Marine Energy Brownfield Modification project in Africa, there is a risk during Construction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</si>
  <si>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Construction gate, local law, interfaces, and the selected delivery model.</t>
  </si>
  <si>
    <t>GER-2735</t>
  </si>
  <si>
    <t>For a Geothermal Owner’s Engineering project in East Asia, there is a risk during Installation that slow decision, unclear authority or weak escalation, combined with interface complexity,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</si>
  <si>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Installation gate, local law, interfaces, and the selected delivery model.</t>
  </si>
  <si>
    <t>GER-2736</t>
  </si>
  <si>
    <t>For a Offshore Wind Decommissioning project in Latin America, there is a risk during Manufacturing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</si>
  <si>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Manufacturing gate, local law, interfaces, and the selected delivery model.</t>
  </si>
  <si>
    <t>GER-2737</t>
  </si>
  <si>
    <t>For a Green Hydrogen EPC / Turnkey project in Global / Multi-country, there is a risk during Construction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</si>
  <si>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Construction gate, local law, interfaces, and the selected delivery model.</t>
  </si>
  <si>
    <t>GER-2738</t>
  </si>
  <si>
    <t>For a Refining &amp; Petrochemicals Installation project in Middle East, there is a risk during Installation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</si>
  <si>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Installation gate, local law, interfaces, and the selected delivery model.</t>
  </si>
  <si>
    <t>GER-2739</t>
  </si>
  <si>
    <t>For a Solar PV Operations &amp; Maintenance project in South Asia, there is a risk during Pre-commissioning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</si>
  <si>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Pre-commissioning gate, local law, interfaces, and the selected delivery model.</t>
  </si>
  <si>
    <t>GER-2740</t>
  </si>
  <si>
    <t>For a Battery Energy Storage Grid Interconnection project in Southeast Asia, there is a risk during Commissioning that slow decision, unclear authority or weak escalation, combined with requirements volatility,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</si>
  <si>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Commissioning gate, local law, interfaces, and the selected delivery model.</t>
  </si>
  <si>
    <t>GER-2741</t>
  </si>
  <si>
    <t>For a Hydropower Owner’s Engineering project in Oceania, there is a risk during Installation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</si>
  <si>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Installation gate, local law, interfaces, and the selected delivery model.</t>
  </si>
  <si>
    <t>GER-2742</t>
  </si>
  <si>
    <t>For a Nuclear Power EPCM project in Europe, there is a risk during Pre-commissioning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</si>
  <si>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Pre-commissioning gate, local law, interfaces, and the selected delivery model.</t>
  </si>
  <si>
    <t>GER-2743</t>
  </si>
  <si>
    <t>For a District Energy Commissioning &amp; Start-up project in Africa, there is a risk during Commissioning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</si>
  <si>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Commissioning gate, local law, interfaces, and the selected delivery model.</t>
  </si>
  <si>
    <t>GER-2744</t>
  </si>
  <si>
    <t>For a Pumped Storage Decommissioning project in East Asia, there is a risk during Operations / Handover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</si>
  <si>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Operations / Handover gate, local law, interfaces, and the selected delivery model.</t>
  </si>
  <si>
    <t>GER-2745</t>
  </si>
  <si>
    <t>For a Natural Gas / CCGT EPC / Turnkey project in North America, there is a risk during Feasibility &amp; Concept that slow decision, unclear authority or weak escalation, combined with regulatory uncertainty,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</si>
  <si>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Feasibility &amp; Concept gate, local law, interfaces, and the selected delivery model.</t>
  </si>
  <si>
    <t>GER-2746</t>
  </si>
  <si>
    <t>For a Biomass / Waste-to-Energy Grid Interconnection project in Global / Multi-country, there is a risk during Commissioning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</si>
  <si>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Commissioning gate, local law, interfaces, and the selected delivery model.</t>
  </si>
  <si>
    <t>GER-2747</t>
  </si>
  <si>
    <t>For a Oil &amp; Gas Upstream R&amp;D / Technology Development project in Middle East, there is a risk during Operations / Handover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</si>
  <si>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Operations / Handover gate, local law, interfaces, and the selected delivery model.</t>
  </si>
  <si>
    <t>GER-2748</t>
  </si>
  <si>
    <t>For a Offshore Wind Brownfield Modification project in South Asia, there is a risk during Feasibility &amp; Concept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</si>
  <si>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Feasibility &amp; Concept gate, local law, interfaces, and the selected delivery model.</t>
  </si>
  <si>
    <t>GER-2749</t>
  </si>
  <si>
    <t>For a Green Hydrogen Owner’s Engineering project in Southeast Asia, there is a risk during FEED / Basic Design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</si>
  <si>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FEED / Basic Design gate, local law, interfaces, and the selected delivery model.</t>
  </si>
  <si>
    <t>GER-2750</t>
  </si>
  <si>
    <t>For a Refining &amp; Petrochemicals EPCM project in Latin America, there is a risk during Detailed Engineering that slow decision, unclear authority or weak escalation, combined with inadequate verification,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</si>
  <si>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Detailed Engineering gate, local law, interfaces, and the selected delivery model.</t>
  </si>
  <si>
    <t>GER-2751</t>
  </si>
  <si>
    <t>For a Transmission &amp; Substations EPC / Turnkey project in Europe, there is a risk during Feasibility &amp; Concept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</si>
  <si>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Feasibility &amp; Concept gate, local law, interfaces, and the selected delivery model.</t>
  </si>
  <si>
    <t>GER-2752</t>
  </si>
  <si>
    <t>For a Carbon Capture, Utilization &amp; Storage Installation project in Africa, there is a risk during FEED / Basic Design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</si>
  <si>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FEED / Basic Design gate, local law, interfaces, and the selected delivery model.</t>
  </si>
  <si>
    <t>GER-2753</t>
  </si>
  <si>
    <t>For a Hydropower Operations &amp; Maintenance project in East Asia, there is a risk during Detailed Engineering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</si>
  <si>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Detailed Engineering gate, local law, interfaces, and the selected delivery model.</t>
  </si>
  <si>
    <t>GER-2754</t>
  </si>
  <si>
    <t>For a Nuclear Power Grid Interconnection project in North America, there is a risk during Procurement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</si>
  <si>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Procurement gate, local law, interfaces, and the selected delivery model.</t>
  </si>
  <si>
    <t>GER-2755</t>
  </si>
  <si>
    <t>For a District Energy R&amp;D / Technology Development project in Oceania, there is a risk during Manufacturing that slow decision, unclear authority or weak escalation, combined with poor communication,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</si>
  <si>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Manufacturing gate, local law, interfaces, and the selected delivery model.</t>
  </si>
  <si>
    <t>GER-2756</t>
  </si>
  <si>
    <t>For a LNG EPCM project in Middle East, there is a risk during Detailed Engineering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</si>
  <si>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Detailed Engineering gate, local law, interfaces, and the selected delivery model.</t>
  </si>
  <si>
    <t>GER-2757</t>
  </si>
  <si>
    <t>For a Onshore Wind Commissioning &amp; Start-up project in South Asia, there is a risk during Procurement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</si>
  <si>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Onshore Wind, the Procurement gate, local law, interfaces, and the selected delivery model.</t>
  </si>
  <si>
    <t>GER-2758</t>
  </si>
  <si>
    <t>For a Biomass / Waste-to-Energy Decommissioning project in Southeast Asia, there is a risk during Manufacturing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</si>
  <si>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Manufacturing gate, local law, interfaces, and the selected delivery model.</t>
  </si>
  <si>
    <t>GER-2759</t>
  </si>
  <si>
    <t>For a Oil &amp; Gas Upstream EPC / Turnkey project in Latin America, there is a risk during Construction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</si>
  <si>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Construction gate, local law, interfaces, and the selected delivery model.</t>
  </si>
  <si>
    <t>GER-2760</t>
  </si>
  <si>
    <t>For a Offshore Wind Installation project in Global / Multi-country, there is a risk during Installation that slow decision, unclear authority or weak escalation, combined with incorrect assumptions,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</si>
  <si>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Installation gate, local law, interfaces, and the selected delivery model.</t>
  </si>
  <si>
    <t>GER-2761</t>
  </si>
  <si>
    <t>For a Coal / Thermal Power R&amp;D / Technology Development project in Africa, there is a risk during Manufacturing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</si>
  <si>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Manufacturing gate, local law, interfaces, and the selected delivery model.</t>
  </si>
  <si>
    <t>GER-2762</t>
  </si>
  <si>
    <t>For a Concentrated Solar Power Brownfield Modification project in East Asia, there is a risk during Construction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</si>
  <si>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Construction gate, local law, interfaces, and the selected delivery model.</t>
  </si>
  <si>
    <t>GER-2763</t>
  </si>
  <si>
    <t>For a Transmission &amp; Substations Owner’s Engineering project in North America, there is a risk during Installation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</si>
  <si>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Installation gate, local law, interfaces, and the selected delivery model.</t>
  </si>
  <si>
    <t>GER-2764</t>
  </si>
  <si>
    <t>For a Carbon Capture, Utilization &amp; Storage EPCM project in Oceania, there is a risk during Pre-commissioning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</si>
  <si>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Pre-commissioning gate, local law, interfaces, and the selected delivery model.</t>
  </si>
  <si>
    <t>GER-2765</t>
  </si>
  <si>
    <t>For a Hydropower Commissioning &amp; Start-up project in Europe, there is a risk during Commissioning that slow decision, unclear authority or weak escalation, combined with low technical maturity,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</si>
  <si>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Commissioning gate, local law, interfaces, and the selected delivery model.</t>
  </si>
  <si>
    <t>GER-2766</t>
  </si>
  <si>
    <t>For a Marine Energy Installation project in South Asia, there is a risk during Installation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</si>
  <si>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Installation gate, local law, interfaces, and the selected delivery model.</t>
  </si>
  <si>
    <t>GER-2767</t>
  </si>
  <si>
    <t>For a Geothermal Operations &amp; Maintenance project in Southeast Asia, there is a risk during Pre-commissioning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</si>
  <si>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Pre-commissioning gate, local law, interfaces, and the selected delivery model.</t>
  </si>
  <si>
    <t>GER-2768</t>
  </si>
  <si>
    <t>For a LNG Grid Interconnection project in Latin America, there is a risk during Commissioning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</si>
  <si>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Commissioning gate, local law, interfaces, and the selected delivery model.</t>
  </si>
  <si>
    <t>GER-2769</t>
  </si>
  <si>
    <t>For a Onshore Wind R&amp;D / Technology Development project in Global / Multi-country, there is a risk during Operations / Handover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</si>
  <si>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Onshore Wind, the Operations / Handover gate, local law, interfaces, and the selected delivery model.</t>
  </si>
  <si>
    <t>GER-2770</t>
  </si>
  <si>
    <t>For a Biomass / Waste-to-Energy Brownfield Modification project in Middle East, there is a risk during Feasibility &amp; Concept that slow decision, unclear authority or weak escalation, combined with documentation gaps, may adversely affect project objectives through time / cost consequences.</t>
  </si>
  <si>
    <t>Establish controls for slow decision, unclear authority or weak escalation; assign actions, verify evidence, and review residual exposure at each gate. Tailor the response to Biomass / Waste-to-Energy, the Feasibility &amp; Concept gate, local law, interfaces, and the selected delivery model.</t>
  </si>
  <si>
    <t>GER-2771</t>
  </si>
  <si>
    <t>For a Solar PV Commissioning &amp; Start-up project in East Asia, there is a risk during Commissioning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</si>
  <si>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Commissioning gate, local law, interfaces, and the selected delivery model.</t>
  </si>
  <si>
    <t>GER-2772</t>
  </si>
  <si>
    <t>For a Battery Energy Storage Decommissioning project in North America, there is a risk during Operations / Handover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</si>
  <si>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Operations / Handover gate, local law, interfaces, and the selected delivery model.</t>
  </si>
  <si>
    <t>GER-2773</t>
  </si>
  <si>
    <t>For a Coal / Thermal Power EPC / Turnkey project in Oceania, there is a risk during Feasibility &amp; Concept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</si>
  <si>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Feasibility &amp; Concept gate, local law, interfaces, and the selected delivery model.</t>
  </si>
  <si>
    <t>GER-2774</t>
  </si>
  <si>
    <t>For a Concentrated Solar Power Installation project in Europe, there is a risk during FEED / Basic Design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</si>
  <si>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Concentrated Solar Power, the FEED / Basic Design gate, local law, interfaces, and the selected delivery model.</t>
  </si>
  <si>
    <t>GER-2775</t>
  </si>
  <si>
    <t>For a Transmission &amp; Substations Operations &amp; Maintenance project in Africa, there is a risk during Detailed Engineering that slow decision, unclear authority or weak escalation, combined with external disruption, may adversely affect project objectives through time / cost consequences.</t>
  </si>
  <si>
    <t>Establish controls for slow decision, unclear authority or weak escalation; assign actions, verify evidence, and review residual exposure at each gate. Tailor the response to Transmission &amp; Substations, the Detailed Engineering gate, local law, interfaces, and the selected delivery model.</t>
  </si>
  <si>
    <t>GER-2776</t>
  </si>
  <si>
    <t>For a Pumped Storage Brownfield Modification project in Southeast Asia, there is a risk during Feasibility &amp; Concept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</si>
  <si>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Feasibility &amp; Concept gate, local law, interfaces, and the selected delivery model.</t>
  </si>
  <si>
    <t>GER-2777</t>
  </si>
  <si>
    <t>For a Natural Gas / CCGT Owner’s Engineering project in Latin America, there is a risk during FEED / Basic Design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</si>
  <si>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FEED / Basic Design gate, local law, interfaces, and the selected delivery model.</t>
  </si>
  <si>
    <t>GER-2778</t>
  </si>
  <si>
    <t>For a Marine Energy EPCM project in Global / Multi-country, there is a risk during Detailed Engineering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</si>
  <si>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Detailed Engineering gate, local law, interfaces, and the selected delivery model.</t>
  </si>
  <si>
    <t>GER-2779</t>
  </si>
  <si>
    <t>For a Geothermal Commissioning &amp; Start-up project in Middle East, there is a risk during Procurement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</si>
  <si>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Geothermal, the Procurement gate, local law, interfaces, and the selected delivery model.</t>
  </si>
  <si>
    <t>GER-2780</t>
  </si>
  <si>
    <t>For a LNG Decommissioning project in South Asia, there is a risk during Manufacturing that slow decision, unclear authority or weak escalation, combined with governance delay, may adversely affect project objectives through time / cost consequences.</t>
  </si>
  <si>
    <t>Establish controls for slow decision, unclear authority or weak escalation; assign actions, verify evidence, and review residual exposure at each gate. Tailor the response to LNG, the Manufacturing gate, local law, interfaces, and the selected delivery model.</t>
  </si>
  <si>
    <t>GER-2781</t>
  </si>
  <si>
    <t>For a Green Hydrogen Operations &amp; Maintenance project in North America, there is a risk during Detailed Engineering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</si>
  <si>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Detailed Engineering gate, local law, interfaces, and the selected delivery model.</t>
  </si>
  <si>
    <t>GER-2782</t>
  </si>
  <si>
    <t>For a Refining &amp; Petrochemicals Grid Interconnection project in Oceania, there is a risk during Procurement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</si>
  <si>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Procurement gate, local law, interfaces, and the selected delivery model.</t>
  </si>
  <si>
    <t>GER-2783</t>
  </si>
  <si>
    <t>For a Solar PV R&amp;D / Technology Development project in Europe, there is a risk during Manufacturing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</si>
  <si>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Manufacturing gate, local law, interfaces, and the selected delivery model.</t>
  </si>
  <si>
    <t>GER-2784</t>
  </si>
  <si>
    <t>For a Battery Energy Storage Brownfield Modification project in Africa, there is a risk during Construction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</si>
  <si>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Battery Energy Storage, the Construction gate, local law, interfaces, and the selected delivery model.</t>
  </si>
  <si>
    <t>GER-2785</t>
  </si>
  <si>
    <t>For a Coal / Thermal Power Owner’s Engineering project in East Asia, there is a risk during Installation that slow decision, unclear authority or weak escalation, combined with commercial misalignment, may adversely affect project objectives through time / cost consequences.</t>
  </si>
  <si>
    <t>Establish controls for slow decision, unclear authority or weak escalation; assign actions, verify evidence, and review residual exposure at each gate. Tailor the response to Coal / Thermal Power, the Installation gate, local law, interfaces, and the selected delivery model.</t>
  </si>
  <si>
    <t>GER-2786</t>
  </si>
  <si>
    <t>For a Nuclear Power Decommissioning project in Latin America, there is a risk during Manufacturing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</si>
  <si>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Manufacturing gate, local law, interfaces, and the selected delivery model.</t>
  </si>
  <si>
    <t>GER-2787</t>
  </si>
  <si>
    <t>For a District Energy EPC / Turnkey project in Global / Multi-country, there is a risk during Construction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</si>
  <si>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Construction gate, local law, interfaces, and the selected delivery model.</t>
  </si>
  <si>
    <t>GER-2788</t>
  </si>
  <si>
    <t>For a Pumped Storage Installation project in Middle East, there is a risk during Installation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</si>
  <si>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Installation gate, local law, interfaces, and the selected delivery model.</t>
  </si>
  <si>
    <t>GER-2789</t>
  </si>
  <si>
    <t>For a Natural Gas / CCGT Operations &amp; Maintenance project in South Asia, there is a risk during Pre-commissioning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</si>
  <si>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Natural Gas / CCGT, the Pre-commissioning gate, local law, interfaces, and the selected delivery model.</t>
  </si>
  <si>
    <t>GER-2790</t>
  </si>
  <si>
    <t>For a Marine Energy Grid Interconnection project in Southeast Asia, there is a risk during Commissioning that slow decision, unclear authority or weak escalation, combined with quality escape, may adversely affect project objectives through time / cost consequences.</t>
  </si>
  <si>
    <t>Establish controls for slow decision, unclear authority or weak escalation; assign actions, verify evidence, and review residual exposure at each gate. Tailor the response to Marine Energy, the Commissioning gate, local law, interfaces, and the selected delivery model.</t>
  </si>
  <si>
    <t>GER-2791</t>
  </si>
  <si>
    <t>For a Oil &amp; Gas Upstream Owner’s Engineering project in Oceania, there is a risk during Installation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</si>
  <si>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Oil &amp; Gas Upstream, the Installation gate, local law, interfaces, and the selected delivery model.</t>
  </si>
  <si>
    <t>GER-2792</t>
  </si>
  <si>
    <t>For a Offshore Wind EPCM project in Europe, there is a risk during Pre-commissioning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</si>
  <si>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Offshore Wind, the Pre-commissioning gate, local law, interfaces, and the selected delivery model.</t>
  </si>
  <si>
    <t>GER-2793</t>
  </si>
  <si>
    <t>For a Green Hydrogen Commissioning &amp; Start-up project in Africa, there is a risk during Commissioning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</si>
  <si>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Green Hydrogen, the Commissioning gate, local law, interfaces, and the selected delivery model.</t>
  </si>
  <si>
    <t>GER-2794</t>
  </si>
  <si>
    <t>For a Refining &amp; Petrochemicals Decommissioning project in East Asia, there is a risk during Operations / Handover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</si>
  <si>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Refining &amp; Petrochemicals, the Operations / Handover gate, local law, interfaces, and the selected delivery model.</t>
  </si>
  <si>
    <t>GER-2795</t>
  </si>
  <si>
    <t>For a Solar PV EPC / Turnkey project in North America, there is a risk during Feasibility &amp; Concept that slow decision, unclear authority or weak escalation, combined with access constraint, may adversely affect project objectives through time / cost consequences.</t>
  </si>
  <si>
    <t>Establish controls for slow decision, unclear authority or weak escalation; assign actions, verify evidence, and review residual exposure at each gate. Tailor the response to Solar PV, the Feasibility &amp; Concept gate, local law, interfaces, and the selected delivery model.</t>
  </si>
  <si>
    <t>GER-2796</t>
  </si>
  <si>
    <t>For a Carbon Capture, Utilization &amp; Storage Grid Interconnection project in Global / Multi-country, there is a risk during Commissioning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</si>
  <si>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Carbon Capture, Utilization &amp; Storage, the Commissioning gate, local law, interfaces, and the selected delivery model.</t>
  </si>
  <si>
    <t>GER-2797</t>
  </si>
  <si>
    <t>For a Hydropower R&amp;D / Technology Development project in Middle East, there is a risk during Operations / Handover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</si>
  <si>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Hydropower, the Operations / Handover gate, local law, interfaces, and the selected delivery model.</t>
  </si>
  <si>
    <t>GER-2798</t>
  </si>
  <si>
    <t>For a Nuclear Power Brownfield Modification project in South Asia, there is a risk during Feasibility &amp; Concept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</si>
  <si>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Nuclear Power, the Feasibility &amp; Concept gate, local law, interfaces, and the selected delivery model.</t>
  </si>
  <si>
    <t>GER-2799</t>
  </si>
  <si>
    <t>For a District Energy Owner’s Engineering project in Southeast Asia, there is a risk during FEED / Basic Design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</si>
  <si>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District Energy, the FEED / Basic Design gate, local law, interfaces, and the selected delivery model.</t>
  </si>
  <si>
    <t>GER-2800</t>
  </si>
  <si>
    <t>For a Pumped Storage EPCM project in Latin America, there is a risk during Detailed Engineering that slow decision, unclear authority or weak escalation, combined with performance variability, may adversely affect project objectives through time / cost consequences.</t>
  </si>
  <si>
    <t>Establish controls for slow decision, unclear authority or weak escalation; assign actions, verify evidence, and review residual exposure at each gate. Tailor the response to Pumped Storage, the Detailed Engineering gate, local law, interfaces, and the selected delivery model.</t>
  </si>
  <si>
    <t>GER-2801</t>
  </si>
  <si>
    <t>For a Onshore Wind EPC / Turnkey project in Europe, there is a risk during Feasibility &amp; Concept that bribery, fraud, sanctions or conflict of interest, combined with insufficient planning, may adversely affect project objectives through cost / quality consequences.</t>
  </si>
  <si>
    <t>Fraud, Ethics &amp; Compliance</t>
  </si>
  <si>
    <t>Cost / Quality</t>
  </si>
  <si>
    <t>Establish controls for bribery, fraud, sanctions or conflict of interest; assign actions, verify evidence, and review residual exposure at each gate. Tailor the response to Onshore Wind, the Feasibility &amp; Concept gate, local law, interfaces, and the selected delivery model.</t>
  </si>
  <si>
    <t>Compliance Officer</t>
  </si>
  <si>
    <t>GER-2802</t>
  </si>
  <si>
    <t>For a Biomass / Waste-to-Energy Installation project in Africa, there is a risk during FEED / Basic Design that bribery, fraud, sanctions or conflict of interest, combined with insufficient planning,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</si>
  <si>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FEED / Basic Design gate, local law, interfaces, and the selected delivery model.</t>
  </si>
  <si>
    <t>GER-2803</t>
  </si>
  <si>
    <t>For a Oil &amp; Gas Upstream Operations &amp; Maintenance project in East Asia, there is a risk during Detailed Engineering that bribery, fraud, sanctions or conflict of interest, combined with insufficient planning,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</si>
  <si>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Detailed Engineering gate, local law, interfaces, and the selected delivery model.</t>
  </si>
  <si>
    <t>GER-2804</t>
  </si>
  <si>
    <t>For a Offshore Wind Grid Interconnection project in North America, there is a risk during Procurement that bribery, fraud, sanctions or conflict of interest, combined with insufficient planning,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</si>
  <si>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Procurement gate, local law, interfaces, and the selected delivery model.</t>
  </si>
  <si>
    <t>GER-2805</t>
  </si>
  <si>
    <t>For a Green Hydrogen R&amp;D / Technology Development project in Oceania, there is a risk during Manufacturing that bribery, fraud, sanctions or conflict of interest, combined with insufficient planning,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</si>
  <si>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Manufacturing gate, local law, interfaces, and the selected delivery model.</t>
  </si>
  <si>
    <t>GER-2806</t>
  </si>
  <si>
    <t>For a Concentrated Solar Power EPCM project in Middle East, there is a risk during Detailed Engineering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</si>
  <si>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Detailed Engineering gate, local law, interfaces, and the selected delivery model.</t>
  </si>
  <si>
    <t>GER-2807</t>
  </si>
  <si>
    <t>For a Transmission &amp; Substations Commissioning &amp; Start-up project in South Asia, there is a risk during Procurement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</si>
  <si>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Procurement gate, local law, interfaces, and the selected delivery model.</t>
  </si>
  <si>
    <t>GER-2808</t>
  </si>
  <si>
    <t>For a Carbon Capture, Utilization &amp; Storage Decommissioning project in Southeast Asia, there is a risk during Manufacturing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</si>
  <si>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Manufacturing gate, local law, interfaces, and the selected delivery model.</t>
  </si>
  <si>
    <t>GER-2809</t>
  </si>
  <si>
    <t>For a Hydropower EPC / Turnkey project in Latin America, there is a risk during Construction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</si>
  <si>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Construction gate, local law, interfaces, and the selected delivery model.</t>
  </si>
  <si>
    <t>GER-2810</t>
  </si>
  <si>
    <t>For a Nuclear Power Installation project in Global / Multi-country, there is a risk during Installation that bribery, fraud, sanctions or conflict of interest, combined with incomplete information,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</si>
  <si>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Installation gate, local law, interfaces, and the selected delivery model.</t>
  </si>
  <si>
    <t>GER-2811</t>
  </si>
  <si>
    <t>For a Geothermal R&amp;D / Technology Development project in Africa, there is a risk during Manufacturing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</si>
  <si>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Manufacturing gate, local law, interfaces, and the selected delivery model.</t>
  </si>
  <si>
    <t>GER-2812</t>
  </si>
  <si>
    <t>For a LNG Brownfield Modification project in East Asia, there is a risk during Construction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</si>
  <si>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Construction gate, local law, interfaces, and the selected delivery model.</t>
  </si>
  <si>
    <t>GER-2813</t>
  </si>
  <si>
    <t>For a Onshore Wind Owner’s Engineering project in North America, there is a risk during Installation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</si>
  <si>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Onshore Wind, the Installation gate, local law, interfaces, and the selected delivery model.</t>
  </si>
  <si>
    <t>GER-2814</t>
  </si>
  <si>
    <t>For a Biomass / Waste-to-Energy EPCM project in Oceania, there is a risk during Pre-commissioning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</si>
  <si>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Pre-commissioning gate, local law, interfaces, and the selected delivery model.</t>
  </si>
  <si>
    <t>GER-2815</t>
  </si>
  <si>
    <t>For a Oil &amp; Gas Upstream Commissioning &amp; Start-up project in Europe, there is a risk during Commissioning that bribery, fraud, sanctions or conflict of interest, combined with late decision-making,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</si>
  <si>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Commissioning gate, local law, interfaces, and the selected delivery model.</t>
  </si>
  <si>
    <t>GER-2816</t>
  </si>
  <si>
    <t>For a Battery Energy Storage Installation project in South Asia, there is a risk during Installation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</si>
  <si>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Installation gate, local law, interfaces, and the selected delivery model.</t>
  </si>
  <si>
    <t>GER-2817</t>
  </si>
  <si>
    <t>For a Coal / Thermal Power Operations &amp; Maintenance project in Southeast Asia, there is a risk during Pre-commissioning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</si>
  <si>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Pre-commissioning gate, local law, interfaces, and the selected delivery model.</t>
  </si>
  <si>
    <t>GER-2818</t>
  </si>
  <si>
    <t>For a Concentrated Solar Power Grid Interconnection project in Latin America, there is a risk during Commissioning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</si>
  <si>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Commissioning gate, local law, interfaces, and the selected delivery model.</t>
  </si>
  <si>
    <t>GER-2819</t>
  </si>
  <si>
    <t>For a Transmission &amp; Substations R&amp;D / Technology Development project in Global / Multi-country, there is a risk during Operations / Handover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</si>
  <si>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Operations / Handover gate, local law, interfaces, and the selected delivery model.</t>
  </si>
  <si>
    <t>GER-2820</t>
  </si>
  <si>
    <t>For a Carbon Capture, Utilization &amp; Storage Brownfield Modification project in Middle East, there is a risk during Feasibility &amp; Concept that bribery, fraud, sanctions or conflict of interest, combined with weak controls,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</si>
  <si>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Feasibility &amp; Concept gate, local law, interfaces, and the selected delivery model.</t>
  </si>
  <si>
    <t>GER-2821</t>
  </si>
  <si>
    <t>For a Natural Gas / CCGT Commissioning &amp; Start-up project in East Asia, there is a risk during Commissioning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</si>
  <si>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Commissioning gate, local law, interfaces, and the selected delivery model.</t>
  </si>
  <si>
    <t>GER-2822</t>
  </si>
  <si>
    <t>For a Marine Energy Decommissioning project in North America, there is a risk during Operations / Handover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</si>
  <si>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Operations / Handover gate, local law, interfaces, and the selected delivery model.</t>
  </si>
  <si>
    <t>GER-2823</t>
  </si>
  <si>
    <t>For a Geothermal EPC / Turnkey project in Oceania, there is a risk during Feasibility &amp; Concept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</si>
  <si>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Feasibility &amp; Concept gate, local law, interfaces, and the selected delivery model.</t>
  </si>
  <si>
    <t>GER-2824</t>
  </si>
  <si>
    <t>For a LNG Installation project in Europe, there is a risk during FEED / Basic Design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</si>
  <si>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FEED / Basic Design gate, local law, interfaces, and the selected delivery model.</t>
  </si>
  <si>
    <t>GER-2825</t>
  </si>
  <si>
    <t>For a Onshore Wind Operations &amp; Maintenance project in Africa, there is a risk during Detailed Engineering that bribery, fraud, sanctions or conflict of interest, combined with resource constraints,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</si>
  <si>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Onshore Wind, the Detailed Engineering gate, local law, interfaces, and the selected delivery model.</t>
  </si>
  <si>
    <t>GER-2826</t>
  </si>
  <si>
    <t>For a Refining &amp; Petrochemicals Brownfield Modification project in Southeast Asia, there is a risk during Feasibility &amp; Concept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</si>
  <si>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Feasibility &amp; Concept gate, local law, interfaces, and the selected delivery model.</t>
  </si>
  <si>
    <t>GER-2827</t>
  </si>
  <si>
    <t>For a Solar PV Owner’s Engineering project in Latin America, there is a risk during FEED / Basic Design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</si>
  <si>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FEED / Basic Design gate, local law, interfaces, and the selected delivery model.</t>
  </si>
  <si>
    <t>GER-2828</t>
  </si>
  <si>
    <t>For a Battery Energy Storage EPCM project in Global / Multi-country, there is a risk during Detailed Engineering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</si>
  <si>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Detailed Engineering gate, local law, interfaces, and the selected delivery model.</t>
  </si>
  <si>
    <t>GER-2829</t>
  </si>
  <si>
    <t>For a Coal / Thermal Power Commissioning &amp; Start-up project in Middle East, there is a risk during Procurement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</si>
  <si>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Procurement gate, local law, interfaces, and the selected delivery model.</t>
  </si>
  <si>
    <t>GER-2830</t>
  </si>
  <si>
    <t>For a Concentrated Solar Power Decommissioning project in South Asia, there is a risk during Manufacturing that bribery, fraud, sanctions or conflict of interest, combined with supplier dependency,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</si>
  <si>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Manufacturing gate, local law, interfaces, and the selected delivery model.</t>
  </si>
  <si>
    <t>GER-2831</t>
  </si>
  <si>
    <t>For a District Energy Operations &amp; Maintenance project in North America, there is a risk during Detailed Engineering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</si>
  <si>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Detailed Engineering gate, local law, interfaces, and the selected delivery model.</t>
  </si>
  <si>
    <t>GER-2832</t>
  </si>
  <si>
    <t>For a Pumped Storage Grid Interconnection project in Oceania, there is a risk during Procurement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</si>
  <si>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Procurement gate, local law, interfaces, and the selected delivery model.</t>
  </si>
  <si>
    <t>GER-2833</t>
  </si>
  <si>
    <t>For a Natural Gas / CCGT R&amp;D / Technology Development project in Europe, there is a risk during Manufacturing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</si>
  <si>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Manufacturing gate, local law, interfaces, and the selected delivery model.</t>
  </si>
  <si>
    <t>GER-2834</t>
  </si>
  <si>
    <t>For a Marine Energy Brownfield Modification project in Africa, there is a risk during Construction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</si>
  <si>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Construction gate, local law, interfaces, and the selected delivery model.</t>
  </si>
  <si>
    <t>GER-2835</t>
  </si>
  <si>
    <t>For a Geothermal Owner’s Engineering project in East Asia, there is a risk during Installation that bribery, fraud, sanctions or conflict of interest, combined with interface complexity,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</si>
  <si>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Installation gate, local law, interfaces, and the selected delivery model.</t>
  </si>
  <si>
    <t>GER-2836</t>
  </si>
  <si>
    <t>For a Offshore Wind Decommissioning project in Latin America, there is a risk during Manufacturing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</si>
  <si>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Manufacturing gate, local law, interfaces, and the selected delivery model.</t>
  </si>
  <si>
    <t>GER-2837</t>
  </si>
  <si>
    <t>For a Green Hydrogen EPC / Turnkey project in Global / Multi-country, there is a risk during Construction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</si>
  <si>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Construction gate, local law, interfaces, and the selected delivery model.</t>
  </si>
  <si>
    <t>GER-2838</t>
  </si>
  <si>
    <t>For a Refining &amp; Petrochemicals Installation project in Middle East, there is a risk during Installation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</si>
  <si>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Installation gate, local law, interfaces, and the selected delivery model.</t>
  </si>
  <si>
    <t>GER-2839</t>
  </si>
  <si>
    <t>For a Solar PV Operations &amp; Maintenance project in South Asia, there is a risk during Pre-commissioning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</si>
  <si>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Pre-commissioning gate, local law, interfaces, and the selected delivery model.</t>
  </si>
  <si>
    <t>GER-2840</t>
  </si>
  <si>
    <t>For a Battery Energy Storage Grid Interconnection project in Southeast Asia, there is a risk during Commissioning that bribery, fraud, sanctions or conflict of interest, combined with requirements volatility,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</si>
  <si>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Commissioning gate, local law, interfaces, and the selected delivery model.</t>
  </si>
  <si>
    <t>GER-2841</t>
  </si>
  <si>
    <t>For a Hydropower Owner’s Engineering project in Oceania, there is a risk during Installation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</si>
  <si>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Installation gate, local law, interfaces, and the selected delivery model.</t>
  </si>
  <si>
    <t>GER-2842</t>
  </si>
  <si>
    <t>For a Nuclear Power EPCM project in Europe, there is a risk during Pre-commissioning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</si>
  <si>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Pre-commissioning gate, local law, interfaces, and the selected delivery model.</t>
  </si>
  <si>
    <t>GER-2843</t>
  </si>
  <si>
    <t>For a District Energy Commissioning &amp; Start-up project in Africa, there is a risk during Commissioning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</si>
  <si>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Commissioning gate, local law, interfaces, and the selected delivery model.</t>
  </si>
  <si>
    <t>GER-2844</t>
  </si>
  <si>
    <t>For a Pumped Storage Decommissioning project in East Asia, there is a risk during Operations / Handover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</si>
  <si>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Operations / Handover gate, local law, interfaces, and the selected delivery model.</t>
  </si>
  <si>
    <t>GER-2845</t>
  </si>
  <si>
    <t>For a Natural Gas / CCGT EPC / Turnkey project in North America, there is a risk during Feasibility &amp; Concept that bribery, fraud, sanctions or conflict of interest, combined with regulatory uncertainty,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</si>
  <si>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Feasibility &amp; Concept gate, local law, interfaces, and the selected delivery model.</t>
  </si>
  <si>
    <t>GER-2846</t>
  </si>
  <si>
    <t>For a Biomass / Waste-to-Energy Grid Interconnection project in Global / Multi-country, there is a risk during Commissioning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</si>
  <si>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Commissioning gate, local law, interfaces, and the selected delivery model.</t>
  </si>
  <si>
    <t>GER-2847</t>
  </si>
  <si>
    <t>For a Oil &amp; Gas Upstream R&amp;D / Technology Development project in Middle East, there is a risk during Operations / Handover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</si>
  <si>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Operations / Handover gate, local law, interfaces, and the selected delivery model.</t>
  </si>
  <si>
    <t>GER-2848</t>
  </si>
  <si>
    <t>For a Offshore Wind Brownfield Modification project in South Asia, there is a risk during Feasibility &amp; Concept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</si>
  <si>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Feasibility &amp; Concept gate, local law, interfaces, and the selected delivery model.</t>
  </si>
  <si>
    <t>GER-2849</t>
  </si>
  <si>
    <t>For a Green Hydrogen Owner’s Engineering project in Southeast Asia, there is a risk during FEED / Basic Design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</si>
  <si>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FEED / Basic Design gate, local law, interfaces, and the selected delivery model.</t>
  </si>
  <si>
    <t>GER-2850</t>
  </si>
  <si>
    <t>For a Refining &amp; Petrochemicals EPCM project in Latin America, there is a risk during Detailed Engineering that bribery, fraud, sanctions or conflict of interest, combined with inadequate verification,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</si>
  <si>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Detailed Engineering gate, local law, interfaces, and the selected delivery model.</t>
  </si>
  <si>
    <t>GER-2851</t>
  </si>
  <si>
    <t>For a Transmission &amp; Substations EPC / Turnkey project in Europe, there is a risk during Feasibility &amp; Concept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</si>
  <si>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Feasibility &amp; Concept gate, local law, interfaces, and the selected delivery model.</t>
  </si>
  <si>
    <t>GER-2852</t>
  </si>
  <si>
    <t>For a Carbon Capture, Utilization &amp; Storage Installation project in Africa, there is a risk during FEED / Basic Design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</si>
  <si>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FEED / Basic Design gate, local law, interfaces, and the selected delivery model.</t>
  </si>
  <si>
    <t>GER-2853</t>
  </si>
  <si>
    <t>For a Hydropower Operations &amp; Maintenance project in East Asia, there is a risk during Detailed Engineering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</si>
  <si>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Detailed Engineering gate, local law, interfaces, and the selected delivery model.</t>
  </si>
  <si>
    <t>GER-2854</t>
  </si>
  <si>
    <t>For a Nuclear Power Grid Interconnection project in North America, there is a risk during Procurement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</si>
  <si>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Procurement gate, local law, interfaces, and the selected delivery model.</t>
  </si>
  <si>
    <t>GER-2855</t>
  </si>
  <si>
    <t>For a District Energy R&amp;D / Technology Development project in Oceania, there is a risk during Manufacturing that bribery, fraud, sanctions or conflict of interest, combined with poor communication,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</si>
  <si>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Manufacturing gate, local law, interfaces, and the selected delivery model.</t>
  </si>
  <si>
    <t>GER-2856</t>
  </si>
  <si>
    <t>For a LNG EPCM project in Middle East, there is a risk during Detailed Engineering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</si>
  <si>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Detailed Engineering gate, local law, interfaces, and the selected delivery model.</t>
  </si>
  <si>
    <t>GER-2857</t>
  </si>
  <si>
    <t>For a Onshore Wind Commissioning &amp; Start-up project in South Asia, there is a risk during Procurement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</si>
  <si>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Onshore Wind, the Procurement gate, local law, interfaces, and the selected delivery model.</t>
  </si>
  <si>
    <t>GER-2858</t>
  </si>
  <si>
    <t>For a Biomass / Waste-to-Energy Decommissioning project in Southeast Asia, there is a risk during Manufacturing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</si>
  <si>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Manufacturing gate, local law, interfaces, and the selected delivery model.</t>
  </si>
  <si>
    <t>GER-2859</t>
  </si>
  <si>
    <t>For a Oil &amp; Gas Upstream EPC / Turnkey project in Latin America, there is a risk during Construction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</si>
  <si>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Construction gate, local law, interfaces, and the selected delivery model.</t>
  </si>
  <si>
    <t>GER-2860</t>
  </si>
  <si>
    <t>For a Offshore Wind Installation project in Global / Multi-country, there is a risk during Installation that bribery, fraud, sanctions or conflict of interest, combined with incorrect assumptions,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</si>
  <si>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Installation gate, local law, interfaces, and the selected delivery model.</t>
  </si>
  <si>
    <t>GER-2861</t>
  </si>
  <si>
    <t>For a Coal / Thermal Power R&amp;D / Technology Development project in Africa, there is a risk during Manufacturing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</si>
  <si>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Manufacturing gate, local law, interfaces, and the selected delivery model.</t>
  </si>
  <si>
    <t>GER-2862</t>
  </si>
  <si>
    <t>For a Concentrated Solar Power Brownfield Modification project in East Asia, there is a risk during Construction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</si>
  <si>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Construction gate, local law, interfaces, and the selected delivery model.</t>
  </si>
  <si>
    <t>GER-2863</t>
  </si>
  <si>
    <t>For a Transmission &amp; Substations Owner’s Engineering project in North America, there is a risk during Installation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</si>
  <si>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Installation gate, local law, interfaces, and the selected delivery model.</t>
  </si>
  <si>
    <t>GER-2864</t>
  </si>
  <si>
    <t>For a Carbon Capture, Utilization &amp; Storage EPCM project in Oceania, there is a risk during Pre-commissioning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</si>
  <si>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Pre-commissioning gate, local law, interfaces, and the selected delivery model.</t>
  </si>
  <si>
    <t>GER-2865</t>
  </si>
  <si>
    <t>For a Hydropower Commissioning &amp; Start-up project in Europe, there is a risk during Commissioning that bribery, fraud, sanctions or conflict of interest, combined with low technical maturity,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</si>
  <si>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Commissioning gate, local law, interfaces, and the selected delivery model.</t>
  </si>
  <si>
    <t>GER-2866</t>
  </si>
  <si>
    <t>For a Marine Energy Installation project in South Asia, there is a risk during Installation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</si>
  <si>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Installation gate, local law, interfaces, and the selected delivery model.</t>
  </si>
  <si>
    <t>GER-2867</t>
  </si>
  <si>
    <t>For a Geothermal Operations &amp; Maintenance project in Southeast Asia, there is a risk during Pre-commissioning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</si>
  <si>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Pre-commissioning gate, local law, interfaces, and the selected delivery model.</t>
  </si>
  <si>
    <t>GER-2868</t>
  </si>
  <si>
    <t>For a LNG Grid Interconnection project in Latin America, there is a risk during Commissioning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</si>
  <si>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Commissioning gate, local law, interfaces, and the selected delivery model.</t>
  </si>
  <si>
    <t>GER-2869</t>
  </si>
  <si>
    <t>For a Onshore Wind R&amp;D / Technology Development project in Global / Multi-country, there is a risk during Operations / Handover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</si>
  <si>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Onshore Wind, the Operations / Handover gate, local law, interfaces, and the selected delivery model.</t>
  </si>
  <si>
    <t>GER-2870</t>
  </si>
  <si>
    <t>For a Biomass / Waste-to-Energy Brownfield Modification project in Middle East, there is a risk during Feasibility &amp; Concept that bribery, fraud, sanctions or conflict of interest, combined with documentation gaps, may adversely affect project objectives through cost / quality consequences.</t>
  </si>
  <si>
    <t>Establish controls for bribery, fraud, sanctions or conflict of interest; assign actions, verify evidence, and review residual exposure at each gate. Tailor the response to Biomass / Waste-to-Energy, the Feasibility &amp; Concept gate, local law, interfaces, and the selected delivery model.</t>
  </si>
  <si>
    <t>GER-2871</t>
  </si>
  <si>
    <t>For a Solar PV Commissioning &amp; Start-up project in East Asia, there is a risk during Commissioning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</si>
  <si>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Commissioning gate, local law, interfaces, and the selected delivery model.</t>
  </si>
  <si>
    <t>GER-2872</t>
  </si>
  <si>
    <t>For a Battery Energy Storage Decommissioning project in North America, there is a risk during Operations / Handover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</si>
  <si>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Operations / Handover gate, local law, interfaces, and the selected delivery model.</t>
  </si>
  <si>
    <t>GER-2873</t>
  </si>
  <si>
    <t>For a Coal / Thermal Power EPC / Turnkey project in Oceania, there is a risk during Feasibility &amp; Concept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</si>
  <si>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Feasibility &amp; Concept gate, local law, interfaces, and the selected delivery model.</t>
  </si>
  <si>
    <t>GER-2874</t>
  </si>
  <si>
    <t>For a Concentrated Solar Power Installation project in Europe, there is a risk during FEED / Basic Design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</si>
  <si>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Concentrated Solar Power, the FEED / Basic Design gate, local law, interfaces, and the selected delivery model.</t>
  </si>
  <si>
    <t>GER-2875</t>
  </si>
  <si>
    <t>For a Transmission &amp; Substations Operations &amp; Maintenance project in Africa, there is a risk during Detailed Engineering that bribery, fraud, sanctions or conflict of interest, combined with external disruption, may adversely affect project objectives through cost / quality consequences.</t>
  </si>
  <si>
    <t>Establish controls for bribery, fraud, sanctions or conflict of interest; assign actions, verify evidence, and review residual exposure at each gate. Tailor the response to Transmission &amp; Substations, the Detailed Engineering gate, local law, interfaces, and the selected delivery model.</t>
  </si>
  <si>
    <t>GER-2876</t>
  </si>
  <si>
    <t>For a Pumped Storage Brownfield Modification project in Southeast Asia, there is a risk during Feasibility &amp; Concept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</si>
  <si>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Feasibility &amp; Concept gate, local law, interfaces, and the selected delivery model.</t>
  </si>
  <si>
    <t>GER-2877</t>
  </si>
  <si>
    <t>For a Natural Gas / CCGT Owner’s Engineering project in Latin America, there is a risk during FEED / Basic Design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</si>
  <si>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FEED / Basic Design gate, local law, interfaces, and the selected delivery model.</t>
  </si>
  <si>
    <t>GER-2878</t>
  </si>
  <si>
    <t>For a Marine Energy EPCM project in Global / Multi-country, there is a risk during Detailed Engineering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</si>
  <si>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Detailed Engineering gate, local law, interfaces, and the selected delivery model.</t>
  </si>
  <si>
    <t>GER-2879</t>
  </si>
  <si>
    <t>For a Geothermal Commissioning &amp; Start-up project in Middle East, there is a risk during Procurement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</si>
  <si>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Geothermal, the Procurement gate, local law, interfaces, and the selected delivery model.</t>
  </si>
  <si>
    <t>GER-2880</t>
  </si>
  <si>
    <t>For a LNG Decommissioning project in South Asia, there is a risk during Manufacturing that bribery, fraud, sanctions or conflict of interest, combined with governance delay, may adversely affect project objectives through cost / quality consequences.</t>
  </si>
  <si>
    <t>Establish controls for bribery, fraud, sanctions or conflict of interest; assign actions, verify evidence, and review residual exposure at each gate. Tailor the response to LNG, the Manufacturing gate, local law, interfaces, and the selected delivery model.</t>
  </si>
  <si>
    <t>GER-2881</t>
  </si>
  <si>
    <t>For a Green Hydrogen Operations &amp; Maintenance project in North America, there is a risk during Detailed Engineering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</si>
  <si>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Detailed Engineering gate, local law, interfaces, and the selected delivery model.</t>
  </si>
  <si>
    <t>GER-2882</t>
  </si>
  <si>
    <t>For a Refining &amp; Petrochemicals Grid Interconnection project in Oceania, there is a risk during Procurement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</si>
  <si>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Procurement gate, local law, interfaces, and the selected delivery model.</t>
  </si>
  <si>
    <t>GER-2883</t>
  </si>
  <si>
    <t>For a Solar PV R&amp;D / Technology Development project in Europe, there is a risk during Manufacturing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</si>
  <si>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Manufacturing gate, local law, interfaces, and the selected delivery model.</t>
  </si>
  <si>
    <t>GER-2884</t>
  </si>
  <si>
    <t>For a Battery Energy Storage Brownfield Modification project in Africa, there is a risk during Construction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</si>
  <si>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Battery Energy Storage, the Construction gate, local law, interfaces, and the selected delivery model.</t>
  </si>
  <si>
    <t>GER-2885</t>
  </si>
  <si>
    <t>For a Coal / Thermal Power Owner’s Engineering project in East Asia, there is a risk during Installation that bribery, fraud, sanctions or conflict of interest, combined with commercial misalignment,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</si>
  <si>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Coal / Thermal Power, the Installation gate, local law, interfaces, and the selected delivery model.</t>
  </si>
  <si>
    <t>GER-2886</t>
  </si>
  <si>
    <t>For a Nuclear Power Decommissioning project in Latin America, there is a risk during Manufacturing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</si>
  <si>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Manufacturing gate, local law, interfaces, and the selected delivery model.</t>
  </si>
  <si>
    <t>GER-2887</t>
  </si>
  <si>
    <t>For a District Energy EPC / Turnkey project in Global / Multi-country, there is a risk during Construction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</si>
  <si>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Construction gate, local law, interfaces, and the selected delivery model.</t>
  </si>
  <si>
    <t>GER-2888</t>
  </si>
  <si>
    <t>For a Pumped Storage Installation project in Middle East, there is a risk during Installation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</si>
  <si>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Installation gate, local law, interfaces, and the selected delivery model.</t>
  </si>
  <si>
    <t>GER-2889</t>
  </si>
  <si>
    <t>For a Natural Gas / CCGT Operations &amp; Maintenance project in South Asia, there is a risk during Pre-commissioning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</si>
  <si>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Natural Gas / CCGT, the Pre-commissioning gate, local law, interfaces, and the selected delivery model.</t>
  </si>
  <si>
    <t>GER-2890</t>
  </si>
  <si>
    <t>For a Marine Energy Grid Interconnection project in Southeast Asia, there is a risk during Commissioning that bribery, fraud, sanctions or conflict of interest, combined with quality escape, may adversely affect project objectives through cost / quality consequences.</t>
  </si>
  <si>
    <t>Establish controls for bribery, fraud, sanctions or conflict of interest; assign actions, verify evidence, and review residual exposure at each gate. Tailor the response to Marine Energy, the Commissioning gate, local law, interfaces, and the selected delivery model.</t>
  </si>
  <si>
    <t>GER-2891</t>
  </si>
  <si>
    <t>For a Oil &amp; Gas Upstream Owner’s Engineering project in Oceania, there is a risk during Installation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</si>
  <si>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Oil &amp; Gas Upstream, the Installation gate, local law, interfaces, and the selected delivery model.</t>
  </si>
  <si>
    <t>GER-2892</t>
  </si>
  <si>
    <t>For a Offshore Wind EPCM project in Europe, there is a risk during Pre-commissioning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</si>
  <si>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Offshore Wind, the Pre-commissioning gate, local law, interfaces, and the selected delivery model.</t>
  </si>
  <si>
    <t>GER-2893</t>
  </si>
  <si>
    <t>For a Green Hydrogen Commissioning &amp; Start-up project in Africa, there is a risk during Commissioning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</si>
  <si>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Green Hydrogen, the Commissioning gate, local law, interfaces, and the selected delivery model.</t>
  </si>
  <si>
    <t>GER-2894</t>
  </si>
  <si>
    <t>For a Refining &amp; Petrochemicals Decommissioning project in East Asia, there is a risk during Operations / Handover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</si>
  <si>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Refining &amp; Petrochemicals, the Operations / Handover gate, local law, interfaces, and the selected delivery model.</t>
  </si>
  <si>
    <t>GER-2895</t>
  </si>
  <si>
    <t>For a Solar PV EPC / Turnkey project in North America, there is a risk during Feasibility &amp; Concept that bribery, fraud, sanctions or conflict of interest, combined with access constraint, may adversely affect project objectives through cost / quality consequences.</t>
  </si>
  <si>
    <t>Establish controls for bribery, fraud, sanctions or conflict of interest; assign actions, verify evidence, and review residual exposure at each gate. Tailor the response to Solar PV, the Feasibility &amp; Concept gate, local law, interfaces, and the selected delivery model.</t>
  </si>
  <si>
    <t>GER-2896</t>
  </si>
  <si>
    <t>For a Carbon Capture, Utilization &amp; Storage Grid Interconnection project in Global / Multi-country, there is a risk during Commissioning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</si>
  <si>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Carbon Capture, Utilization &amp; Storage, the Commissioning gate, local law, interfaces, and the selected delivery model.</t>
  </si>
  <si>
    <t>GER-2897</t>
  </si>
  <si>
    <t>For a Hydropower R&amp;D / Technology Development project in Middle East, there is a risk during Operations / Handover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</si>
  <si>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Hydropower, the Operations / Handover gate, local law, interfaces, and the selected delivery model.</t>
  </si>
  <si>
    <t>GER-2898</t>
  </si>
  <si>
    <t>For a Nuclear Power Brownfield Modification project in South Asia, there is a risk during Feasibility &amp; Concept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</si>
  <si>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Nuclear Power, the Feasibility &amp; Concept gate, local law, interfaces, and the selected delivery model.</t>
  </si>
  <si>
    <t>GER-2899</t>
  </si>
  <si>
    <t>For a District Energy Owner’s Engineering project in Southeast Asia, there is a risk during FEED / Basic Design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</si>
  <si>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District Energy, the FEED / Basic Design gate, local law, interfaces, and the selected delivery model.</t>
  </si>
  <si>
    <t>GER-2900</t>
  </si>
  <si>
    <t>For a Pumped Storage EPCM project in Latin America, there is a risk during Detailed Engineering that bribery, fraud, sanctions or conflict of interest, combined with performance variability, may adversely affect project objectives through cost / quality consequences.</t>
  </si>
  <si>
    <t>Establish controls for bribery, fraud, sanctions or conflict of interest; assign actions, verify evidence, and review residual exposure at each gate. Tailor the response to Pumped Storage, the Detailed Engineering gate, local law, interfaces, and the selected delivery model.</t>
  </si>
  <si>
    <t>GER-2901</t>
  </si>
  <si>
    <t>For a Onshore Wind EPC / Turnkey project in Europe, there is a risk during Feasibility &amp; Concept that coverage gap, theft, vandalism or security incident, combined with insufficient planning, may adversely affect project objectives through cost / time consequences.</t>
  </si>
  <si>
    <t>Insurance &amp; Security</t>
  </si>
  <si>
    <t>Establish controls for coverage gap, theft, vandalism or security incident; assign actions, verify evidence, and review residual exposure at each gate. Tailor the response to Onshore Wind, the Feasibility &amp; Concept gate, local law, interfaces, and the selected delivery model.</t>
  </si>
  <si>
    <t>Risk &amp; Insurance Manager</t>
  </si>
  <si>
    <t>GER-2902</t>
  </si>
  <si>
    <t>For a Biomass / Waste-to-Energy Installation project in Africa, there is a risk during FEED / Basic Design that coverage gap, theft, vandalism or security incident, combined with insufficient planning,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</si>
  <si>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FEED / Basic Design gate, local law, interfaces, and the selected delivery model.</t>
  </si>
  <si>
    <t>GER-2903</t>
  </si>
  <si>
    <t>For a Oil &amp; Gas Upstream Operations &amp; Maintenance project in East Asia, there is a risk during Detailed Engineering that coverage gap, theft, vandalism or security incident, combined with insufficient planning,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</si>
  <si>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Detailed Engineering gate, local law, interfaces, and the selected delivery model.</t>
  </si>
  <si>
    <t>GER-2904</t>
  </si>
  <si>
    <t>For a Offshore Wind Grid Interconnection project in North America, there is a risk during Procurement that coverage gap, theft, vandalism or security incident, combined with insufficient planning,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</si>
  <si>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Procurement gate, local law, interfaces, and the selected delivery model.</t>
  </si>
  <si>
    <t>GER-2905</t>
  </si>
  <si>
    <t>For a Green Hydrogen R&amp;D / Technology Development project in Oceania, there is a risk during Manufacturing that coverage gap, theft, vandalism or security incident, combined with insufficient planning,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</si>
  <si>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Manufacturing gate, local law, interfaces, and the selected delivery model.</t>
  </si>
  <si>
    <t>GER-2906</t>
  </si>
  <si>
    <t>For a Concentrated Solar Power EPCM project in Middle East, there is a risk during Detailed Engineering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</si>
  <si>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Detailed Engineering gate, local law, interfaces, and the selected delivery model.</t>
  </si>
  <si>
    <t>GER-2907</t>
  </si>
  <si>
    <t>For a Transmission &amp; Substations Commissioning &amp; Start-up project in South Asia, there is a risk during Procurement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</si>
  <si>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Procurement gate, local law, interfaces, and the selected delivery model.</t>
  </si>
  <si>
    <t>GER-2908</t>
  </si>
  <si>
    <t>For a Carbon Capture, Utilization &amp; Storage Decommissioning project in Southeast Asia, there is a risk during Manufacturing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</si>
  <si>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Manufacturing gate, local law, interfaces, and the selected delivery model.</t>
  </si>
  <si>
    <t>GER-2909</t>
  </si>
  <si>
    <t>For a Hydropower EPC / Turnkey project in Latin America, there is a risk during Construction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</si>
  <si>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Construction gate, local law, interfaces, and the selected delivery model.</t>
  </si>
  <si>
    <t>GER-2910</t>
  </si>
  <si>
    <t>For a Nuclear Power Installation project in Global / Multi-country, there is a risk during Installation that coverage gap, theft, vandalism or security incident, combined with incomplete information,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</si>
  <si>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Installation gate, local law, interfaces, and the selected delivery model.</t>
  </si>
  <si>
    <t>GER-2911</t>
  </si>
  <si>
    <t>For a Geothermal R&amp;D / Technology Development project in Africa, there is a risk during Manufacturing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</si>
  <si>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Manufacturing gate, local law, interfaces, and the selected delivery model.</t>
  </si>
  <si>
    <t>GER-2912</t>
  </si>
  <si>
    <t>For a LNG Brownfield Modification project in East Asia, there is a risk during Construction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</si>
  <si>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Construction gate, local law, interfaces, and the selected delivery model.</t>
  </si>
  <si>
    <t>GER-2913</t>
  </si>
  <si>
    <t>For a Onshore Wind Owner’s Engineering project in North America, there is a risk during Installation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</si>
  <si>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Onshore Wind, the Installation gate, local law, interfaces, and the selected delivery model.</t>
  </si>
  <si>
    <t>GER-2914</t>
  </si>
  <si>
    <t>For a Biomass / Waste-to-Energy EPCM project in Oceania, there is a risk during Pre-commissioning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</si>
  <si>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Pre-commissioning gate, local law, interfaces, and the selected delivery model.</t>
  </si>
  <si>
    <t>GER-2915</t>
  </si>
  <si>
    <t>For a Oil &amp; Gas Upstream Commissioning &amp; Start-up project in Europe, there is a risk during Commissioning that coverage gap, theft, vandalism or security incident, combined with late decision-making,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</si>
  <si>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Commissioning gate, local law, interfaces, and the selected delivery model.</t>
  </si>
  <si>
    <t>GER-2916</t>
  </si>
  <si>
    <t>For a Battery Energy Storage Installation project in South Asia, there is a risk during Installation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</si>
  <si>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Installation gate, local law, interfaces, and the selected delivery model.</t>
  </si>
  <si>
    <t>GER-2917</t>
  </si>
  <si>
    <t>For a Coal / Thermal Power Operations &amp; Maintenance project in Southeast Asia, there is a risk during Pre-commissioning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</si>
  <si>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Pre-commissioning gate, local law, interfaces, and the selected delivery model.</t>
  </si>
  <si>
    <t>GER-2918</t>
  </si>
  <si>
    <t>For a Concentrated Solar Power Grid Interconnection project in Latin America, there is a risk during Commissioning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</si>
  <si>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Commissioning gate, local law, interfaces, and the selected delivery model.</t>
  </si>
  <si>
    <t>GER-2919</t>
  </si>
  <si>
    <t>For a Transmission &amp; Substations R&amp;D / Technology Development project in Global / Multi-country, there is a risk during Operations / Handover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</si>
  <si>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Operations / Handover gate, local law, interfaces, and the selected delivery model.</t>
  </si>
  <si>
    <t>GER-2920</t>
  </si>
  <si>
    <t>For a Carbon Capture, Utilization &amp; Storage Brownfield Modification project in Middle East, there is a risk during Feasibility &amp; Concept that coverage gap, theft, vandalism or security incident, combined with weak controls,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</si>
  <si>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Feasibility &amp; Concept gate, local law, interfaces, and the selected delivery model.</t>
  </si>
  <si>
    <t>GER-2921</t>
  </si>
  <si>
    <t>For a Natural Gas / CCGT Commissioning &amp; Start-up project in East Asia, there is a risk during Commissioning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</si>
  <si>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Commissioning gate, local law, interfaces, and the selected delivery model.</t>
  </si>
  <si>
    <t>GER-2922</t>
  </si>
  <si>
    <t>For a Marine Energy Decommissioning project in North America, there is a risk during Operations / Handover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</si>
  <si>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Operations / Handover gate, local law, interfaces, and the selected delivery model.</t>
  </si>
  <si>
    <t>GER-2923</t>
  </si>
  <si>
    <t>For a Geothermal EPC / Turnkey project in Oceania, there is a risk during Feasibility &amp; Concept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</si>
  <si>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Feasibility &amp; Concept gate, local law, interfaces, and the selected delivery model.</t>
  </si>
  <si>
    <t>GER-2924</t>
  </si>
  <si>
    <t>For a LNG Installation project in Europe, there is a risk during FEED / Basic Design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</si>
  <si>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FEED / Basic Design gate, local law, interfaces, and the selected delivery model.</t>
  </si>
  <si>
    <t>GER-2925</t>
  </si>
  <si>
    <t>For a Onshore Wind Operations &amp; Maintenance project in Africa, there is a risk during Detailed Engineering that coverage gap, theft, vandalism or security incident, combined with resource constraints, may adversely affect project objectives through cost / time consequences.</t>
  </si>
  <si>
    <t>Establish controls for coverage gap, theft, vandalism or security incident; assign actions, verify evidence, and review residual exposure at each gate. Tailor the response to Onshore Wind, the Detailed Engineering gate, local law, interfaces, and the selected delivery model.</t>
  </si>
  <si>
    <t>GER-2926</t>
  </si>
  <si>
    <t>For a Refining &amp; Petrochemicals Brownfield Modification project in Southeast Asia, there is a risk during Feasibility &amp; Concept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</si>
  <si>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Feasibility &amp; Concept gate, local law, interfaces, and the selected delivery model.</t>
  </si>
  <si>
    <t>GER-2927</t>
  </si>
  <si>
    <t>For a Solar PV Owner’s Engineering project in Latin America, there is a risk during FEED / Basic Design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</si>
  <si>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FEED / Basic Design gate, local law, interfaces, and the selected delivery model.</t>
  </si>
  <si>
    <t>GER-2928</t>
  </si>
  <si>
    <t>For a Battery Energy Storage EPCM project in Global / Multi-country, there is a risk during Detailed Engineering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</si>
  <si>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Detailed Engineering gate, local law, interfaces, and the selected delivery model.</t>
  </si>
  <si>
    <t>GER-2929</t>
  </si>
  <si>
    <t>For a Coal / Thermal Power Commissioning &amp; Start-up project in Middle East, there is a risk during Procurement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</si>
  <si>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Procurement gate, local law, interfaces, and the selected delivery model.</t>
  </si>
  <si>
    <t>GER-2930</t>
  </si>
  <si>
    <t>For a Concentrated Solar Power Decommissioning project in South Asia, there is a risk during Manufacturing that coverage gap, theft, vandalism or security incident, combined with supplier dependency,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</si>
  <si>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Manufacturing gate, local law, interfaces, and the selected delivery model.</t>
  </si>
  <si>
    <t>GER-2931</t>
  </si>
  <si>
    <t>For a District Energy Operations &amp; Maintenance project in North America, there is a risk during Detailed Engineering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</si>
  <si>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Detailed Engineering gate, local law, interfaces, and the selected delivery model.</t>
  </si>
  <si>
    <t>GER-2932</t>
  </si>
  <si>
    <t>For a Pumped Storage Grid Interconnection project in Oceania, there is a risk during Procurement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</si>
  <si>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Procurement gate, local law, interfaces, and the selected delivery model.</t>
  </si>
  <si>
    <t>GER-2933</t>
  </si>
  <si>
    <t>For a Natural Gas / CCGT R&amp;D / Technology Development project in Europe, there is a risk during Manufacturing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</si>
  <si>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Manufacturing gate, local law, interfaces, and the selected delivery model.</t>
  </si>
  <si>
    <t>GER-2934</t>
  </si>
  <si>
    <t>For a Marine Energy Brownfield Modification project in Africa, there is a risk during Construction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</si>
  <si>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Construction gate, local law, interfaces, and the selected delivery model.</t>
  </si>
  <si>
    <t>GER-2935</t>
  </si>
  <si>
    <t>For a Geothermal Owner’s Engineering project in East Asia, there is a risk during Installation that coverage gap, theft, vandalism or security incident, combined with interface complexity,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</si>
  <si>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Installation gate, local law, interfaces, and the selected delivery model.</t>
  </si>
  <si>
    <t>GER-2936</t>
  </si>
  <si>
    <t>For a Offshore Wind Decommissioning project in Latin America, there is a risk during Manufacturing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</si>
  <si>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Manufacturing gate, local law, interfaces, and the selected delivery model.</t>
  </si>
  <si>
    <t>GER-2937</t>
  </si>
  <si>
    <t>For a Green Hydrogen EPC / Turnkey project in Global / Multi-country, there is a risk during Construction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</si>
  <si>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Construction gate, local law, interfaces, and the selected delivery model.</t>
  </si>
  <si>
    <t>GER-2938</t>
  </si>
  <si>
    <t>For a Refining &amp; Petrochemicals Installation project in Middle East, there is a risk during Installation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</si>
  <si>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Installation gate, local law, interfaces, and the selected delivery model.</t>
  </si>
  <si>
    <t>GER-2939</t>
  </si>
  <si>
    <t>For a Solar PV Operations &amp; Maintenance project in South Asia, there is a risk during Pre-commissioning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</si>
  <si>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Pre-commissioning gate, local law, interfaces, and the selected delivery model.</t>
  </si>
  <si>
    <t>GER-2940</t>
  </si>
  <si>
    <t>For a Battery Energy Storage Grid Interconnection project in Southeast Asia, there is a risk during Commissioning that coverage gap, theft, vandalism or security incident, combined with requirements volatility,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</si>
  <si>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Commissioning gate, local law, interfaces, and the selected delivery model.</t>
  </si>
  <si>
    <t>GER-2941</t>
  </si>
  <si>
    <t>For a Hydropower Owner’s Engineering project in Oceania, there is a risk during Installation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</si>
  <si>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Installation gate, local law, interfaces, and the selected delivery model.</t>
  </si>
  <si>
    <t>GER-2942</t>
  </si>
  <si>
    <t>For a Nuclear Power EPCM project in Europe, there is a risk during Pre-commissioning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</si>
  <si>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Pre-commissioning gate, local law, interfaces, and the selected delivery model.</t>
  </si>
  <si>
    <t>GER-2943</t>
  </si>
  <si>
    <t>For a District Energy Commissioning &amp; Start-up project in Africa, there is a risk during Commissioning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</si>
  <si>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Commissioning gate, local law, interfaces, and the selected delivery model.</t>
  </si>
  <si>
    <t>GER-2944</t>
  </si>
  <si>
    <t>For a Pumped Storage Decommissioning project in East Asia, there is a risk during Operations / Handover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</si>
  <si>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Operations / Handover gate, local law, interfaces, and the selected delivery model.</t>
  </si>
  <si>
    <t>GER-2945</t>
  </si>
  <si>
    <t>For a Natural Gas / CCGT EPC / Turnkey project in North America, there is a risk during Feasibility &amp; Concept that coverage gap, theft, vandalism or security incident, combined with regulatory uncertainty,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</si>
  <si>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Feasibility &amp; Concept gate, local law, interfaces, and the selected delivery model.</t>
  </si>
  <si>
    <t>GER-2946</t>
  </si>
  <si>
    <t>For a Biomass / Waste-to-Energy Grid Interconnection project in Global / Multi-country, there is a risk during Commissioning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</si>
  <si>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Commissioning gate, local law, interfaces, and the selected delivery model.</t>
  </si>
  <si>
    <t>GER-2947</t>
  </si>
  <si>
    <t>For a Oil &amp; Gas Upstream R&amp;D / Technology Development project in Middle East, there is a risk during Operations / Handover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</si>
  <si>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Operations / Handover gate, local law, interfaces, and the selected delivery model.</t>
  </si>
  <si>
    <t>GER-2948</t>
  </si>
  <si>
    <t>For a Offshore Wind Brownfield Modification project in South Asia, there is a risk during Feasibility &amp; Concept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</si>
  <si>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Feasibility &amp; Concept gate, local law, interfaces, and the selected delivery model.</t>
  </si>
  <si>
    <t>GER-2949</t>
  </si>
  <si>
    <t>For a Green Hydrogen Owner’s Engineering project in Southeast Asia, there is a risk during FEED / Basic Design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</si>
  <si>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FEED / Basic Design gate, local law, interfaces, and the selected delivery model.</t>
  </si>
  <si>
    <t>GER-2950</t>
  </si>
  <si>
    <t>For a Refining &amp; Petrochemicals EPCM project in Latin America, there is a risk during Detailed Engineering that coverage gap, theft, vandalism or security incident, combined with inadequate verification,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</si>
  <si>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Detailed Engineering gate, local law, interfaces, and the selected delivery model.</t>
  </si>
  <si>
    <t>GER-2951</t>
  </si>
  <si>
    <t>For a Transmission &amp; Substations EPC / Turnkey project in Europe, there is a risk during Feasibility &amp; Concept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</si>
  <si>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Feasibility &amp; Concept gate, local law, interfaces, and the selected delivery model.</t>
  </si>
  <si>
    <t>GER-2952</t>
  </si>
  <si>
    <t>For a Carbon Capture, Utilization &amp; Storage Installation project in Africa, there is a risk during FEED / Basic Design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</si>
  <si>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FEED / Basic Design gate, local law, interfaces, and the selected delivery model.</t>
  </si>
  <si>
    <t>GER-2953</t>
  </si>
  <si>
    <t>For a Hydropower Operations &amp; Maintenance project in East Asia, there is a risk during Detailed Engineering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</si>
  <si>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Detailed Engineering gate, local law, interfaces, and the selected delivery model.</t>
  </si>
  <si>
    <t>GER-2954</t>
  </si>
  <si>
    <t>For a Nuclear Power Grid Interconnection project in North America, there is a risk during Procurement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</si>
  <si>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Procurement gate, local law, interfaces, and the selected delivery model.</t>
  </si>
  <si>
    <t>GER-2955</t>
  </si>
  <si>
    <t>For a District Energy R&amp;D / Technology Development project in Oceania, there is a risk during Manufacturing that coverage gap, theft, vandalism or security incident, combined with poor communication,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</si>
  <si>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Manufacturing gate, local law, interfaces, and the selected delivery model.</t>
  </si>
  <si>
    <t>GER-2956</t>
  </si>
  <si>
    <t>For a LNG EPCM project in Middle East, there is a risk during Detailed Engineering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</si>
  <si>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Detailed Engineering gate, local law, interfaces, and the selected delivery model.</t>
  </si>
  <si>
    <t>GER-2957</t>
  </si>
  <si>
    <t>For a Onshore Wind Commissioning &amp; Start-up project in South Asia, there is a risk during Procurement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</si>
  <si>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Onshore Wind, the Procurement gate, local law, interfaces, and the selected delivery model.</t>
  </si>
  <si>
    <t>GER-2958</t>
  </si>
  <si>
    <t>For a Biomass / Waste-to-Energy Decommissioning project in Southeast Asia, there is a risk during Manufacturing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</si>
  <si>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Manufacturing gate, local law, interfaces, and the selected delivery model.</t>
  </si>
  <si>
    <t>GER-2959</t>
  </si>
  <si>
    <t>For a Oil &amp; Gas Upstream EPC / Turnkey project in Latin America, there is a risk during Construction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</si>
  <si>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Construction gate, local law, interfaces, and the selected delivery model.</t>
  </si>
  <si>
    <t>GER-2960</t>
  </si>
  <si>
    <t>For a Offshore Wind Installation project in Global / Multi-country, there is a risk during Installation that coverage gap, theft, vandalism or security incident, combined with incorrect assumptions,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</si>
  <si>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Installation gate, local law, interfaces, and the selected delivery model.</t>
  </si>
  <si>
    <t>GER-2961</t>
  </si>
  <si>
    <t>For a Coal / Thermal Power R&amp;D / Technology Development project in Africa, there is a risk during Manufacturing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</si>
  <si>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Manufacturing gate, local law, interfaces, and the selected delivery model.</t>
  </si>
  <si>
    <t>GER-2962</t>
  </si>
  <si>
    <t>For a Concentrated Solar Power Brownfield Modification project in East Asia, there is a risk during Construction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</si>
  <si>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Construction gate, local law, interfaces, and the selected delivery model.</t>
  </si>
  <si>
    <t>GER-2963</t>
  </si>
  <si>
    <t>For a Transmission &amp; Substations Owner’s Engineering project in North America, there is a risk during Installation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</si>
  <si>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Installation gate, local law, interfaces, and the selected delivery model.</t>
  </si>
  <si>
    <t>GER-2964</t>
  </si>
  <si>
    <t>For a Carbon Capture, Utilization &amp; Storage EPCM project in Oceania, there is a risk during Pre-commissioning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</si>
  <si>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Pre-commissioning gate, local law, interfaces, and the selected delivery model.</t>
  </si>
  <si>
    <t>GER-2965</t>
  </si>
  <si>
    <t>For a Hydropower Commissioning &amp; Start-up project in Europe, there is a risk during Commissioning that coverage gap, theft, vandalism or security incident, combined with low technical maturity,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</si>
  <si>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Commissioning gate, local law, interfaces, and the selected delivery model.</t>
  </si>
  <si>
    <t>GER-2966</t>
  </si>
  <si>
    <t>For a Marine Energy Installation project in South Asia, there is a risk during Installation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</si>
  <si>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Installation gate, local law, interfaces, and the selected delivery model.</t>
  </si>
  <si>
    <t>GER-2967</t>
  </si>
  <si>
    <t>For a Geothermal Operations &amp; Maintenance project in Southeast Asia, there is a risk during Pre-commissioning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</si>
  <si>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Pre-commissioning gate, local law, interfaces, and the selected delivery model.</t>
  </si>
  <si>
    <t>GER-2968</t>
  </si>
  <si>
    <t>For a LNG Grid Interconnection project in Latin America, there is a risk during Commissioning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</si>
  <si>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Commissioning gate, local law, interfaces, and the selected delivery model.</t>
  </si>
  <si>
    <t>GER-2969</t>
  </si>
  <si>
    <t>For a Onshore Wind R&amp;D / Technology Development project in Global / Multi-country, there is a risk during Operations / Handover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</si>
  <si>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Onshore Wind, the Operations / Handover gate, local law, interfaces, and the selected delivery model.</t>
  </si>
  <si>
    <t>GER-2970</t>
  </si>
  <si>
    <t>For a Biomass / Waste-to-Energy Brownfield Modification project in Middle East, there is a risk during Feasibility &amp; Concept that coverage gap, theft, vandalism or security incident, combined with documentation gaps, may adversely affect project objectives through cost / time consequences.</t>
  </si>
  <si>
    <t>Establish controls for coverage gap, theft, vandalism or security incident; assign actions, verify evidence, and review residual exposure at each gate. Tailor the response to Biomass / Waste-to-Energy, the Feasibility &amp; Concept gate, local law, interfaces, and the selected delivery model.</t>
  </si>
  <si>
    <t>GER-2971</t>
  </si>
  <si>
    <t>For a Solar PV Commissioning &amp; Start-up project in East Asia, there is a risk during Commissioning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</si>
  <si>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Commissioning gate, local law, interfaces, and the selected delivery model.</t>
  </si>
  <si>
    <t>GER-2972</t>
  </si>
  <si>
    <t>For a Battery Energy Storage Decommissioning project in North America, there is a risk during Operations / Handover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</si>
  <si>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Operations / Handover gate, local law, interfaces, and the selected delivery model.</t>
  </si>
  <si>
    <t>GER-2973</t>
  </si>
  <si>
    <t>For a Coal / Thermal Power EPC / Turnkey project in Oceania, there is a risk during Feasibility &amp; Concept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</si>
  <si>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Feasibility &amp; Concept gate, local law, interfaces, and the selected delivery model.</t>
  </si>
  <si>
    <t>GER-2974</t>
  </si>
  <si>
    <t>For a Concentrated Solar Power Installation project in Europe, there is a risk during FEED / Basic Design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</si>
  <si>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Concentrated Solar Power, the FEED / Basic Design gate, local law, interfaces, and the selected delivery model.</t>
  </si>
  <si>
    <t>GER-2975</t>
  </si>
  <si>
    <t>For a Transmission &amp; Substations Operations &amp; Maintenance project in Africa, there is a risk during Detailed Engineering that coverage gap, theft, vandalism or security incident, combined with external disruption, may adversely affect project objectives through cost / time consequences.</t>
  </si>
  <si>
    <t>Establish controls for coverage gap, theft, vandalism or security incident; assign actions, verify evidence, and review residual exposure at each gate. Tailor the response to Transmission &amp; Substations, the Detailed Engineering gate, local law, interfaces, and the selected delivery model.</t>
  </si>
  <si>
    <t>GER-2976</t>
  </si>
  <si>
    <t>For a Pumped Storage Brownfield Modification project in Southeast Asia, there is a risk during Feasibility &amp; Concept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</si>
  <si>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Feasibility &amp; Concept gate, local law, interfaces, and the selected delivery model.</t>
  </si>
  <si>
    <t>GER-2977</t>
  </si>
  <si>
    <t>For a Natural Gas / CCGT Owner’s Engineering project in Latin America, there is a risk during FEED / Basic Design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</si>
  <si>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FEED / Basic Design gate, local law, interfaces, and the selected delivery model.</t>
  </si>
  <si>
    <t>GER-2978</t>
  </si>
  <si>
    <t>For a Marine Energy EPCM project in Global / Multi-country, there is a risk during Detailed Engineering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</si>
  <si>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Detailed Engineering gate, local law, interfaces, and the selected delivery model.</t>
  </si>
  <si>
    <t>GER-2979</t>
  </si>
  <si>
    <t>For a Geothermal Commissioning &amp; Start-up project in Middle East, there is a risk during Procurement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</si>
  <si>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Geothermal, the Procurement gate, local law, interfaces, and the selected delivery model.</t>
  </si>
  <si>
    <t>GER-2980</t>
  </si>
  <si>
    <t>For a LNG Decommissioning project in South Asia, there is a risk during Manufacturing that coverage gap, theft, vandalism or security incident, combined with governance delay, may adversely affect project objectives through cost / time consequences.</t>
  </si>
  <si>
    <t>Establish controls for coverage gap, theft, vandalism or security incident; assign actions, verify evidence, and review residual exposure at each gate. Tailor the response to LNG, the Manufacturing gate, local law, interfaces, and the selected delivery model.</t>
  </si>
  <si>
    <t>GER-2981</t>
  </si>
  <si>
    <t>For a Green Hydrogen Operations &amp; Maintenance project in North America, there is a risk during Detailed Engineering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</si>
  <si>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Detailed Engineering gate, local law, interfaces, and the selected delivery model.</t>
  </si>
  <si>
    <t>GER-2982</t>
  </si>
  <si>
    <t>For a Refining &amp; Petrochemicals Grid Interconnection project in Oceania, there is a risk during Procurement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</si>
  <si>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Procurement gate, local law, interfaces, and the selected delivery model.</t>
  </si>
  <si>
    <t>GER-2983</t>
  </si>
  <si>
    <t>For a Solar PV R&amp;D / Technology Development project in Europe, there is a risk during Manufacturing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</si>
  <si>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Manufacturing gate, local law, interfaces, and the selected delivery model.</t>
  </si>
  <si>
    <t>GER-2984</t>
  </si>
  <si>
    <t>For a Battery Energy Storage Brownfield Modification project in Africa, there is a risk during Construction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</si>
  <si>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Battery Energy Storage, the Construction gate, local law, interfaces, and the selected delivery model.</t>
  </si>
  <si>
    <t>GER-2985</t>
  </si>
  <si>
    <t>For a Coal / Thermal Power Owner’s Engineering project in East Asia, there is a risk during Installation that coverage gap, theft, vandalism or security incident, combined with commercial misalignment, may adversely affect project objectives through cost / time consequences.</t>
  </si>
  <si>
    <t>Establish controls for coverage gap, theft, vandalism or security incident; assign actions, verify evidence, and review residual exposure at each gate. Tailor the response to Coal / Thermal Power, the Installation gate, local law, interfaces, and the selected delivery model.</t>
  </si>
  <si>
    <t>GER-2986</t>
  </si>
  <si>
    <t>For a Nuclear Power Decommissioning project in Latin America, there is a risk during Manufacturing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</si>
  <si>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Manufacturing gate, local law, interfaces, and the selected delivery model.</t>
  </si>
  <si>
    <t>GER-2987</t>
  </si>
  <si>
    <t>For a District Energy EPC / Turnkey project in Global / Multi-country, there is a risk during Construction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</si>
  <si>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Construction gate, local law, interfaces, and the selected delivery model.</t>
  </si>
  <si>
    <t>GER-2988</t>
  </si>
  <si>
    <t>For a Pumped Storage Installation project in Middle East, there is a risk during Installation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</si>
  <si>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Installation gate, local law, interfaces, and the selected delivery model.</t>
  </si>
  <si>
    <t>GER-2989</t>
  </si>
  <si>
    <t>For a Natural Gas / CCGT Operations &amp; Maintenance project in South Asia, there is a risk during Pre-commissioning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</si>
  <si>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Natural Gas / CCGT, the Pre-commissioning gate, local law, interfaces, and the selected delivery model.</t>
  </si>
  <si>
    <t>GER-2990</t>
  </si>
  <si>
    <t>For a Marine Energy Grid Interconnection project in Southeast Asia, there is a risk during Commissioning that coverage gap, theft, vandalism or security incident, combined with quality escape, may adversely affect project objectives through cost / time consequences.</t>
  </si>
  <si>
    <t>Establish controls for coverage gap, theft, vandalism or security incident; assign actions, verify evidence, and review residual exposure at each gate. Tailor the response to Marine Energy, the Commissioning gate, local law, interfaces, and the selected delivery model.</t>
  </si>
  <si>
    <t>GER-2991</t>
  </si>
  <si>
    <t>For a Oil &amp; Gas Upstream Owner’s Engineering project in Oceania, there is a risk during Installation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</si>
  <si>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Oil &amp; Gas Upstream, the Installation gate, local law, interfaces, and the selected delivery model.</t>
  </si>
  <si>
    <t>GER-2992</t>
  </si>
  <si>
    <t>For a Offshore Wind EPCM project in Europe, there is a risk during Pre-commissioning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</si>
  <si>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Offshore Wind, the Pre-commissioning gate, local law, interfaces, and the selected delivery model.</t>
  </si>
  <si>
    <t>GER-2993</t>
  </si>
  <si>
    <t>For a Green Hydrogen Commissioning &amp; Start-up project in Africa, there is a risk during Commissioning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</si>
  <si>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Green Hydrogen, the Commissioning gate, local law, interfaces, and the selected delivery model.</t>
  </si>
  <si>
    <t>GER-2994</t>
  </si>
  <si>
    <t>For a Refining &amp; Petrochemicals Decommissioning project in East Asia, there is a risk during Operations / Handover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</si>
  <si>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Refining &amp; Petrochemicals, the Operations / Handover gate, local law, interfaces, and the selected delivery model.</t>
  </si>
  <si>
    <t>GER-2995</t>
  </si>
  <si>
    <t>For a Solar PV EPC / Turnkey project in North America, there is a risk during Feasibility &amp; Concept that coverage gap, theft, vandalism or security incident, combined with access constraint, may adversely affect project objectives through cost / time consequences.</t>
  </si>
  <si>
    <t>Establish controls for coverage gap, theft, vandalism or security incident; assign actions, verify evidence, and review residual exposure at each gate. Tailor the response to Solar PV, the Feasibility &amp; Concept gate, local law, interfaces, and the selected delivery model.</t>
  </si>
  <si>
    <t>GER-2996</t>
  </si>
  <si>
    <t>For a Carbon Capture, Utilization &amp; Storage Grid Interconnection project in Global / Multi-country, there is a risk during Commissioning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</si>
  <si>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Carbon Capture, Utilization &amp; Storage, the Commissioning gate, local law, interfaces, and the selected delivery model.</t>
  </si>
  <si>
    <t>GER-2997</t>
  </si>
  <si>
    <t>For a Hydropower R&amp;D / Technology Development project in Middle East, there is a risk during Operations / Handover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</si>
  <si>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Hydropower, the Operations / Handover gate, local law, interfaces, and the selected delivery model.</t>
  </si>
  <si>
    <t>GER-2998</t>
  </si>
  <si>
    <t>For a Nuclear Power Brownfield Modification project in South Asia, there is a risk during Feasibility &amp; Concept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</si>
  <si>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Nuclear Power, the Feasibility &amp; Concept gate, local law, interfaces, and the selected delivery model.</t>
  </si>
  <si>
    <t>GER-2999</t>
  </si>
  <si>
    <t>For a District Energy Owner’s Engineering project in Southeast Asia, there is a risk during FEED / Basic Design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</si>
  <si>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District Energy, the FEED / Basic Design gate, local law, interfaces, and the selected delivery model.</t>
  </si>
  <si>
    <t>GER-3000</t>
  </si>
  <si>
    <t>For a Pumped Storage EPCM project in Latin America, there is a risk during Detailed Engineering that coverage gap, theft, vandalism or security incident, combined with performance variability, may adversely affect project objectives through cost / time consequences.</t>
  </si>
  <si>
    <t>Establish controls for coverage gap, theft, vandalism or security incident; assign actions, verify evidence, and review residual exposure at each gate. Tailor the response to Pumped Storage, the Detailed Engineering gate, local law, interfaces, and the selected delivery model.</t>
  </si>
  <si>
    <t>Global Energy Project Risk Library: 3,000-Risk Summary</t>
  </si>
  <si>
    <t>Risk Count</t>
  </si>
  <si>
    <t>Share of Library</t>
  </si>
  <si>
    <t>High Probability</t>
  </si>
  <si>
    <t>Contractor Allocated</t>
  </si>
  <si>
    <t>Employer Allocated</t>
  </si>
  <si>
    <t>Shared Allocation</t>
  </si>
  <si>
    <t>Total</t>
  </si>
  <si>
    <t>Coverage Dimensions</t>
  </si>
  <si>
    <t>Dimension</t>
  </si>
  <si>
    <t>Included Values</t>
  </si>
  <si>
    <t>Number of Values</t>
  </si>
  <si>
    <t>Application Note</t>
  </si>
  <si>
    <t>Project types</t>
  </si>
  <si>
    <t>EPC / Turnkey, EPCM, R&amp;D / Technology Development, Installation, Commissioning &amp; Start-up, Brownfield Modification, Operations &amp; Maintenance, Decommissioning, Owner’s Engineering, Grid Interconnection</t>
  </si>
  <si>
    <t>Use filters to isolate the relevant delivery model.</t>
  </si>
  <si>
    <t>Energy segments</t>
  </si>
  <si>
    <t>Onshore Wind, Offshore Wind, Solar PV, Concentrated Solar Power, Hydropower, Pumped Storage, Geothermal, Biomass / Waste-to-Energy, Green Hydrogen, Battery Energy Storage, Transmission &amp; Substations, Nuclear Power, Natural Gas / CCGT, LNG, Oil &amp; Gas Upstream, Refining &amp; Petrochemicals, Coal / Thermal Power, Carbon Capture, Utilization &amp; Storage, District Energy, Marine Energy</t>
  </si>
  <si>
    <t>Covers renewable, low-carbon and conventional energy.</t>
  </si>
  <si>
    <t>Geographic contexts</t>
  </si>
  <si>
    <t>Europe, Middle East, Africa, South Asia, East Asia, Southeast Asia, North America, Latin America, Oceania, Global / Multi-country</t>
  </si>
  <si>
    <t>Regional labels are screening contexts, not country-specific legal conclusions.</t>
  </si>
  <si>
    <t>Lifecycle phases</t>
  </si>
  <si>
    <t>Feasibility &amp; Concept, FEED / Basic Design, Detailed Engineering, Procurement, Manufacturing, Construction, Installation, Pre-commissioning, Commissioning, Operations / Handover</t>
  </si>
  <si>
    <t>Risks are contextualized from concept through handover and operations.</t>
  </si>
  <si>
    <t>Risk categories</t>
  </si>
  <si>
    <t>Contractual, Schedule, Cost &amp; Estimating, Design &amp; Engineering, Quality &amp; Defects, HSE, Environmental, Political &amp; Country, Regulatory &amp; Change in Law, Permits &amp; Approvals, Site &amp; Ground Conditions, Weather &amp; Natural Hazards, Force Majeure / Exceptional Events, Procurement &amp; Supply Chain, Logistics &amp; Customs, Labour &amp; Skills, Plant &amp; Equipment, Interfaces, Stakeholder &amp; Community, Land &amp; Right of Way, Payment &amp; Cash Flow, Claims &amp; Disputes, Change &amp; Scope, Technology &amp; Maturity, Digital, Data &amp; Cybersecurity, Commissioning &amp; Start-up, Operations &amp; Maintainability, Governance &amp; Decision Making, Fraud, Ethics &amp; Compliance, Insurance &amp; Security</t>
  </si>
  <si>
    <t>Categories synthesize contractual and research-based risk themes.</t>
  </si>
  <si>
    <t>Method, Limitations and Research Basis</t>
  </si>
  <si>
    <t>Deliverable</t>
  </si>
  <si>
    <t>3,000 distinct contextualized risk statements created by extending 600 seed risks across project type, energy technology, geography and lifecycle dimensions.</t>
  </si>
  <si>
    <t>Important limitation</t>
  </si>
  <si>
    <t>This is a research-informed synthesis, not a claim to contain every risk from every publication worldwide. It does not reproduce copyrighted FIDIC clauses or journal text verbatim.</t>
  </si>
  <si>
    <t>Use of probability</t>
  </si>
  <si>
    <t>L/M/H values are initial screening defaults inherited from the category-level seed library. Reassess them using project evidence and an approved scoring matrix.</t>
  </si>
  <si>
    <t>Use of allocation</t>
  </si>
  <si>
    <t>Employer, Contractor and Shared allocations are screening assumptions. The signed contract, Particular Conditions, governing law and project facts control actual allocation.</t>
  </si>
  <si>
    <t>Attached research article</t>
  </si>
  <si>
    <t>Dikmen, Eken, Erol and Birgonul (2025), Computers in Industry 166, 104251. https://doi.org/10.1016/j.compind.2025.104251</t>
  </si>
  <si>
    <t>Systematic review</t>
  </si>
  <si>
    <t>Su and Khallaf (2022), Sustainability 14, 6412. https://doi.org/10.3390/su14116412</t>
  </si>
  <si>
    <t>Taxonomic review</t>
  </si>
  <si>
    <t>Sarvari (2026), Eng 7, 380. https://doi.org/10.3390/eng7080380</t>
  </si>
  <si>
    <t>Energy investment context</t>
  </si>
  <si>
    <t>International Energy Agency, World Energy Investment 2025. https://www.iea.org/reports/world-energy-investment-2025</t>
  </si>
  <si>
    <t>EPC text-mining study</t>
  </si>
  <si>
    <t>Choi et al. (2021), Energies 14, 4632. https://doi.org/10.3390/en14154632</t>
  </si>
  <si>
    <t>Recommended workflow</t>
  </si>
  <si>
    <t>Filter by energy segment, project type and lifecycle phase; workshop probability and impact; assign a named accountable owner; link each selected risk to project evidence and controls.</t>
  </si>
  <si>
    <t>Monetary quantification</t>
  </si>
  <si>
    <t>Gross exposure equals a category-based percentage of editable Total Contract Value. EMV equals gross exposure multiplied by the L/M/H probability factor. Residual exposure equals EMV multiplied by one minus mitigation effectiveness. These are parametric screening assumptions, not article-derived monetary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</si>
</sst>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€#,##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000000"/>
      <name val="Calibri"/>
    </font>
    <font>
      <sz val="9"/>
      <color rgb="FF008000"/>
      <name val="Calibri"/>
    </font>
    <font>
      <b/>
      <sz val="18"/>
      <color rgb="FFFFFFFF"/>
      <name val="Calibri"/>
    </font>
    <font>
      <b/>
      <sz val="11"/>
      <color rgb="FF17365D"/>
      <name val="Calibri"/>
    </font>
    <font>
      <sz val="11"/>
      <color rgb="FF0000FF"/>
      <name val="Calibri"/>
    </font>
    <font>
      <b/>
      <sz val="11"/>
      <color rgb="FFC659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wrapText="1"/>
    </xf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0" fontId="0" fillId="0" borderId="0" xfId="0" applyAlignment="1">
      <alignment vertical="top" wrapText="1"/>
    </xf>
    <xf numFmtId="0" fontId="5" fillId="0" borderId="0" xfId="0" applyFont="1"/>
    <xf numFmtId="165" fontId="6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0" xfId="0" applyAlignment="1">
      <alignment wrapText="1"/>
    </xf>
    <xf numFmtId="164" fontId="6" fillId="0" borderId="0" xfId="0" applyNumberFormat="1" applyFont="1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ntifiedRiskLibrary" displayName="QuantifiedRiskLibrary" ref="A1:V3001">
  <autoFilter ref="A1:V3001" xr:uid="{00000000-0009-0000-0100-000001000000}"/>
  <tableColumns count="22">
    <tableColumn id="1" xr3:uid="{00000000-0010-0000-0000-000001000000}" name="Risk ID"/>
    <tableColumn id="2" xr3:uid="{00000000-0010-0000-0000-000002000000}" name="Risk Statement"/>
    <tableColumn id="3" xr3:uid="{00000000-0010-0000-0000-000003000000}" name="Risk Category"/>
    <tableColumn id="4" xr3:uid="{00000000-0010-0000-0000-000004000000}" name="Project Type"/>
    <tableColumn id="5" xr3:uid="{00000000-0010-0000-0000-000005000000}" name="Energy Segment"/>
    <tableColumn id="6" xr3:uid="{00000000-0010-0000-0000-000006000000}" name="Geographic Context"/>
    <tableColumn id="7" xr3:uid="{00000000-0010-0000-0000-000007000000}" name="Lifecycle Phase"/>
    <tableColumn id="8" xr3:uid="{00000000-0010-0000-0000-000008000000}" name="Employer / Contractor / Shared allocation"/>
    <tableColumn id="9" xr3:uid="{00000000-0010-0000-0000-000009000000}" name="Probability (L/M/H)"/>
    <tableColumn id="10" xr3:uid="{00000000-0010-0000-0000-00000A000000}" name="Impact (Cost / Time / Quality / HSE)"/>
    <tableColumn id="11" xr3:uid="{00000000-0010-0000-0000-00000B000000}" name="Mitigation Actions"/>
    <tableColumn id="12" xr3:uid="{00000000-0010-0000-0000-00000C000000}" name="Early Warning Indicators"/>
    <tableColumn id="13" xr3:uid="{00000000-0010-0000-0000-00000D000000}" name="Risk Owner"/>
    <tableColumn id="14" xr3:uid="{00000000-0010-0000-0000-00000E000000}" name="Gross Exposure (% TCV)"/>
    <tableColumn id="15" xr3:uid="{00000000-0010-0000-0000-00000F000000}" name="Gross Exposure (EUR)"/>
    <tableColumn id="16" xr3:uid="{00000000-0010-0000-0000-000010000000}" name="Probability Factor"/>
    <tableColumn id="17" xr3:uid="{00000000-0010-0000-0000-000011000000}" name="Expected Monetary Value (EUR)"/>
    <tableColumn id="18" xr3:uid="{00000000-0010-0000-0000-000012000000}" name="Mitigation Effectiveness"/>
    <tableColumn id="19" xr3:uid="{00000000-0010-0000-0000-000013000000}" name="Residual Exposure (EUR)"/>
    <tableColumn id="20" xr3:uid="{00000000-0010-0000-0000-000014000000}" name="Residual Exposure (% TCV)"/>
    <tableColumn id="21" xr3:uid="{00000000-0010-0000-0000-000015000000}" name="Quantification Basis"/>
    <tableColumn id="22" xr3:uid="{00000000-0010-0000-0000-000016000000}" name="Source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tabSelected="1" workbookViewId="0"/>
  </sheetViews>
  <sheetFormatPr defaultRowHeight="15"/>
  <cols>
    <col min="1" max="1" width="38" customWidth="1"/>
    <col min="2" max="2" width="22" customWidth="1"/>
    <col min="3" max="3" width="45" customWidth="1"/>
  </cols>
  <sheetData>
    <row r="1" spans="1:4">
      <c r="A1" s="20" t="s">
        <v>0</v>
      </c>
      <c r="B1" s="21"/>
      <c r="C1" s="21"/>
      <c r="D1" s="21"/>
    </row>
    <row r="3" spans="1:4">
      <c r="A3" s="10" t="s">
        <v>1</v>
      </c>
      <c r="B3" s="11">
        <v>100000000</v>
      </c>
      <c r="C3" t="s">
        <v>2</v>
      </c>
    </row>
    <row r="4" spans="1:4">
      <c r="A4" s="10" t="s">
        <v>3</v>
      </c>
      <c r="B4" s="12">
        <v>0.15</v>
      </c>
      <c r="C4" t="s">
        <v>4</v>
      </c>
    </row>
    <row r="5" spans="1:4">
      <c r="A5" s="10" t="s">
        <v>5</v>
      </c>
      <c r="B5" s="12">
        <v>0.4</v>
      </c>
      <c r="C5" t="s">
        <v>4</v>
      </c>
    </row>
    <row r="6" spans="1:4">
      <c r="A6" s="10" t="s">
        <v>6</v>
      </c>
      <c r="B6" s="12">
        <v>0.7</v>
      </c>
      <c r="C6" t="s">
        <v>4</v>
      </c>
    </row>
    <row r="7" spans="1:4">
      <c r="A7" s="10" t="s">
        <v>7</v>
      </c>
      <c r="B7" s="12">
        <v>0.35</v>
      </c>
      <c r="C7" t="s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/>
  </sheetViews>
  <sheetFormatPr defaultRowHeight="15"/>
  <cols>
    <col min="1" max="1" width="38" customWidth="1"/>
    <col min="2" max="2" width="105" customWidth="1"/>
  </cols>
  <sheetData>
    <row r="1" spans="1:6">
      <c r="A1" s="20" t="s">
        <v>9</v>
      </c>
      <c r="B1" s="21"/>
      <c r="C1" s="21"/>
      <c r="D1" s="21"/>
      <c r="E1" s="21"/>
      <c r="F1" s="21"/>
    </row>
    <row r="3" spans="1:6">
      <c r="A3" s="10" t="s">
        <v>10</v>
      </c>
      <c r="B3" s="13">
        <f>'Financial Inputs'!B3</f>
        <v>100000000</v>
      </c>
    </row>
    <row r="4" spans="1:6">
      <c r="A4" s="10" t="s">
        <v>11</v>
      </c>
      <c r="B4" s="13">
        <f>SUM('Risk Library'!O2:O3001)</f>
        <v>5790000000</v>
      </c>
    </row>
    <row r="5" spans="1:6">
      <c r="A5" s="10" t="s">
        <v>12</v>
      </c>
      <c r="B5" s="13">
        <f>SUM('Risk Library'!Q2:Q3001)</f>
        <v>2916000000</v>
      </c>
    </row>
    <row r="6" spans="1:6">
      <c r="A6" s="10" t="s">
        <v>13</v>
      </c>
      <c r="B6" s="13">
        <f>SUM('Risk Library'!S2:S3001)</f>
        <v>1895400000</v>
      </c>
    </row>
    <row r="7" spans="1:6">
      <c r="A7" s="10" t="s">
        <v>14</v>
      </c>
      <c r="B7" s="5">
        <f>B6/B3</f>
        <v>18.954000000000001</v>
      </c>
    </row>
    <row r="9" spans="1:6" ht="50.1" customHeight="1">
      <c r="A9" s="14" t="s">
        <v>15</v>
      </c>
      <c r="B9" s="15" t="s">
        <v>16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0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72" customWidth="1"/>
    <col min="3" max="3" width="26" customWidth="1"/>
    <col min="4" max="4" width="27" customWidth="1"/>
    <col min="5" max="5" width="28" customWidth="1"/>
    <col min="6" max="6" width="22" customWidth="1"/>
    <col min="7" max="7" width="24" customWidth="1"/>
    <col min="8" max="8" width="28" customWidth="1"/>
    <col min="9" max="9" width="18" customWidth="1"/>
    <col min="10" max="10" width="34" customWidth="1"/>
    <col min="11" max="11" width="55" customWidth="1"/>
    <col min="12" max="12" width="50" customWidth="1"/>
    <col min="13" max="13" width="28" customWidth="1"/>
    <col min="14" max="14" width="20" customWidth="1"/>
    <col min="15" max="15" width="22" customWidth="1"/>
    <col min="16" max="16" width="18" customWidth="1"/>
    <col min="17" max="17" width="25" customWidth="1"/>
    <col min="18" max="20" width="24" customWidth="1"/>
    <col min="21" max="21" width="52" customWidth="1"/>
    <col min="22" max="22" width="60" customWidth="1"/>
  </cols>
  <sheetData>
    <row r="1" spans="1:22" ht="42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 spans="1:2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16">
        <v>1.44E-2</v>
      </c>
      <c r="O2" s="17">
        <f>N2*'Financial Inputs'!$B$3</f>
        <v>1440000</v>
      </c>
      <c r="P2" s="18">
        <f>IF(I2="L",'Financial Inputs'!$B$4,IF(I2="M",'Financial Inputs'!$B$5,'Financial Inputs'!$B$6))</f>
        <v>0.4</v>
      </c>
      <c r="Q2" s="17">
        <f>O2*P2</f>
        <v>576000</v>
      </c>
      <c r="R2" s="16">
        <f>'Financial Inputs'!$B$7</f>
        <v>0.35</v>
      </c>
      <c r="S2" s="17">
        <f>Q2*(1-R2)</f>
        <v>374400</v>
      </c>
      <c r="T2" s="18">
        <f>S2/'Financial Inputs'!$B$3</f>
        <v>3.7439999999999999E-3</v>
      </c>
      <c r="U2" s="9" t="s">
        <v>52</v>
      </c>
      <c r="V2" s="3" t="s">
        <v>53</v>
      </c>
    </row>
    <row r="3" spans="1:22">
      <c r="A3" s="2" t="s">
        <v>54</v>
      </c>
      <c r="B3" s="2" t="s">
        <v>55</v>
      </c>
      <c r="C3" s="2" t="s">
        <v>41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46</v>
      </c>
      <c r="I3" s="2" t="s">
        <v>47</v>
      </c>
      <c r="J3" s="2" t="s">
        <v>48</v>
      </c>
      <c r="K3" s="2" t="s">
        <v>60</v>
      </c>
      <c r="L3" s="2" t="s">
        <v>61</v>
      </c>
      <c r="M3" s="2" t="s">
        <v>51</v>
      </c>
      <c r="N3" s="16">
        <v>1.6199999999999999E-2</v>
      </c>
      <c r="O3" s="17">
        <f>N3*'Financial Inputs'!$B$3</f>
        <v>1620000</v>
      </c>
      <c r="P3" s="18">
        <f>IF(I3="L",'Financial Inputs'!$B$4,IF(I3="M",'Financial Inputs'!$B$5,'Financial Inputs'!$B$6))</f>
        <v>0.4</v>
      </c>
      <c r="Q3" s="17">
        <f>O3*P3</f>
        <v>648000</v>
      </c>
      <c r="R3" s="16">
        <f>'Financial Inputs'!$B$7</f>
        <v>0.35</v>
      </c>
      <c r="S3" s="17">
        <f>Q3*(1-R3)</f>
        <v>421200</v>
      </c>
      <c r="T3" s="18">
        <f>S3/'Financial Inputs'!$B$3</f>
        <v>4.2119999999999996E-3</v>
      </c>
      <c r="U3" s="9" t="s">
        <v>52</v>
      </c>
      <c r="V3" s="3" t="s">
        <v>53</v>
      </c>
    </row>
    <row r="4" spans="1:22">
      <c r="A4" s="2" t="s">
        <v>62</v>
      </c>
      <c r="B4" s="2" t="s">
        <v>63</v>
      </c>
      <c r="C4" s="2" t="s">
        <v>41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46</v>
      </c>
      <c r="I4" s="2" t="s">
        <v>47</v>
      </c>
      <c r="J4" s="2" t="s">
        <v>48</v>
      </c>
      <c r="K4" s="2" t="s">
        <v>68</v>
      </c>
      <c r="L4" s="2" t="s">
        <v>69</v>
      </c>
      <c r="M4" s="2" t="s">
        <v>51</v>
      </c>
      <c r="N4" s="16">
        <v>1.7999999999999999E-2</v>
      </c>
      <c r="O4" s="17">
        <f>N4*'Financial Inputs'!$B$3</f>
        <v>1799999.9999999998</v>
      </c>
      <c r="P4" s="18">
        <f>IF(I4="L",'Financial Inputs'!$B$4,IF(I4="M",'Financial Inputs'!$B$5,'Financial Inputs'!$B$6))</f>
        <v>0.4</v>
      </c>
      <c r="Q4" s="17">
        <f>O4*P4</f>
        <v>720000</v>
      </c>
      <c r="R4" s="16">
        <f>'Financial Inputs'!$B$7</f>
        <v>0.35</v>
      </c>
      <c r="S4" s="17">
        <f>Q4*(1-R4)</f>
        <v>468000</v>
      </c>
      <c r="T4" s="18">
        <f>S4/'Financial Inputs'!$B$3</f>
        <v>4.6800000000000001E-3</v>
      </c>
      <c r="U4" s="9" t="s">
        <v>52</v>
      </c>
      <c r="V4" s="3" t="s">
        <v>53</v>
      </c>
    </row>
    <row r="5" spans="1:22">
      <c r="A5" s="2" t="s">
        <v>70</v>
      </c>
      <c r="B5" s="2" t="s">
        <v>71</v>
      </c>
      <c r="C5" s="2" t="s">
        <v>41</v>
      </c>
      <c r="D5" s="2" t="s">
        <v>72</v>
      </c>
      <c r="E5" s="2" t="s">
        <v>73</v>
      </c>
      <c r="F5" s="2" t="s">
        <v>74</v>
      </c>
      <c r="G5" s="2" t="s">
        <v>75</v>
      </c>
      <c r="H5" s="2" t="s">
        <v>46</v>
      </c>
      <c r="I5" s="2" t="s">
        <v>47</v>
      </c>
      <c r="J5" s="2" t="s">
        <v>48</v>
      </c>
      <c r="K5" s="2" t="s">
        <v>76</v>
      </c>
      <c r="L5" s="2" t="s">
        <v>77</v>
      </c>
      <c r="M5" s="2" t="s">
        <v>51</v>
      </c>
      <c r="N5" s="16">
        <v>1.9800000000000002E-2</v>
      </c>
      <c r="O5" s="17">
        <f>N5*'Financial Inputs'!$B$3</f>
        <v>1980000.0000000002</v>
      </c>
      <c r="P5" s="18">
        <f>IF(I5="L",'Financial Inputs'!$B$4,IF(I5="M",'Financial Inputs'!$B$5,'Financial Inputs'!$B$6))</f>
        <v>0.4</v>
      </c>
      <c r="Q5" s="17">
        <f>O5*P5</f>
        <v>792000.00000000012</v>
      </c>
      <c r="R5" s="16">
        <f>'Financial Inputs'!$B$7</f>
        <v>0.35</v>
      </c>
      <c r="S5" s="17">
        <f>Q5*(1-R5)</f>
        <v>514800.00000000012</v>
      </c>
      <c r="T5" s="18">
        <f>S5/'Financial Inputs'!$B$3</f>
        <v>5.1480000000000015E-3</v>
      </c>
      <c r="U5" s="9" t="s">
        <v>52</v>
      </c>
      <c r="V5" s="3" t="s">
        <v>53</v>
      </c>
    </row>
    <row r="6" spans="1:22">
      <c r="A6" s="2" t="s">
        <v>78</v>
      </c>
      <c r="B6" s="2" t="s">
        <v>79</v>
      </c>
      <c r="C6" s="2" t="s">
        <v>41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46</v>
      </c>
      <c r="I6" s="2" t="s">
        <v>47</v>
      </c>
      <c r="J6" s="2" t="s">
        <v>48</v>
      </c>
      <c r="K6" s="2" t="s">
        <v>84</v>
      </c>
      <c r="L6" s="2" t="s">
        <v>85</v>
      </c>
      <c r="M6" s="2" t="s">
        <v>51</v>
      </c>
      <c r="N6" s="16">
        <v>2.1600000000000001E-2</v>
      </c>
      <c r="O6" s="17">
        <f>N6*'Financial Inputs'!$B$3</f>
        <v>2160000</v>
      </c>
      <c r="P6" s="18">
        <f>IF(I6="L",'Financial Inputs'!$B$4,IF(I6="M",'Financial Inputs'!$B$5,'Financial Inputs'!$B$6))</f>
        <v>0.4</v>
      </c>
      <c r="Q6" s="17">
        <f>O6*P6</f>
        <v>864000</v>
      </c>
      <c r="R6" s="16">
        <f>'Financial Inputs'!$B$7</f>
        <v>0.35</v>
      </c>
      <c r="S6" s="17">
        <f>Q6*(1-R6)</f>
        <v>561600</v>
      </c>
      <c r="T6" s="18">
        <f>S6/'Financial Inputs'!$B$3</f>
        <v>5.6160000000000003E-3</v>
      </c>
      <c r="U6" s="9" t="s">
        <v>52</v>
      </c>
      <c r="V6" s="3" t="s">
        <v>53</v>
      </c>
    </row>
    <row r="7" spans="1:22">
      <c r="A7" s="2" t="s">
        <v>86</v>
      </c>
      <c r="B7" s="2" t="s">
        <v>87</v>
      </c>
      <c r="C7" s="2" t="s">
        <v>41</v>
      </c>
      <c r="D7" s="2" t="s">
        <v>88</v>
      </c>
      <c r="E7" s="2" t="s">
        <v>89</v>
      </c>
      <c r="F7" s="2" t="s">
        <v>90</v>
      </c>
      <c r="G7" s="2" t="s">
        <v>67</v>
      </c>
      <c r="H7" s="2" t="s">
        <v>46</v>
      </c>
      <c r="I7" s="2" t="s">
        <v>47</v>
      </c>
      <c r="J7" s="2" t="s">
        <v>48</v>
      </c>
      <c r="K7" s="2" t="s">
        <v>91</v>
      </c>
      <c r="L7" s="2" t="s">
        <v>92</v>
      </c>
      <c r="M7" s="2" t="s">
        <v>51</v>
      </c>
      <c r="N7" s="16">
        <v>1.44E-2</v>
      </c>
      <c r="O7" s="17">
        <f>N7*'Financial Inputs'!$B$3</f>
        <v>1440000</v>
      </c>
      <c r="P7" s="18">
        <f>IF(I7="L",'Financial Inputs'!$B$4,IF(I7="M",'Financial Inputs'!$B$5,'Financial Inputs'!$B$6))</f>
        <v>0.4</v>
      </c>
      <c r="Q7" s="17">
        <f>O7*P7</f>
        <v>576000</v>
      </c>
      <c r="R7" s="16">
        <f>'Financial Inputs'!$B$7</f>
        <v>0.35</v>
      </c>
      <c r="S7" s="17">
        <f>Q7*(1-R7)</f>
        <v>374400</v>
      </c>
      <c r="T7" s="18">
        <f>S7/'Financial Inputs'!$B$3</f>
        <v>3.7439999999999999E-3</v>
      </c>
      <c r="U7" s="9" t="s">
        <v>52</v>
      </c>
      <c r="V7" s="3" t="s">
        <v>53</v>
      </c>
    </row>
    <row r="8" spans="1:22">
      <c r="A8" s="2" t="s">
        <v>93</v>
      </c>
      <c r="B8" s="2" t="s">
        <v>94</v>
      </c>
      <c r="C8" s="2" t="s">
        <v>41</v>
      </c>
      <c r="D8" s="2" t="s">
        <v>95</v>
      </c>
      <c r="E8" s="2" t="s">
        <v>96</v>
      </c>
      <c r="F8" s="2" t="s">
        <v>97</v>
      </c>
      <c r="G8" s="2" t="s">
        <v>75</v>
      </c>
      <c r="H8" s="2" t="s">
        <v>46</v>
      </c>
      <c r="I8" s="2" t="s">
        <v>47</v>
      </c>
      <c r="J8" s="2" t="s">
        <v>48</v>
      </c>
      <c r="K8" s="2" t="s">
        <v>98</v>
      </c>
      <c r="L8" s="2" t="s">
        <v>99</v>
      </c>
      <c r="M8" s="2" t="s">
        <v>51</v>
      </c>
      <c r="N8" s="16">
        <v>1.6199999999999999E-2</v>
      </c>
      <c r="O8" s="17">
        <f>N8*'Financial Inputs'!$B$3</f>
        <v>1620000</v>
      </c>
      <c r="P8" s="18">
        <f>IF(I8="L",'Financial Inputs'!$B$4,IF(I8="M",'Financial Inputs'!$B$5,'Financial Inputs'!$B$6))</f>
        <v>0.4</v>
      </c>
      <c r="Q8" s="17">
        <f>O8*P8</f>
        <v>648000</v>
      </c>
      <c r="R8" s="16">
        <f>'Financial Inputs'!$B$7</f>
        <v>0.35</v>
      </c>
      <c r="S8" s="17">
        <f>Q8*(1-R8)</f>
        <v>421200</v>
      </c>
      <c r="T8" s="18">
        <f>S8/'Financial Inputs'!$B$3</f>
        <v>4.2119999999999996E-3</v>
      </c>
      <c r="U8" s="9" t="s">
        <v>52</v>
      </c>
      <c r="V8" s="3" t="s">
        <v>53</v>
      </c>
    </row>
    <row r="9" spans="1:22">
      <c r="A9" s="2" t="s">
        <v>100</v>
      </c>
      <c r="B9" s="2" t="s">
        <v>101</v>
      </c>
      <c r="C9" s="2" t="s">
        <v>41</v>
      </c>
      <c r="D9" s="2" t="s">
        <v>102</v>
      </c>
      <c r="E9" s="2" t="s">
        <v>103</v>
      </c>
      <c r="F9" s="2" t="s">
        <v>104</v>
      </c>
      <c r="G9" s="2" t="s">
        <v>83</v>
      </c>
      <c r="H9" s="2" t="s">
        <v>46</v>
      </c>
      <c r="I9" s="2" t="s">
        <v>47</v>
      </c>
      <c r="J9" s="2" t="s">
        <v>48</v>
      </c>
      <c r="K9" s="2" t="s">
        <v>105</v>
      </c>
      <c r="L9" s="2" t="s">
        <v>106</v>
      </c>
      <c r="M9" s="2" t="s">
        <v>51</v>
      </c>
      <c r="N9" s="16">
        <v>1.7999999999999999E-2</v>
      </c>
      <c r="O9" s="17">
        <f>N9*'Financial Inputs'!$B$3</f>
        <v>1799999.9999999998</v>
      </c>
      <c r="P9" s="18">
        <f>IF(I9="L",'Financial Inputs'!$B$4,IF(I9="M",'Financial Inputs'!$B$5,'Financial Inputs'!$B$6))</f>
        <v>0.4</v>
      </c>
      <c r="Q9" s="17">
        <f>O9*P9</f>
        <v>720000</v>
      </c>
      <c r="R9" s="16">
        <f>'Financial Inputs'!$B$7</f>
        <v>0.35</v>
      </c>
      <c r="S9" s="17">
        <f>Q9*(1-R9)</f>
        <v>468000</v>
      </c>
      <c r="T9" s="18">
        <f>S9/'Financial Inputs'!$B$3</f>
        <v>4.6800000000000001E-3</v>
      </c>
      <c r="U9" s="9" t="s">
        <v>52</v>
      </c>
      <c r="V9" s="3" t="s">
        <v>53</v>
      </c>
    </row>
    <row r="10" spans="1:22">
      <c r="A10" s="2" t="s">
        <v>107</v>
      </c>
      <c r="B10" s="2" t="s">
        <v>108</v>
      </c>
      <c r="C10" s="2" t="s">
        <v>41</v>
      </c>
      <c r="D10" s="2" t="s">
        <v>42</v>
      </c>
      <c r="E10" s="2" t="s">
        <v>109</v>
      </c>
      <c r="F10" s="2" t="s">
        <v>110</v>
      </c>
      <c r="G10" s="2" t="s">
        <v>111</v>
      </c>
      <c r="H10" s="2" t="s">
        <v>46</v>
      </c>
      <c r="I10" s="2" t="s">
        <v>47</v>
      </c>
      <c r="J10" s="2" t="s">
        <v>48</v>
      </c>
      <c r="K10" s="2" t="s">
        <v>112</v>
      </c>
      <c r="L10" s="2" t="s">
        <v>113</v>
      </c>
      <c r="M10" s="2" t="s">
        <v>51</v>
      </c>
      <c r="N10" s="16">
        <v>1.9800000000000002E-2</v>
      </c>
      <c r="O10" s="17">
        <f>N10*'Financial Inputs'!$B$3</f>
        <v>1980000.0000000002</v>
      </c>
      <c r="P10" s="18">
        <f>IF(I10="L",'Financial Inputs'!$B$4,IF(I10="M",'Financial Inputs'!$B$5,'Financial Inputs'!$B$6))</f>
        <v>0.4</v>
      </c>
      <c r="Q10" s="17">
        <f>O10*P10</f>
        <v>792000.00000000012</v>
      </c>
      <c r="R10" s="16">
        <f>'Financial Inputs'!$B$7</f>
        <v>0.35</v>
      </c>
      <c r="S10" s="17">
        <f>Q10*(1-R10)</f>
        <v>514800.00000000012</v>
      </c>
      <c r="T10" s="18">
        <f>S10/'Financial Inputs'!$B$3</f>
        <v>5.1480000000000015E-3</v>
      </c>
      <c r="U10" s="9" t="s">
        <v>52</v>
      </c>
      <c r="V10" s="3" t="s">
        <v>53</v>
      </c>
    </row>
    <row r="11" spans="1:22">
      <c r="A11" s="2" t="s">
        <v>114</v>
      </c>
      <c r="B11" s="2" t="s">
        <v>115</v>
      </c>
      <c r="C11" s="2" t="s">
        <v>41</v>
      </c>
      <c r="D11" s="2" t="s">
        <v>56</v>
      </c>
      <c r="E11" s="2" t="s">
        <v>116</v>
      </c>
      <c r="F11" s="2" t="s">
        <v>117</v>
      </c>
      <c r="G11" s="2" t="s">
        <v>56</v>
      </c>
      <c r="H11" s="2" t="s">
        <v>46</v>
      </c>
      <c r="I11" s="2" t="s">
        <v>47</v>
      </c>
      <c r="J11" s="2" t="s">
        <v>48</v>
      </c>
      <c r="K11" s="2" t="s">
        <v>118</v>
      </c>
      <c r="L11" s="2" t="s">
        <v>119</v>
      </c>
      <c r="M11" s="2" t="s">
        <v>51</v>
      </c>
      <c r="N11" s="16">
        <v>2.1600000000000001E-2</v>
      </c>
      <c r="O11" s="17">
        <f>N11*'Financial Inputs'!$B$3</f>
        <v>2160000</v>
      </c>
      <c r="P11" s="18">
        <f>IF(I11="L",'Financial Inputs'!$B$4,IF(I11="M",'Financial Inputs'!$B$5,'Financial Inputs'!$B$6))</f>
        <v>0.4</v>
      </c>
      <c r="Q11" s="17">
        <f>O11*P11</f>
        <v>864000</v>
      </c>
      <c r="R11" s="16">
        <f>'Financial Inputs'!$B$7</f>
        <v>0.35</v>
      </c>
      <c r="S11" s="17">
        <f>Q11*(1-R11)</f>
        <v>561600</v>
      </c>
      <c r="T11" s="18">
        <f>S11/'Financial Inputs'!$B$3</f>
        <v>5.6160000000000003E-3</v>
      </c>
      <c r="U11" s="9" t="s">
        <v>52</v>
      </c>
      <c r="V11" s="3" t="s">
        <v>53</v>
      </c>
    </row>
    <row r="12" spans="1:22">
      <c r="A12" s="2" t="s">
        <v>120</v>
      </c>
      <c r="B12" s="2" t="s">
        <v>121</v>
      </c>
      <c r="C12" s="2" t="s">
        <v>41</v>
      </c>
      <c r="D12" s="2" t="s">
        <v>80</v>
      </c>
      <c r="E12" s="2" t="s">
        <v>122</v>
      </c>
      <c r="F12" s="2" t="s">
        <v>58</v>
      </c>
      <c r="G12" s="2" t="s">
        <v>83</v>
      </c>
      <c r="H12" s="2" t="s">
        <v>46</v>
      </c>
      <c r="I12" s="2" t="s">
        <v>47</v>
      </c>
      <c r="J12" s="2" t="s">
        <v>48</v>
      </c>
      <c r="K12" s="2" t="s">
        <v>123</v>
      </c>
      <c r="L12" s="2" t="s">
        <v>124</v>
      </c>
      <c r="M12" s="2" t="s">
        <v>51</v>
      </c>
      <c r="N12" s="16">
        <v>1.44E-2</v>
      </c>
      <c r="O12" s="17">
        <f>N12*'Financial Inputs'!$B$3</f>
        <v>1440000</v>
      </c>
      <c r="P12" s="18">
        <f>IF(I12="L",'Financial Inputs'!$B$4,IF(I12="M",'Financial Inputs'!$B$5,'Financial Inputs'!$B$6))</f>
        <v>0.4</v>
      </c>
      <c r="Q12" s="17">
        <f>O12*P12</f>
        <v>576000</v>
      </c>
      <c r="R12" s="16">
        <f>'Financial Inputs'!$B$7</f>
        <v>0.35</v>
      </c>
      <c r="S12" s="17">
        <f>Q12*(1-R12)</f>
        <v>374400</v>
      </c>
      <c r="T12" s="18">
        <f>S12/'Financial Inputs'!$B$3</f>
        <v>3.7439999999999999E-3</v>
      </c>
      <c r="U12" s="9" t="s">
        <v>52</v>
      </c>
      <c r="V12" s="3" t="s">
        <v>53</v>
      </c>
    </row>
    <row r="13" spans="1:22">
      <c r="A13" s="2" t="s">
        <v>125</v>
      </c>
      <c r="B13" s="2" t="s">
        <v>126</v>
      </c>
      <c r="C13" s="2" t="s">
        <v>41</v>
      </c>
      <c r="D13" s="2" t="s">
        <v>127</v>
      </c>
      <c r="E13" s="2" t="s">
        <v>128</v>
      </c>
      <c r="F13" s="2" t="s">
        <v>66</v>
      </c>
      <c r="G13" s="2" t="s">
        <v>111</v>
      </c>
      <c r="H13" s="2" t="s">
        <v>46</v>
      </c>
      <c r="I13" s="2" t="s">
        <v>47</v>
      </c>
      <c r="J13" s="2" t="s">
        <v>48</v>
      </c>
      <c r="K13" s="2" t="s">
        <v>129</v>
      </c>
      <c r="L13" s="2" t="s">
        <v>130</v>
      </c>
      <c r="M13" s="2" t="s">
        <v>51</v>
      </c>
      <c r="N13" s="16">
        <v>1.6199999999999999E-2</v>
      </c>
      <c r="O13" s="17">
        <f>N13*'Financial Inputs'!$B$3</f>
        <v>1620000</v>
      </c>
      <c r="P13" s="18">
        <f>IF(I13="L",'Financial Inputs'!$B$4,IF(I13="M",'Financial Inputs'!$B$5,'Financial Inputs'!$B$6))</f>
        <v>0.4</v>
      </c>
      <c r="Q13" s="17">
        <f>O13*P13</f>
        <v>648000</v>
      </c>
      <c r="R13" s="16">
        <f>'Financial Inputs'!$B$7</f>
        <v>0.35</v>
      </c>
      <c r="S13" s="17">
        <f>Q13*(1-R13)</f>
        <v>421200</v>
      </c>
      <c r="T13" s="18">
        <f>S13/'Financial Inputs'!$B$3</f>
        <v>4.2119999999999996E-3</v>
      </c>
      <c r="U13" s="9" t="s">
        <v>52</v>
      </c>
      <c r="V13" s="3" t="s">
        <v>53</v>
      </c>
    </row>
    <row r="14" spans="1:22">
      <c r="A14" s="2" t="s">
        <v>131</v>
      </c>
      <c r="B14" s="2" t="s">
        <v>132</v>
      </c>
      <c r="C14" s="2" t="s">
        <v>41</v>
      </c>
      <c r="D14" s="2" t="s">
        <v>133</v>
      </c>
      <c r="E14" s="2" t="s">
        <v>43</v>
      </c>
      <c r="F14" s="2" t="s">
        <v>74</v>
      </c>
      <c r="G14" s="2" t="s">
        <v>56</v>
      </c>
      <c r="H14" s="2" t="s">
        <v>46</v>
      </c>
      <c r="I14" s="2" t="s">
        <v>47</v>
      </c>
      <c r="J14" s="2" t="s">
        <v>48</v>
      </c>
      <c r="K14" s="2" t="s">
        <v>134</v>
      </c>
      <c r="L14" s="2" t="s">
        <v>135</v>
      </c>
      <c r="M14" s="2" t="s">
        <v>51</v>
      </c>
      <c r="N14" s="16">
        <v>1.7999999999999999E-2</v>
      </c>
      <c r="O14" s="17">
        <f>N14*'Financial Inputs'!$B$3</f>
        <v>1799999.9999999998</v>
      </c>
      <c r="P14" s="18">
        <f>IF(I14="L",'Financial Inputs'!$B$4,IF(I14="M",'Financial Inputs'!$B$5,'Financial Inputs'!$B$6))</f>
        <v>0.4</v>
      </c>
      <c r="Q14" s="17">
        <f>O14*P14</f>
        <v>720000</v>
      </c>
      <c r="R14" s="16">
        <f>'Financial Inputs'!$B$7</f>
        <v>0.35</v>
      </c>
      <c r="S14" s="17">
        <f>Q14*(1-R14)</f>
        <v>468000</v>
      </c>
      <c r="T14" s="18">
        <f>S14/'Financial Inputs'!$B$3</f>
        <v>4.6800000000000001E-3</v>
      </c>
      <c r="U14" s="9" t="s">
        <v>52</v>
      </c>
      <c r="V14" s="3" t="s">
        <v>53</v>
      </c>
    </row>
    <row r="15" spans="1:22">
      <c r="A15" s="2" t="s">
        <v>136</v>
      </c>
      <c r="B15" s="2" t="s">
        <v>137</v>
      </c>
      <c r="C15" s="2" t="s">
        <v>41</v>
      </c>
      <c r="D15" s="2" t="s">
        <v>88</v>
      </c>
      <c r="E15" s="2" t="s">
        <v>57</v>
      </c>
      <c r="F15" s="2" t="s">
        <v>82</v>
      </c>
      <c r="G15" s="2" t="s">
        <v>138</v>
      </c>
      <c r="H15" s="2" t="s">
        <v>46</v>
      </c>
      <c r="I15" s="2" t="s">
        <v>47</v>
      </c>
      <c r="J15" s="2" t="s">
        <v>48</v>
      </c>
      <c r="K15" s="2" t="s">
        <v>139</v>
      </c>
      <c r="L15" s="2" t="s">
        <v>140</v>
      </c>
      <c r="M15" s="2" t="s">
        <v>51</v>
      </c>
      <c r="N15" s="16">
        <v>1.9800000000000002E-2</v>
      </c>
      <c r="O15" s="17">
        <f>N15*'Financial Inputs'!$B$3</f>
        <v>1980000.0000000002</v>
      </c>
      <c r="P15" s="18">
        <f>IF(I15="L",'Financial Inputs'!$B$4,IF(I15="M",'Financial Inputs'!$B$5,'Financial Inputs'!$B$6))</f>
        <v>0.4</v>
      </c>
      <c r="Q15" s="17">
        <f>O15*P15</f>
        <v>792000.00000000012</v>
      </c>
      <c r="R15" s="16">
        <f>'Financial Inputs'!$B$7</f>
        <v>0.35</v>
      </c>
      <c r="S15" s="17">
        <f>Q15*(1-R15)</f>
        <v>514800.00000000012</v>
      </c>
      <c r="T15" s="18">
        <f>S15/'Financial Inputs'!$B$3</f>
        <v>5.1480000000000015E-3</v>
      </c>
      <c r="U15" s="9" t="s">
        <v>52</v>
      </c>
      <c r="V15" s="3" t="s">
        <v>53</v>
      </c>
    </row>
    <row r="16" spans="1:22">
      <c r="A16" s="2" t="s">
        <v>141</v>
      </c>
      <c r="B16" s="2" t="s">
        <v>142</v>
      </c>
      <c r="C16" s="2" t="s">
        <v>41</v>
      </c>
      <c r="D16" s="2" t="s">
        <v>95</v>
      </c>
      <c r="E16" s="2" t="s">
        <v>65</v>
      </c>
      <c r="F16" s="2" t="s">
        <v>44</v>
      </c>
      <c r="G16" s="2" t="s">
        <v>143</v>
      </c>
      <c r="H16" s="2" t="s">
        <v>46</v>
      </c>
      <c r="I16" s="2" t="s">
        <v>47</v>
      </c>
      <c r="J16" s="2" t="s">
        <v>48</v>
      </c>
      <c r="K16" s="2" t="s">
        <v>144</v>
      </c>
      <c r="L16" s="2" t="s">
        <v>145</v>
      </c>
      <c r="M16" s="2" t="s">
        <v>51</v>
      </c>
      <c r="N16" s="16">
        <v>2.1600000000000001E-2</v>
      </c>
      <c r="O16" s="17">
        <f>N16*'Financial Inputs'!$B$3</f>
        <v>2160000</v>
      </c>
      <c r="P16" s="18">
        <f>IF(I16="L",'Financial Inputs'!$B$4,IF(I16="M",'Financial Inputs'!$B$5,'Financial Inputs'!$B$6))</f>
        <v>0.4</v>
      </c>
      <c r="Q16" s="17">
        <f>O16*P16</f>
        <v>864000</v>
      </c>
      <c r="R16" s="16">
        <f>'Financial Inputs'!$B$7</f>
        <v>0.35</v>
      </c>
      <c r="S16" s="17">
        <f>Q16*(1-R16)</f>
        <v>561600</v>
      </c>
      <c r="T16" s="18">
        <f>S16/'Financial Inputs'!$B$3</f>
        <v>5.6160000000000003E-3</v>
      </c>
      <c r="U16" s="9" t="s">
        <v>52</v>
      </c>
      <c r="V16" s="3" t="s">
        <v>53</v>
      </c>
    </row>
    <row r="17" spans="1:22">
      <c r="A17" s="2" t="s">
        <v>146</v>
      </c>
      <c r="B17" s="2" t="s">
        <v>147</v>
      </c>
      <c r="C17" s="2" t="s">
        <v>41</v>
      </c>
      <c r="D17" s="2" t="s">
        <v>56</v>
      </c>
      <c r="E17" s="2" t="s">
        <v>148</v>
      </c>
      <c r="F17" s="2" t="s">
        <v>97</v>
      </c>
      <c r="G17" s="2" t="s">
        <v>56</v>
      </c>
      <c r="H17" s="2" t="s">
        <v>46</v>
      </c>
      <c r="I17" s="2" t="s">
        <v>47</v>
      </c>
      <c r="J17" s="2" t="s">
        <v>48</v>
      </c>
      <c r="K17" s="2" t="s">
        <v>149</v>
      </c>
      <c r="L17" s="2" t="s">
        <v>150</v>
      </c>
      <c r="M17" s="2" t="s">
        <v>51</v>
      </c>
      <c r="N17" s="16">
        <v>1.44E-2</v>
      </c>
      <c r="O17" s="17">
        <f>N17*'Financial Inputs'!$B$3</f>
        <v>1440000</v>
      </c>
      <c r="P17" s="18">
        <f>IF(I17="L",'Financial Inputs'!$B$4,IF(I17="M",'Financial Inputs'!$B$5,'Financial Inputs'!$B$6))</f>
        <v>0.4</v>
      </c>
      <c r="Q17" s="17">
        <f>O17*P17</f>
        <v>576000</v>
      </c>
      <c r="R17" s="16">
        <f>'Financial Inputs'!$B$7</f>
        <v>0.35</v>
      </c>
      <c r="S17" s="17">
        <f>Q17*(1-R17)</f>
        <v>374400</v>
      </c>
      <c r="T17" s="18">
        <f>S17/'Financial Inputs'!$B$3</f>
        <v>3.7439999999999999E-3</v>
      </c>
      <c r="U17" s="9" t="s">
        <v>52</v>
      </c>
      <c r="V17" s="3" t="s">
        <v>53</v>
      </c>
    </row>
    <row r="18" spans="1:22">
      <c r="A18" s="2" t="s">
        <v>151</v>
      </c>
      <c r="B18" s="2" t="s">
        <v>152</v>
      </c>
      <c r="C18" s="2" t="s">
        <v>41</v>
      </c>
      <c r="D18" s="2" t="s">
        <v>64</v>
      </c>
      <c r="E18" s="2" t="s">
        <v>153</v>
      </c>
      <c r="F18" s="2" t="s">
        <v>104</v>
      </c>
      <c r="G18" s="2" t="s">
        <v>138</v>
      </c>
      <c r="H18" s="2" t="s">
        <v>46</v>
      </c>
      <c r="I18" s="2" t="s">
        <v>47</v>
      </c>
      <c r="J18" s="2" t="s">
        <v>48</v>
      </c>
      <c r="K18" s="2" t="s">
        <v>154</v>
      </c>
      <c r="L18" s="2" t="s">
        <v>155</v>
      </c>
      <c r="M18" s="2" t="s">
        <v>51</v>
      </c>
      <c r="N18" s="16">
        <v>1.6199999999999999E-2</v>
      </c>
      <c r="O18" s="17">
        <f>N18*'Financial Inputs'!$B$3</f>
        <v>1620000</v>
      </c>
      <c r="P18" s="18">
        <f>IF(I18="L",'Financial Inputs'!$B$4,IF(I18="M",'Financial Inputs'!$B$5,'Financial Inputs'!$B$6))</f>
        <v>0.4</v>
      </c>
      <c r="Q18" s="17">
        <f>O18*P18</f>
        <v>648000</v>
      </c>
      <c r="R18" s="16">
        <f>'Financial Inputs'!$B$7</f>
        <v>0.35</v>
      </c>
      <c r="S18" s="17">
        <f>Q18*(1-R18)</f>
        <v>421200</v>
      </c>
      <c r="T18" s="18">
        <f>S18/'Financial Inputs'!$B$3</f>
        <v>4.2119999999999996E-3</v>
      </c>
      <c r="U18" s="9" t="s">
        <v>52</v>
      </c>
      <c r="V18" s="3" t="s">
        <v>53</v>
      </c>
    </row>
    <row r="19" spans="1:22">
      <c r="A19" s="2" t="s">
        <v>156</v>
      </c>
      <c r="B19" s="2" t="s">
        <v>157</v>
      </c>
      <c r="C19" s="2" t="s">
        <v>41</v>
      </c>
      <c r="D19" s="2" t="s">
        <v>72</v>
      </c>
      <c r="E19" s="2" t="s">
        <v>89</v>
      </c>
      <c r="F19" s="2" t="s">
        <v>110</v>
      </c>
      <c r="G19" s="2" t="s">
        <v>143</v>
      </c>
      <c r="H19" s="2" t="s">
        <v>46</v>
      </c>
      <c r="I19" s="2" t="s">
        <v>47</v>
      </c>
      <c r="J19" s="2" t="s">
        <v>48</v>
      </c>
      <c r="K19" s="2" t="s">
        <v>158</v>
      </c>
      <c r="L19" s="2" t="s">
        <v>159</v>
      </c>
      <c r="M19" s="2" t="s">
        <v>51</v>
      </c>
      <c r="N19" s="16">
        <v>1.7999999999999999E-2</v>
      </c>
      <c r="O19" s="17">
        <f>N19*'Financial Inputs'!$B$3</f>
        <v>1799999.9999999998</v>
      </c>
      <c r="P19" s="18">
        <f>IF(I19="L",'Financial Inputs'!$B$4,IF(I19="M",'Financial Inputs'!$B$5,'Financial Inputs'!$B$6))</f>
        <v>0.4</v>
      </c>
      <c r="Q19" s="17">
        <f>O19*P19</f>
        <v>720000</v>
      </c>
      <c r="R19" s="16">
        <f>'Financial Inputs'!$B$7</f>
        <v>0.35</v>
      </c>
      <c r="S19" s="17">
        <f>Q19*(1-R19)</f>
        <v>468000</v>
      </c>
      <c r="T19" s="18">
        <f>S19/'Financial Inputs'!$B$3</f>
        <v>4.6800000000000001E-3</v>
      </c>
      <c r="U19" s="9" t="s">
        <v>52</v>
      </c>
      <c r="V19" s="3" t="s">
        <v>53</v>
      </c>
    </row>
    <row r="20" spans="1:22">
      <c r="A20" s="2" t="s">
        <v>160</v>
      </c>
      <c r="B20" s="2" t="s">
        <v>161</v>
      </c>
      <c r="C20" s="2" t="s">
        <v>41</v>
      </c>
      <c r="D20" s="2" t="s">
        <v>80</v>
      </c>
      <c r="E20" s="2" t="s">
        <v>96</v>
      </c>
      <c r="F20" s="2" t="s">
        <v>117</v>
      </c>
      <c r="G20" s="2" t="s">
        <v>162</v>
      </c>
      <c r="H20" s="2" t="s">
        <v>46</v>
      </c>
      <c r="I20" s="2" t="s">
        <v>47</v>
      </c>
      <c r="J20" s="2" t="s">
        <v>48</v>
      </c>
      <c r="K20" s="2" t="s">
        <v>163</v>
      </c>
      <c r="L20" s="2" t="s">
        <v>164</v>
      </c>
      <c r="M20" s="2" t="s">
        <v>51</v>
      </c>
      <c r="N20" s="16">
        <v>1.9800000000000002E-2</v>
      </c>
      <c r="O20" s="17">
        <f>N20*'Financial Inputs'!$B$3</f>
        <v>1980000.0000000002</v>
      </c>
      <c r="P20" s="18">
        <f>IF(I20="L",'Financial Inputs'!$B$4,IF(I20="M",'Financial Inputs'!$B$5,'Financial Inputs'!$B$6))</f>
        <v>0.4</v>
      </c>
      <c r="Q20" s="17">
        <f>O20*P20</f>
        <v>792000.00000000012</v>
      </c>
      <c r="R20" s="16">
        <f>'Financial Inputs'!$B$7</f>
        <v>0.35</v>
      </c>
      <c r="S20" s="17">
        <f>Q20*(1-R20)</f>
        <v>514800.00000000012</v>
      </c>
      <c r="T20" s="18">
        <f>S20/'Financial Inputs'!$B$3</f>
        <v>5.1480000000000015E-3</v>
      </c>
      <c r="U20" s="9" t="s">
        <v>52</v>
      </c>
      <c r="V20" s="3" t="s">
        <v>53</v>
      </c>
    </row>
    <row r="21" spans="1:22">
      <c r="A21" s="2" t="s">
        <v>165</v>
      </c>
      <c r="B21" s="2" t="s">
        <v>166</v>
      </c>
      <c r="C21" s="2" t="s">
        <v>41</v>
      </c>
      <c r="D21" s="2" t="s">
        <v>127</v>
      </c>
      <c r="E21" s="2" t="s">
        <v>103</v>
      </c>
      <c r="F21" s="2" t="s">
        <v>90</v>
      </c>
      <c r="G21" s="2" t="s">
        <v>45</v>
      </c>
      <c r="H21" s="2" t="s">
        <v>46</v>
      </c>
      <c r="I21" s="2" t="s">
        <v>47</v>
      </c>
      <c r="J21" s="2" t="s">
        <v>48</v>
      </c>
      <c r="K21" s="2" t="s">
        <v>167</v>
      </c>
      <c r="L21" s="2" t="s">
        <v>168</v>
      </c>
      <c r="M21" s="2" t="s">
        <v>51</v>
      </c>
      <c r="N21" s="16">
        <v>2.1600000000000001E-2</v>
      </c>
      <c r="O21" s="17">
        <f>N21*'Financial Inputs'!$B$3</f>
        <v>2160000</v>
      </c>
      <c r="P21" s="18">
        <f>IF(I21="L",'Financial Inputs'!$B$4,IF(I21="M",'Financial Inputs'!$B$5,'Financial Inputs'!$B$6))</f>
        <v>0.4</v>
      </c>
      <c r="Q21" s="17">
        <f>O21*P21</f>
        <v>864000</v>
      </c>
      <c r="R21" s="16">
        <f>'Financial Inputs'!$B$7</f>
        <v>0.35</v>
      </c>
      <c r="S21" s="17">
        <f>Q21*(1-R21)</f>
        <v>561600</v>
      </c>
      <c r="T21" s="18">
        <f>S21/'Financial Inputs'!$B$3</f>
        <v>5.6160000000000003E-3</v>
      </c>
      <c r="U21" s="9" t="s">
        <v>52</v>
      </c>
      <c r="V21" s="3" t="s">
        <v>53</v>
      </c>
    </row>
    <row r="22" spans="1:22">
      <c r="A22" s="2" t="s">
        <v>169</v>
      </c>
      <c r="B22" s="2" t="s">
        <v>170</v>
      </c>
      <c r="C22" s="2" t="s">
        <v>41</v>
      </c>
      <c r="D22" s="2" t="s">
        <v>95</v>
      </c>
      <c r="E22" s="2" t="s">
        <v>171</v>
      </c>
      <c r="F22" s="2" t="s">
        <v>66</v>
      </c>
      <c r="G22" s="2" t="s">
        <v>143</v>
      </c>
      <c r="H22" s="2" t="s">
        <v>46</v>
      </c>
      <c r="I22" s="2" t="s">
        <v>47</v>
      </c>
      <c r="J22" s="2" t="s">
        <v>48</v>
      </c>
      <c r="K22" s="2" t="s">
        <v>172</v>
      </c>
      <c r="L22" s="2" t="s">
        <v>173</v>
      </c>
      <c r="M22" s="2" t="s">
        <v>51</v>
      </c>
      <c r="N22" s="16">
        <v>1.44E-2</v>
      </c>
      <c r="O22" s="17">
        <f>N22*'Financial Inputs'!$B$3</f>
        <v>1440000</v>
      </c>
      <c r="P22" s="18">
        <f>IF(I22="L",'Financial Inputs'!$B$4,IF(I22="M",'Financial Inputs'!$B$5,'Financial Inputs'!$B$6))</f>
        <v>0.4</v>
      </c>
      <c r="Q22" s="17">
        <f>O22*P22</f>
        <v>576000</v>
      </c>
      <c r="R22" s="16">
        <f>'Financial Inputs'!$B$7</f>
        <v>0.35</v>
      </c>
      <c r="S22" s="17">
        <f>Q22*(1-R22)</f>
        <v>374400</v>
      </c>
      <c r="T22" s="18">
        <f>S22/'Financial Inputs'!$B$3</f>
        <v>3.7439999999999999E-3</v>
      </c>
      <c r="U22" s="9" t="s">
        <v>52</v>
      </c>
      <c r="V22" s="3" t="s">
        <v>53</v>
      </c>
    </row>
    <row r="23" spans="1:22">
      <c r="A23" s="2" t="s">
        <v>174</v>
      </c>
      <c r="B23" s="2" t="s">
        <v>175</v>
      </c>
      <c r="C23" s="2" t="s">
        <v>41</v>
      </c>
      <c r="D23" s="2" t="s">
        <v>102</v>
      </c>
      <c r="E23" s="2" t="s">
        <v>176</v>
      </c>
      <c r="F23" s="2" t="s">
        <v>74</v>
      </c>
      <c r="G23" s="2" t="s">
        <v>162</v>
      </c>
      <c r="H23" s="2" t="s">
        <v>46</v>
      </c>
      <c r="I23" s="2" t="s">
        <v>47</v>
      </c>
      <c r="J23" s="2" t="s">
        <v>48</v>
      </c>
      <c r="K23" s="2" t="s">
        <v>177</v>
      </c>
      <c r="L23" s="2" t="s">
        <v>178</v>
      </c>
      <c r="M23" s="2" t="s">
        <v>51</v>
      </c>
      <c r="N23" s="16">
        <v>1.6199999999999999E-2</v>
      </c>
      <c r="O23" s="17">
        <f>N23*'Financial Inputs'!$B$3</f>
        <v>1620000</v>
      </c>
      <c r="P23" s="18">
        <f>IF(I23="L",'Financial Inputs'!$B$4,IF(I23="M",'Financial Inputs'!$B$5,'Financial Inputs'!$B$6))</f>
        <v>0.4</v>
      </c>
      <c r="Q23" s="17">
        <f>O23*P23</f>
        <v>648000</v>
      </c>
      <c r="R23" s="16">
        <f>'Financial Inputs'!$B$7</f>
        <v>0.35</v>
      </c>
      <c r="S23" s="17">
        <f>Q23*(1-R23)</f>
        <v>421200</v>
      </c>
      <c r="T23" s="18">
        <f>S23/'Financial Inputs'!$B$3</f>
        <v>4.2119999999999996E-3</v>
      </c>
      <c r="U23" s="9" t="s">
        <v>52</v>
      </c>
      <c r="V23" s="3" t="s">
        <v>53</v>
      </c>
    </row>
    <row r="24" spans="1:22">
      <c r="A24" s="2" t="s">
        <v>179</v>
      </c>
      <c r="B24" s="2" t="s">
        <v>180</v>
      </c>
      <c r="C24" s="2" t="s">
        <v>41</v>
      </c>
      <c r="D24" s="2" t="s">
        <v>42</v>
      </c>
      <c r="E24" s="2" t="s">
        <v>122</v>
      </c>
      <c r="F24" s="2" t="s">
        <v>82</v>
      </c>
      <c r="G24" s="2" t="s">
        <v>45</v>
      </c>
      <c r="H24" s="2" t="s">
        <v>46</v>
      </c>
      <c r="I24" s="2" t="s">
        <v>47</v>
      </c>
      <c r="J24" s="2" t="s">
        <v>48</v>
      </c>
      <c r="K24" s="2" t="s">
        <v>181</v>
      </c>
      <c r="L24" s="2" t="s">
        <v>182</v>
      </c>
      <c r="M24" s="2" t="s">
        <v>51</v>
      </c>
      <c r="N24" s="16">
        <v>1.7999999999999999E-2</v>
      </c>
      <c r="O24" s="17">
        <f>N24*'Financial Inputs'!$B$3</f>
        <v>1799999.9999999998</v>
      </c>
      <c r="P24" s="18">
        <f>IF(I24="L",'Financial Inputs'!$B$4,IF(I24="M",'Financial Inputs'!$B$5,'Financial Inputs'!$B$6))</f>
        <v>0.4</v>
      </c>
      <c r="Q24" s="17">
        <f>O24*P24</f>
        <v>720000</v>
      </c>
      <c r="R24" s="16">
        <f>'Financial Inputs'!$B$7</f>
        <v>0.35</v>
      </c>
      <c r="S24" s="17">
        <f>Q24*(1-R24)</f>
        <v>468000</v>
      </c>
      <c r="T24" s="18">
        <f>S24/'Financial Inputs'!$B$3</f>
        <v>4.6800000000000001E-3</v>
      </c>
      <c r="U24" s="9" t="s">
        <v>52</v>
      </c>
      <c r="V24" s="3" t="s">
        <v>53</v>
      </c>
    </row>
    <row r="25" spans="1:22">
      <c r="A25" s="2" t="s">
        <v>183</v>
      </c>
      <c r="B25" s="2" t="s">
        <v>184</v>
      </c>
      <c r="C25" s="2" t="s">
        <v>41</v>
      </c>
      <c r="D25" s="2" t="s">
        <v>56</v>
      </c>
      <c r="E25" s="2" t="s">
        <v>128</v>
      </c>
      <c r="F25" s="2" t="s">
        <v>44</v>
      </c>
      <c r="G25" s="2" t="s">
        <v>59</v>
      </c>
      <c r="H25" s="2" t="s">
        <v>46</v>
      </c>
      <c r="I25" s="2" t="s">
        <v>47</v>
      </c>
      <c r="J25" s="2" t="s">
        <v>48</v>
      </c>
      <c r="K25" s="2" t="s">
        <v>185</v>
      </c>
      <c r="L25" s="2" t="s">
        <v>186</v>
      </c>
      <c r="M25" s="2" t="s">
        <v>51</v>
      </c>
      <c r="N25" s="16">
        <v>1.9800000000000002E-2</v>
      </c>
      <c r="O25" s="17">
        <f>N25*'Financial Inputs'!$B$3</f>
        <v>1980000.0000000002</v>
      </c>
      <c r="P25" s="18">
        <f>IF(I25="L",'Financial Inputs'!$B$4,IF(I25="M",'Financial Inputs'!$B$5,'Financial Inputs'!$B$6))</f>
        <v>0.4</v>
      </c>
      <c r="Q25" s="17">
        <f>O25*P25</f>
        <v>792000.00000000012</v>
      </c>
      <c r="R25" s="16">
        <f>'Financial Inputs'!$B$7</f>
        <v>0.35</v>
      </c>
      <c r="S25" s="17">
        <f>Q25*(1-R25)</f>
        <v>514800.00000000012</v>
      </c>
      <c r="T25" s="18">
        <f>S25/'Financial Inputs'!$B$3</f>
        <v>5.1480000000000015E-3</v>
      </c>
      <c r="U25" s="9" t="s">
        <v>52</v>
      </c>
      <c r="V25" s="3" t="s">
        <v>53</v>
      </c>
    </row>
    <row r="26" spans="1:22">
      <c r="A26" s="2" t="s">
        <v>187</v>
      </c>
      <c r="B26" s="2" t="s">
        <v>188</v>
      </c>
      <c r="C26" s="2" t="s">
        <v>41</v>
      </c>
      <c r="D26" s="2" t="s">
        <v>64</v>
      </c>
      <c r="E26" s="2" t="s">
        <v>43</v>
      </c>
      <c r="F26" s="2" t="s">
        <v>58</v>
      </c>
      <c r="G26" s="2" t="s">
        <v>67</v>
      </c>
      <c r="H26" s="2" t="s">
        <v>46</v>
      </c>
      <c r="I26" s="2" t="s">
        <v>47</v>
      </c>
      <c r="J26" s="2" t="s">
        <v>48</v>
      </c>
      <c r="K26" s="2" t="s">
        <v>189</v>
      </c>
      <c r="L26" s="2" t="s">
        <v>190</v>
      </c>
      <c r="M26" s="2" t="s">
        <v>51</v>
      </c>
      <c r="N26" s="16">
        <v>2.1600000000000001E-2</v>
      </c>
      <c r="O26" s="17">
        <f>N26*'Financial Inputs'!$B$3</f>
        <v>2160000</v>
      </c>
      <c r="P26" s="18">
        <f>IF(I26="L",'Financial Inputs'!$B$4,IF(I26="M",'Financial Inputs'!$B$5,'Financial Inputs'!$B$6))</f>
        <v>0.4</v>
      </c>
      <c r="Q26" s="17">
        <f>O26*P26</f>
        <v>864000</v>
      </c>
      <c r="R26" s="16">
        <f>'Financial Inputs'!$B$7</f>
        <v>0.35</v>
      </c>
      <c r="S26" s="17">
        <f>Q26*(1-R26)</f>
        <v>561600</v>
      </c>
      <c r="T26" s="18">
        <f>S26/'Financial Inputs'!$B$3</f>
        <v>5.6160000000000003E-3</v>
      </c>
      <c r="U26" s="9" t="s">
        <v>52</v>
      </c>
      <c r="V26" s="3" t="s">
        <v>53</v>
      </c>
    </row>
    <row r="27" spans="1:22">
      <c r="A27" s="2" t="s">
        <v>191</v>
      </c>
      <c r="B27" s="2" t="s">
        <v>192</v>
      </c>
      <c r="C27" s="2" t="s">
        <v>41</v>
      </c>
      <c r="D27" s="2" t="s">
        <v>127</v>
      </c>
      <c r="E27" s="2" t="s">
        <v>193</v>
      </c>
      <c r="F27" s="2" t="s">
        <v>104</v>
      </c>
      <c r="G27" s="2" t="s">
        <v>45</v>
      </c>
      <c r="H27" s="2" t="s">
        <v>46</v>
      </c>
      <c r="I27" s="2" t="s">
        <v>47</v>
      </c>
      <c r="J27" s="2" t="s">
        <v>48</v>
      </c>
      <c r="K27" s="2" t="s">
        <v>194</v>
      </c>
      <c r="L27" s="2" t="s">
        <v>195</v>
      </c>
      <c r="M27" s="2" t="s">
        <v>51</v>
      </c>
      <c r="N27" s="16">
        <v>1.44E-2</v>
      </c>
      <c r="O27" s="17">
        <f>N27*'Financial Inputs'!$B$3</f>
        <v>1440000</v>
      </c>
      <c r="P27" s="18">
        <f>IF(I27="L",'Financial Inputs'!$B$4,IF(I27="M",'Financial Inputs'!$B$5,'Financial Inputs'!$B$6))</f>
        <v>0.4</v>
      </c>
      <c r="Q27" s="17">
        <f>O27*P27</f>
        <v>576000</v>
      </c>
      <c r="R27" s="16">
        <f>'Financial Inputs'!$B$7</f>
        <v>0.35</v>
      </c>
      <c r="S27" s="17">
        <f>Q27*(1-R27)</f>
        <v>374400</v>
      </c>
      <c r="T27" s="18">
        <f>S27/'Financial Inputs'!$B$3</f>
        <v>3.7439999999999999E-3</v>
      </c>
      <c r="U27" s="9" t="s">
        <v>52</v>
      </c>
      <c r="V27" s="3" t="s">
        <v>53</v>
      </c>
    </row>
    <row r="28" spans="1:22">
      <c r="A28" s="2" t="s">
        <v>196</v>
      </c>
      <c r="B28" s="2" t="s">
        <v>197</v>
      </c>
      <c r="C28" s="2" t="s">
        <v>41</v>
      </c>
      <c r="D28" s="2" t="s">
        <v>133</v>
      </c>
      <c r="E28" s="2" t="s">
        <v>198</v>
      </c>
      <c r="F28" s="2" t="s">
        <v>110</v>
      </c>
      <c r="G28" s="2" t="s">
        <v>59</v>
      </c>
      <c r="H28" s="2" t="s">
        <v>46</v>
      </c>
      <c r="I28" s="2" t="s">
        <v>47</v>
      </c>
      <c r="J28" s="2" t="s">
        <v>48</v>
      </c>
      <c r="K28" s="2" t="s">
        <v>199</v>
      </c>
      <c r="L28" s="2" t="s">
        <v>200</v>
      </c>
      <c r="M28" s="2" t="s">
        <v>51</v>
      </c>
      <c r="N28" s="16">
        <v>1.6199999999999999E-2</v>
      </c>
      <c r="O28" s="17">
        <f>N28*'Financial Inputs'!$B$3</f>
        <v>1620000</v>
      </c>
      <c r="P28" s="18">
        <f>IF(I28="L",'Financial Inputs'!$B$4,IF(I28="M",'Financial Inputs'!$B$5,'Financial Inputs'!$B$6))</f>
        <v>0.4</v>
      </c>
      <c r="Q28" s="17">
        <f>O28*P28</f>
        <v>648000</v>
      </c>
      <c r="R28" s="16">
        <f>'Financial Inputs'!$B$7</f>
        <v>0.35</v>
      </c>
      <c r="S28" s="17">
        <f>Q28*(1-R28)</f>
        <v>421200</v>
      </c>
      <c r="T28" s="18">
        <f>S28/'Financial Inputs'!$B$3</f>
        <v>4.2119999999999996E-3</v>
      </c>
      <c r="U28" s="9" t="s">
        <v>52</v>
      </c>
      <c r="V28" s="3" t="s">
        <v>53</v>
      </c>
    </row>
    <row r="29" spans="1:22">
      <c r="A29" s="2" t="s">
        <v>201</v>
      </c>
      <c r="B29" s="2" t="s">
        <v>202</v>
      </c>
      <c r="C29" s="2" t="s">
        <v>41</v>
      </c>
      <c r="D29" s="2" t="s">
        <v>88</v>
      </c>
      <c r="E29" s="2" t="s">
        <v>148</v>
      </c>
      <c r="F29" s="2" t="s">
        <v>117</v>
      </c>
      <c r="G29" s="2" t="s">
        <v>67</v>
      </c>
      <c r="H29" s="2" t="s">
        <v>46</v>
      </c>
      <c r="I29" s="2" t="s">
        <v>47</v>
      </c>
      <c r="J29" s="2" t="s">
        <v>48</v>
      </c>
      <c r="K29" s="2" t="s">
        <v>203</v>
      </c>
      <c r="L29" s="2" t="s">
        <v>204</v>
      </c>
      <c r="M29" s="2" t="s">
        <v>51</v>
      </c>
      <c r="N29" s="16">
        <v>1.7999999999999999E-2</v>
      </c>
      <c r="O29" s="17">
        <f>N29*'Financial Inputs'!$B$3</f>
        <v>1799999.9999999998</v>
      </c>
      <c r="P29" s="18">
        <f>IF(I29="L",'Financial Inputs'!$B$4,IF(I29="M",'Financial Inputs'!$B$5,'Financial Inputs'!$B$6))</f>
        <v>0.4</v>
      </c>
      <c r="Q29" s="17">
        <f>O29*P29</f>
        <v>720000</v>
      </c>
      <c r="R29" s="16">
        <f>'Financial Inputs'!$B$7</f>
        <v>0.35</v>
      </c>
      <c r="S29" s="17">
        <f>Q29*(1-R29)</f>
        <v>468000</v>
      </c>
      <c r="T29" s="18">
        <f>S29/'Financial Inputs'!$B$3</f>
        <v>4.6800000000000001E-3</v>
      </c>
      <c r="U29" s="9" t="s">
        <v>52</v>
      </c>
      <c r="V29" s="3" t="s">
        <v>53</v>
      </c>
    </row>
    <row r="30" spans="1:22">
      <c r="A30" s="2" t="s">
        <v>205</v>
      </c>
      <c r="B30" s="2" t="s">
        <v>206</v>
      </c>
      <c r="C30" s="2" t="s">
        <v>41</v>
      </c>
      <c r="D30" s="2" t="s">
        <v>95</v>
      </c>
      <c r="E30" s="2" t="s">
        <v>153</v>
      </c>
      <c r="F30" s="2" t="s">
        <v>90</v>
      </c>
      <c r="G30" s="2" t="s">
        <v>75</v>
      </c>
      <c r="H30" s="2" t="s">
        <v>46</v>
      </c>
      <c r="I30" s="2" t="s">
        <v>47</v>
      </c>
      <c r="J30" s="2" t="s">
        <v>48</v>
      </c>
      <c r="K30" s="2" t="s">
        <v>207</v>
      </c>
      <c r="L30" s="2" t="s">
        <v>208</v>
      </c>
      <c r="M30" s="2" t="s">
        <v>51</v>
      </c>
      <c r="N30" s="16">
        <v>1.9800000000000002E-2</v>
      </c>
      <c r="O30" s="17">
        <f>N30*'Financial Inputs'!$B$3</f>
        <v>1980000.0000000002</v>
      </c>
      <c r="P30" s="18">
        <f>IF(I30="L",'Financial Inputs'!$B$4,IF(I30="M",'Financial Inputs'!$B$5,'Financial Inputs'!$B$6))</f>
        <v>0.4</v>
      </c>
      <c r="Q30" s="17">
        <f>O30*P30</f>
        <v>792000.00000000012</v>
      </c>
      <c r="R30" s="16">
        <f>'Financial Inputs'!$B$7</f>
        <v>0.35</v>
      </c>
      <c r="S30" s="17">
        <f>Q30*(1-R30)</f>
        <v>514800.00000000012</v>
      </c>
      <c r="T30" s="18">
        <f>S30/'Financial Inputs'!$B$3</f>
        <v>5.1480000000000015E-3</v>
      </c>
      <c r="U30" s="9" t="s">
        <v>52</v>
      </c>
      <c r="V30" s="3" t="s">
        <v>53</v>
      </c>
    </row>
    <row r="31" spans="1:22">
      <c r="A31" s="2" t="s">
        <v>209</v>
      </c>
      <c r="B31" s="2" t="s">
        <v>210</v>
      </c>
      <c r="C31" s="2" t="s">
        <v>41</v>
      </c>
      <c r="D31" s="2" t="s">
        <v>102</v>
      </c>
      <c r="E31" s="2" t="s">
        <v>89</v>
      </c>
      <c r="F31" s="2" t="s">
        <v>97</v>
      </c>
      <c r="G31" s="2" t="s">
        <v>83</v>
      </c>
      <c r="H31" s="2" t="s">
        <v>46</v>
      </c>
      <c r="I31" s="2" t="s">
        <v>47</v>
      </c>
      <c r="J31" s="2" t="s">
        <v>48</v>
      </c>
      <c r="K31" s="2" t="s">
        <v>211</v>
      </c>
      <c r="L31" s="2" t="s">
        <v>212</v>
      </c>
      <c r="M31" s="2" t="s">
        <v>51</v>
      </c>
      <c r="N31" s="16">
        <v>2.1600000000000001E-2</v>
      </c>
      <c r="O31" s="17">
        <f>N31*'Financial Inputs'!$B$3</f>
        <v>2160000</v>
      </c>
      <c r="P31" s="18">
        <f>IF(I31="L",'Financial Inputs'!$B$4,IF(I31="M",'Financial Inputs'!$B$5,'Financial Inputs'!$B$6))</f>
        <v>0.4</v>
      </c>
      <c r="Q31" s="17">
        <f>O31*P31</f>
        <v>864000</v>
      </c>
      <c r="R31" s="16">
        <f>'Financial Inputs'!$B$7</f>
        <v>0.35</v>
      </c>
      <c r="S31" s="17">
        <f>Q31*(1-R31)</f>
        <v>561600</v>
      </c>
      <c r="T31" s="18">
        <f>S31/'Financial Inputs'!$B$3</f>
        <v>5.6160000000000003E-3</v>
      </c>
      <c r="U31" s="9" t="s">
        <v>52</v>
      </c>
      <c r="V31" s="3" t="s">
        <v>53</v>
      </c>
    </row>
    <row r="32" spans="1:22">
      <c r="A32" s="2" t="s">
        <v>213</v>
      </c>
      <c r="B32" s="2" t="s">
        <v>214</v>
      </c>
      <c r="C32" s="2" t="s">
        <v>41</v>
      </c>
      <c r="D32" s="2" t="s">
        <v>64</v>
      </c>
      <c r="E32" s="2" t="s">
        <v>215</v>
      </c>
      <c r="F32" s="2" t="s">
        <v>74</v>
      </c>
      <c r="G32" s="2" t="s">
        <v>67</v>
      </c>
      <c r="H32" s="2" t="s">
        <v>46</v>
      </c>
      <c r="I32" s="2" t="s">
        <v>47</v>
      </c>
      <c r="J32" s="2" t="s">
        <v>48</v>
      </c>
      <c r="K32" s="2" t="s">
        <v>216</v>
      </c>
      <c r="L32" s="2" t="s">
        <v>217</v>
      </c>
      <c r="M32" s="2" t="s">
        <v>51</v>
      </c>
      <c r="N32" s="16">
        <v>1.44E-2</v>
      </c>
      <c r="O32" s="17">
        <f>N32*'Financial Inputs'!$B$3</f>
        <v>1440000</v>
      </c>
      <c r="P32" s="18">
        <f>IF(I32="L",'Financial Inputs'!$B$4,IF(I32="M",'Financial Inputs'!$B$5,'Financial Inputs'!$B$6))</f>
        <v>0.4</v>
      </c>
      <c r="Q32" s="17">
        <f>O32*P32</f>
        <v>576000</v>
      </c>
      <c r="R32" s="16">
        <f>'Financial Inputs'!$B$7</f>
        <v>0.35</v>
      </c>
      <c r="S32" s="17">
        <f>Q32*(1-R32)</f>
        <v>374400</v>
      </c>
      <c r="T32" s="18">
        <f>S32/'Financial Inputs'!$B$3</f>
        <v>3.7439999999999999E-3</v>
      </c>
      <c r="U32" s="9" t="s">
        <v>52</v>
      </c>
      <c r="V32" s="3" t="s">
        <v>53</v>
      </c>
    </row>
    <row r="33" spans="1:22">
      <c r="A33" s="2" t="s">
        <v>218</v>
      </c>
      <c r="B33" s="2" t="s">
        <v>219</v>
      </c>
      <c r="C33" s="2" t="s">
        <v>41</v>
      </c>
      <c r="D33" s="2" t="s">
        <v>72</v>
      </c>
      <c r="E33" s="2" t="s">
        <v>220</v>
      </c>
      <c r="F33" s="2" t="s">
        <v>82</v>
      </c>
      <c r="G33" s="2" t="s">
        <v>75</v>
      </c>
      <c r="H33" s="2" t="s">
        <v>46</v>
      </c>
      <c r="I33" s="2" t="s">
        <v>47</v>
      </c>
      <c r="J33" s="2" t="s">
        <v>48</v>
      </c>
      <c r="K33" s="2" t="s">
        <v>221</v>
      </c>
      <c r="L33" s="2" t="s">
        <v>222</v>
      </c>
      <c r="M33" s="2" t="s">
        <v>51</v>
      </c>
      <c r="N33" s="16">
        <v>1.6199999999999999E-2</v>
      </c>
      <c r="O33" s="17">
        <f>N33*'Financial Inputs'!$B$3</f>
        <v>1620000</v>
      </c>
      <c r="P33" s="18">
        <f>IF(I33="L",'Financial Inputs'!$B$4,IF(I33="M",'Financial Inputs'!$B$5,'Financial Inputs'!$B$6))</f>
        <v>0.4</v>
      </c>
      <c r="Q33" s="17">
        <f>O33*P33</f>
        <v>648000</v>
      </c>
      <c r="R33" s="16">
        <f>'Financial Inputs'!$B$7</f>
        <v>0.35</v>
      </c>
      <c r="S33" s="17">
        <f>Q33*(1-R33)</f>
        <v>421200</v>
      </c>
      <c r="T33" s="18">
        <f>S33/'Financial Inputs'!$B$3</f>
        <v>4.2119999999999996E-3</v>
      </c>
      <c r="U33" s="9" t="s">
        <v>52</v>
      </c>
      <c r="V33" s="3" t="s">
        <v>53</v>
      </c>
    </row>
    <row r="34" spans="1:22">
      <c r="A34" s="2" t="s">
        <v>223</v>
      </c>
      <c r="B34" s="2" t="s">
        <v>224</v>
      </c>
      <c r="C34" s="2" t="s">
        <v>41</v>
      </c>
      <c r="D34" s="2" t="s">
        <v>80</v>
      </c>
      <c r="E34" s="2" t="s">
        <v>171</v>
      </c>
      <c r="F34" s="2" t="s">
        <v>44</v>
      </c>
      <c r="G34" s="2" t="s">
        <v>83</v>
      </c>
      <c r="H34" s="2" t="s">
        <v>46</v>
      </c>
      <c r="I34" s="2" t="s">
        <v>47</v>
      </c>
      <c r="J34" s="2" t="s">
        <v>48</v>
      </c>
      <c r="K34" s="2" t="s">
        <v>225</v>
      </c>
      <c r="L34" s="2" t="s">
        <v>226</v>
      </c>
      <c r="M34" s="2" t="s">
        <v>51</v>
      </c>
      <c r="N34" s="16">
        <v>1.7999999999999999E-2</v>
      </c>
      <c r="O34" s="17">
        <f>N34*'Financial Inputs'!$B$3</f>
        <v>1799999.9999999998</v>
      </c>
      <c r="P34" s="18">
        <f>IF(I34="L",'Financial Inputs'!$B$4,IF(I34="M",'Financial Inputs'!$B$5,'Financial Inputs'!$B$6))</f>
        <v>0.4</v>
      </c>
      <c r="Q34" s="17">
        <f>O34*P34</f>
        <v>720000</v>
      </c>
      <c r="R34" s="16">
        <f>'Financial Inputs'!$B$7</f>
        <v>0.35</v>
      </c>
      <c r="S34" s="17">
        <f>Q34*(1-R34)</f>
        <v>468000</v>
      </c>
      <c r="T34" s="18">
        <f>S34/'Financial Inputs'!$B$3</f>
        <v>4.6800000000000001E-3</v>
      </c>
      <c r="U34" s="9" t="s">
        <v>52</v>
      </c>
      <c r="V34" s="3" t="s">
        <v>53</v>
      </c>
    </row>
    <row r="35" spans="1:22">
      <c r="A35" s="2" t="s">
        <v>227</v>
      </c>
      <c r="B35" s="2" t="s">
        <v>228</v>
      </c>
      <c r="C35" s="2" t="s">
        <v>41</v>
      </c>
      <c r="D35" s="2" t="s">
        <v>127</v>
      </c>
      <c r="E35" s="2" t="s">
        <v>176</v>
      </c>
      <c r="F35" s="2" t="s">
        <v>58</v>
      </c>
      <c r="G35" s="2" t="s">
        <v>111</v>
      </c>
      <c r="H35" s="2" t="s">
        <v>46</v>
      </c>
      <c r="I35" s="2" t="s">
        <v>47</v>
      </c>
      <c r="J35" s="2" t="s">
        <v>48</v>
      </c>
      <c r="K35" s="2" t="s">
        <v>229</v>
      </c>
      <c r="L35" s="2" t="s">
        <v>230</v>
      </c>
      <c r="M35" s="2" t="s">
        <v>51</v>
      </c>
      <c r="N35" s="16">
        <v>1.9800000000000002E-2</v>
      </c>
      <c r="O35" s="17">
        <f>N35*'Financial Inputs'!$B$3</f>
        <v>1980000.0000000002</v>
      </c>
      <c r="P35" s="18">
        <f>IF(I35="L",'Financial Inputs'!$B$4,IF(I35="M",'Financial Inputs'!$B$5,'Financial Inputs'!$B$6))</f>
        <v>0.4</v>
      </c>
      <c r="Q35" s="17">
        <f>O35*P35</f>
        <v>792000.00000000012</v>
      </c>
      <c r="R35" s="16">
        <f>'Financial Inputs'!$B$7</f>
        <v>0.35</v>
      </c>
      <c r="S35" s="17">
        <f>Q35*(1-R35)</f>
        <v>514800.00000000012</v>
      </c>
      <c r="T35" s="18">
        <f>S35/'Financial Inputs'!$B$3</f>
        <v>5.1480000000000015E-3</v>
      </c>
      <c r="U35" s="9" t="s">
        <v>52</v>
      </c>
      <c r="V35" s="3" t="s">
        <v>53</v>
      </c>
    </row>
    <row r="36" spans="1:22">
      <c r="A36" s="2" t="s">
        <v>231</v>
      </c>
      <c r="B36" s="2" t="s">
        <v>232</v>
      </c>
      <c r="C36" s="2" t="s">
        <v>41</v>
      </c>
      <c r="D36" s="2" t="s">
        <v>133</v>
      </c>
      <c r="E36" s="2" t="s">
        <v>122</v>
      </c>
      <c r="F36" s="2" t="s">
        <v>66</v>
      </c>
      <c r="G36" s="2" t="s">
        <v>56</v>
      </c>
      <c r="H36" s="2" t="s">
        <v>46</v>
      </c>
      <c r="I36" s="2" t="s">
        <v>47</v>
      </c>
      <c r="J36" s="2" t="s">
        <v>48</v>
      </c>
      <c r="K36" s="2" t="s">
        <v>233</v>
      </c>
      <c r="L36" s="2" t="s">
        <v>234</v>
      </c>
      <c r="M36" s="2" t="s">
        <v>51</v>
      </c>
      <c r="N36" s="16">
        <v>2.1600000000000001E-2</v>
      </c>
      <c r="O36" s="17">
        <f>N36*'Financial Inputs'!$B$3</f>
        <v>2160000</v>
      </c>
      <c r="P36" s="18">
        <f>IF(I36="L",'Financial Inputs'!$B$4,IF(I36="M",'Financial Inputs'!$B$5,'Financial Inputs'!$B$6))</f>
        <v>0.4</v>
      </c>
      <c r="Q36" s="17">
        <f>O36*P36</f>
        <v>864000</v>
      </c>
      <c r="R36" s="16">
        <f>'Financial Inputs'!$B$7</f>
        <v>0.35</v>
      </c>
      <c r="S36" s="17">
        <f>Q36*(1-R36)</f>
        <v>561600</v>
      </c>
      <c r="T36" s="18">
        <f>S36/'Financial Inputs'!$B$3</f>
        <v>5.6160000000000003E-3</v>
      </c>
      <c r="U36" s="9" t="s">
        <v>52</v>
      </c>
      <c r="V36" s="3" t="s">
        <v>53</v>
      </c>
    </row>
    <row r="37" spans="1:22">
      <c r="A37" s="2" t="s">
        <v>235</v>
      </c>
      <c r="B37" s="2" t="s">
        <v>236</v>
      </c>
      <c r="C37" s="2" t="s">
        <v>41</v>
      </c>
      <c r="D37" s="2" t="s">
        <v>102</v>
      </c>
      <c r="E37" s="2" t="s">
        <v>73</v>
      </c>
      <c r="F37" s="2" t="s">
        <v>110</v>
      </c>
      <c r="G37" s="2" t="s">
        <v>83</v>
      </c>
      <c r="H37" s="2" t="s">
        <v>46</v>
      </c>
      <c r="I37" s="2" t="s">
        <v>47</v>
      </c>
      <c r="J37" s="2" t="s">
        <v>48</v>
      </c>
      <c r="K37" s="2" t="s">
        <v>237</v>
      </c>
      <c r="L37" s="2" t="s">
        <v>238</v>
      </c>
      <c r="M37" s="2" t="s">
        <v>51</v>
      </c>
      <c r="N37" s="16">
        <v>1.44E-2</v>
      </c>
      <c r="O37" s="17">
        <f>N37*'Financial Inputs'!$B$3</f>
        <v>1440000</v>
      </c>
      <c r="P37" s="18">
        <f>IF(I37="L",'Financial Inputs'!$B$4,IF(I37="M",'Financial Inputs'!$B$5,'Financial Inputs'!$B$6))</f>
        <v>0.4</v>
      </c>
      <c r="Q37" s="17">
        <f>O37*P37</f>
        <v>576000</v>
      </c>
      <c r="R37" s="16">
        <f>'Financial Inputs'!$B$7</f>
        <v>0.35</v>
      </c>
      <c r="S37" s="17">
        <f>Q37*(1-R37)</f>
        <v>374400</v>
      </c>
      <c r="T37" s="18">
        <f>S37/'Financial Inputs'!$B$3</f>
        <v>3.7439999999999999E-3</v>
      </c>
      <c r="U37" s="9" t="s">
        <v>52</v>
      </c>
      <c r="V37" s="3" t="s">
        <v>53</v>
      </c>
    </row>
    <row r="38" spans="1:22">
      <c r="A38" s="2" t="s">
        <v>239</v>
      </c>
      <c r="B38" s="2" t="s">
        <v>240</v>
      </c>
      <c r="C38" s="2" t="s">
        <v>41</v>
      </c>
      <c r="D38" s="2" t="s">
        <v>42</v>
      </c>
      <c r="E38" s="2" t="s">
        <v>81</v>
      </c>
      <c r="F38" s="2" t="s">
        <v>117</v>
      </c>
      <c r="G38" s="2" t="s">
        <v>111</v>
      </c>
      <c r="H38" s="2" t="s">
        <v>46</v>
      </c>
      <c r="I38" s="2" t="s">
        <v>47</v>
      </c>
      <c r="J38" s="2" t="s">
        <v>48</v>
      </c>
      <c r="K38" s="2" t="s">
        <v>241</v>
      </c>
      <c r="L38" s="2" t="s">
        <v>242</v>
      </c>
      <c r="M38" s="2" t="s">
        <v>51</v>
      </c>
      <c r="N38" s="16">
        <v>1.6199999999999999E-2</v>
      </c>
      <c r="O38" s="17">
        <f>N38*'Financial Inputs'!$B$3</f>
        <v>1620000</v>
      </c>
      <c r="P38" s="18">
        <f>IF(I38="L",'Financial Inputs'!$B$4,IF(I38="M",'Financial Inputs'!$B$5,'Financial Inputs'!$B$6))</f>
        <v>0.4</v>
      </c>
      <c r="Q38" s="17">
        <f>O38*P38</f>
        <v>648000</v>
      </c>
      <c r="R38" s="16">
        <f>'Financial Inputs'!$B$7</f>
        <v>0.35</v>
      </c>
      <c r="S38" s="17">
        <f>Q38*(1-R38)</f>
        <v>421200</v>
      </c>
      <c r="T38" s="18">
        <f>S38/'Financial Inputs'!$B$3</f>
        <v>4.2119999999999996E-3</v>
      </c>
      <c r="U38" s="9" t="s">
        <v>52</v>
      </c>
      <c r="V38" s="3" t="s">
        <v>53</v>
      </c>
    </row>
    <row r="39" spans="1:22">
      <c r="A39" s="2" t="s">
        <v>243</v>
      </c>
      <c r="B39" s="2" t="s">
        <v>244</v>
      </c>
      <c r="C39" s="2" t="s">
        <v>41</v>
      </c>
      <c r="D39" s="2" t="s">
        <v>56</v>
      </c>
      <c r="E39" s="2" t="s">
        <v>193</v>
      </c>
      <c r="F39" s="2" t="s">
        <v>90</v>
      </c>
      <c r="G39" s="2" t="s">
        <v>56</v>
      </c>
      <c r="H39" s="2" t="s">
        <v>46</v>
      </c>
      <c r="I39" s="2" t="s">
        <v>47</v>
      </c>
      <c r="J39" s="2" t="s">
        <v>48</v>
      </c>
      <c r="K39" s="2" t="s">
        <v>245</v>
      </c>
      <c r="L39" s="2" t="s">
        <v>246</v>
      </c>
      <c r="M39" s="2" t="s">
        <v>51</v>
      </c>
      <c r="N39" s="16">
        <v>1.7999999999999999E-2</v>
      </c>
      <c r="O39" s="17">
        <f>N39*'Financial Inputs'!$B$3</f>
        <v>1799999.9999999998</v>
      </c>
      <c r="P39" s="18">
        <f>IF(I39="L",'Financial Inputs'!$B$4,IF(I39="M",'Financial Inputs'!$B$5,'Financial Inputs'!$B$6))</f>
        <v>0.4</v>
      </c>
      <c r="Q39" s="17">
        <f>O39*P39</f>
        <v>720000</v>
      </c>
      <c r="R39" s="16">
        <f>'Financial Inputs'!$B$7</f>
        <v>0.35</v>
      </c>
      <c r="S39" s="17">
        <f>Q39*(1-R39)</f>
        <v>468000</v>
      </c>
      <c r="T39" s="18">
        <f>S39/'Financial Inputs'!$B$3</f>
        <v>4.6800000000000001E-3</v>
      </c>
      <c r="U39" s="9" t="s">
        <v>52</v>
      </c>
      <c r="V39" s="3" t="s">
        <v>53</v>
      </c>
    </row>
    <row r="40" spans="1:22">
      <c r="A40" s="2" t="s">
        <v>247</v>
      </c>
      <c r="B40" s="2" t="s">
        <v>248</v>
      </c>
      <c r="C40" s="2" t="s">
        <v>41</v>
      </c>
      <c r="D40" s="2" t="s">
        <v>64</v>
      </c>
      <c r="E40" s="2" t="s">
        <v>198</v>
      </c>
      <c r="F40" s="2" t="s">
        <v>97</v>
      </c>
      <c r="G40" s="2" t="s">
        <v>138</v>
      </c>
      <c r="H40" s="2" t="s">
        <v>46</v>
      </c>
      <c r="I40" s="2" t="s">
        <v>47</v>
      </c>
      <c r="J40" s="2" t="s">
        <v>48</v>
      </c>
      <c r="K40" s="2" t="s">
        <v>249</v>
      </c>
      <c r="L40" s="2" t="s">
        <v>250</v>
      </c>
      <c r="M40" s="2" t="s">
        <v>51</v>
      </c>
      <c r="N40" s="16">
        <v>1.9800000000000002E-2</v>
      </c>
      <c r="O40" s="17">
        <f>N40*'Financial Inputs'!$B$3</f>
        <v>1980000.0000000002</v>
      </c>
      <c r="P40" s="18">
        <f>IF(I40="L",'Financial Inputs'!$B$4,IF(I40="M",'Financial Inputs'!$B$5,'Financial Inputs'!$B$6))</f>
        <v>0.4</v>
      </c>
      <c r="Q40" s="17">
        <f>O40*P40</f>
        <v>792000.00000000012</v>
      </c>
      <c r="R40" s="16">
        <f>'Financial Inputs'!$B$7</f>
        <v>0.35</v>
      </c>
      <c r="S40" s="17">
        <f>Q40*(1-R40)</f>
        <v>514800.00000000012</v>
      </c>
      <c r="T40" s="18">
        <f>S40/'Financial Inputs'!$B$3</f>
        <v>5.1480000000000015E-3</v>
      </c>
      <c r="U40" s="9" t="s">
        <v>52</v>
      </c>
      <c r="V40" s="3" t="s">
        <v>53</v>
      </c>
    </row>
    <row r="41" spans="1:22">
      <c r="A41" s="2" t="s">
        <v>251</v>
      </c>
      <c r="B41" s="2" t="s">
        <v>252</v>
      </c>
      <c r="C41" s="2" t="s">
        <v>41</v>
      </c>
      <c r="D41" s="2" t="s">
        <v>72</v>
      </c>
      <c r="E41" s="2" t="s">
        <v>148</v>
      </c>
      <c r="F41" s="2" t="s">
        <v>104</v>
      </c>
      <c r="G41" s="2" t="s">
        <v>143</v>
      </c>
      <c r="H41" s="2" t="s">
        <v>46</v>
      </c>
      <c r="I41" s="2" t="s">
        <v>47</v>
      </c>
      <c r="J41" s="2" t="s">
        <v>48</v>
      </c>
      <c r="K41" s="2" t="s">
        <v>253</v>
      </c>
      <c r="L41" s="2" t="s">
        <v>254</v>
      </c>
      <c r="M41" s="2" t="s">
        <v>51</v>
      </c>
      <c r="N41" s="16">
        <v>2.1600000000000001E-2</v>
      </c>
      <c r="O41" s="17">
        <f>N41*'Financial Inputs'!$B$3</f>
        <v>2160000</v>
      </c>
      <c r="P41" s="18">
        <f>IF(I41="L",'Financial Inputs'!$B$4,IF(I41="M",'Financial Inputs'!$B$5,'Financial Inputs'!$B$6))</f>
        <v>0.4</v>
      </c>
      <c r="Q41" s="17">
        <f>O41*P41</f>
        <v>864000</v>
      </c>
      <c r="R41" s="16">
        <f>'Financial Inputs'!$B$7</f>
        <v>0.35</v>
      </c>
      <c r="S41" s="17">
        <f>Q41*(1-R41)</f>
        <v>561600</v>
      </c>
      <c r="T41" s="18">
        <f>S41/'Financial Inputs'!$B$3</f>
        <v>5.6160000000000003E-3</v>
      </c>
      <c r="U41" s="9" t="s">
        <v>52</v>
      </c>
      <c r="V41" s="3" t="s">
        <v>53</v>
      </c>
    </row>
    <row r="42" spans="1:22">
      <c r="A42" s="2" t="s">
        <v>255</v>
      </c>
      <c r="B42" s="2" t="s">
        <v>256</v>
      </c>
      <c r="C42" s="2" t="s">
        <v>41</v>
      </c>
      <c r="D42" s="2" t="s">
        <v>133</v>
      </c>
      <c r="E42" s="2" t="s">
        <v>109</v>
      </c>
      <c r="F42" s="2" t="s">
        <v>82</v>
      </c>
      <c r="G42" s="2" t="s">
        <v>56</v>
      </c>
      <c r="H42" s="2" t="s">
        <v>46</v>
      </c>
      <c r="I42" s="2" t="s">
        <v>47</v>
      </c>
      <c r="J42" s="2" t="s">
        <v>48</v>
      </c>
      <c r="K42" s="2" t="s">
        <v>257</v>
      </c>
      <c r="L42" s="2" t="s">
        <v>258</v>
      </c>
      <c r="M42" s="2" t="s">
        <v>51</v>
      </c>
      <c r="N42" s="16">
        <v>1.44E-2</v>
      </c>
      <c r="O42" s="17">
        <f>N42*'Financial Inputs'!$B$3</f>
        <v>1440000</v>
      </c>
      <c r="P42" s="18">
        <f>IF(I42="L",'Financial Inputs'!$B$4,IF(I42="M",'Financial Inputs'!$B$5,'Financial Inputs'!$B$6))</f>
        <v>0.4</v>
      </c>
      <c r="Q42" s="17">
        <f>O42*P42</f>
        <v>576000</v>
      </c>
      <c r="R42" s="16">
        <f>'Financial Inputs'!$B$7</f>
        <v>0.35</v>
      </c>
      <c r="S42" s="17">
        <f>Q42*(1-R42)</f>
        <v>374400</v>
      </c>
      <c r="T42" s="18">
        <f>S42/'Financial Inputs'!$B$3</f>
        <v>3.7439999999999999E-3</v>
      </c>
      <c r="U42" s="9" t="s">
        <v>52</v>
      </c>
      <c r="V42" s="3" t="s">
        <v>53</v>
      </c>
    </row>
    <row r="43" spans="1:22">
      <c r="A43" s="2" t="s">
        <v>259</v>
      </c>
      <c r="B43" s="2" t="s">
        <v>260</v>
      </c>
      <c r="C43" s="2" t="s">
        <v>41</v>
      </c>
      <c r="D43" s="2" t="s">
        <v>88</v>
      </c>
      <c r="E43" s="2" t="s">
        <v>116</v>
      </c>
      <c r="F43" s="2" t="s">
        <v>44</v>
      </c>
      <c r="G43" s="2" t="s">
        <v>138</v>
      </c>
      <c r="H43" s="2" t="s">
        <v>46</v>
      </c>
      <c r="I43" s="2" t="s">
        <v>47</v>
      </c>
      <c r="J43" s="2" t="s">
        <v>48</v>
      </c>
      <c r="K43" s="2" t="s">
        <v>261</v>
      </c>
      <c r="L43" s="2" t="s">
        <v>262</v>
      </c>
      <c r="M43" s="2" t="s">
        <v>51</v>
      </c>
      <c r="N43" s="16">
        <v>1.6199999999999999E-2</v>
      </c>
      <c r="O43" s="17">
        <f>N43*'Financial Inputs'!$B$3</f>
        <v>1620000</v>
      </c>
      <c r="P43" s="18">
        <f>IF(I43="L",'Financial Inputs'!$B$4,IF(I43="M",'Financial Inputs'!$B$5,'Financial Inputs'!$B$6))</f>
        <v>0.4</v>
      </c>
      <c r="Q43" s="17">
        <f>O43*P43</f>
        <v>648000</v>
      </c>
      <c r="R43" s="16">
        <f>'Financial Inputs'!$B$7</f>
        <v>0.35</v>
      </c>
      <c r="S43" s="17">
        <f>Q43*(1-R43)</f>
        <v>421200</v>
      </c>
      <c r="T43" s="18">
        <f>S43/'Financial Inputs'!$B$3</f>
        <v>4.2119999999999996E-3</v>
      </c>
      <c r="U43" s="9" t="s">
        <v>52</v>
      </c>
      <c r="V43" s="3" t="s">
        <v>53</v>
      </c>
    </row>
    <row r="44" spans="1:22">
      <c r="A44" s="2" t="s">
        <v>263</v>
      </c>
      <c r="B44" s="2" t="s">
        <v>264</v>
      </c>
      <c r="C44" s="2" t="s">
        <v>41</v>
      </c>
      <c r="D44" s="2" t="s">
        <v>95</v>
      </c>
      <c r="E44" s="2" t="s">
        <v>215</v>
      </c>
      <c r="F44" s="2" t="s">
        <v>58</v>
      </c>
      <c r="G44" s="2" t="s">
        <v>143</v>
      </c>
      <c r="H44" s="2" t="s">
        <v>46</v>
      </c>
      <c r="I44" s="2" t="s">
        <v>47</v>
      </c>
      <c r="J44" s="2" t="s">
        <v>48</v>
      </c>
      <c r="K44" s="2" t="s">
        <v>265</v>
      </c>
      <c r="L44" s="2" t="s">
        <v>266</v>
      </c>
      <c r="M44" s="2" t="s">
        <v>51</v>
      </c>
      <c r="N44" s="16">
        <v>1.7999999999999999E-2</v>
      </c>
      <c r="O44" s="17">
        <f>N44*'Financial Inputs'!$B$3</f>
        <v>1799999.9999999998</v>
      </c>
      <c r="P44" s="18">
        <f>IF(I44="L",'Financial Inputs'!$B$4,IF(I44="M",'Financial Inputs'!$B$5,'Financial Inputs'!$B$6))</f>
        <v>0.4</v>
      </c>
      <c r="Q44" s="17">
        <f>O44*P44</f>
        <v>720000</v>
      </c>
      <c r="R44" s="16">
        <f>'Financial Inputs'!$B$7</f>
        <v>0.35</v>
      </c>
      <c r="S44" s="17">
        <f>Q44*(1-R44)</f>
        <v>468000</v>
      </c>
      <c r="T44" s="18">
        <f>S44/'Financial Inputs'!$B$3</f>
        <v>4.6800000000000001E-3</v>
      </c>
      <c r="U44" s="9" t="s">
        <v>52</v>
      </c>
      <c r="V44" s="3" t="s">
        <v>53</v>
      </c>
    </row>
    <row r="45" spans="1:22">
      <c r="A45" s="2" t="s">
        <v>267</v>
      </c>
      <c r="B45" s="2" t="s">
        <v>268</v>
      </c>
      <c r="C45" s="2" t="s">
        <v>41</v>
      </c>
      <c r="D45" s="2" t="s">
        <v>102</v>
      </c>
      <c r="E45" s="2" t="s">
        <v>220</v>
      </c>
      <c r="F45" s="2" t="s">
        <v>66</v>
      </c>
      <c r="G45" s="2" t="s">
        <v>162</v>
      </c>
      <c r="H45" s="2" t="s">
        <v>46</v>
      </c>
      <c r="I45" s="2" t="s">
        <v>47</v>
      </c>
      <c r="J45" s="2" t="s">
        <v>48</v>
      </c>
      <c r="K45" s="2" t="s">
        <v>269</v>
      </c>
      <c r="L45" s="2" t="s">
        <v>270</v>
      </c>
      <c r="M45" s="2" t="s">
        <v>51</v>
      </c>
      <c r="N45" s="16">
        <v>1.9800000000000002E-2</v>
      </c>
      <c r="O45" s="17">
        <f>N45*'Financial Inputs'!$B$3</f>
        <v>1980000.0000000002</v>
      </c>
      <c r="P45" s="18">
        <f>IF(I45="L",'Financial Inputs'!$B$4,IF(I45="M",'Financial Inputs'!$B$5,'Financial Inputs'!$B$6))</f>
        <v>0.4</v>
      </c>
      <c r="Q45" s="17">
        <f>O45*P45</f>
        <v>792000.00000000012</v>
      </c>
      <c r="R45" s="16">
        <f>'Financial Inputs'!$B$7</f>
        <v>0.35</v>
      </c>
      <c r="S45" s="17">
        <f>Q45*(1-R45)</f>
        <v>514800.00000000012</v>
      </c>
      <c r="T45" s="18">
        <f>S45/'Financial Inputs'!$B$3</f>
        <v>5.1480000000000015E-3</v>
      </c>
      <c r="U45" s="9" t="s">
        <v>52</v>
      </c>
      <c r="V45" s="3" t="s">
        <v>53</v>
      </c>
    </row>
    <row r="46" spans="1:22">
      <c r="A46" s="2" t="s">
        <v>271</v>
      </c>
      <c r="B46" s="2" t="s">
        <v>272</v>
      </c>
      <c r="C46" s="2" t="s">
        <v>41</v>
      </c>
      <c r="D46" s="2" t="s">
        <v>42</v>
      </c>
      <c r="E46" s="2" t="s">
        <v>171</v>
      </c>
      <c r="F46" s="2" t="s">
        <v>74</v>
      </c>
      <c r="G46" s="2" t="s">
        <v>45</v>
      </c>
      <c r="H46" s="2" t="s">
        <v>46</v>
      </c>
      <c r="I46" s="2" t="s">
        <v>47</v>
      </c>
      <c r="J46" s="2" t="s">
        <v>48</v>
      </c>
      <c r="K46" s="2" t="s">
        <v>273</v>
      </c>
      <c r="L46" s="2" t="s">
        <v>274</v>
      </c>
      <c r="M46" s="2" t="s">
        <v>51</v>
      </c>
      <c r="N46" s="16">
        <v>2.1600000000000001E-2</v>
      </c>
      <c r="O46" s="17">
        <f>N46*'Financial Inputs'!$B$3</f>
        <v>2160000</v>
      </c>
      <c r="P46" s="18">
        <f>IF(I46="L",'Financial Inputs'!$B$4,IF(I46="M",'Financial Inputs'!$B$5,'Financial Inputs'!$B$6))</f>
        <v>0.4</v>
      </c>
      <c r="Q46" s="17">
        <f>O46*P46</f>
        <v>864000</v>
      </c>
      <c r="R46" s="16">
        <f>'Financial Inputs'!$B$7</f>
        <v>0.35</v>
      </c>
      <c r="S46" s="17">
        <f>Q46*(1-R46)</f>
        <v>561600</v>
      </c>
      <c r="T46" s="18">
        <f>S46/'Financial Inputs'!$B$3</f>
        <v>5.6160000000000003E-3</v>
      </c>
      <c r="U46" s="9" t="s">
        <v>52</v>
      </c>
      <c r="V46" s="3" t="s">
        <v>53</v>
      </c>
    </row>
    <row r="47" spans="1:22">
      <c r="A47" s="2" t="s">
        <v>275</v>
      </c>
      <c r="B47" s="2" t="s">
        <v>276</v>
      </c>
      <c r="C47" s="2" t="s">
        <v>41</v>
      </c>
      <c r="D47" s="2" t="s">
        <v>72</v>
      </c>
      <c r="E47" s="2" t="s">
        <v>57</v>
      </c>
      <c r="F47" s="2" t="s">
        <v>117</v>
      </c>
      <c r="G47" s="2" t="s">
        <v>143</v>
      </c>
      <c r="H47" s="2" t="s">
        <v>46</v>
      </c>
      <c r="I47" s="2" t="s">
        <v>47</v>
      </c>
      <c r="J47" s="2" t="s">
        <v>48</v>
      </c>
      <c r="K47" s="2" t="s">
        <v>277</v>
      </c>
      <c r="L47" s="2" t="s">
        <v>278</v>
      </c>
      <c r="M47" s="2" t="s">
        <v>51</v>
      </c>
      <c r="N47" s="16">
        <v>1.44E-2</v>
      </c>
      <c r="O47" s="17">
        <f>N47*'Financial Inputs'!$B$3</f>
        <v>1440000</v>
      </c>
      <c r="P47" s="18">
        <f>IF(I47="L",'Financial Inputs'!$B$4,IF(I47="M",'Financial Inputs'!$B$5,'Financial Inputs'!$B$6))</f>
        <v>0.4</v>
      </c>
      <c r="Q47" s="17">
        <f>O47*P47</f>
        <v>576000</v>
      </c>
      <c r="R47" s="16">
        <f>'Financial Inputs'!$B$7</f>
        <v>0.35</v>
      </c>
      <c r="S47" s="17">
        <f>Q47*(1-R47)</f>
        <v>374400</v>
      </c>
      <c r="T47" s="18">
        <f>S47/'Financial Inputs'!$B$3</f>
        <v>3.7439999999999999E-3</v>
      </c>
      <c r="U47" s="9" t="s">
        <v>52</v>
      </c>
      <c r="V47" s="3" t="s">
        <v>53</v>
      </c>
    </row>
    <row r="48" spans="1:22">
      <c r="A48" s="2" t="s">
        <v>279</v>
      </c>
      <c r="B48" s="2" t="s">
        <v>280</v>
      </c>
      <c r="C48" s="2" t="s">
        <v>41</v>
      </c>
      <c r="D48" s="2" t="s">
        <v>80</v>
      </c>
      <c r="E48" s="2" t="s">
        <v>65</v>
      </c>
      <c r="F48" s="2" t="s">
        <v>90</v>
      </c>
      <c r="G48" s="2" t="s">
        <v>162</v>
      </c>
      <c r="H48" s="2" t="s">
        <v>46</v>
      </c>
      <c r="I48" s="2" t="s">
        <v>47</v>
      </c>
      <c r="J48" s="2" t="s">
        <v>48</v>
      </c>
      <c r="K48" s="2" t="s">
        <v>281</v>
      </c>
      <c r="L48" s="2" t="s">
        <v>282</v>
      </c>
      <c r="M48" s="2" t="s">
        <v>51</v>
      </c>
      <c r="N48" s="16">
        <v>1.6199999999999999E-2</v>
      </c>
      <c r="O48" s="17">
        <f>N48*'Financial Inputs'!$B$3</f>
        <v>1620000</v>
      </c>
      <c r="P48" s="18">
        <f>IF(I48="L",'Financial Inputs'!$B$4,IF(I48="M",'Financial Inputs'!$B$5,'Financial Inputs'!$B$6))</f>
        <v>0.4</v>
      </c>
      <c r="Q48" s="17">
        <f>O48*P48</f>
        <v>648000</v>
      </c>
      <c r="R48" s="16">
        <f>'Financial Inputs'!$B$7</f>
        <v>0.35</v>
      </c>
      <c r="S48" s="17">
        <f>Q48*(1-R48)</f>
        <v>421200</v>
      </c>
      <c r="T48" s="18">
        <f>S48/'Financial Inputs'!$B$3</f>
        <v>4.2119999999999996E-3</v>
      </c>
      <c r="U48" s="9" t="s">
        <v>52</v>
      </c>
      <c r="V48" s="3" t="s">
        <v>53</v>
      </c>
    </row>
    <row r="49" spans="1:22">
      <c r="A49" s="2" t="s">
        <v>283</v>
      </c>
      <c r="B49" s="2" t="s">
        <v>284</v>
      </c>
      <c r="C49" s="2" t="s">
        <v>41</v>
      </c>
      <c r="D49" s="2" t="s">
        <v>127</v>
      </c>
      <c r="E49" s="2" t="s">
        <v>73</v>
      </c>
      <c r="F49" s="2" t="s">
        <v>97</v>
      </c>
      <c r="G49" s="2" t="s">
        <v>45</v>
      </c>
      <c r="H49" s="2" t="s">
        <v>46</v>
      </c>
      <c r="I49" s="2" t="s">
        <v>47</v>
      </c>
      <c r="J49" s="2" t="s">
        <v>48</v>
      </c>
      <c r="K49" s="2" t="s">
        <v>285</v>
      </c>
      <c r="L49" s="2" t="s">
        <v>286</v>
      </c>
      <c r="M49" s="2" t="s">
        <v>51</v>
      </c>
      <c r="N49" s="16">
        <v>1.7999999999999999E-2</v>
      </c>
      <c r="O49" s="17">
        <f>N49*'Financial Inputs'!$B$3</f>
        <v>1799999.9999999998</v>
      </c>
      <c r="P49" s="18">
        <f>IF(I49="L",'Financial Inputs'!$B$4,IF(I49="M",'Financial Inputs'!$B$5,'Financial Inputs'!$B$6))</f>
        <v>0.4</v>
      </c>
      <c r="Q49" s="17">
        <f>O49*P49</f>
        <v>720000</v>
      </c>
      <c r="R49" s="16">
        <f>'Financial Inputs'!$B$7</f>
        <v>0.35</v>
      </c>
      <c r="S49" s="17">
        <f>Q49*(1-R49)</f>
        <v>468000</v>
      </c>
      <c r="T49" s="18">
        <f>S49/'Financial Inputs'!$B$3</f>
        <v>4.6800000000000001E-3</v>
      </c>
      <c r="U49" s="9" t="s">
        <v>52</v>
      </c>
      <c r="V49" s="3" t="s">
        <v>53</v>
      </c>
    </row>
    <row r="50" spans="1:22">
      <c r="A50" s="2" t="s">
        <v>287</v>
      </c>
      <c r="B50" s="2" t="s">
        <v>288</v>
      </c>
      <c r="C50" s="2" t="s">
        <v>41</v>
      </c>
      <c r="D50" s="2" t="s">
        <v>133</v>
      </c>
      <c r="E50" s="2" t="s">
        <v>81</v>
      </c>
      <c r="F50" s="2" t="s">
        <v>104</v>
      </c>
      <c r="G50" s="2" t="s">
        <v>59</v>
      </c>
      <c r="H50" s="2" t="s">
        <v>46</v>
      </c>
      <c r="I50" s="2" t="s">
        <v>47</v>
      </c>
      <c r="J50" s="2" t="s">
        <v>48</v>
      </c>
      <c r="K50" s="2" t="s">
        <v>289</v>
      </c>
      <c r="L50" s="2" t="s">
        <v>290</v>
      </c>
      <c r="M50" s="2" t="s">
        <v>51</v>
      </c>
      <c r="N50" s="16">
        <v>1.9800000000000002E-2</v>
      </c>
      <c r="O50" s="17">
        <f>N50*'Financial Inputs'!$B$3</f>
        <v>1980000.0000000002</v>
      </c>
      <c r="P50" s="18">
        <f>IF(I50="L",'Financial Inputs'!$B$4,IF(I50="M",'Financial Inputs'!$B$5,'Financial Inputs'!$B$6))</f>
        <v>0.4</v>
      </c>
      <c r="Q50" s="17">
        <f>O50*P50</f>
        <v>792000.00000000012</v>
      </c>
      <c r="R50" s="16">
        <f>'Financial Inputs'!$B$7</f>
        <v>0.35</v>
      </c>
      <c r="S50" s="17">
        <f>Q50*(1-R50)</f>
        <v>514800.00000000012</v>
      </c>
      <c r="T50" s="18">
        <f>S50/'Financial Inputs'!$B$3</f>
        <v>5.1480000000000015E-3</v>
      </c>
      <c r="U50" s="9" t="s">
        <v>52</v>
      </c>
      <c r="V50" s="3" t="s">
        <v>53</v>
      </c>
    </row>
    <row r="51" spans="1:22">
      <c r="A51" s="2" t="s">
        <v>291</v>
      </c>
      <c r="B51" s="2" t="s">
        <v>292</v>
      </c>
      <c r="C51" s="2" t="s">
        <v>41</v>
      </c>
      <c r="D51" s="2" t="s">
        <v>88</v>
      </c>
      <c r="E51" s="2" t="s">
        <v>193</v>
      </c>
      <c r="F51" s="2" t="s">
        <v>110</v>
      </c>
      <c r="G51" s="2" t="s">
        <v>67</v>
      </c>
      <c r="H51" s="2" t="s">
        <v>46</v>
      </c>
      <c r="I51" s="2" t="s">
        <v>47</v>
      </c>
      <c r="J51" s="2" t="s">
        <v>48</v>
      </c>
      <c r="K51" s="2" t="s">
        <v>293</v>
      </c>
      <c r="L51" s="2" t="s">
        <v>294</v>
      </c>
      <c r="M51" s="2" t="s">
        <v>51</v>
      </c>
      <c r="N51" s="16">
        <v>2.1600000000000001E-2</v>
      </c>
      <c r="O51" s="17">
        <f>N51*'Financial Inputs'!$B$3</f>
        <v>2160000</v>
      </c>
      <c r="P51" s="18">
        <f>IF(I51="L",'Financial Inputs'!$B$4,IF(I51="M",'Financial Inputs'!$B$5,'Financial Inputs'!$B$6))</f>
        <v>0.4</v>
      </c>
      <c r="Q51" s="17">
        <f>O51*P51</f>
        <v>864000</v>
      </c>
      <c r="R51" s="16">
        <f>'Financial Inputs'!$B$7</f>
        <v>0.35</v>
      </c>
      <c r="S51" s="17">
        <f>Q51*(1-R51)</f>
        <v>561600</v>
      </c>
      <c r="T51" s="18">
        <f>S51/'Financial Inputs'!$B$3</f>
        <v>5.6160000000000003E-3</v>
      </c>
      <c r="U51" s="9" t="s">
        <v>52</v>
      </c>
      <c r="V51" s="3" t="s">
        <v>53</v>
      </c>
    </row>
    <row r="52" spans="1:22">
      <c r="A52" s="2" t="s">
        <v>295</v>
      </c>
      <c r="B52" s="2" t="s">
        <v>296</v>
      </c>
      <c r="C52" s="2" t="s">
        <v>41</v>
      </c>
      <c r="D52" s="2" t="s">
        <v>42</v>
      </c>
      <c r="E52" s="2" t="s">
        <v>96</v>
      </c>
      <c r="F52" s="2" t="s">
        <v>44</v>
      </c>
      <c r="G52" s="2" t="s">
        <v>45</v>
      </c>
      <c r="H52" s="2" t="s">
        <v>46</v>
      </c>
      <c r="I52" s="2" t="s">
        <v>47</v>
      </c>
      <c r="J52" s="2" t="s">
        <v>48</v>
      </c>
      <c r="K52" s="2" t="s">
        <v>297</v>
      </c>
      <c r="L52" s="2" t="s">
        <v>298</v>
      </c>
      <c r="M52" s="2" t="s">
        <v>51</v>
      </c>
      <c r="N52" s="16">
        <v>1.44E-2</v>
      </c>
      <c r="O52" s="17">
        <f>N52*'Financial Inputs'!$B$3</f>
        <v>1440000</v>
      </c>
      <c r="P52" s="18">
        <f>IF(I52="L",'Financial Inputs'!$B$4,IF(I52="M",'Financial Inputs'!$B$5,'Financial Inputs'!$B$6))</f>
        <v>0.4</v>
      </c>
      <c r="Q52" s="17">
        <f>O52*P52</f>
        <v>576000</v>
      </c>
      <c r="R52" s="16">
        <f>'Financial Inputs'!$B$7</f>
        <v>0.35</v>
      </c>
      <c r="S52" s="17">
        <f>Q52*(1-R52)</f>
        <v>374400</v>
      </c>
      <c r="T52" s="18">
        <f>S52/'Financial Inputs'!$B$3</f>
        <v>3.7439999999999999E-3</v>
      </c>
      <c r="U52" s="9" t="s">
        <v>52</v>
      </c>
      <c r="V52" s="3" t="s">
        <v>53</v>
      </c>
    </row>
    <row r="53" spans="1:22">
      <c r="A53" s="2" t="s">
        <v>299</v>
      </c>
      <c r="B53" s="2" t="s">
        <v>300</v>
      </c>
      <c r="C53" s="2" t="s">
        <v>41</v>
      </c>
      <c r="D53" s="2" t="s">
        <v>56</v>
      </c>
      <c r="E53" s="2" t="s">
        <v>103</v>
      </c>
      <c r="F53" s="2" t="s">
        <v>58</v>
      </c>
      <c r="G53" s="2" t="s">
        <v>59</v>
      </c>
      <c r="H53" s="2" t="s">
        <v>46</v>
      </c>
      <c r="I53" s="2" t="s">
        <v>47</v>
      </c>
      <c r="J53" s="2" t="s">
        <v>48</v>
      </c>
      <c r="K53" s="2" t="s">
        <v>301</v>
      </c>
      <c r="L53" s="2" t="s">
        <v>302</v>
      </c>
      <c r="M53" s="2" t="s">
        <v>51</v>
      </c>
      <c r="N53" s="16">
        <v>1.6199999999999999E-2</v>
      </c>
      <c r="O53" s="17">
        <f>N53*'Financial Inputs'!$B$3</f>
        <v>1620000</v>
      </c>
      <c r="P53" s="18">
        <f>IF(I53="L",'Financial Inputs'!$B$4,IF(I53="M",'Financial Inputs'!$B$5,'Financial Inputs'!$B$6))</f>
        <v>0.4</v>
      </c>
      <c r="Q53" s="17">
        <f>O53*P53</f>
        <v>648000</v>
      </c>
      <c r="R53" s="16">
        <f>'Financial Inputs'!$B$7</f>
        <v>0.35</v>
      </c>
      <c r="S53" s="17">
        <f>Q53*(1-R53)</f>
        <v>421200</v>
      </c>
      <c r="T53" s="18">
        <f>S53/'Financial Inputs'!$B$3</f>
        <v>4.2119999999999996E-3</v>
      </c>
      <c r="U53" s="9" t="s">
        <v>52</v>
      </c>
      <c r="V53" s="3" t="s">
        <v>53</v>
      </c>
    </row>
    <row r="54" spans="1:22">
      <c r="A54" s="2" t="s">
        <v>303</v>
      </c>
      <c r="B54" s="2" t="s">
        <v>304</v>
      </c>
      <c r="C54" s="2" t="s">
        <v>41</v>
      </c>
      <c r="D54" s="2" t="s">
        <v>64</v>
      </c>
      <c r="E54" s="2" t="s">
        <v>109</v>
      </c>
      <c r="F54" s="2" t="s">
        <v>66</v>
      </c>
      <c r="G54" s="2" t="s">
        <v>67</v>
      </c>
      <c r="H54" s="2" t="s">
        <v>46</v>
      </c>
      <c r="I54" s="2" t="s">
        <v>47</v>
      </c>
      <c r="J54" s="2" t="s">
        <v>48</v>
      </c>
      <c r="K54" s="2" t="s">
        <v>305</v>
      </c>
      <c r="L54" s="2" t="s">
        <v>306</v>
      </c>
      <c r="M54" s="2" t="s">
        <v>51</v>
      </c>
      <c r="N54" s="16">
        <v>1.7999999999999999E-2</v>
      </c>
      <c r="O54" s="17">
        <f>N54*'Financial Inputs'!$B$3</f>
        <v>1799999.9999999998</v>
      </c>
      <c r="P54" s="18">
        <f>IF(I54="L",'Financial Inputs'!$B$4,IF(I54="M",'Financial Inputs'!$B$5,'Financial Inputs'!$B$6))</f>
        <v>0.4</v>
      </c>
      <c r="Q54" s="17">
        <f>O54*P54</f>
        <v>720000</v>
      </c>
      <c r="R54" s="16">
        <f>'Financial Inputs'!$B$7</f>
        <v>0.35</v>
      </c>
      <c r="S54" s="17">
        <f>Q54*(1-R54)</f>
        <v>468000</v>
      </c>
      <c r="T54" s="18">
        <f>S54/'Financial Inputs'!$B$3</f>
        <v>4.6800000000000001E-3</v>
      </c>
      <c r="U54" s="9" t="s">
        <v>52</v>
      </c>
      <c r="V54" s="3" t="s">
        <v>53</v>
      </c>
    </row>
    <row r="55" spans="1:22">
      <c r="A55" s="2" t="s">
        <v>307</v>
      </c>
      <c r="B55" s="2" t="s">
        <v>308</v>
      </c>
      <c r="C55" s="2" t="s">
        <v>41</v>
      </c>
      <c r="D55" s="2" t="s">
        <v>72</v>
      </c>
      <c r="E55" s="2" t="s">
        <v>116</v>
      </c>
      <c r="F55" s="2" t="s">
        <v>74</v>
      </c>
      <c r="G55" s="2" t="s">
        <v>75</v>
      </c>
      <c r="H55" s="2" t="s">
        <v>46</v>
      </c>
      <c r="I55" s="2" t="s">
        <v>47</v>
      </c>
      <c r="J55" s="2" t="s">
        <v>48</v>
      </c>
      <c r="K55" s="2" t="s">
        <v>309</v>
      </c>
      <c r="L55" s="2" t="s">
        <v>310</v>
      </c>
      <c r="M55" s="2" t="s">
        <v>51</v>
      </c>
      <c r="N55" s="16">
        <v>1.9800000000000002E-2</v>
      </c>
      <c r="O55" s="17">
        <f>N55*'Financial Inputs'!$B$3</f>
        <v>1980000.0000000002</v>
      </c>
      <c r="P55" s="18">
        <f>IF(I55="L",'Financial Inputs'!$B$4,IF(I55="M",'Financial Inputs'!$B$5,'Financial Inputs'!$B$6))</f>
        <v>0.4</v>
      </c>
      <c r="Q55" s="17">
        <f>O55*P55</f>
        <v>792000.00000000012</v>
      </c>
      <c r="R55" s="16">
        <f>'Financial Inputs'!$B$7</f>
        <v>0.35</v>
      </c>
      <c r="S55" s="17">
        <f>Q55*(1-R55)</f>
        <v>514800.00000000012</v>
      </c>
      <c r="T55" s="18">
        <f>S55/'Financial Inputs'!$B$3</f>
        <v>5.1480000000000015E-3</v>
      </c>
      <c r="U55" s="9" t="s">
        <v>52</v>
      </c>
      <c r="V55" s="3" t="s">
        <v>53</v>
      </c>
    </row>
    <row r="56" spans="1:22">
      <c r="A56" s="2" t="s">
        <v>311</v>
      </c>
      <c r="B56" s="2" t="s">
        <v>312</v>
      </c>
      <c r="C56" s="2" t="s">
        <v>41</v>
      </c>
      <c r="D56" s="2" t="s">
        <v>80</v>
      </c>
      <c r="E56" s="2" t="s">
        <v>215</v>
      </c>
      <c r="F56" s="2" t="s">
        <v>82</v>
      </c>
      <c r="G56" s="2" t="s">
        <v>83</v>
      </c>
      <c r="H56" s="2" t="s">
        <v>46</v>
      </c>
      <c r="I56" s="2" t="s">
        <v>47</v>
      </c>
      <c r="J56" s="2" t="s">
        <v>48</v>
      </c>
      <c r="K56" s="2" t="s">
        <v>313</v>
      </c>
      <c r="L56" s="2" t="s">
        <v>314</v>
      </c>
      <c r="M56" s="2" t="s">
        <v>51</v>
      </c>
      <c r="N56" s="16">
        <v>2.1600000000000001E-2</v>
      </c>
      <c r="O56" s="17">
        <f>N56*'Financial Inputs'!$B$3</f>
        <v>2160000</v>
      </c>
      <c r="P56" s="18">
        <f>IF(I56="L",'Financial Inputs'!$B$4,IF(I56="M",'Financial Inputs'!$B$5,'Financial Inputs'!$B$6))</f>
        <v>0.4</v>
      </c>
      <c r="Q56" s="17">
        <f>O56*P56</f>
        <v>864000</v>
      </c>
      <c r="R56" s="16">
        <f>'Financial Inputs'!$B$7</f>
        <v>0.35</v>
      </c>
      <c r="S56" s="17">
        <f>Q56*(1-R56)</f>
        <v>561600</v>
      </c>
      <c r="T56" s="18">
        <f>S56/'Financial Inputs'!$B$3</f>
        <v>5.6160000000000003E-3</v>
      </c>
      <c r="U56" s="9" t="s">
        <v>52</v>
      </c>
      <c r="V56" s="3" t="s">
        <v>53</v>
      </c>
    </row>
    <row r="57" spans="1:22">
      <c r="A57" s="2" t="s">
        <v>315</v>
      </c>
      <c r="B57" s="2" t="s">
        <v>316</v>
      </c>
      <c r="C57" s="2" t="s">
        <v>41</v>
      </c>
      <c r="D57" s="2" t="s">
        <v>88</v>
      </c>
      <c r="E57" s="2" t="s">
        <v>128</v>
      </c>
      <c r="F57" s="2" t="s">
        <v>90</v>
      </c>
      <c r="G57" s="2" t="s">
        <v>67</v>
      </c>
      <c r="H57" s="2" t="s">
        <v>46</v>
      </c>
      <c r="I57" s="2" t="s">
        <v>47</v>
      </c>
      <c r="J57" s="2" t="s">
        <v>48</v>
      </c>
      <c r="K57" s="2" t="s">
        <v>317</v>
      </c>
      <c r="L57" s="2" t="s">
        <v>318</v>
      </c>
      <c r="M57" s="2" t="s">
        <v>51</v>
      </c>
      <c r="N57" s="16">
        <v>1.44E-2</v>
      </c>
      <c r="O57" s="17">
        <f>N57*'Financial Inputs'!$B$3</f>
        <v>1440000</v>
      </c>
      <c r="P57" s="18">
        <f>IF(I57="L",'Financial Inputs'!$B$4,IF(I57="M",'Financial Inputs'!$B$5,'Financial Inputs'!$B$6))</f>
        <v>0.4</v>
      </c>
      <c r="Q57" s="17">
        <f>O57*P57</f>
        <v>576000</v>
      </c>
      <c r="R57" s="16">
        <f>'Financial Inputs'!$B$7</f>
        <v>0.35</v>
      </c>
      <c r="S57" s="17">
        <f>Q57*(1-R57)</f>
        <v>374400</v>
      </c>
      <c r="T57" s="18">
        <f>S57/'Financial Inputs'!$B$3</f>
        <v>3.7439999999999999E-3</v>
      </c>
      <c r="U57" s="9" t="s">
        <v>52</v>
      </c>
      <c r="V57" s="3" t="s">
        <v>53</v>
      </c>
    </row>
    <row r="58" spans="1:22">
      <c r="A58" s="2" t="s">
        <v>319</v>
      </c>
      <c r="B58" s="2" t="s">
        <v>320</v>
      </c>
      <c r="C58" s="2" t="s">
        <v>41</v>
      </c>
      <c r="D58" s="2" t="s">
        <v>95</v>
      </c>
      <c r="E58" s="2" t="s">
        <v>43</v>
      </c>
      <c r="F58" s="2" t="s">
        <v>97</v>
      </c>
      <c r="G58" s="2" t="s">
        <v>75</v>
      </c>
      <c r="H58" s="2" t="s">
        <v>46</v>
      </c>
      <c r="I58" s="2" t="s">
        <v>47</v>
      </c>
      <c r="J58" s="2" t="s">
        <v>48</v>
      </c>
      <c r="K58" s="2" t="s">
        <v>321</v>
      </c>
      <c r="L58" s="2" t="s">
        <v>322</v>
      </c>
      <c r="M58" s="2" t="s">
        <v>51</v>
      </c>
      <c r="N58" s="16">
        <v>1.6199999999999999E-2</v>
      </c>
      <c r="O58" s="17">
        <f>N58*'Financial Inputs'!$B$3</f>
        <v>1620000</v>
      </c>
      <c r="P58" s="18">
        <f>IF(I58="L",'Financial Inputs'!$B$4,IF(I58="M",'Financial Inputs'!$B$5,'Financial Inputs'!$B$6))</f>
        <v>0.4</v>
      </c>
      <c r="Q58" s="17">
        <f>O58*P58</f>
        <v>648000</v>
      </c>
      <c r="R58" s="16">
        <f>'Financial Inputs'!$B$7</f>
        <v>0.35</v>
      </c>
      <c r="S58" s="17">
        <f>Q58*(1-R58)</f>
        <v>421200</v>
      </c>
      <c r="T58" s="18">
        <f>S58/'Financial Inputs'!$B$3</f>
        <v>4.2119999999999996E-3</v>
      </c>
      <c r="U58" s="9" t="s">
        <v>52</v>
      </c>
      <c r="V58" s="3" t="s">
        <v>53</v>
      </c>
    </row>
    <row r="59" spans="1:22">
      <c r="A59" s="2" t="s">
        <v>323</v>
      </c>
      <c r="B59" s="2" t="s">
        <v>324</v>
      </c>
      <c r="C59" s="2" t="s">
        <v>41</v>
      </c>
      <c r="D59" s="2" t="s">
        <v>102</v>
      </c>
      <c r="E59" s="2" t="s">
        <v>57</v>
      </c>
      <c r="F59" s="2" t="s">
        <v>104</v>
      </c>
      <c r="G59" s="2" t="s">
        <v>83</v>
      </c>
      <c r="H59" s="2" t="s">
        <v>46</v>
      </c>
      <c r="I59" s="2" t="s">
        <v>47</v>
      </c>
      <c r="J59" s="2" t="s">
        <v>48</v>
      </c>
      <c r="K59" s="2" t="s">
        <v>325</v>
      </c>
      <c r="L59" s="2" t="s">
        <v>326</v>
      </c>
      <c r="M59" s="2" t="s">
        <v>51</v>
      </c>
      <c r="N59" s="16">
        <v>1.7999999999999999E-2</v>
      </c>
      <c r="O59" s="17">
        <f>N59*'Financial Inputs'!$B$3</f>
        <v>1799999.9999999998</v>
      </c>
      <c r="P59" s="18">
        <f>IF(I59="L",'Financial Inputs'!$B$4,IF(I59="M",'Financial Inputs'!$B$5,'Financial Inputs'!$B$6))</f>
        <v>0.4</v>
      </c>
      <c r="Q59" s="17">
        <f>O59*P59</f>
        <v>720000</v>
      </c>
      <c r="R59" s="16">
        <f>'Financial Inputs'!$B$7</f>
        <v>0.35</v>
      </c>
      <c r="S59" s="17">
        <f>Q59*(1-R59)</f>
        <v>468000</v>
      </c>
      <c r="T59" s="18">
        <f>S59/'Financial Inputs'!$B$3</f>
        <v>4.6800000000000001E-3</v>
      </c>
      <c r="U59" s="9" t="s">
        <v>52</v>
      </c>
      <c r="V59" s="3" t="s">
        <v>53</v>
      </c>
    </row>
    <row r="60" spans="1:22">
      <c r="A60" s="2" t="s">
        <v>327</v>
      </c>
      <c r="B60" s="2" t="s">
        <v>328</v>
      </c>
      <c r="C60" s="2" t="s">
        <v>41</v>
      </c>
      <c r="D60" s="2" t="s">
        <v>42</v>
      </c>
      <c r="E60" s="2" t="s">
        <v>65</v>
      </c>
      <c r="F60" s="2" t="s">
        <v>110</v>
      </c>
      <c r="G60" s="2" t="s">
        <v>111</v>
      </c>
      <c r="H60" s="2" t="s">
        <v>46</v>
      </c>
      <c r="I60" s="2" t="s">
        <v>47</v>
      </c>
      <c r="J60" s="2" t="s">
        <v>48</v>
      </c>
      <c r="K60" s="2" t="s">
        <v>329</v>
      </c>
      <c r="L60" s="2" t="s">
        <v>330</v>
      </c>
      <c r="M60" s="2" t="s">
        <v>51</v>
      </c>
      <c r="N60" s="16">
        <v>1.9800000000000002E-2</v>
      </c>
      <c r="O60" s="17">
        <f>N60*'Financial Inputs'!$B$3</f>
        <v>1980000.0000000002</v>
      </c>
      <c r="P60" s="18">
        <f>IF(I60="L",'Financial Inputs'!$B$4,IF(I60="M",'Financial Inputs'!$B$5,'Financial Inputs'!$B$6))</f>
        <v>0.4</v>
      </c>
      <c r="Q60" s="17">
        <f>O60*P60</f>
        <v>792000.00000000012</v>
      </c>
      <c r="R60" s="16">
        <f>'Financial Inputs'!$B$7</f>
        <v>0.35</v>
      </c>
      <c r="S60" s="17">
        <f>Q60*(1-R60)</f>
        <v>514800.00000000012</v>
      </c>
      <c r="T60" s="18">
        <f>S60/'Financial Inputs'!$B$3</f>
        <v>5.1480000000000015E-3</v>
      </c>
      <c r="U60" s="9" t="s">
        <v>52</v>
      </c>
      <c r="V60" s="3" t="s">
        <v>53</v>
      </c>
    </row>
    <row r="61" spans="1:22">
      <c r="A61" s="2" t="s">
        <v>331</v>
      </c>
      <c r="B61" s="2" t="s">
        <v>332</v>
      </c>
      <c r="C61" s="2" t="s">
        <v>41</v>
      </c>
      <c r="D61" s="2" t="s">
        <v>56</v>
      </c>
      <c r="E61" s="2" t="s">
        <v>73</v>
      </c>
      <c r="F61" s="2" t="s">
        <v>117</v>
      </c>
      <c r="G61" s="2" t="s">
        <v>56</v>
      </c>
      <c r="H61" s="2" t="s">
        <v>46</v>
      </c>
      <c r="I61" s="2" t="s">
        <v>47</v>
      </c>
      <c r="J61" s="2" t="s">
        <v>48</v>
      </c>
      <c r="K61" s="2" t="s">
        <v>333</v>
      </c>
      <c r="L61" s="2" t="s">
        <v>334</v>
      </c>
      <c r="M61" s="2" t="s">
        <v>51</v>
      </c>
      <c r="N61" s="16">
        <v>2.1600000000000001E-2</v>
      </c>
      <c r="O61" s="17">
        <f>N61*'Financial Inputs'!$B$3</f>
        <v>2160000</v>
      </c>
      <c r="P61" s="18">
        <f>IF(I61="L",'Financial Inputs'!$B$4,IF(I61="M",'Financial Inputs'!$B$5,'Financial Inputs'!$B$6))</f>
        <v>0.4</v>
      </c>
      <c r="Q61" s="17">
        <f>O61*P61</f>
        <v>864000</v>
      </c>
      <c r="R61" s="16">
        <f>'Financial Inputs'!$B$7</f>
        <v>0.35</v>
      </c>
      <c r="S61" s="17">
        <f>Q61*(1-R61)</f>
        <v>561600</v>
      </c>
      <c r="T61" s="18">
        <f>S61/'Financial Inputs'!$B$3</f>
        <v>5.6160000000000003E-3</v>
      </c>
      <c r="U61" s="9" t="s">
        <v>52</v>
      </c>
      <c r="V61" s="3" t="s">
        <v>53</v>
      </c>
    </row>
    <row r="62" spans="1:22">
      <c r="A62" s="2" t="s">
        <v>335</v>
      </c>
      <c r="B62" s="2" t="s">
        <v>336</v>
      </c>
      <c r="C62" s="2" t="s">
        <v>41</v>
      </c>
      <c r="D62" s="2" t="s">
        <v>80</v>
      </c>
      <c r="E62" s="2" t="s">
        <v>153</v>
      </c>
      <c r="F62" s="2" t="s">
        <v>58</v>
      </c>
      <c r="G62" s="2" t="s">
        <v>83</v>
      </c>
      <c r="H62" s="2" t="s">
        <v>46</v>
      </c>
      <c r="I62" s="2" t="s">
        <v>47</v>
      </c>
      <c r="J62" s="2" t="s">
        <v>48</v>
      </c>
      <c r="K62" s="2" t="s">
        <v>337</v>
      </c>
      <c r="L62" s="2" t="s">
        <v>338</v>
      </c>
      <c r="M62" s="2" t="s">
        <v>51</v>
      </c>
      <c r="N62" s="16">
        <v>1.44E-2</v>
      </c>
      <c r="O62" s="17">
        <f>N62*'Financial Inputs'!$B$3</f>
        <v>1440000</v>
      </c>
      <c r="P62" s="18">
        <f>IF(I62="L",'Financial Inputs'!$B$4,IF(I62="M",'Financial Inputs'!$B$5,'Financial Inputs'!$B$6))</f>
        <v>0.4</v>
      </c>
      <c r="Q62" s="17">
        <f>O62*P62</f>
        <v>576000</v>
      </c>
      <c r="R62" s="16">
        <f>'Financial Inputs'!$B$7</f>
        <v>0.35</v>
      </c>
      <c r="S62" s="17">
        <f>Q62*(1-R62)</f>
        <v>374400</v>
      </c>
      <c r="T62" s="18">
        <f>S62/'Financial Inputs'!$B$3</f>
        <v>3.7439999999999999E-3</v>
      </c>
      <c r="U62" s="9" t="s">
        <v>52</v>
      </c>
      <c r="V62" s="3" t="s">
        <v>53</v>
      </c>
    </row>
    <row r="63" spans="1:22">
      <c r="A63" s="2" t="s">
        <v>339</v>
      </c>
      <c r="B63" s="2" t="s">
        <v>340</v>
      </c>
      <c r="C63" s="2" t="s">
        <v>41</v>
      </c>
      <c r="D63" s="2" t="s">
        <v>127</v>
      </c>
      <c r="E63" s="2" t="s">
        <v>89</v>
      </c>
      <c r="F63" s="2" t="s">
        <v>66</v>
      </c>
      <c r="G63" s="2" t="s">
        <v>111</v>
      </c>
      <c r="H63" s="2" t="s">
        <v>46</v>
      </c>
      <c r="I63" s="2" t="s">
        <v>47</v>
      </c>
      <c r="J63" s="2" t="s">
        <v>48</v>
      </c>
      <c r="K63" s="2" t="s">
        <v>341</v>
      </c>
      <c r="L63" s="2" t="s">
        <v>342</v>
      </c>
      <c r="M63" s="2" t="s">
        <v>51</v>
      </c>
      <c r="N63" s="16">
        <v>1.6199999999999999E-2</v>
      </c>
      <c r="O63" s="17">
        <f>N63*'Financial Inputs'!$B$3</f>
        <v>1620000</v>
      </c>
      <c r="P63" s="18">
        <f>IF(I63="L",'Financial Inputs'!$B$4,IF(I63="M",'Financial Inputs'!$B$5,'Financial Inputs'!$B$6))</f>
        <v>0.4</v>
      </c>
      <c r="Q63" s="17">
        <f>O63*P63</f>
        <v>648000</v>
      </c>
      <c r="R63" s="16">
        <f>'Financial Inputs'!$B$7</f>
        <v>0.35</v>
      </c>
      <c r="S63" s="17">
        <f>Q63*(1-R63)</f>
        <v>421200</v>
      </c>
      <c r="T63" s="18">
        <f>S63/'Financial Inputs'!$B$3</f>
        <v>4.2119999999999996E-3</v>
      </c>
      <c r="U63" s="9" t="s">
        <v>52</v>
      </c>
      <c r="V63" s="3" t="s">
        <v>53</v>
      </c>
    </row>
    <row r="64" spans="1:22">
      <c r="A64" s="2" t="s">
        <v>343</v>
      </c>
      <c r="B64" s="2" t="s">
        <v>344</v>
      </c>
      <c r="C64" s="2" t="s">
        <v>41</v>
      </c>
      <c r="D64" s="2" t="s">
        <v>133</v>
      </c>
      <c r="E64" s="2" t="s">
        <v>96</v>
      </c>
      <c r="F64" s="2" t="s">
        <v>74</v>
      </c>
      <c r="G64" s="2" t="s">
        <v>56</v>
      </c>
      <c r="H64" s="2" t="s">
        <v>46</v>
      </c>
      <c r="I64" s="2" t="s">
        <v>47</v>
      </c>
      <c r="J64" s="2" t="s">
        <v>48</v>
      </c>
      <c r="K64" s="2" t="s">
        <v>345</v>
      </c>
      <c r="L64" s="2" t="s">
        <v>346</v>
      </c>
      <c r="M64" s="2" t="s">
        <v>51</v>
      </c>
      <c r="N64" s="16">
        <v>1.7999999999999999E-2</v>
      </c>
      <c r="O64" s="17">
        <f>N64*'Financial Inputs'!$B$3</f>
        <v>1799999.9999999998</v>
      </c>
      <c r="P64" s="18">
        <f>IF(I64="L",'Financial Inputs'!$B$4,IF(I64="M",'Financial Inputs'!$B$5,'Financial Inputs'!$B$6))</f>
        <v>0.4</v>
      </c>
      <c r="Q64" s="17">
        <f>O64*P64</f>
        <v>720000</v>
      </c>
      <c r="R64" s="16">
        <f>'Financial Inputs'!$B$7</f>
        <v>0.35</v>
      </c>
      <c r="S64" s="17">
        <f>Q64*(1-R64)</f>
        <v>468000</v>
      </c>
      <c r="T64" s="18">
        <f>S64/'Financial Inputs'!$B$3</f>
        <v>4.6800000000000001E-3</v>
      </c>
      <c r="U64" s="9" t="s">
        <v>52</v>
      </c>
      <c r="V64" s="3" t="s">
        <v>53</v>
      </c>
    </row>
    <row r="65" spans="1:22">
      <c r="A65" s="2" t="s">
        <v>347</v>
      </c>
      <c r="B65" s="2" t="s">
        <v>348</v>
      </c>
      <c r="C65" s="2" t="s">
        <v>41</v>
      </c>
      <c r="D65" s="2" t="s">
        <v>88</v>
      </c>
      <c r="E65" s="2" t="s">
        <v>103</v>
      </c>
      <c r="F65" s="2" t="s">
        <v>82</v>
      </c>
      <c r="G65" s="2" t="s">
        <v>138</v>
      </c>
      <c r="H65" s="2" t="s">
        <v>46</v>
      </c>
      <c r="I65" s="2" t="s">
        <v>47</v>
      </c>
      <c r="J65" s="2" t="s">
        <v>48</v>
      </c>
      <c r="K65" s="2" t="s">
        <v>349</v>
      </c>
      <c r="L65" s="2" t="s">
        <v>350</v>
      </c>
      <c r="M65" s="2" t="s">
        <v>51</v>
      </c>
      <c r="N65" s="16">
        <v>1.9800000000000002E-2</v>
      </c>
      <c r="O65" s="17">
        <f>N65*'Financial Inputs'!$B$3</f>
        <v>1980000.0000000002</v>
      </c>
      <c r="P65" s="18">
        <f>IF(I65="L",'Financial Inputs'!$B$4,IF(I65="M",'Financial Inputs'!$B$5,'Financial Inputs'!$B$6))</f>
        <v>0.4</v>
      </c>
      <c r="Q65" s="17">
        <f>O65*P65</f>
        <v>792000.00000000012</v>
      </c>
      <c r="R65" s="16">
        <f>'Financial Inputs'!$B$7</f>
        <v>0.35</v>
      </c>
      <c r="S65" s="17">
        <f>Q65*(1-R65)</f>
        <v>514800.00000000012</v>
      </c>
      <c r="T65" s="18">
        <f>S65/'Financial Inputs'!$B$3</f>
        <v>5.1480000000000015E-3</v>
      </c>
      <c r="U65" s="9" t="s">
        <v>52</v>
      </c>
      <c r="V65" s="3" t="s">
        <v>53</v>
      </c>
    </row>
    <row r="66" spans="1:22">
      <c r="A66" s="2" t="s">
        <v>351</v>
      </c>
      <c r="B66" s="2" t="s">
        <v>352</v>
      </c>
      <c r="C66" s="2" t="s">
        <v>41</v>
      </c>
      <c r="D66" s="2" t="s">
        <v>95</v>
      </c>
      <c r="E66" s="2" t="s">
        <v>109</v>
      </c>
      <c r="F66" s="2" t="s">
        <v>44</v>
      </c>
      <c r="G66" s="2" t="s">
        <v>143</v>
      </c>
      <c r="H66" s="2" t="s">
        <v>46</v>
      </c>
      <c r="I66" s="2" t="s">
        <v>47</v>
      </c>
      <c r="J66" s="2" t="s">
        <v>48</v>
      </c>
      <c r="K66" s="2" t="s">
        <v>353</v>
      </c>
      <c r="L66" s="2" t="s">
        <v>354</v>
      </c>
      <c r="M66" s="2" t="s">
        <v>51</v>
      </c>
      <c r="N66" s="16">
        <v>2.1600000000000001E-2</v>
      </c>
      <c r="O66" s="17">
        <f>N66*'Financial Inputs'!$B$3</f>
        <v>2160000</v>
      </c>
      <c r="P66" s="18">
        <f>IF(I66="L",'Financial Inputs'!$B$4,IF(I66="M",'Financial Inputs'!$B$5,'Financial Inputs'!$B$6))</f>
        <v>0.4</v>
      </c>
      <c r="Q66" s="17">
        <f>O66*P66</f>
        <v>864000</v>
      </c>
      <c r="R66" s="16">
        <f>'Financial Inputs'!$B$7</f>
        <v>0.35</v>
      </c>
      <c r="S66" s="17">
        <f>Q66*(1-R66)</f>
        <v>561600</v>
      </c>
      <c r="T66" s="18">
        <f>S66/'Financial Inputs'!$B$3</f>
        <v>5.6160000000000003E-3</v>
      </c>
      <c r="U66" s="9" t="s">
        <v>52</v>
      </c>
      <c r="V66" s="3" t="s">
        <v>53</v>
      </c>
    </row>
    <row r="67" spans="1:22">
      <c r="A67" s="2" t="s">
        <v>355</v>
      </c>
      <c r="B67" s="2" t="s">
        <v>356</v>
      </c>
      <c r="C67" s="2" t="s">
        <v>41</v>
      </c>
      <c r="D67" s="2" t="s">
        <v>56</v>
      </c>
      <c r="E67" s="2" t="s">
        <v>176</v>
      </c>
      <c r="F67" s="2" t="s">
        <v>97</v>
      </c>
      <c r="G67" s="2" t="s">
        <v>56</v>
      </c>
      <c r="H67" s="2" t="s">
        <v>46</v>
      </c>
      <c r="I67" s="2" t="s">
        <v>47</v>
      </c>
      <c r="J67" s="2" t="s">
        <v>48</v>
      </c>
      <c r="K67" s="2" t="s">
        <v>357</v>
      </c>
      <c r="L67" s="2" t="s">
        <v>358</v>
      </c>
      <c r="M67" s="2" t="s">
        <v>51</v>
      </c>
      <c r="N67" s="16">
        <v>1.44E-2</v>
      </c>
      <c r="O67" s="17">
        <f>N67*'Financial Inputs'!$B$3</f>
        <v>1440000</v>
      </c>
      <c r="P67" s="18">
        <f>IF(I67="L",'Financial Inputs'!$B$4,IF(I67="M",'Financial Inputs'!$B$5,'Financial Inputs'!$B$6))</f>
        <v>0.4</v>
      </c>
      <c r="Q67" s="17">
        <f>O67*P67</f>
        <v>576000</v>
      </c>
      <c r="R67" s="16">
        <f>'Financial Inputs'!$B$7</f>
        <v>0.35</v>
      </c>
      <c r="S67" s="17">
        <f>Q67*(1-R67)</f>
        <v>374400</v>
      </c>
      <c r="T67" s="18">
        <f>S67/'Financial Inputs'!$B$3</f>
        <v>3.7439999999999999E-3</v>
      </c>
      <c r="U67" s="9" t="s">
        <v>52</v>
      </c>
      <c r="V67" s="3" t="s">
        <v>53</v>
      </c>
    </row>
    <row r="68" spans="1:22">
      <c r="A68" s="2" t="s">
        <v>359</v>
      </c>
      <c r="B68" s="2" t="s">
        <v>360</v>
      </c>
      <c r="C68" s="2" t="s">
        <v>41</v>
      </c>
      <c r="D68" s="2" t="s">
        <v>64</v>
      </c>
      <c r="E68" s="2" t="s">
        <v>122</v>
      </c>
      <c r="F68" s="2" t="s">
        <v>104</v>
      </c>
      <c r="G68" s="2" t="s">
        <v>138</v>
      </c>
      <c r="H68" s="2" t="s">
        <v>46</v>
      </c>
      <c r="I68" s="2" t="s">
        <v>47</v>
      </c>
      <c r="J68" s="2" t="s">
        <v>48</v>
      </c>
      <c r="K68" s="2" t="s">
        <v>361</v>
      </c>
      <c r="L68" s="2" t="s">
        <v>362</v>
      </c>
      <c r="M68" s="2" t="s">
        <v>51</v>
      </c>
      <c r="N68" s="16">
        <v>1.6199999999999999E-2</v>
      </c>
      <c r="O68" s="17">
        <f>N68*'Financial Inputs'!$B$3</f>
        <v>1620000</v>
      </c>
      <c r="P68" s="18">
        <f>IF(I68="L",'Financial Inputs'!$B$4,IF(I68="M",'Financial Inputs'!$B$5,'Financial Inputs'!$B$6))</f>
        <v>0.4</v>
      </c>
      <c r="Q68" s="17">
        <f>O68*P68</f>
        <v>648000</v>
      </c>
      <c r="R68" s="16">
        <f>'Financial Inputs'!$B$7</f>
        <v>0.35</v>
      </c>
      <c r="S68" s="17">
        <f>Q68*(1-R68)</f>
        <v>421200</v>
      </c>
      <c r="T68" s="18">
        <f>S68/'Financial Inputs'!$B$3</f>
        <v>4.2119999999999996E-3</v>
      </c>
      <c r="U68" s="9" t="s">
        <v>52</v>
      </c>
      <c r="V68" s="3" t="s">
        <v>53</v>
      </c>
    </row>
    <row r="69" spans="1:22">
      <c r="A69" s="2" t="s">
        <v>363</v>
      </c>
      <c r="B69" s="2" t="s">
        <v>364</v>
      </c>
      <c r="C69" s="2" t="s">
        <v>41</v>
      </c>
      <c r="D69" s="2" t="s">
        <v>72</v>
      </c>
      <c r="E69" s="2" t="s">
        <v>128</v>
      </c>
      <c r="F69" s="2" t="s">
        <v>110</v>
      </c>
      <c r="G69" s="2" t="s">
        <v>143</v>
      </c>
      <c r="H69" s="2" t="s">
        <v>46</v>
      </c>
      <c r="I69" s="2" t="s">
        <v>47</v>
      </c>
      <c r="J69" s="2" t="s">
        <v>48</v>
      </c>
      <c r="K69" s="2" t="s">
        <v>365</v>
      </c>
      <c r="L69" s="2" t="s">
        <v>366</v>
      </c>
      <c r="M69" s="2" t="s">
        <v>51</v>
      </c>
      <c r="N69" s="16">
        <v>1.7999999999999999E-2</v>
      </c>
      <c r="O69" s="17">
        <f>N69*'Financial Inputs'!$B$3</f>
        <v>1799999.9999999998</v>
      </c>
      <c r="P69" s="18">
        <f>IF(I69="L",'Financial Inputs'!$B$4,IF(I69="M",'Financial Inputs'!$B$5,'Financial Inputs'!$B$6))</f>
        <v>0.4</v>
      </c>
      <c r="Q69" s="17">
        <f>O69*P69</f>
        <v>720000</v>
      </c>
      <c r="R69" s="16">
        <f>'Financial Inputs'!$B$7</f>
        <v>0.35</v>
      </c>
      <c r="S69" s="17">
        <f>Q69*(1-R69)</f>
        <v>468000</v>
      </c>
      <c r="T69" s="18">
        <f>S69/'Financial Inputs'!$B$3</f>
        <v>4.6800000000000001E-3</v>
      </c>
      <c r="U69" s="9" t="s">
        <v>52</v>
      </c>
      <c r="V69" s="3" t="s">
        <v>53</v>
      </c>
    </row>
    <row r="70" spans="1:22">
      <c r="A70" s="2" t="s">
        <v>367</v>
      </c>
      <c r="B70" s="2" t="s">
        <v>368</v>
      </c>
      <c r="C70" s="2" t="s">
        <v>41</v>
      </c>
      <c r="D70" s="2" t="s">
        <v>80</v>
      </c>
      <c r="E70" s="2" t="s">
        <v>43</v>
      </c>
      <c r="F70" s="2" t="s">
        <v>117</v>
      </c>
      <c r="G70" s="2" t="s">
        <v>162</v>
      </c>
      <c r="H70" s="2" t="s">
        <v>46</v>
      </c>
      <c r="I70" s="2" t="s">
        <v>47</v>
      </c>
      <c r="J70" s="2" t="s">
        <v>48</v>
      </c>
      <c r="K70" s="2" t="s">
        <v>369</v>
      </c>
      <c r="L70" s="2" t="s">
        <v>370</v>
      </c>
      <c r="M70" s="2" t="s">
        <v>51</v>
      </c>
      <c r="N70" s="16">
        <v>1.9800000000000002E-2</v>
      </c>
      <c r="O70" s="17">
        <f>N70*'Financial Inputs'!$B$3</f>
        <v>1980000.0000000002</v>
      </c>
      <c r="P70" s="18">
        <f>IF(I70="L",'Financial Inputs'!$B$4,IF(I70="M",'Financial Inputs'!$B$5,'Financial Inputs'!$B$6))</f>
        <v>0.4</v>
      </c>
      <c r="Q70" s="17">
        <f>O70*P70</f>
        <v>792000.00000000012</v>
      </c>
      <c r="R70" s="16">
        <f>'Financial Inputs'!$B$7</f>
        <v>0.35</v>
      </c>
      <c r="S70" s="17">
        <f>Q70*(1-R70)</f>
        <v>514800.00000000012</v>
      </c>
      <c r="T70" s="18">
        <f>S70/'Financial Inputs'!$B$3</f>
        <v>5.1480000000000015E-3</v>
      </c>
      <c r="U70" s="9" t="s">
        <v>52</v>
      </c>
      <c r="V70" s="3" t="s">
        <v>53</v>
      </c>
    </row>
    <row r="71" spans="1:22">
      <c r="A71" s="2" t="s">
        <v>371</v>
      </c>
      <c r="B71" s="2" t="s">
        <v>372</v>
      </c>
      <c r="C71" s="2" t="s">
        <v>41</v>
      </c>
      <c r="D71" s="2" t="s">
        <v>127</v>
      </c>
      <c r="E71" s="2" t="s">
        <v>57</v>
      </c>
      <c r="F71" s="2" t="s">
        <v>90</v>
      </c>
      <c r="G71" s="2" t="s">
        <v>45</v>
      </c>
      <c r="H71" s="2" t="s">
        <v>46</v>
      </c>
      <c r="I71" s="2" t="s">
        <v>47</v>
      </c>
      <c r="J71" s="2" t="s">
        <v>48</v>
      </c>
      <c r="K71" s="2" t="s">
        <v>373</v>
      </c>
      <c r="L71" s="2" t="s">
        <v>374</v>
      </c>
      <c r="M71" s="2" t="s">
        <v>51</v>
      </c>
      <c r="N71" s="16">
        <v>2.1600000000000001E-2</v>
      </c>
      <c r="O71" s="17">
        <f>N71*'Financial Inputs'!$B$3</f>
        <v>2160000</v>
      </c>
      <c r="P71" s="18">
        <f>IF(I71="L",'Financial Inputs'!$B$4,IF(I71="M",'Financial Inputs'!$B$5,'Financial Inputs'!$B$6))</f>
        <v>0.4</v>
      </c>
      <c r="Q71" s="17">
        <f>O71*P71</f>
        <v>864000</v>
      </c>
      <c r="R71" s="16">
        <f>'Financial Inputs'!$B$7</f>
        <v>0.35</v>
      </c>
      <c r="S71" s="17">
        <f>Q71*(1-R71)</f>
        <v>561600</v>
      </c>
      <c r="T71" s="18">
        <f>S71/'Financial Inputs'!$B$3</f>
        <v>5.6160000000000003E-3</v>
      </c>
      <c r="U71" s="9" t="s">
        <v>52</v>
      </c>
      <c r="V71" s="3" t="s">
        <v>53</v>
      </c>
    </row>
    <row r="72" spans="1:22">
      <c r="A72" s="2" t="s">
        <v>375</v>
      </c>
      <c r="B72" s="2" t="s">
        <v>376</v>
      </c>
      <c r="C72" s="2" t="s">
        <v>41</v>
      </c>
      <c r="D72" s="2" t="s">
        <v>95</v>
      </c>
      <c r="E72" s="2" t="s">
        <v>198</v>
      </c>
      <c r="F72" s="2" t="s">
        <v>66</v>
      </c>
      <c r="G72" s="2" t="s">
        <v>143</v>
      </c>
      <c r="H72" s="2" t="s">
        <v>46</v>
      </c>
      <c r="I72" s="2" t="s">
        <v>47</v>
      </c>
      <c r="J72" s="2" t="s">
        <v>48</v>
      </c>
      <c r="K72" s="2" t="s">
        <v>377</v>
      </c>
      <c r="L72" s="2" t="s">
        <v>378</v>
      </c>
      <c r="M72" s="2" t="s">
        <v>51</v>
      </c>
      <c r="N72" s="16">
        <v>1.44E-2</v>
      </c>
      <c r="O72" s="17">
        <f>N72*'Financial Inputs'!$B$3</f>
        <v>1440000</v>
      </c>
      <c r="P72" s="18">
        <f>IF(I72="L",'Financial Inputs'!$B$4,IF(I72="M",'Financial Inputs'!$B$5,'Financial Inputs'!$B$6))</f>
        <v>0.4</v>
      </c>
      <c r="Q72" s="17">
        <f>O72*P72</f>
        <v>576000</v>
      </c>
      <c r="R72" s="16">
        <f>'Financial Inputs'!$B$7</f>
        <v>0.35</v>
      </c>
      <c r="S72" s="17">
        <f>Q72*(1-R72)</f>
        <v>374400</v>
      </c>
      <c r="T72" s="18">
        <f>S72/'Financial Inputs'!$B$3</f>
        <v>3.7439999999999999E-3</v>
      </c>
      <c r="U72" s="9" t="s">
        <v>52</v>
      </c>
      <c r="V72" s="3" t="s">
        <v>53</v>
      </c>
    </row>
    <row r="73" spans="1:22">
      <c r="A73" s="2" t="s">
        <v>379</v>
      </c>
      <c r="B73" s="2" t="s">
        <v>380</v>
      </c>
      <c r="C73" s="2" t="s">
        <v>41</v>
      </c>
      <c r="D73" s="2" t="s">
        <v>102</v>
      </c>
      <c r="E73" s="2" t="s">
        <v>148</v>
      </c>
      <c r="F73" s="2" t="s">
        <v>74</v>
      </c>
      <c r="G73" s="2" t="s">
        <v>162</v>
      </c>
      <c r="H73" s="2" t="s">
        <v>46</v>
      </c>
      <c r="I73" s="2" t="s">
        <v>47</v>
      </c>
      <c r="J73" s="2" t="s">
        <v>48</v>
      </c>
      <c r="K73" s="2" t="s">
        <v>381</v>
      </c>
      <c r="L73" s="2" t="s">
        <v>382</v>
      </c>
      <c r="M73" s="2" t="s">
        <v>51</v>
      </c>
      <c r="N73" s="16">
        <v>1.6199999999999999E-2</v>
      </c>
      <c r="O73" s="17">
        <f>N73*'Financial Inputs'!$B$3</f>
        <v>1620000</v>
      </c>
      <c r="P73" s="18">
        <f>IF(I73="L",'Financial Inputs'!$B$4,IF(I73="M",'Financial Inputs'!$B$5,'Financial Inputs'!$B$6))</f>
        <v>0.4</v>
      </c>
      <c r="Q73" s="17">
        <f>O73*P73</f>
        <v>648000</v>
      </c>
      <c r="R73" s="16">
        <f>'Financial Inputs'!$B$7</f>
        <v>0.35</v>
      </c>
      <c r="S73" s="17">
        <f>Q73*(1-R73)</f>
        <v>421200</v>
      </c>
      <c r="T73" s="18">
        <f>S73/'Financial Inputs'!$B$3</f>
        <v>4.2119999999999996E-3</v>
      </c>
      <c r="U73" s="9" t="s">
        <v>52</v>
      </c>
      <c r="V73" s="3" t="s">
        <v>53</v>
      </c>
    </row>
    <row r="74" spans="1:22">
      <c r="A74" s="2" t="s">
        <v>383</v>
      </c>
      <c r="B74" s="2" t="s">
        <v>384</v>
      </c>
      <c r="C74" s="2" t="s">
        <v>41</v>
      </c>
      <c r="D74" s="2" t="s">
        <v>42</v>
      </c>
      <c r="E74" s="2" t="s">
        <v>153</v>
      </c>
      <c r="F74" s="2" t="s">
        <v>82</v>
      </c>
      <c r="G74" s="2" t="s">
        <v>45</v>
      </c>
      <c r="H74" s="2" t="s">
        <v>46</v>
      </c>
      <c r="I74" s="2" t="s">
        <v>47</v>
      </c>
      <c r="J74" s="2" t="s">
        <v>48</v>
      </c>
      <c r="K74" s="2" t="s">
        <v>385</v>
      </c>
      <c r="L74" s="2" t="s">
        <v>386</v>
      </c>
      <c r="M74" s="2" t="s">
        <v>51</v>
      </c>
      <c r="N74" s="16">
        <v>1.7999999999999999E-2</v>
      </c>
      <c r="O74" s="17">
        <f>N74*'Financial Inputs'!$B$3</f>
        <v>1799999.9999999998</v>
      </c>
      <c r="P74" s="18">
        <f>IF(I74="L",'Financial Inputs'!$B$4,IF(I74="M",'Financial Inputs'!$B$5,'Financial Inputs'!$B$6))</f>
        <v>0.4</v>
      </c>
      <c r="Q74" s="17">
        <f>O74*P74</f>
        <v>720000</v>
      </c>
      <c r="R74" s="16">
        <f>'Financial Inputs'!$B$7</f>
        <v>0.35</v>
      </c>
      <c r="S74" s="17">
        <f>Q74*(1-R74)</f>
        <v>468000</v>
      </c>
      <c r="T74" s="18">
        <f>S74/'Financial Inputs'!$B$3</f>
        <v>4.6800000000000001E-3</v>
      </c>
      <c r="U74" s="9" t="s">
        <v>52</v>
      </c>
      <c r="V74" s="3" t="s">
        <v>53</v>
      </c>
    </row>
    <row r="75" spans="1:22">
      <c r="A75" s="2" t="s">
        <v>387</v>
      </c>
      <c r="B75" s="2" t="s">
        <v>388</v>
      </c>
      <c r="C75" s="2" t="s">
        <v>41</v>
      </c>
      <c r="D75" s="2" t="s">
        <v>56</v>
      </c>
      <c r="E75" s="2" t="s">
        <v>89</v>
      </c>
      <c r="F75" s="2" t="s">
        <v>44</v>
      </c>
      <c r="G75" s="2" t="s">
        <v>59</v>
      </c>
      <c r="H75" s="2" t="s">
        <v>46</v>
      </c>
      <c r="I75" s="2" t="s">
        <v>47</v>
      </c>
      <c r="J75" s="2" t="s">
        <v>48</v>
      </c>
      <c r="K75" s="2" t="s">
        <v>389</v>
      </c>
      <c r="L75" s="2" t="s">
        <v>390</v>
      </c>
      <c r="M75" s="2" t="s">
        <v>51</v>
      </c>
      <c r="N75" s="16">
        <v>1.9800000000000002E-2</v>
      </c>
      <c r="O75" s="17">
        <f>N75*'Financial Inputs'!$B$3</f>
        <v>1980000.0000000002</v>
      </c>
      <c r="P75" s="18">
        <f>IF(I75="L",'Financial Inputs'!$B$4,IF(I75="M",'Financial Inputs'!$B$5,'Financial Inputs'!$B$6))</f>
        <v>0.4</v>
      </c>
      <c r="Q75" s="17">
        <f>O75*P75</f>
        <v>792000.00000000012</v>
      </c>
      <c r="R75" s="16">
        <f>'Financial Inputs'!$B$7</f>
        <v>0.35</v>
      </c>
      <c r="S75" s="17">
        <f>Q75*(1-R75)</f>
        <v>514800.00000000012</v>
      </c>
      <c r="T75" s="18">
        <f>S75/'Financial Inputs'!$B$3</f>
        <v>5.1480000000000015E-3</v>
      </c>
      <c r="U75" s="9" t="s">
        <v>52</v>
      </c>
      <c r="V75" s="3" t="s">
        <v>53</v>
      </c>
    </row>
    <row r="76" spans="1:22">
      <c r="A76" s="2" t="s">
        <v>391</v>
      </c>
      <c r="B76" s="2" t="s">
        <v>392</v>
      </c>
      <c r="C76" s="2" t="s">
        <v>41</v>
      </c>
      <c r="D76" s="2" t="s">
        <v>64</v>
      </c>
      <c r="E76" s="2" t="s">
        <v>96</v>
      </c>
      <c r="F76" s="2" t="s">
        <v>58</v>
      </c>
      <c r="G76" s="2" t="s">
        <v>67</v>
      </c>
      <c r="H76" s="2" t="s">
        <v>46</v>
      </c>
      <c r="I76" s="2" t="s">
        <v>47</v>
      </c>
      <c r="J76" s="2" t="s">
        <v>48</v>
      </c>
      <c r="K76" s="2" t="s">
        <v>393</v>
      </c>
      <c r="L76" s="2" t="s">
        <v>394</v>
      </c>
      <c r="M76" s="2" t="s">
        <v>51</v>
      </c>
      <c r="N76" s="16">
        <v>2.1600000000000001E-2</v>
      </c>
      <c r="O76" s="17">
        <f>N76*'Financial Inputs'!$B$3</f>
        <v>2160000</v>
      </c>
      <c r="P76" s="18">
        <f>IF(I76="L",'Financial Inputs'!$B$4,IF(I76="M",'Financial Inputs'!$B$5,'Financial Inputs'!$B$6))</f>
        <v>0.4</v>
      </c>
      <c r="Q76" s="17">
        <f>O76*P76</f>
        <v>864000</v>
      </c>
      <c r="R76" s="16">
        <f>'Financial Inputs'!$B$7</f>
        <v>0.35</v>
      </c>
      <c r="S76" s="17">
        <f>Q76*(1-R76)</f>
        <v>561600</v>
      </c>
      <c r="T76" s="18">
        <f>S76/'Financial Inputs'!$B$3</f>
        <v>5.6160000000000003E-3</v>
      </c>
      <c r="U76" s="9" t="s">
        <v>52</v>
      </c>
      <c r="V76" s="3" t="s">
        <v>53</v>
      </c>
    </row>
    <row r="77" spans="1:22">
      <c r="A77" s="2" t="s">
        <v>395</v>
      </c>
      <c r="B77" s="2" t="s">
        <v>396</v>
      </c>
      <c r="C77" s="2" t="s">
        <v>41</v>
      </c>
      <c r="D77" s="2" t="s">
        <v>127</v>
      </c>
      <c r="E77" s="2" t="s">
        <v>220</v>
      </c>
      <c r="F77" s="2" t="s">
        <v>104</v>
      </c>
      <c r="G77" s="2" t="s">
        <v>45</v>
      </c>
      <c r="H77" s="2" t="s">
        <v>46</v>
      </c>
      <c r="I77" s="2" t="s">
        <v>47</v>
      </c>
      <c r="J77" s="2" t="s">
        <v>48</v>
      </c>
      <c r="K77" s="2" t="s">
        <v>397</v>
      </c>
      <c r="L77" s="2" t="s">
        <v>398</v>
      </c>
      <c r="M77" s="2" t="s">
        <v>51</v>
      </c>
      <c r="N77" s="16">
        <v>1.44E-2</v>
      </c>
      <c r="O77" s="17">
        <f>N77*'Financial Inputs'!$B$3</f>
        <v>1440000</v>
      </c>
      <c r="P77" s="18">
        <f>IF(I77="L",'Financial Inputs'!$B$4,IF(I77="M",'Financial Inputs'!$B$5,'Financial Inputs'!$B$6))</f>
        <v>0.4</v>
      </c>
      <c r="Q77" s="17">
        <f>O77*P77</f>
        <v>576000</v>
      </c>
      <c r="R77" s="16">
        <f>'Financial Inputs'!$B$7</f>
        <v>0.35</v>
      </c>
      <c r="S77" s="17">
        <f>Q77*(1-R77)</f>
        <v>374400</v>
      </c>
      <c r="T77" s="18">
        <f>S77/'Financial Inputs'!$B$3</f>
        <v>3.7439999999999999E-3</v>
      </c>
      <c r="U77" s="9" t="s">
        <v>52</v>
      </c>
      <c r="V77" s="3" t="s">
        <v>53</v>
      </c>
    </row>
    <row r="78" spans="1:22">
      <c r="A78" s="2" t="s">
        <v>399</v>
      </c>
      <c r="B78" s="2" t="s">
        <v>400</v>
      </c>
      <c r="C78" s="2" t="s">
        <v>41</v>
      </c>
      <c r="D78" s="2" t="s">
        <v>133</v>
      </c>
      <c r="E78" s="2" t="s">
        <v>171</v>
      </c>
      <c r="F78" s="2" t="s">
        <v>110</v>
      </c>
      <c r="G78" s="2" t="s">
        <v>59</v>
      </c>
      <c r="H78" s="2" t="s">
        <v>46</v>
      </c>
      <c r="I78" s="2" t="s">
        <v>47</v>
      </c>
      <c r="J78" s="2" t="s">
        <v>48</v>
      </c>
      <c r="K78" s="2" t="s">
        <v>401</v>
      </c>
      <c r="L78" s="2" t="s">
        <v>402</v>
      </c>
      <c r="M78" s="2" t="s">
        <v>51</v>
      </c>
      <c r="N78" s="16">
        <v>1.6199999999999999E-2</v>
      </c>
      <c r="O78" s="17">
        <f>N78*'Financial Inputs'!$B$3</f>
        <v>1620000</v>
      </c>
      <c r="P78" s="18">
        <f>IF(I78="L",'Financial Inputs'!$B$4,IF(I78="M",'Financial Inputs'!$B$5,'Financial Inputs'!$B$6))</f>
        <v>0.4</v>
      </c>
      <c r="Q78" s="17">
        <f>O78*P78</f>
        <v>648000</v>
      </c>
      <c r="R78" s="16">
        <f>'Financial Inputs'!$B$7</f>
        <v>0.35</v>
      </c>
      <c r="S78" s="17">
        <f>Q78*(1-R78)</f>
        <v>421200</v>
      </c>
      <c r="T78" s="18">
        <f>S78/'Financial Inputs'!$B$3</f>
        <v>4.2119999999999996E-3</v>
      </c>
      <c r="U78" s="9" t="s">
        <v>52</v>
      </c>
      <c r="V78" s="3" t="s">
        <v>53</v>
      </c>
    </row>
    <row r="79" spans="1:22">
      <c r="A79" s="2" t="s">
        <v>403</v>
      </c>
      <c r="B79" s="2" t="s">
        <v>404</v>
      </c>
      <c r="C79" s="2" t="s">
        <v>41</v>
      </c>
      <c r="D79" s="2" t="s">
        <v>88</v>
      </c>
      <c r="E79" s="2" t="s">
        <v>176</v>
      </c>
      <c r="F79" s="2" t="s">
        <v>117</v>
      </c>
      <c r="G79" s="2" t="s">
        <v>67</v>
      </c>
      <c r="H79" s="2" t="s">
        <v>46</v>
      </c>
      <c r="I79" s="2" t="s">
        <v>47</v>
      </c>
      <c r="J79" s="2" t="s">
        <v>48</v>
      </c>
      <c r="K79" s="2" t="s">
        <v>405</v>
      </c>
      <c r="L79" s="2" t="s">
        <v>406</v>
      </c>
      <c r="M79" s="2" t="s">
        <v>51</v>
      </c>
      <c r="N79" s="16">
        <v>1.7999999999999999E-2</v>
      </c>
      <c r="O79" s="17">
        <f>N79*'Financial Inputs'!$B$3</f>
        <v>1799999.9999999998</v>
      </c>
      <c r="P79" s="18">
        <f>IF(I79="L",'Financial Inputs'!$B$4,IF(I79="M",'Financial Inputs'!$B$5,'Financial Inputs'!$B$6))</f>
        <v>0.4</v>
      </c>
      <c r="Q79" s="17">
        <f>O79*P79</f>
        <v>720000</v>
      </c>
      <c r="R79" s="16">
        <f>'Financial Inputs'!$B$7</f>
        <v>0.35</v>
      </c>
      <c r="S79" s="17">
        <f>Q79*(1-R79)</f>
        <v>468000</v>
      </c>
      <c r="T79" s="18">
        <f>S79/'Financial Inputs'!$B$3</f>
        <v>4.6800000000000001E-3</v>
      </c>
      <c r="U79" s="9" t="s">
        <v>52</v>
      </c>
      <c r="V79" s="3" t="s">
        <v>53</v>
      </c>
    </row>
    <row r="80" spans="1:22">
      <c r="A80" s="2" t="s">
        <v>407</v>
      </c>
      <c r="B80" s="2" t="s">
        <v>408</v>
      </c>
      <c r="C80" s="2" t="s">
        <v>41</v>
      </c>
      <c r="D80" s="2" t="s">
        <v>95</v>
      </c>
      <c r="E80" s="2" t="s">
        <v>122</v>
      </c>
      <c r="F80" s="2" t="s">
        <v>90</v>
      </c>
      <c r="G80" s="2" t="s">
        <v>75</v>
      </c>
      <c r="H80" s="2" t="s">
        <v>46</v>
      </c>
      <c r="I80" s="2" t="s">
        <v>47</v>
      </c>
      <c r="J80" s="2" t="s">
        <v>48</v>
      </c>
      <c r="K80" s="2" t="s">
        <v>409</v>
      </c>
      <c r="L80" s="2" t="s">
        <v>410</v>
      </c>
      <c r="M80" s="2" t="s">
        <v>51</v>
      </c>
      <c r="N80" s="16">
        <v>1.9800000000000002E-2</v>
      </c>
      <c r="O80" s="17">
        <f>N80*'Financial Inputs'!$B$3</f>
        <v>1980000.0000000002</v>
      </c>
      <c r="P80" s="18">
        <f>IF(I80="L",'Financial Inputs'!$B$4,IF(I80="M",'Financial Inputs'!$B$5,'Financial Inputs'!$B$6))</f>
        <v>0.4</v>
      </c>
      <c r="Q80" s="17">
        <f>O80*P80</f>
        <v>792000.00000000012</v>
      </c>
      <c r="R80" s="16">
        <f>'Financial Inputs'!$B$7</f>
        <v>0.35</v>
      </c>
      <c r="S80" s="17">
        <f>Q80*(1-R80)</f>
        <v>514800.00000000012</v>
      </c>
      <c r="T80" s="18">
        <f>S80/'Financial Inputs'!$B$3</f>
        <v>5.1480000000000015E-3</v>
      </c>
      <c r="U80" s="9" t="s">
        <v>52</v>
      </c>
      <c r="V80" s="3" t="s">
        <v>53</v>
      </c>
    </row>
    <row r="81" spans="1:22">
      <c r="A81" s="2" t="s">
        <v>411</v>
      </c>
      <c r="B81" s="2" t="s">
        <v>412</v>
      </c>
      <c r="C81" s="2" t="s">
        <v>41</v>
      </c>
      <c r="D81" s="2" t="s">
        <v>102</v>
      </c>
      <c r="E81" s="2" t="s">
        <v>128</v>
      </c>
      <c r="F81" s="2" t="s">
        <v>97</v>
      </c>
      <c r="G81" s="2" t="s">
        <v>83</v>
      </c>
      <c r="H81" s="2" t="s">
        <v>46</v>
      </c>
      <c r="I81" s="2" t="s">
        <v>47</v>
      </c>
      <c r="J81" s="2" t="s">
        <v>48</v>
      </c>
      <c r="K81" s="2" t="s">
        <v>413</v>
      </c>
      <c r="L81" s="2" t="s">
        <v>414</v>
      </c>
      <c r="M81" s="2" t="s">
        <v>51</v>
      </c>
      <c r="N81" s="16">
        <v>2.1600000000000001E-2</v>
      </c>
      <c r="O81" s="17">
        <f>N81*'Financial Inputs'!$B$3</f>
        <v>2160000</v>
      </c>
      <c r="P81" s="18">
        <f>IF(I81="L",'Financial Inputs'!$B$4,IF(I81="M",'Financial Inputs'!$B$5,'Financial Inputs'!$B$6))</f>
        <v>0.4</v>
      </c>
      <c r="Q81" s="17">
        <f>O81*P81</f>
        <v>864000</v>
      </c>
      <c r="R81" s="16">
        <f>'Financial Inputs'!$B$7</f>
        <v>0.35</v>
      </c>
      <c r="S81" s="17">
        <f>Q81*(1-R81)</f>
        <v>561600</v>
      </c>
      <c r="T81" s="18">
        <f>S81/'Financial Inputs'!$B$3</f>
        <v>5.6160000000000003E-3</v>
      </c>
      <c r="U81" s="9" t="s">
        <v>52</v>
      </c>
      <c r="V81" s="3" t="s">
        <v>53</v>
      </c>
    </row>
    <row r="82" spans="1:22">
      <c r="A82" s="2" t="s">
        <v>415</v>
      </c>
      <c r="B82" s="2" t="s">
        <v>416</v>
      </c>
      <c r="C82" s="2" t="s">
        <v>41</v>
      </c>
      <c r="D82" s="2" t="s">
        <v>64</v>
      </c>
      <c r="E82" s="2" t="s">
        <v>81</v>
      </c>
      <c r="F82" s="2" t="s">
        <v>74</v>
      </c>
      <c r="G82" s="2" t="s">
        <v>67</v>
      </c>
      <c r="H82" s="2" t="s">
        <v>46</v>
      </c>
      <c r="I82" s="2" t="s">
        <v>47</v>
      </c>
      <c r="J82" s="2" t="s">
        <v>48</v>
      </c>
      <c r="K82" s="2" t="s">
        <v>417</v>
      </c>
      <c r="L82" s="2" t="s">
        <v>418</v>
      </c>
      <c r="M82" s="2" t="s">
        <v>51</v>
      </c>
      <c r="N82" s="16">
        <v>1.44E-2</v>
      </c>
      <c r="O82" s="17">
        <f>N82*'Financial Inputs'!$B$3</f>
        <v>1440000</v>
      </c>
      <c r="P82" s="18">
        <f>IF(I82="L",'Financial Inputs'!$B$4,IF(I82="M",'Financial Inputs'!$B$5,'Financial Inputs'!$B$6))</f>
        <v>0.4</v>
      </c>
      <c r="Q82" s="17">
        <f>O82*P82</f>
        <v>576000</v>
      </c>
      <c r="R82" s="16">
        <f>'Financial Inputs'!$B$7</f>
        <v>0.35</v>
      </c>
      <c r="S82" s="17">
        <f>Q82*(1-R82)</f>
        <v>374400</v>
      </c>
      <c r="T82" s="18">
        <f>S82/'Financial Inputs'!$B$3</f>
        <v>3.7439999999999999E-3</v>
      </c>
      <c r="U82" s="9" t="s">
        <v>52</v>
      </c>
      <c r="V82" s="3" t="s">
        <v>53</v>
      </c>
    </row>
    <row r="83" spans="1:22">
      <c r="A83" s="2" t="s">
        <v>419</v>
      </c>
      <c r="B83" s="2" t="s">
        <v>420</v>
      </c>
      <c r="C83" s="2" t="s">
        <v>41</v>
      </c>
      <c r="D83" s="2" t="s">
        <v>72</v>
      </c>
      <c r="E83" s="2" t="s">
        <v>193</v>
      </c>
      <c r="F83" s="2" t="s">
        <v>82</v>
      </c>
      <c r="G83" s="2" t="s">
        <v>75</v>
      </c>
      <c r="H83" s="2" t="s">
        <v>46</v>
      </c>
      <c r="I83" s="2" t="s">
        <v>47</v>
      </c>
      <c r="J83" s="2" t="s">
        <v>48</v>
      </c>
      <c r="K83" s="2" t="s">
        <v>421</v>
      </c>
      <c r="L83" s="2" t="s">
        <v>422</v>
      </c>
      <c r="M83" s="2" t="s">
        <v>51</v>
      </c>
      <c r="N83" s="16">
        <v>1.6199999999999999E-2</v>
      </c>
      <c r="O83" s="17">
        <f>N83*'Financial Inputs'!$B$3</f>
        <v>1620000</v>
      </c>
      <c r="P83" s="18">
        <f>IF(I83="L",'Financial Inputs'!$B$4,IF(I83="M",'Financial Inputs'!$B$5,'Financial Inputs'!$B$6))</f>
        <v>0.4</v>
      </c>
      <c r="Q83" s="17">
        <f>O83*P83</f>
        <v>648000</v>
      </c>
      <c r="R83" s="16">
        <f>'Financial Inputs'!$B$7</f>
        <v>0.35</v>
      </c>
      <c r="S83" s="17">
        <f>Q83*(1-R83)</f>
        <v>421200</v>
      </c>
      <c r="T83" s="18">
        <f>S83/'Financial Inputs'!$B$3</f>
        <v>4.2119999999999996E-3</v>
      </c>
      <c r="U83" s="9" t="s">
        <v>52</v>
      </c>
      <c r="V83" s="3" t="s">
        <v>53</v>
      </c>
    </row>
    <row r="84" spans="1:22">
      <c r="A84" s="2" t="s">
        <v>423</v>
      </c>
      <c r="B84" s="2" t="s">
        <v>424</v>
      </c>
      <c r="C84" s="2" t="s">
        <v>41</v>
      </c>
      <c r="D84" s="2" t="s">
        <v>80</v>
      </c>
      <c r="E84" s="2" t="s">
        <v>198</v>
      </c>
      <c r="F84" s="2" t="s">
        <v>44</v>
      </c>
      <c r="G84" s="2" t="s">
        <v>83</v>
      </c>
      <c r="H84" s="2" t="s">
        <v>46</v>
      </c>
      <c r="I84" s="2" t="s">
        <v>47</v>
      </c>
      <c r="J84" s="2" t="s">
        <v>48</v>
      </c>
      <c r="K84" s="2" t="s">
        <v>425</v>
      </c>
      <c r="L84" s="2" t="s">
        <v>426</v>
      </c>
      <c r="M84" s="2" t="s">
        <v>51</v>
      </c>
      <c r="N84" s="16">
        <v>1.7999999999999999E-2</v>
      </c>
      <c r="O84" s="17">
        <f>N84*'Financial Inputs'!$B$3</f>
        <v>1799999.9999999998</v>
      </c>
      <c r="P84" s="18">
        <f>IF(I84="L",'Financial Inputs'!$B$4,IF(I84="M",'Financial Inputs'!$B$5,'Financial Inputs'!$B$6))</f>
        <v>0.4</v>
      </c>
      <c r="Q84" s="17">
        <f>O84*P84</f>
        <v>720000</v>
      </c>
      <c r="R84" s="16">
        <f>'Financial Inputs'!$B$7</f>
        <v>0.35</v>
      </c>
      <c r="S84" s="17">
        <f>Q84*(1-R84)</f>
        <v>468000</v>
      </c>
      <c r="T84" s="18">
        <f>S84/'Financial Inputs'!$B$3</f>
        <v>4.6800000000000001E-3</v>
      </c>
      <c r="U84" s="9" t="s">
        <v>52</v>
      </c>
      <c r="V84" s="3" t="s">
        <v>53</v>
      </c>
    </row>
    <row r="85" spans="1:22">
      <c r="A85" s="2" t="s">
        <v>427</v>
      </c>
      <c r="B85" s="2" t="s">
        <v>428</v>
      </c>
      <c r="C85" s="2" t="s">
        <v>41</v>
      </c>
      <c r="D85" s="2" t="s">
        <v>127</v>
      </c>
      <c r="E85" s="2" t="s">
        <v>148</v>
      </c>
      <c r="F85" s="2" t="s">
        <v>58</v>
      </c>
      <c r="G85" s="2" t="s">
        <v>111</v>
      </c>
      <c r="H85" s="2" t="s">
        <v>46</v>
      </c>
      <c r="I85" s="2" t="s">
        <v>47</v>
      </c>
      <c r="J85" s="2" t="s">
        <v>48</v>
      </c>
      <c r="K85" s="2" t="s">
        <v>429</v>
      </c>
      <c r="L85" s="2" t="s">
        <v>430</v>
      </c>
      <c r="M85" s="2" t="s">
        <v>51</v>
      </c>
      <c r="N85" s="16">
        <v>1.9800000000000002E-2</v>
      </c>
      <c r="O85" s="17">
        <f>N85*'Financial Inputs'!$B$3</f>
        <v>1980000.0000000002</v>
      </c>
      <c r="P85" s="18">
        <f>IF(I85="L",'Financial Inputs'!$B$4,IF(I85="M",'Financial Inputs'!$B$5,'Financial Inputs'!$B$6))</f>
        <v>0.4</v>
      </c>
      <c r="Q85" s="17">
        <f>O85*P85</f>
        <v>792000.00000000012</v>
      </c>
      <c r="R85" s="16">
        <f>'Financial Inputs'!$B$7</f>
        <v>0.35</v>
      </c>
      <c r="S85" s="17">
        <f>Q85*(1-R85)</f>
        <v>514800.00000000012</v>
      </c>
      <c r="T85" s="18">
        <f>S85/'Financial Inputs'!$B$3</f>
        <v>5.1480000000000015E-3</v>
      </c>
      <c r="U85" s="9" t="s">
        <v>52</v>
      </c>
      <c r="V85" s="3" t="s">
        <v>53</v>
      </c>
    </row>
    <row r="86" spans="1:22">
      <c r="A86" s="2" t="s">
        <v>431</v>
      </c>
      <c r="B86" s="2" t="s">
        <v>432</v>
      </c>
      <c r="C86" s="2" t="s">
        <v>41</v>
      </c>
      <c r="D86" s="2" t="s">
        <v>133</v>
      </c>
      <c r="E86" s="2" t="s">
        <v>153</v>
      </c>
      <c r="F86" s="2" t="s">
        <v>66</v>
      </c>
      <c r="G86" s="2" t="s">
        <v>56</v>
      </c>
      <c r="H86" s="2" t="s">
        <v>46</v>
      </c>
      <c r="I86" s="2" t="s">
        <v>47</v>
      </c>
      <c r="J86" s="2" t="s">
        <v>48</v>
      </c>
      <c r="K86" s="2" t="s">
        <v>433</v>
      </c>
      <c r="L86" s="2" t="s">
        <v>434</v>
      </c>
      <c r="M86" s="2" t="s">
        <v>51</v>
      </c>
      <c r="N86" s="16">
        <v>2.1600000000000001E-2</v>
      </c>
      <c r="O86" s="17">
        <f>N86*'Financial Inputs'!$B$3</f>
        <v>2160000</v>
      </c>
      <c r="P86" s="18">
        <f>IF(I86="L",'Financial Inputs'!$B$4,IF(I86="M",'Financial Inputs'!$B$5,'Financial Inputs'!$B$6))</f>
        <v>0.4</v>
      </c>
      <c r="Q86" s="17">
        <f>O86*P86</f>
        <v>864000</v>
      </c>
      <c r="R86" s="16">
        <f>'Financial Inputs'!$B$7</f>
        <v>0.35</v>
      </c>
      <c r="S86" s="17">
        <f>Q86*(1-R86)</f>
        <v>561600</v>
      </c>
      <c r="T86" s="18">
        <f>S86/'Financial Inputs'!$B$3</f>
        <v>5.6160000000000003E-3</v>
      </c>
      <c r="U86" s="9" t="s">
        <v>52</v>
      </c>
      <c r="V86" s="3" t="s">
        <v>53</v>
      </c>
    </row>
    <row r="87" spans="1:22">
      <c r="A87" s="2" t="s">
        <v>435</v>
      </c>
      <c r="B87" s="2" t="s">
        <v>436</v>
      </c>
      <c r="C87" s="2" t="s">
        <v>41</v>
      </c>
      <c r="D87" s="2" t="s">
        <v>102</v>
      </c>
      <c r="E87" s="2" t="s">
        <v>116</v>
      </c>
      <c r="F87" s="2" t="s">
        <v>110</v>
      </c>
      <c r="G87" s="2" t="s">
        <v>83</v>
      </c>
      <c r="H87" s="2" t="s">
        <v>46</v>
      </c>
      <c r="I87" s="2" t="s">
        <v>47</v>
      </c>
      <c r="J87" s="2" t="s">
        <v>48</v>
      </c>
      <c r="K87" s="2" t="s">
        <v>437</v>
      </c>
      <c r="L87" s="2" t="s">
        <v>438</v>
      </c>
      <c r="M87" s="2" t="s">
        <v>51</v>
      </c>
      <c r="N87" s="16">
        <v>1.44E-2</v>
      </c>
      <c r="O87" s="17">
        <f>N87*'Financial Inputs'!$B$3</f>
        <v>1440000</v>
      </c>
      <c r="P87" s="18">
        <f>IF(I87="L",'Financial Inputs'!$B$4,IF(I87="M",'Financial Inputs'!$B$5,'Financial Inputs'!$B$6))</f>
        <v>0.4</v>
      </c>
      <c r="Q87" s="17">
        <f>O87*P87</f>
        <v>576000</v>
      </c>
      <c r="R87" s="16">
        <f>'Financial Inputs'!$B$7</f>
        <v>0.35</v>
      </c>
      <c r="S87" s="17">
        <f>Q87*(1-R87)</f>
        <v>374400</v>
      </c>
      <c r="T87" s="18">
        <f>S87/'Financial Inputs'!$B$3</f>
        <v>3.7439999999999999E-3</v>
      </c>
      <c r="U87" s="9" t="s">
        <v>52</v>
      </c>
      <c r="V87" s="3" t="s">
        <v>53</v>
      </c>
    </row>
    <row r="88" spans="1:22">
      <c r="A88" s="2" t="s">
        <v>439</v>
      </c>
      <c r="B88" s="2" t="s">
        <v>440</v>
      </c>
      <c r="C88" s="2" t="s">
        <v>41</v>
      </c>
      <c r="D88" s="2" t="s">
        <v>42</v>
      </c>
      <c r="E88" s="2" t="s">
        <v>215</v>
      </c>
      <c r="F88" s="2" t="s">
        <v>117</v>
      </c>
      <c r="G88" s="2" t="s">
        <v>111</v>
      </c>
      <c r="H88" s="2" t="s">
        <v>46</v>
      </c>
      <c r="I88" s="2" t="s">
        <v>47</v>
      </c>
      <c r="J88" s="2" t="s">
        <v>48</v>
      </c>
      <c r="K88" s="2" t="s">
        <v>441</v>
      </c>
      <c r="L88" s="2" t="s">
        <v>442</v>
      </c>
      <c r="M88" s="2" t="s">
        <v>51</v>
      </c>
      <c r="N88" s="16">
        <v>1.6199999999999999E-2</v>
      </c>
      <c r="O88" s="17">
        <f>N88*'Financial Inputs'!$B$3</f>
        <v>1620000</v>
      </c>
      <c r="P88" s="18">
        <f>IF(I88="L",'Financial Inputs'!$B$4,IF(I88="M",'Financial Inputs'!$B$5,'Financial Inputs'!$B$6))</f>
        <v>0.4</v>
      </c>
      <c r="Q88" s="17">
        <f>O88*P88</f>
        <v>648000</v>
      </c>
      <c r="R88" s="16">
        <f>'Financial Inputs'!$B$7</f>
        <v>0.35</v>
      </c>
      <c r="S88" s="17">
        <f>Q88*(1-R88)</f>
        <v>421200</v>
      </c>
      <c r="T88" s="18">
        <f>S88/'Financial Inputs'!$B$3</f>
        <v>4.2119999999999996E-3</v>
      </c>
      <c r="U88" s="9" t="s">
        <v>52</v>
      </c>
      <c r="V88" s="3" t="s">
        <v>53</v>
      </c>
    </row>
    <row r="89" spans="1:22">
      <c r="A89" s="2" t="s">
        <v>443</v>
      </c>
      <c r="B89" s="2" t="s">
        <v>444</v>
      </c>
      <c r="C89" s="2" t="s">
        <v>41</v>
      </c>
      <c r="D89" s="2" t="s">
        <v>56</v>
      </c>
      <c r="E89" s="2" t="s">
        <v>220</v>
      </c>
      <c r="F89" s="2" t="s">
        <v>90</v>
      </c>
      <c r="G89" s="2" t="s">
        <v>56</v>
      </c>
      <c r="H89" s="2" t="s">
        <v>46</v>
      </c>
      <c r="I89" s="2" t="s">
        <v>47</v>
      </c>
      <c r="J89" s="2" t="s">
        <v>48</v>
      </c>
      <c r="K89" s="2" t="s">
        <v>445</v>
      </c>
      <c r="L89" s="2" t="s">
        <v>446</v>
      </c>
      <c r="M89" s="2" t="s">
        <v>51</v>
      </c>
      <c r="N89" s="16">
        <v>1.7999999999999999E-2</v>
      </c>
      <c r="O89" s="17">
        <f>N89*'Financial Inputs'!$B$3</f>
        <v>1799999.9999999998</v>
      </c>
      <c r="P89" s="18">
        <f>IF(I89="L",'Financial Inputs'!$B$4,IF(I89="M",'Financial Inputs'!$B$5,'Financial Inputs'!$B$6))</f>
        <v>0.4</v>
      </c>
      <c r="Q89" s="17">
        <f>O89*P89</f>
        <v>720000</v>
      </c>
      <c r="R89" s="16">
        <f>'Financial Inputs'!$B$7</f>
        <v>0.35</v>
      </c>
      <c r="S89" s="17">
        <f>Q89*(1-R89)</f>
        <v>468000</v>
      </c>
      <c r="T89" s="18">
        <f>S89/'Financial Inputs'!$B$3</f>
        <v>4.6800000000000001E-3</v>
      </c>
      <c r="U89" s="9" t="s">
        <v>52</v>
      </c>
      <c r="V89" s="3" t="s">
        <v>53</v>
      </c>
    </row>
    <row r="90" spans="1:22">
      <c r="A90" s="2" t="s">
        <v>447</v>
      </c>
      <c r="B90" s="2" t="s">
        <v>448</v>
      </c>
      <c r="C90" s="2" t="s">
        <v>41</v>
      </c>
      <c r="D90" s="2" t="s">
        <v>64</v>
      </c>
      <c r="E90" s="2" t="s">
        <v>171</v>
      </c>
      <c r="F90" s="2" t="s">
        <v>97</v>
      </c>
      <c r="G90" s="2" t="s">
        <v>138</v>
      </c>
      <c r="H90" s="2" t="s">
        <v>46</v>
      </c>
      <c r="I90" s="2" t="s">
        <v>47</v>
      </c>
      <c r="J90" s="2" t="s">
        <v>48</v>
      </c>
      <c r="K90" s="2" t="s">
        <v>449</v>
      </c>
      <c r="L90" s="2" t="s">
        <v>450</v>
      </c>
      <c r="M90" s="2" t="s">
        <v>51</v>
      </c>
      <c r="N90" s="16">
        <v>1.9800000000000002E-2</v>
      </c>
      <c r="O90" s="17">
        <f>N90*'Financial Inputs'!$B$3</f>
        <v>1980000.0000000002</v>
      </c>
      <c r="P90" s="18">
        <f>IF(I90="L",'Financial Inputs'!$B$4,IF(I90="M",'Financial Inputs'!$B$5,'Financial Inputs'!$B$6))</f>
        <v>0.4</v>
      </c>
      <c r="Q90" s="17">
        <f>O90*P90</f>
        <v>792000.00000000012</v>
      </c>
      <c r="R90" s="16">
        <f>'Financial Inputs'!$B$7</f>
        <v>0.35</v>
      </c>
      <c r="S90" s="17">
        <f>Q90*(1-R90)</f>
        <v>514800.00000000012</v>
      </c>
      <c r="T90" s="18">
        <f>S90/'Financial Inputs'!$B$3</f>
        <v>5.1480000000000015E-3</v>
      </c>
      <c r="U90" s="9" t="s">
        <v>52</v>
      </c>
      <c r="V90" s="3" t="s">
        <v>53</v>
      </c>
    </row>
    <row r="91" spans="1:22">
      <c r="A91" s="2" t="s">
        <v>451</v>
      </c>
      <c r="B91" s="2" t="s">
        <v>452</v>
      </c>
      <c r="C91" s="2" t="s">
        <v>41</v>
      </c>
      <c r="D91" s="2" t="s">
        <v>72</v>
      </c>
      <c r="E91" s="2" t="s">
        <v>176</v>
      </c>
      <c r="F91" s="2" t="s">
        <v>104</v>
      </c>
      <c r="G91" s="2" t="s">
        <v>143</v>
      </c>
      <c r="H91" s="2" t="s">
        <v>46</v>
      </c>
      <c r="I91" s="2" t="s">
        <v>47</v>
      </c>
      <c r="J91" s="2" t="s">
        <v>48</v>
      </c>
      <c r="K91" s="2" t="s">
        <v>453</v>
      </c>
      <c r="L91" s="2" t="s">
        <v>454</v>
      </c>
      <c r="M91" s="2" t="s">
        <v>51</v>
      </c>
      <c r="N91" s="16">
        <v>2.1600000000000001E-2</v>
      </c>
      <c r="O91" s="17">
        <f>N91*'Financial Inputs'!$B$3</f>
        <v>2160000</v>
      </c>
      <c r="P91" s="18">
        <f>IF(I91="L",'Financial Inputs'!$B$4,IF(I91="M",'Financial Inputs'!$B$5,'Financial Inputs'!$B$6))</f>
        <v>0.4</v>
      </c>
      <c r="Q91" s="17">
        <f>O91*P91</f>
        <v>864000</v>
      </c>
      <c r="R91" s="16">
        <f>'Financial Inputs'!$B$7</f>
        <v>0.35</v>
      </c>
      <c r="S91" s="17">
        <f>Q91*(1-R91)</f>
        <v>561600</v>
      </c>
      <c r="T91" s="18">
        <f>S91/'Financial Inputs'!$B$3</f>
        <v>5.6160000000000003E-3</v>
      </c>
      <c r="U91" s="9" t="s">
        <v>52</v>
      </c>
      <c r="V91" s="3" t="s">
        <v>53</v>
      </c>
    </row>
    <row r="92" spans="1:22">
      <c r="A92" s="2" t="s">
        <v>455</v>
      </c>
      <c r="B92" s="2" t="s">
        <v>456</v>
      </c>
      <c r="C92" s="2" t="s">
        <v>41</v>
      </c>
      <c r="D92" s="2" t="s">
        <v>133</v>
      </c>
      <c r="E92" s="2" t="s">
        <v>65</v>
      </c>
      <c r="F92" s="2" t="s">
        <v>82</v>
      </c>
      <c r="G92" s="2" t="s">
        <v>56</v>
      </c>
      <c r="H92" s="2" t="s">
        <v>46</v>
      </c>
      <c r="I92" s="2" t="s">
        <v>47</v>
      </c>
      <c r="J92" s="2" t="s">
        <v>48</v>
      </c>
      <c r="K92" s="2" t="s">
        <v>457</v>
      </c>
      <c r="L92" s="2" t="s">
        <v>458</v>
      </c>
      <c r="M92" s="2" t="s">
        <v>51</v>
      </c>
      <c r="N92" s="16">
        <v>1.44E-2</v>
      </c>
      <c r="O92" s="17">
        <f>N92*'Financial Inputs'!$B$3</f>
        <v>1440000</v>
      </c>
      <c r="P92" s="18">
        <f>IF(I92="L",'Financial Inputs'!$B$4,IF(I92="M",'Financial Inputs'!$B$5,'Financial Inputs'!$B$6))</f>
        <v>0.4</v>
      </c>
      <c r="Q92" s="17">
        <f>O92*P92</f>
        <v>576000</v>
      </c>
      <c r="R92" s="16">
        <f>'Financial Inputs'!$B$7</f>
        <v>0.35</v>
      </c>
      <c r="S92" s="17">
        <f>Q92*(1-R92)</f>
        <v>374400</v>
      </c>
      <c r="T92" s="18">
        <f>S92/'Financial Inputs'!$B$3</f>
        <v>3.7439999999999999E-3</v>
      </c>
      <c r="U92" s="9" t="s">
        <v>52</v>
      </c>
      <c r="V92" s="3" t="s">
        <v>53</v>
      </c>
    </row>
    <row r="93" spans="1:22">
      <c r="A93" s="2" t="s">
        <v>459</v>
      </c>
      <c r="B93" s="2" t="s">
        <v>460</v>
      </c>
      <c r="C93" s="2" t="s">
        <v>41</v>
      </c>
      <c r="D93" s="2" t="s">
        <v>88</v>
      </c>
      <c r="E93" s="2" t="s">
        <v>73</v>
      </c>
      <c r="F93" s="2" t="s">
        <v>44</v>
      </c>
      <c r="G93" s="2" t="s">
        <v>138</v>
      </c>
      <c r="H93" s="2" t="s">
        <v>46</v>
      </c>
      <c r="I93" s="2" t="s">
        <v>47</v>
      </c>
      <c r="J93" s="2" t="s">
        <v>48</v>
      </c>
      <c r="K93" s="2" t="s">
        <v>461</v>
      </c>
      <c r="L93" s="2" t="s">
        <v>462</v>
      </c>
      <c r="M93" s="2" t="s">
        <v>51</v>
      </c>
      <c r="N93" s="16">
        <v>1.6199999999999999E-2</v>
      </c>
      <c r="O93" s="17">
        <f>N93*'Financial Inputs'!$B$3</f>
        <v>1620000</v>
      </c>
      <c r="P93" s="18">
        <f>IF(I93="L",'Financial Inputs'!$B$4,IF(I93="M",'Financial Inputs'!$B$5,'Financial Inputs'!$B$6))</f>
        <v>0.4</v>
      </c>
      <c r="Q93" s="17">
        <f>O93*P93</f>
        <v>648000</v>
      </c>
      <c r="R93" s="16">
        <f>'Financial Inputs'!$B$7</f>
        <v>0.35</v>
      </c>
      <c r="S93" s="17">
        <f>Q93*(1-R93)</f>
        <v>421200</v>
      </c>
      <c r="T93" s="18">
        <f>S93/'Financial Inputs'!$B$3</f>
        <v>4.2119999999999996E-3</v>
      </c>
      <c r="U93" s="9" t="s">
        <v>52</v>
      </c>
      <c r="V93" s="3" t="s">
        <v>53</v>
      </c>
    </row>
    <row r="94" spans="1:22">
      <c r="A94" s="2" t="s">
        <v>463</v>
      </c>
      <c r="B94" s="2" t="s">
        <v>464</v>
      </c>
      <c r="C94" s="2" t="s">
        <v>41</v>
      </c>
      <c r="D94" s="2" t="s">
        <v>95</v>
      </c>
      <c r="E94" s="2" t="s">
        <v>81</v>
      </c>
      <c r="F94" s="2" t="s">
        <v>58</v>
      </c>
      <c r="G94" s="2" t="s">
        <v>143</v>
      </c>
      <c r="H94" s="2" t="s">
        <v>46</v>
      </c>
      <c r="I94" s="2" t="s">
        <v>47</v>
      </c>
      <c r="J94" s="2" t="s">
        <v>48</v>
      </c>
      <c r="K94" s="2" t="s">
        <v>465</v>
      </c>
      <c r="L94" s="2" t="s">
        <v>466</v>
      </c>
      <c r="M94" s="2" t="s">
        <v>51</v>
      </c>
      <c r="N94" s="16">
        <v>1.7999999999999999E-2</v>
      </c>
      <c r="O94" s="17">
        <f>N94*'Financial Inputs'!$B$3</f>
        <v>1799999.9999999998</v>
      </c>
      <c r="P94" s="18">
        <f>IF(I94="L",'Financial Inputs'!$B$4,IF(I94="M",'Financial Inputs'!$B$5,'Financial Inputs'!$B$6))</f>
        <v>0.4</v>
      </c>
      <c r="Q94" s="17">
        <f>O94*P94</f>
        <v>720000</v>
      </c>
      <c r="R94" s="16">
        <f>'Financial Inputs'!$B$7</f>
        <v>0.35</v>
      </c>
      <c r="S94" s="17">
        <f>Q94*(1-R94)</f>
        <v>468000</v>
      </c>
      <c r="T94" s="18">
        <f>S94/'Financial Inputs'!$B$3</f>
        <v>4.6800000000000001E-3</v>
      </c>
      <c r="U94" s="9" t="s">
        <v>52</v>
      </c>
      <c r="V94" s="3" t="s">
        <v>53</v>
      </c>
    </row>
    <row r="95" spans="1:22">
      <c r="A95" s="2" t="s">
        <v>467</v>
      </c>
      <c r="B95" s="2" t="s">
        <v>468</v>
      </c>
      <c r="C95" s="2" t="s">
        <v>41</v>
      </c>
      <c r="D95" s="2" t="s">
        <v>102</v>
      </c>
      <c r="E95" s="2" t="s">
        <v>193</v>
      </c>
      <c r="F95" s="2" t="s">
        <v>66</v>
      </c>
      <c r="G95" s="2" t="s">
        <v>162</v>
      </c>
      <c r="H95" s="2" t="s">
        <v>46</v>
      </c>
      <c r="I95" s="2" t="s">
        <v>47</v>
      </c>
      <c r="J95" s="2" t="s">
        <v>48</v>
      </c>
      <c r="K95" s="2" t="s">
        <v>469</v>
      </c>
      <c r="L95" s="2" t="s">
        <v>470</v>
      </c>
      <c r="M95" s="2" t="s">
        <v>51</v>
      </c>
      <c r="N95" s="16">
        <v>1.9800000000000002E-2</v>
      </c>
      <c r="O95" s="17">
        <f>N95*'Financial Inputs'!$B$3</f>
        <v>1980000.0000000002</v>
      </c>
      <c r="P95" s="18">
        <f>IF(I95="L",'Financial Inputs'!$B$4,IF(I95="M",'Financial Inputs'!$B$5,'Financial Inputs'!$B$6))</f>
        <v>0.4</v>
      </c>
      <c r="Q95" s="17">
        <f>O95*P95</f>
        <v>792000.00000000012</v>
      </c>
      <c r="R95" s="16">
        <f>'Financial Inputs'!$B$7</f>
        <v>0.35</v>
      </c>
      <c r="S95" s="17">
        <f>Q95*(1-R95)</f>
        <v>514800.00000000012</v>
      </c>
      <c r="T95" s="18">
        <f>S95/'Financial Inputs'!$B$3</f>
        <v>5.1480000000000015E-3</v>
      </c>
      <c r="U95" s="9" t="s">
        <v>52</v>
      </c>
      <c r="V95" s="3" t="s">
        <v>53</v>
      </c>
    </row>
    <row r="96" spans="1:22">
      <c r="A96" s="2" t="s">
        <v>471</v>
      </c>
      <c r="B96" s="2" t="s">
        <v>472</v>
      </c>
      <c r="C96" s="2" t="s">
        <v>41</v>
      </c>
      <c r="D96" s="2" t="s">
        <v>42</v>
      </c>
      <c r="E96" s="2" t="s">
        <v>198</v>
      </c>
      <c r="F96" s="2" t="s">
        <v>74</v>
      </c>
      <c r="G96" s="2" t="s">
        <v>45</v>
      </c>
      <c r="H96" s="2" t="s">
        <v>46</v>
      </c>
      <c r="I96" s="2" t="s">
        <v>47</v>
      </c>
      <c r="J96" s="2" t="s">
        <v>48</v>
      </c>
      <c r="K96" s="2" t="s">
        <v>473</v>
      </c>
      <c r="L96" s="2" t="s">
        <v>474</v>
      </c>
      <c r="M96" s="2" t="s">
        <v>51</v>
      </c>
      <c r="N96" s="16">
        <v>2.1600000000000001E-2</v>
      </c>
      <c r="O96" s="17">
        <f>N96*'Financial Inputs'!$B$3</f>
        <v>2160000</v>
      </c>
      <c r="P96" s="18">
        <f>IF(I96="L",'Financial Inputs'!$B$4,IF(I96="M",'Financial Inputs'!$B$5,'Financial Inputs'!$B$6))</f>
        <v>0.4</v>
      </c>
      <c r="Q96" s="17">
        <f>O96*P96</f>
        <v>864000</v>
      </c>
      <c r="R96" s="16">
        <f>'Financial Inputs'!$B$7</f>
        <v>0.35</v>
      </c>
      <c r="S96" s="17">
        <f>Q96*(1-R96)</f>
        <v>561600</v>
      </c>
      <c r="T96" s="18">
        <f>S96/'Financial Inputs'!$B$3</f>
        <v>5.6160000000000003E-3</v>
      </c>
      <c r="U96" s="9" t="s">
        <v>52</v>
      </c>
      <c r="V96" s="3" t="s">
        <v>53</v>
      </c>
    </row>
    <row r="97" spans="1:22">
      <c r="A97" s="2" t="s">
        <v>475</v>
      </c>
      <c r="B97" s="2" t="s">
        <v>476</v>
      </c>
      <c r="C97" s="2" t="s">
        <v>41</v>
      </c>
      <c r="D97" s="2" t="s">
        <v>72</v>
      </c>
      <c r="E97" s="2" t="s">
        <v>103</v>
      </c>
      <c r="F97" s="2" t="s">
        <v>117</v>
      </c>
      <c r="G97" s="2" t="s">
        <v>143</v>
      </c>
      <c r="H97" s="2" t="s">
        <v>46</v>
      </c>
      <c r="I97" s="2" t="s">
        <v>47</v>
      </c>
      <c r="J97" s="2" t="s">
        <v>48</v>
      </c>
      <c r="K97" s="2" t="s">
        <v>477</v>
      </c>
      <c r="L97" s="2" t="s">
        <v>478</v>
      </c>
      <c r="M97" s="2" t="s">
        <v>51</v>
      </c>
      <c r="N97" s="16">
        <v>1.44E-2</v>
      </c>
      <c r="O97" s="17">
        <f>N97*'Financial Inputs'!$B$3</f>
        <v>1440000</v>
      </c>
      <c r="P97" s="18">
        <f>IF(I97="L",'Financial Inputs'!$B$4,IF(I97="M",'Financial Inputs'!$B$5,'Financial Inputs'!$B$6))</f>
        <v>0.4</v>
      </c>
      <c r="Q97" s="17">
        <f>O97*P97</f>
        <v>576000</v>
      </c>
      <c r="R97" s="16">
        <f>'Financial Inputs'!$B$7</f>
        <v>0.35</v>
      </c>
      <c r="S97" s="17">
        <f>Q97*(1-R97)</f>
        <v>374400</v>
      </c>
      <c r="T97" s="18">
        <f>S97/'Financial Inputs'!$B$3</f>
        <v>3.7439999999999999E-3</v>
      </c>
      <c r="U97" s="9" t="s">
        <v>52</v>
      </c>
      <c r="V97" s="3" t="s">
        <v>53</v>
      </c>
    </row>
    <row r="98" spans="1:22">
      <c r="A98" s="2" t="s">
        <v>479</v>
      </c>
      <c r="B98" s="2" t="s">
        <v>480</v>
      </c>
      <c r="C98" s="2" t="s">
        <v>41</v>
      </c>
      <c r="D98" s="2" t="s">
        <v>80</v>
      </c>
      <c r="E98" s="2" t="s">
        <v>109</v>
      </c>
      <c r="F98" s="2" t="s">
        <v>90</v>
      </c>
      <c r="G98" s="2" t="s">
        <v>162</v>
      </c>
      <c r="H98" s="2" t="s">
        <v>46</v>
      </c>
      <c r="I98" s="2" t="s">
        <v>47</v>
      </c>
      <c r="J98" s="2" t="s">
        <v>48</v>
      </c>
      <c r="K98" s="2" t="s">
        <v>481</v>
      </c>
      <c r="L98" s="2" t="s">
        <v>482</v>
      </c>
      <c r="M98" s="2" t="s">
        <v>51</v>
      </c>
      <c r="N98" s="16">
        <v>1.6199999999999999E-2</v>
      </c>
      <c r="O98" s="17">
        <f>N98*'Financial Inputs'!$B$3</f>
        <v>1620000</v>
      </c>
      <c r="P98" s="18">
        <f>IF(I98="L",'Financial Inputs'!$B$4,IF(I98="M",'Financial Inputs'!$B$5,'Financial Inputs'!$B$6))</f>
        <v>0.4</v>
      </c>
      <c r="Q98" s="17">
        <f>O98*P98</f>
        <v>648000</v>
      </c>
      <c r="R98" s="16">
        <f>'Financial Inputs'!$B$7</f>
        <v>0.35</v>
      </c>
      <c r="S98" s="17">
        <f>Q98*(1-R98)</f>
        <v>421200</v>
      </c>
      <c r="T98" s="18">
        <f>S98/'Financial Inputs'!$B$3</f>
        <v>4.2119999999999996E-3</v>
      </c>
      <c r="U98" s="9" t="s">
        <v>52</v>
      </c>
      <c r="V98" s="3" t="s">
        <v>53</v>
      </c>
    </row>
    <row r="99" spans="1:22">
      <c r="A99" s="2" t="s">
        <v>483</v>
      </c>
      <c r="B99" s="2" t="s">
        <v>484</v>
      </c>
      <c r="C99" s="2" t="s">
        <v>41</v>
      </c>
      <c r="D99" s="2" t="s">
        <v>127</v>
      </c>
      <c r="E99" s="2" t="s">
        <v>116</v>
      </c>
      <c r="F99" s="2" t="s">
        <v>97</v>
      </c>
      <c r="G99" s="2" t="s">
        <v>45</v>
      </c>
      <c r="H99" s="2" t="s">
        <v>46</v>
      </c>
      <c r="I99" s="2" t="s">
        <v>47</v>
      </c>
      <c r="J99" s="2" t="s">
        <v>48</v>
      </c>
      <c r="K99" s="2" t="s">
        <v>485</v>
      </c>
      <c r="L99" s="2" t="s">
        <v>486</v>
      </c>
      <c r="M99" s="2" t="s">
        <v>51</v>
      </c>
      <c r="N99" s="16">
        <v>1.7999999999999999E-2</v>
      </c>
      <c r="O99" s="17">
        <f>N99*'Financial Inputs'!$B$3</f>
        <v>1799999.9999999998</v>
      </c>
      <c r="P99" s="18">
        <f>IF(I99="L",'Financial Inputs'!$B$4,IF(I99="M",'Financial Inputs'!$B$5,'Financial Inputs'!$B$6))</f>
        <v>0.4</v>
      </c>
      <c r="Q99" s="17">
        <f>O99*P99</f>
        <v>720000</v>
      </c>
      <c r="R99" s="16">
        <f>'Financial Inputs'!$B$7</f>
        <v>0.35</v>
      </c>
      <c r="S99" s="17">
        <f>Q99*(1-R99)</f>
        <v>468000</v>
      </c>
      <c r="T99" s="18">
        <f>S99/'Financial Inputs'!$B$3</f>
        <v>4.6800000000000001E-3</v>
      </c>
      <c r="U99" s="9" t="s">
        <v>52</v>
      </c>
      <c r="V99" s="3" t="s">
        <v>53</v>
      </c>
    </row>
    <row r="100" spans="1:22">
      <c r="A100" s="2" t="s">
        <v>487</v>
      </c>
      <c r="B100" s="2" t="s">
        <v>488</v>
      </c>
      <c r="C100" s="2" t="s">
        <v>41</v>
      </c>
      <c r="D100" s="2" t="s">
        <v>133</v>
      </c>
      <c r="E100" s="2" t="s">
        <v>215</v>
      </c>
      <c r="F100" s="2" t="s">
        <v>104</v>
      </c>
      <c r="G100" s="2" t="s">
        <v>59</v>
      </c>
      <c r="H100" s="2" t="s">
        <v>46</v>
      </c>
      <c r="I100" s="2" t="s">
        <v>47</v>
      </c>
      <c r="J100" s="2" t="s">
        <v>48</v>
      </c>
      <c r="K100" s="2" t="s">
        <v>489</v>
      </c>
      <c r="L100" s="2" t="s">
        <v>490</v>
      </c>
      <c r="M100" s="2" t="s">
        <v>51</v>
      </c>
      <c r="N100" s="16">
        <v>1.9800000000000002E-2</v>
      </c>
      <c r="O100" s="17">
        <f>N100*'Financial Inputs'!$B$3</f>
        <v>1980000.0000000002</v>
      </c>
      <c r="P100" s="18">
        <f>IF(I100="L",'Financial Inputs'!$B$4,IF(I100="M",'Financial Inputs'!$B$5,'Financial Inputs'!$B$6))</f>
        <v>0.4</v>
      </c>
      <c r="Q100" s="17">
        <f>O100*P100</f>
        <v>792000.00000000012</v>
      </c>
      <c r="R100" s="16">
        <f>'Financial Inputs'!$B$7</f>
        <v>0.35</v>
      </c>
      <c r="S100" s="17">
        <f>Q100*(1-R100)</f>
        <v>514800.00000000012</v>
      </c>
      <c r="T100" s="18">
        <f>S100/'Financial Inputs'!$B$3</f>
        <v>5.1480000000000015E-3</v>
      </c>
      <c r="U100" s="9" t="s">
        <v>52</v>
      </c>
      <c r="V100" s="3" t="s">
        <v>53</v>
      </c>
    </row>
    <row r="101" spans="1:22">
      <c r="A101" s="2" t="s">
        <v>491</v>
      </c>
      <c r="B101" s="2" t="s">
        <v>492</v>
      </c>
      <c r="C101" s="2" t="s">
        <v>41</v>
      </c>
      <c r="D101" s="2" t="s">
        <v>88</v>
      </c>
      <c r="E101" s="2" t="s">
        <v>220</v>
      </c>
      <c r="F101" s="2" t="s">
        <v>110</v>
      </c>
      <c r="G101" s="2" t="s">
        <v>67</v>
      </c>
      <c r="H101" s="2" t="s">
        <v>46</v>
      </c>
      <c r="I101" s="2" t="s">
        <v>47</v>
      </c>
      <c r="J101" s="2" t="s">
        <v>48</v>
      </c>
      <c r="K101" s="2" t="s">
        <v>493</v>
      </c>
      <c r="L101" s="2" t="s">
        <v>494</v>
      </c>
      <c r="M101" s="2" t="s">
        <v>51</v>
      </c>
      <c r="N101" s="16">
        <v>2.1600000000000001E-2</v>
      </c>
      <c r="O101" s="17">
        <f>N101*'Financial Inputs'!$B$3</f>
        <v>2160000</v>
      </c>
      <c r="P101" s="18">
        <f>IF(I101="L",'Financial Inputs'!$B$4,IF(I101="M",'Financial Inputs'!$B$5,'Financial Inputs'!$B$6))</f>
        <v>0.4</v>
      </c>
      <c r="Q101" s="17">
        <f>O101*P101</f>
        <v>864000</v>
      </c>
      <c r="R101" s="16">
        <f>'Financial Inputs'!$B$7</f>
        <v>0.35</v>
      </c>
      <c r="S101" s="17">
        <f>Q101*(1-R101)</f>
        <v>561600</v>
      </c>
      <c r="T101" s="18">
        <f>S101/'Financial Inputs'!$B$3</f>
        <v>5.6160000000000003E-3</v>
      </c>
      <c r="U101" s="9" t="s">
        <v>52</v>
      </c>
      <c r="V101" s="3" t="s">
        <v>53</v>
      </c>
    </row>
    <row r="102" spans="1:22">
      <c r="A102" s="2" t="s">
        <v>495</v>
      </c>
      <c r="B102" s="2" t="s">
        <v>496</v>
      </c>
      <c r="C102" s="2" t="s">
        <v>497</v>
      </c>
      <c r="D102" s="2" t="s">
        <v>42</v>
      </c>
      <c r="E102" s="2" t="s">
        <v>43</v>
      </c>
      <c r="F102" s="2" t="s">
        <v>44</v>
      </c>
      <c r="G102" s="2" t="s">
        <v>45</v>
      </c>
      <c r="H102" s="2" t="s">
        <v>498</v>
      </c>
      <c r="I102" s="2" t="s">
        <v>499</v>
      </c>
      <c r="J102" s="2" t="s">
        <v>500</v>
      </c>
      <c r="K102" s="2" t="s">
        <v>501</v>
      </c>
      <c r="L102" s="2" t="s">
        <v>50</v>
      </c>
      <c r="M102" s="2" t="s">
        <v>502</v>
      </c>
      <c r="N102" s="16">
        <v>0.02</v>
      </c>
      <c r="O102" s="17">
        <f>N102*'Financial Inputs'!$B$3</f>
        <v>2000000</v>
      </c>
      <c r="P102" s="18">
        <f>IF(I102="L",'Financial Inputs'!$B$4,IF(I102="M",'Financial Inputs'!$B$5,'Financial Inputs'!$B$6))</f>
        <v>0.7</v>
      </c>
      <c r="Q102" s="17">
        <f>O102*P102</f>
        <v>1400000</v>
      </c>
      <c r="R102" s="16">
        <f>'Financial Inputs'!$B$7</f>
        <v>0.35</v>
      </c>
      <c r="S102" s="17">
        <f>Q102*(1-R102)</f>
        <v>910000</v>
      </c>
      <c r="T102" s="18">
        <f>S102/'Financial Inputs'!$B$3</f>
        <v>9.1000000000000004E-3</v>
      </c>
      <c r="U102" s="9" t="s">
        <v>52</v>
      </c>
      <c r="V102" s="3" t="s">
        <v>53</v>
      </c>
    </row>
    <row r="103" spans="1:22">
      <c r="A103" s="2" t="s">
        <v>503</v>
      </c>
      <c r="B103" s="2" t="s">
        <v>504</v>
      </c>
      <c r="C103" s="2" t="s">
        <v>497</v>
      </c>
      <c r="D103" s="2" t="s">
        <v>56</v>
      </c>
      <c r="E103" s="2" t="s">
        <v>57</v>
      </c>
      <c r="F103" s="2" t="s">
        <v>58</v>
      </c>
      <c r="G103" s="2" t="s">
        <v>59</v>
      </c>
      <c r="H103" s="2" t="s">
        <v>498</v>
      </c>
      <c r="I103" s="2" t="s">
        <v>499</v>
      </c>
      <c r="J103" s="2" t="s">
        <v>500</v>
      </c>
      <c r="K103" s="2" t="s">
        <v>505</v>
      </c>
      <c r="L103" s="2" t="s">
        <v>61</v>
      </c>
      <c r="M103" s="2" t="s">
        <v>502</v>
      </c>
      <c r="N103" s="16">
        <v>2.2499999999999999E-2</v>
      </c>
      <c r="O103" s="17">
        <f>N103*'Financial Inputs'!$B$3</f>
        <v>2250000</v>
      </c>
      <c r="P103" s="18">
        <f>IF(I103="L",'Financial Inputs'!$B$4,IF(I103="M",'Financial Inputs'!$B$5,'Financial Inputs'!$B$6))</f>
        <v>0.7</v>
      </c>
      <c r="Q103" s="17">
        <f>O103*P103</f>
        <v>1575000</v>
      </c>
      <c r="R103" s="16">
        <f>'Financial Inputs'!$B$7</f>
        <v>0.35</v>
      </c>
      <c r="S103" s="17">
        <f>Q103*(1-R103)</f>
        <v>1023750</v>
      </c>
      <c r="T103" s="18">
        <f>S103/'Financial Inputs'!$B$3</f>
        <v>1.02375E-2</v>
      </c>
      <c r="U103" s="9" t="s">
        <v>52</v>
      </c>
      <c r="V103" s="3" t="s">
        <v>53</v>
      </c>
    </row>
    <row r="104" spans="1:22">
      <c r="A104" s="2" t="s">
        <v>506</v>
      </c>
      <c r="B104" s="2" t="s">
        <v>507</v>
      </c>
      <c r="C104" s="2" t="s">
        <v>497</v>
      </c>
      <c r="D104" s="2" t="s">
        <v>64</v>
      </c>
      <c r="E104" s="2" t="s">
        <v>65</v>
      </c>
      <c r="F104" s="2" t="s">
        <v>66</v>
      </c>
      <c r="G104" s="2" t="s">
        <v>67</v>
      </c>
      <c r="H104" s="2" t="s">
        <v>498</v>
      </c>
      <c r="I104" s="2" t="s">
        <v>499</v>
      </c>
      <c r="J104" s="2" t="s">
        <v>500</v>
      </c>
      <c r="K104" s="2" t="s">
        <v>508</v>
      </c>
      <c r="L104" s="2" t="s">
        <v>69</v>
      </c>
      <c r="M104" s="2" t="s">
        <v>502</v>
      </c>
      <c r="N104" s="16">
        <v>2.5000000000000001E-2</v>
      </c>
      <c r="O104" s="17">
        <f>N104*'Financial Inputs'!$B$3</f>
        <v>2500000</v>
      </c>
      <c r="P104" s="18">
        <f>IF(I104="L",'Financial Inputs'!$B$4,IF(I104="M",'Financial Inputs'!$B$5,'Financial Inputs'!$B$6))</f>
        <v>0.7</v>
      </c>
      <c r="Q104" s="17">
        <f>O104*P104</f>
        <v>1750000</v>
      </c>
      <c r="R104" s="16">
        <f>'Financial Inputs'!$B$7</f>
        <v>0.35</v>
      </c>
      <c r="S104" s="17">
        <f>Q104*(1-R104)</f>
        <v>1137500</v>
      </c>
      <c r="T104" s="18">
        <f>S104/'Financial Inputs'!$B$3</f>
        <v>1.1375E-2</v>
      </c>
      <c r="U104" s="9" t="s">
        <v>52</v>
      </c>
      <c r="V104" s="3" t="s">
        <v>53</v>
      </c>
    </row>
    <row r="105" spans="1:22">
      <c r="A105" s="2" t="s">
        <v>509</v>
      </c>
      <c r="B105" s="2" t="s">
        <v>510</v>
      </c>
      <c r="C105" s="2" t="s">
        <v>497</v>
      </c>
      <c r="D105" s="2" t="s">
        <v>72</v>
      </c>
      <c r="E105" s="2" t="s">
        <v>73</v>
      </c>
      <c r="F105" s="2" t="s">
        <v>74</v>
      </c>
      <c r="G105" s="2" t="s">
        <v>75</v>
      </c>
      <c r="H105" s="2" t="s">
        <v>498</v>
      </c>
      <c r="I105" s="2" t="s">
        <v>499</v>
      </c>
      <c r="J105" s="2" t="s">
        <v>500</v>
      </c>
      <c r="K105" s="2" t="s">
        <v>511</v>
      </c>
      <c r="L105" s="2" t="s">
        <v>77</v>
      </c>
      <c r="M105" s="2" t="s">
        <v>502</v>
      </c>
      <c r="N105" s="16">
        <v>2.75E-2</v>
      </c>
      <c r="O105" s="17">
        <f>N105*'Financial Inputs'!$B$3</f>
        <v>2750000</v>
      </c>
      <c r="P105" s="18">
        <f>IF(I105="L",'Financial Inputs'!$B$4,IF(I105="M",'Financial Inputs'!$B$5,'Financial Inputs'!$B$6))</f>
        <v>0.7</v>
      </c>
      <c r="Q105" s="17">
        <f>O105*P105</f>
        <v>1924999.9999999998</v>
      </c>
      <c r="R105" s="16">
        <f>'Financial Inputs'!$B$7</f>
        <v>0.35</v>
      </c>
      <c r="S105" s="17">
        <f>Q105*(1-R105)</f>
        <v>1251250</v>
      </c>
      <c r="T105" s="18">
        <f>S105/'Financial Inputs'!$B$3</f>
        <v>1.2512499999999999E-2</v>
      </c>
      <c r="U105" s="9" t="s">
        <v>52</v>
      </c>
      <c r="V105" s="3" t="s">
        <v>53</v>
      </c>
    </row>
    <row r="106" spans="1:22">
      <c r="A106" s="2" t="s">
        <v>512</v>
      </c>
      <c r="B106" s="2" t="s">
        <v>513</v>
      </c>
      <c r="C106" s="2" t="s">
        <v>497</v>
      </c>
      <c r="D106" s="2" t="s">
        <v>80</v>
      </c>
      <c r="E106" s="2" t="s">
        <v>81</v>
      </c>
      <c r="F106" s="2" t="s">
        <v>82</v>
      </c>
      <c r="G106" s="2" t="s">
        <v>83</v>
      </c>
      <c r="H106" s="2" t="s">
        <v>498</v>
      </c>
      <c r="I106" s="2" t="s">
        <v>499</v>
      </c>
      <c r="J106" s="2" t="s">
        <v>500</v>
      </c>
      <c r="K106" s="2" t="s">
        <v>514</v>
      </c>
      <c r="L106" s="2" t="s">
        <v>85</v>
      </c>
      <c r="M106" s="2" t="s">
        <v>502</v>
      </c>
      <c r="N106" s="16">
        <v>3.0000000000000009E-2</v>
      </c>
      <c r="O106" s="17">
        <f>N106*'Financial Inputs'!$B$3</f>
        <v>3000000.0000000009</v>
      </c>
      <c r="P106" s="18">
        <f>IF(I106="L",'Financial Inputs'!$B$4,IF(I106="M",'Financial Inputs'!$B$5,'Financial Inputs'!$B$6))</f>
        <v>0.7</v>
      </c>
      <c r="Q106" s="17">
        <f>O106*P106</f>
        <v>2100000.0000000005</v>
      </c>
      <c r="R106" s="16">
        <f>'Financial Inputs'!$B$7</f>
        <v>0.35</v>
      </c>
      <c r="S106" s="17">
        <f>Q106*(1-R106)</f>
        <v>1365000.0000000005</v>
      </c>
      <c r="T106" s="18">
        <f>S106/'Financial Inputs'!$B$3</f>
        <v>1.3650000000000004E-2</v>
      </c>
      <c r="U106" s="9" t="s">
        <v>52</v>
      </c>
      <c r="V106" s="3" t="s">
        <v>53</v>
      </c>
    </row>
    <row r="107" spans="1:22">
      <c r="A107" s="2" t="s">
        <v>515</v>
      </c>
      <c r="B107" s="2" t="s">
        <v>516</v>
      </c>
      <c r="C107" s="2" t="s">
        <v>497</v>
      </c>
      <c r="D107" s="2" t="s">
        <v>88</v>
      </c>
      <c r="E107" s="2" t="s">
        <v>89</v>
      </c>
      <c r="F107" s="2" t="s">
        <v>90</v>
      </c>
      <c r="G107" s="2" t="s">
        <v>67</v>
      </c>
      <c r="H107" s="2" t="s">
        <v>498</v>
      </c>
      <c r="I107" s="2" t="s">
        <v>499</v>
      </c>
      <c r="J107" s="2" t="s">
        <v>500</v>
      </c>
      <c r="K107" s="2" t="s">
        <v>517</v>
      </c>
      <c r="L107" s="2" t="s">
        <v>92</v>
      </c>
      <c r="M107" s="2" t="s">
        <v>502</v>
      </c>
      <c r="N107" s="16">
        <v>0.02</v>
      </c>
      <c r="O107" s="17">
        <f>N107*'Financial Inputs'!$B$3</f>
        <v>2000000</v>
      </c>
      <c r="P107" s="18">
        <f>IF(I107="L",'Financial Inputs'!$B$4,IF(I107="M",'Financial Inputs'!$B$5,'Financial Inputs'!$B$6))</f>
        <v>0.7</v>
      </c>
      <c r="Q107" s="17">
        <f>O107*P107</f>
        <v>1400000</v>
      </c>
      <c r="R107" s="16">
        <f>'Financial Inputs'!$B$7</f>
        <v>0.35</v>
      </c>
      <c r="S107" s="17">
        <f>Q107*(1-R107)</f>
        <v>910000</v>
      </c>
      <c r="T107" s="18">
        <f>S107/'Financial Inputs'!$B$3</f>
        <v>9.1000000000000004E-3</v>
      </c>
      <c r="U107" s="9" t="s">
        <v>52</v>
      </c>
      <c r="V107" s="3" t="s">
        <v>53</v>
      </c>
    </row>
    <row r="108" spans="1:22">
      <c r="A108" s="2" t="s">
        <v>518</v>
      </c>
      <c r="B108" s="2" t="s">
        <v>519</v>
      </c>
      <c r="C108" s="2" t="s">
        <v>497</v>
      </c>
      <c r="D108" s="2" t="s">
        <v>95</v>
      </c>
      <c r="E108" s="2" t="s">
        <v>96</v>
      </c>
      <c r="F108" s="2" t="s">
        <v>97</v>
      </c>
      <c r="G108" s="2" t="s">
        <v>75</v>
      </c>
      <c r="H108" s="2" t="s">
        <v>498</v>
      </c>
      <c r="I108" s="2" t="s">
        <v>499</v>
      </c>
      <c r="J108" s="2" t="s">
        <v>500</v>
      </c>
      <c r="K108" s="2" t="s">
        <v>520</v>
      </c>
      <c r="L108" s="2" t="s">
        <v>99</v>
      </c>
      <c r="M108" s="2" t="s">
        <v>502</v>
      </c>
      <c r="N108" s="16">
        <v>2.2499999999999999E-2</v>
      </c>
      <c r="O108" s="17">
        <f>N108*'Financial Inputs'!$B$3</f>
        <v>2250000</v>
      </c>
      <c r="P108" s="18">
        <f>IF(I108="L",'Financial Inputs'!$B$4,IF(I108="M",'Financial Inputs'!$B$5,'Financial Inputs'!$B$6))</f>
        <v>0.7</v>
      </c>
      <c r="Q108" s="17">
        <f>O108*P108</f>
        <v>1575000</v>
      </c>
      <c r="R108" s="16">
        <f>'Financial Inputs'!$B$7</f>
        <v>0.35</v>
      </c>
      <c r="S108" s="17">
        <f>Q108*(1-R108)</f>
        <v>1023750</v>
      </c>
      <c r="T108" s="18">
        <f>S108/'Financial Inputs'!$B$3</f>
        <v>1.02375E-2</v>
      </c>
      <c r="U108" s="9" t="s">
        <v>52</v>
      </c>
      <c r="V108" s="3" t="s">
        <v>53</v>
      </c>
    </row>
    <row r="109" spans="1:22">
      <c r="A109" s="2" t="s">
        <v>521</v>
      </c>
      <c r="B109" s="2" t="s">
        <v>522</v>
      </c>
      <c r="C109" s="2" t="s">
        <v>497</v>
      </c>
      <c r="D109" s="2" t="s">
        <v>102</v>
      </c>
      <c r="E109" s="2" t="s">
        <v>103</v>
      </c>
      <c r="F109" s="2" t="s">
        <v>104</v>
      </c>
      <c r="G109" s="2" t="s">
        <v>83</v>
      </c>
      <c r="H109" s="2" t="s">
        <v>498</v>
      </c>
      <c r="I109" s="2" t="s">
        <v>499</v>
      </c>
      <c r="J109" s="2" t="s">
        <v>500</v>
      </c>
      <c r="K109" s="2" t="s">
        <v>523</v>
      </c>
      <c r="L109" s="2" t="s">
        <v>106</v>
      </c>
      <c r="M109" s="2" t="s">
        <v>502</v>
      </c>
      <c r="N109" s="16">
        <v>2.5000000000000001E-2</v>
      </c>
      <c r="O109" s="17">
        <f>N109*'Financial Inputs'!$B$3</f>
        <v>2500000</v>
      </c>
      <c r="P109" s="18">
        <f>IF(I109="L",'Financial Inputs'!$B$4,IF(I109="M",'Financial Inputs'!$B$5,'Financial Inputs'!$B$6))</f>
        <v>0.7</v>
      </c>
      <c r="Q109" s="17">
        <f>O109*P109</f>
        <v>1750000</v>
      </c>
      <c r="R109" s="16">
        <f>'Financial Inputs'!$B$7</f>
        <v>0.35</v>
      </c>
      <c r="S109" s="17">
        <f>Q109*(1-R109)</f>
        <v>1137500</v>
      </c>
      <c r="T109" s="18">
        <f>S109/'Financial Inputs'!$B$3</f>
        <v>1.1375E-2</v>
      </c>
      <c r="U109" s="9" t="s">
        <v>52</v>
      </c>
      <c r="V109" s="3" t="s">
        <v>53</v>
      </c>
    </row>
    <row r="110" spans="1:22">
      <c r="A110" s="2" t="s">
        <v>524</v>
      </c>
      <c r="B110" s="2" t="s">
        <v>525</v>
      </c>
      <c r="C110" s="2" t="s">
        <v>497</v>
      </c>
      <c r="D110" s="2" t="s">
        <v>42</v>
      </c>
      <c r="E110" s="2" t="s">
        <v>109</v>
      </c>
      <c r="F110" s="2" t="s">
        <v>110</v>
      </c>
      <c r="G110" s="2" t="s">
        <v>111</v>
      </c>
      <c r="H110" s="2" t="s">
        <v>498</v>
      </c>
      <c r="I110" s="2" t="s">
        <v>499</v>
      </c>
      <c r="J110" s="2" t="s">
        <v>500</v>
      </c>
      <c r="K110" s="2" t="s">
        <v>526</v>
      </c>
      <c r="L110" s="2" t="s">
        <v>113</v>
      </c>
      <c r="M110" s="2" t="s">
        <v>502</v>
      </c>
      <c r="N110" s="16">
        <v>2.75E-2</v>
      </c>
      <c r="O110" s="17">
        <f>N110*'Financial Inputs'!$B$3</f>
        <v>2750000</v>
      </c>
      <c r="P110" s="18">
        <f>IF(I110="L",'Financial Inputs'!$B$4,IF(I110="M",'Financial Inputs'!$B$5,'Financial Inputs'!$B$6))</f>
        <v>0.7</v>
      </c>
      <c r="Q110" s="17">
        <f>O110*P110</f>
        <v>1924999.9999999998</v>
      </c>
      <c r="R110" s="16">
        <f>'Financial Inputs'!$B$7</f>
        <v>0.35</v>
      </c>
      <c r="S110" s="17">
        <f>Q110*(1-R110)</f>
        <v>1251250</v>
      </c>
      <c r="T110" s="18">
        <f>S110/'Financial Inputs'!$B$3</f>
        <v>1.2512499999999999E-2</v>
      </c>
      <c r="U110" s="9" t="s">
        <v>52</v>
      </c>
      <c r="V110" s="3" t="s">
        <v>53</v>
      </c>
    </row>
    <row r="111" spans="1:22">
      <c r="A111" s="2" t="s">
        <v>527</v>
      </c>
      <c r="B111" s="2" t="s">
        <v>528</v>
      </c>
      <c r="C111" s="2" t="s">
        <v>497</v>
      </c>
      <c r="D111" s="2" t="s">
        <v>56</v>
      </c>
      <c r="E111" s="2" t="s">
        <v>116</v>
      </c>
      <c r="F111" s="2" t="s">
        <v>117</v>
      </c>
      <c r="G111" s="2" t="s">
        <v>56</v>
      </c>
      <c r="H111" s="2" t="s">
        <v>498</v>
      </c>
      <c r="I111" s="2" t="s">
        <v>499</v>
      </c>
      <c r="J111" s="2" t="s">
        <v>500</v>
      </c>
      <c r="K111" s="2" t="s">
        <v>529</v>
      </c>
      <c r="L111" s="2" t="s">
        <v>119</v>
      </c>
      <c r="M111" s="2" t="s">
        <v>502</v>
      </c>
      <c r="N111" s="16">
        <v>3.0000000000000009E-2</v>
      </c>
      <c r="O111" s="17">
        <f>N111*'Financial Inputs'!$B$3</f>
        <v>3000000.0000000009</v>
      </c>
      <c r="P111" s="18">
        <f>IF(I111="L",'Financial Inputs'!$B$4,IF(I111="M",'Financial Inputs'!$B$5,'Financial Inputs'!$B$6))</f>
        <v>0.7</v>
      </c>
      <c r="Q111" s="17">
        <f>O111*P111</f>
        <v>2100000.0000000005</v>
      </c>
      <c r="R111" s="16">
        <f>'Financial Inputs'!$B$7</f>
        <v>0.35</v>
      </c>
      <c r="S111" s="17">
        <f>Q111*(1-R111)</f>
        <v>1365000.0000000005</v>
      </c>
      <c r="T111" s="18">
        <f>S111/'Financial Inputs'!$B$3</f>
        <v>1.3650000000000004E-2</v>
      </c>
      <c r="U111" s="9" t="s">
        <v>52</v>
      </c>
      <c r="V111" s="3" t="s">
        <v>53</v>
      </c>
    </row>
    <row r="112" spans="1:22">
      <c r="A112" s="2" t="s">
        <v>530</v>
      </c>
      <c r="B112" s="2" t="s">
        <v>531</v>
      </c>
      <c r="C112" s="2" t="s">
        <v>497</v>
      </c>
      <c r="D112" s="2" t="s">
        <v>80</v>
      </c>
      <c r="E112" s="2" t="s">
        <v>122</v>
      </c>
      <c r="F112" s="2" t="s">
        <v>58</v>
      </c>
      <c r="G112" s="2" t="s">
        <v>83</v>
      </c>
      <c r="H112" s="2" t="s">
        <v>498</v>
      </c>
      <c r="I112" s="2" t="s">
        <v>499</v>
      </c>
      <c r="J112" s="2" t="s">
        <v>500</v>
      </c>
      <c r="K112" s="2" t="s">
        <v>532</v>
      </c>
      <c r="L112" s="2" t="s">
        <v>124</v>
      </c>
      <c r="M112" s="2" t="s">
        <v>502</v>
      </c>
      <c r="N112" s="16">
        <v>0.02</v>
      </c>
      <c r="O112" s="17">
        <f>N112*'Financial Inputs'!$B$3</f>
        <v>2000000</v>
      </c>
      <c r="P112" s="18">
        <f>IF(I112="L",'Financial Inputs'!$B$4,IF(I112="M",'Financial Inputs'!$B$5,'Financial Inputs'!$B$6))</f>
        <v>0.7</v>
      </c>
      <c r="Q112" s="17">
        <f>O112*P112</f>
        <v>1400000</v>
      </c>
      <c r="R112" s="16">
        <f>'Financial Inputs'!$B$7</f>
        <v>0.35</v>
      </c>
      <c r="S112" s="17">
        <f>Q112*(1-R112)</f>
        <v>910000</v>
      </c>
      <c r="T112" s="18">
        <f>S112/'Financial Inputs'!$B$3</f>
        <v>9.1000000000000004E-3</v>
      </c>
      <c r="U112" s="9" t="s">
        <v>52</v>
      </c>
      <c r="V112" s="3" t="s">
        <v>53</v>
      </c>
    </row>
    <row r="113" spans="1:22">
      <c r="A113" s="2" t="s">
        <v>533</v>
      </c>
      <c r="B113" s="2" t="s">
        <v>534</v>
      </c>
      <c r="C113" s="2" t="s">
        <v>497</v>
      </c>
      <c r="D113" s="2" t="s">
        <v>127</v>
      </c>
      <c r="E113" s="2" t="s">
        <v>128</v>
      </c>
      <c r="F113" s="2" t="s">
        <v>66</v>
      </c>
      <c r="G113" s="2" t="s">
        <v>111</v>
      </c>
      <c r="H113" s="2" t="s">
        <v>498</v>
      </c>
      <c r="I113" s="2" t="s">
        <v>499</v>
      </c>
      <c r="J113" s="2" t="s">
        <v>500</v>
      </c>
      <c r="K113" s="2" t="s">
        <v>535</v>
      </c>
      <c r="L113" s="2" t="s">
        <v>130</v>
      </c>
      <c r="M113" s="2" t="s">
        <v>502</v>
      </c>
      <c r="N113" s="16">
        <v>2.2499999999999999E-2</v>
      </c>
      <c r="O113" s="17">
        <f>N113*'Financial Inputs'!$B$3</f>
        <v>2250000</v>
      </c>
      <c r="P113" s="18">
        <f>IF(I113="L",'Financial Inputs'!$B$4,IF(I113="M",'Financial Inputs'!$B$5,'Financial Inputs'!$B$6))</f>
        <v>0.7</v>
      </c>
      <c r="Q113" s="17">
        <f>O113*P113</f>
        <v>1575000</v>
      </c>
      <c r="R113" s="16">
        <f>'Financial Inputs'!$B$7</f>
        <v>0.35</v>
      </c>
      <c r="S113" s="17">
        <f>Q113*(1-R113)</f>
        <v>1023750</v>
      </c>
      <c r="T113" s="18">
        <f>S113/'Financial Inputs'!$B$3</f>
        <v>1.02375E-2</v>
      </c>
      <c r="U113" s="9" t="s">
        <v>52</v>
      </c>
      <c r="V113" s="3" t="s">
        <v>53</v>
      </c>
    </row>
    <row r="114" spans="1:22">
      <c r="A114" s="2" t="s">
        <v>536</v>
      </c>
      <c r="B114" s="2" t="s">
        <v>537</v>
      </c>
      <c r="C114" s="2" t="s">
        <v>497</v>
      </c>
      <c r="D114" s="2" t="s">
        <v>133</v>
      </c>
      <c r="E114" s="2" t="s">
        <v>43</v>
      </c>
      <c r="F114" s="2" t="s">
        <v>74</v>
      </c>
      <c r="G114" s="2" t="s">
        <v>56</v>
      </c>
      <c r="H114" s="2" t="s">
        <v>498</v>
      </c>
      <c r="I114" s="2" t="s">
        <v>499</v>
      </c>
      <c r="J114" s="2" t="s">
        <v>500</v>
      </c>
      <c r="K114" s="2" t="s">
        <v>538</v>
      </c>
      <c r="L114" s="2" t="s">
        <v>135</v>
      </c>
      <c r="M114" s="2" t="s">
        <v>502</v>
      </c>
      <c r="N114" s="16">
        <v>2.5000000000000001E-2</v>
      </c>
      <c r="O114" s="17">
        <f>N114*'Financial Inputs'!$B$3</f>
        <v>2500000</v>
      </c>
      <c r="P114" s="18">
        <f>IF(I114="L",'Financial Inputs'!$B$4,IF(I114="M",'Financial Inputs'!$B$5,'Financial Inputs'!$B$6))</f>
        <v>0.7</v>
      </c>
      <c r="Q114" s="17">
        <f>O114*P114</f>
        <v>1750000</v>
      </c>
      <c r="R114" s="16">
        <f>'Financial Inputs'!$B$7</f>
        <v>0.35</v>
      </c>
      <c r="S114" s="17">
        <f>Q114*(1-R114)</f>
        <v>1137500</v>
      </c>
      <c r="T114" s="18">
        <f>S114/'Financial Inputs'!$B$3</f>
        <v>1.1375E-2</v>
      </c>
      <c r="U114" s="9" t="s">
        <v>52</v>
      </c>
      <c r="V114" s="3" t="s">
        <v>53</v>
      </c>
    </row>
    <row r="115" spans="1:22">
      <c r="A115" s="2" t="s">
        <v>539</v>
      </c>
      <c r="B115" s="2" t="s">
        <v>540</v>
      </c>
      <c r="C115" s="2" t="s">
        <v>497</v>
      </c>
      <c r="D115" s="2" t="s">
        <v>88</v>
      </c>
      <c r="E115" s="2" t="s">
        <v>57</v>
      </c>
      <c r="F115" s="2" t="s">
        <v>82</v>
      </c>
      <c r="G115" s="2" t="s">
        <v>138</v>
      </c>
      <c r="H115" s="2" t="s">
        <v>498</v>
      </c>
      <c r="I115" s="2" t="s">
        <v>499</v>
      </c>
      <c r="J115" s="2" t="s">
        <v>500</v>
      </c>
      <c r="K115" s="2" t="s">
        <v>541</v>
      </c>
      <c r="L115" s="2" t="s">
        <v>140</v>
      </c>
      <c r="M115" s="2" t="s">
        <v>502</v>
      </c>
      <c r="N115" s="16">
        <v>2.75E-2</v>
      </c>
      <c r="O115" s="17">
        <f>N115*'Financial Inputs'!$B$3</f>
        <v>2750000</v>
      </c>
      <c r="P115" s="18">
        <f>IF(I115="L",'Financial Inputs'!$B$4,IF(I115="M",'Financial Inputs'!$B$5,'Financial Inputs'!$B$6))</f>
        <v>0.7</v>
      </c>
      <c r="Q115" s="17">
        <f>O115*P115</f>
        <v>1924999.9999999998</v>
      </c>
      <c r="R115" s="16">
        <f>'Financial Inputs'!$B$7</f>
        <v>0.35</v>
      </c>
      <c r="S115" s="17">
        <f>Q115*(1-R115)</f>
        <v>1251250</v>
      </c>
      <c r="T115" s="18">
        <f>S115/'Financial Inputs'!$B$3</f>
        <v>1.2512499999999999E-2</v>
      </c>
      <c r="U115" s="9" t="s">
        <v>52</v>
      </c>
      <c r="V115" s="3" t="s">
        <v>53</v>
      </c>
    </row>
    <row r="116" spans="1:22">
      <c r="A116" s="2" t="s">
        <v>542</v>
      </c>
      <c r="B116" s="2" t="s">
        <v>543</v>
      </c>
      <c r="C116" s="2" t="s">
        <v>497</v>
      </c>
      <c r="D116" s="2" t="s">
        <v>95</v>
      </c>
      <c r="E116" s="2" t="s">
        <v>65</v>
      </c>
      <c r="F116" s="2" t="s">
        <v>44</v>
      </c>
      <c r="G116" s="2" t="s">
        <v>143</v>
      </c>
      <c r="H116" s="2" t="s">
        <v>498</v>
      </c>
      <c r="I116" s="2" t="s">
        <v>499</v>
      </c>
      <c r="J116" s="2" t="s">
        <v>500</v>
      </c>
      <c r="K116" s="2" t="s">
        <v>544</v>
      </c>
      <c r="L116" s="2" t="s">
        <v>145</v>
      </c>
      <c r="M116" s="2" t="s">
        <v>502</v>
      </c>
      <c r="N116" s="16">
        <v>3.0000000000000009E-2</v>
      </c>
      <c r="O116" s="17">
        <f>N116*'Financial Inputs'!$B$3</f>
        <v>3000000.0000000009</v>
      </c>
      <c r="P116" s="18">
        <f>IF(I116="L",'Financial Inputs'!$B$4,IF(I116="M",'Financial Inputs'!$B$5,'Financial Inputs'!$B$6))</f>
        <v>0.7</v>
      </c>
      <c r="Q116" s="17">
        <f>O116*P116</f>
        <v>2100000.0000000005</v>
      </c>
      <c r="R116" s="16">
        <f>'Financial Inputs'!$B$7</f>
        <v>0.35</v>
      </c>
      <c r="S116" s="17">
        <f>Q116*(1-R116)</f>
        <v>1365000.0000000005</v>
      </c>
      <c r="T116" s="18">
        <f>S116/'Financial Inputs'!$B$3</f>
        <v>1.3650000000000004E-2</v>
      </c>
      <c r="U116" s="9" t="s">
        <v>52</v>
      </c>
      <c r="V116" s="3" t="s">
        <v>53</v>
      </c>
    </row>
    <row r="117" spans="1:22">
      <c r="A117" s="2" t="s">
        <v>545</v>
      </c>
      <c r="B117" s="2" t="s">
        <v>546</v>
      </c>
      <c r="C117" s="2" t="s">
        <v>497</v>
      </c>
      <c r="D117" s="2" t="s">
        <v>56</v>
      </c>
      <c r="E117" s="2" t="s">
        <v>148</v>
      </c>
      <c r="F117" s="2" t="s">
        <v>97</v>
      </c>
      <c r="G117" s="2" t="s">
        <v>56</v>
      </c>
      <c r="H117" s="2" t="s">
        <v>498</v>
      </c>
      <c r="I117" s="2" t="s">
        <v>499</v>
      </c>
      <c r="J117" s="2" t="s">
        <v>500</v>
      </c>
      <c r="K117" s="2" t="s">
        <v>547</v>
      </c>
      <c r="L117" s="2" t="s">
        <v>150</v>
      </c>
      <c r="M117" s="2" t="s">
        <v>502</v>
      </c>
      <c r="N117" s="16">
        <v>0.02</v>
      </c>
      <c r="O117" s="17">
        <f>N117*'Financial Inputs'!$B$3</f>
        <v>2000000</v>
      </c>
      <c r="P117" s="18">
        <f>IF(I117="L",'Financial Inputs'!$B$4,IF(I117="M",'Financial Inputs'!$B$5,'Financial Inputs'!$B$6))</f>
        <v>0.7</v>
      </c>
      <c r="Q117" s="17">
        <f>O117*P117</f>
        <v>1400000</v>
      </c>
      <c r="R117" s="16">
        <f>'Financial Inputs'!$B$7</f>
        <v>0.35</v>
      </c>
      <c r="S117" s="17">
        <f>Q117*(1-R117)</f>
        <v>910000</v>
      </c>
      <c r="T117" s="18">
        <f>S117/'Financial Inputs'!$B$3</f>
        <v>9.1000000000000004E-3</v>
      </c>
      <c r="U117" s="9" t="s">
        <v>52</v>
      </c>
      <c r="V117" s="3" t="s">
        <v>53</v>
      </c>
    </row>
    <row r="118" spans="1:22">
      <c r="A118" s="2" t="s">
        <v>548</v>
      </c>
      <c r="B118" s="2" t="s">
        <v>549</v>
      </c>
      <c r="C118" s="2" t="s">
        <v>497</v>
      </c>
      <c r="D118" s="2" t="s">
        <v>64</v>
      </c>
      <c r="E118" s="2" t="s">
        <v>153</v>
      </c>
      <c r="F118" s="2" t="s">
        <v>104</v>
      </c>
      <c r="G118" s="2" t="s">
        <v>138</v>
      </c>
      <c r="H118" s="2" t="s">
        <v>498</v>
      </c>
      <c r="I118" s="2" t="s">
        <v>499</v>
      </c>
      <c r="J118" s="2" t="s">
        <v>500</v>
      </c>
      <c r="K118" s="2" t="s">
        <v>550</v>
      </c>
      <c r="L118" s="2" t="s">
        <v>155</v>
      </c>
      <c r="M118" s="2" t="s">
        <v>502</v>
      </c>
      <c r="N118" s="16">
        <v>2.2499999999999999E-2</v>
      </c>
      <c r="O118" s="17">
        <f>N118*'Financial Inputs'!$B$3</f>
        <v>2250000</v>
      </c>
      <c r="P118" s="18">
        <f>IF(I118="L",'Financial Inputs'!$B$4,IF(I118="M",'Financial Inputs'!$B$5,'Financial Inputs'!$B$6))</f>
        <v>0.7</v>
      </c>
      <c r="Q118" s="17">
        <f>O118*P118</f>
        <v>1575000</v>
      </c>
      <c r="R118" s="16">
        <f>'Financial Inputs'!$B$7</f>
        <v>0.35</v>
      </c>
      <c r="S118" s="17">
        <f>Q118*(1-R118)</f>
        <v>1023750</v>
      </c>
      <c r="T118" s="18">
        <f>S118/'Financial Inputs'!$B$3</f>
        <v>1.02375E-2</v>
      </c>
      <c r="U118" s="9" t="s">
        <v>52</v>
      </c>
      <c r="V118" s="3" t="s">
        <v>53</v>
      </c>
    </row>
    <row r="119" spans="1:22">
      <c r="A119" s="2" t="s">
        <v>551</v>
      </c>
      <c r="B119" s="2" t="s">
        <v>552</v>
      </c>
      <c r="C119" s="2" t="s">
        <v>497</v>
      </c>
      <c r="D119" s="2" t="s">
        <v>72</v>
      </c>
      <c r="E119" s="2" t="s">
        <v>89</v>
      </c>
      <c r="F119" s="2" t="s">
        <v>110</v>
      </c>
      <c r="G119" s="2" t="s">
        <v>143</v>
      </c>
      <c r="H119" s="2" t="s">
        <v>498</v>
      </c>
      <c r="I119" s="2" t="s">
        <v>499</v>
      </c>
      <c r="J119" s="2" t="s">
        <v>500</v>
      </c>
      <c r="K119" s="2" t="s">
        <v>553</v>
      </c>
      <c r="L119" s="2" t="s">
        <v>159</v>
      </c>
      <c r="M119" s="2" t="s">
        <v>502</v>
      </c>
      <c r="N119" s="16">
        <v>2.5000000000000001E-2</v>
      </c>
      <c r="O119" s="17">
        <f>N119*'Financial Inputs'!$B$3</f>
        <v>2500000</v>
      </c>
      <c r="P119" s="18">
        <f>IF(I119="L",'Financial Inputs'!$B$4,IF(I119="M",'Financial Inputs'!$B$5,'Financial Inputs'!$B$6))</f>
        <v>0.7</v>
      </c>
      <c r="Q119" s="17">
        <f>O119*P119</f>
        <v>1750000</v>
      </c>
      <c r="R119" s="16">
        <f>'Financial Inputs'!$B$7</f>
        <v>0.35</v>
      </c>
      <c r="S119" s="17">
        <f>Q119*(1-R119)</f>
        <v>1137500</v>
      </c>
      <c r="T119" s="18">
        <f>S119/'Financial Inputs'!$B$3</f>
        <v>1.1375E-2</v>
      </c>
      <c r="U119" s="9" t="s">
        <v>52</v>
      </c>
      <c r="V119" s="3" t="s">
        <v>53</v>
      </c>
    </row>
    <row r="120" spans="1:22">
      <c r="A120" s="2" t="s">
        <v>554</v>
      </c>
      <c r="B120" s="2" t="s">
        <v>555</v>
      </c>
      <c r="C120" s="2" t="s">
        <v>497</v>
      </c>
      <c r="D120" s="2" t="s">
        <v>80</v>
      </c>
      <c r="E120" s="2" t="s">
        <v>96</v>
      </c>
      <c r="F120" s="2" t="s">
        <v>117</v>
      </c>
      <c r="G120" s="2" t="s">
        <v>162</v>
      </c>
      <c r="H120" s="2" t="s">
        <v>498</v>
      </c>
      <c r="I120" s="2" t="s">
        <v>499</v>
      </c>
      <c r="J120" s="2" t="s">
        <v>500</v>
      </c>
      <c r="K120" s="2" t="s">
        <v>556</v>
      </c>
      <c r="L120" s="2" t="s">
        <v>164</v>
      </c>
      <c r="M120" s="2" t="s">
        <v>502</v>
      </c>
      <c r="N120" s="16">
        <v>2.75E-2</v>
      </c>
      <c r="O120" s="17">
        <f>N120*'Financial Inputs'!$B$3</f>
        <v>2750000</v>
      </c>
      <c r="P120" s="18">
        <f>IF(I120="L",'Financial Inputs'!$B$4,IF(I120="M",'Financial Inputs'!$B$5,'Financial Inputs'!$B$6))</f>
        <v>0.7</v>
      </c>
      <c r="Q120" s="17">
        <f>O120*P120</f>
        <v>1924999.9999999998</v>
      </c>
      <c r="R120" s="16">
        <f>'Financial Inputs'!$B$7</f>
        <v>0.35</v>
      </c>
      <c r="S120" s="17">
        <f>Q120*(1-R120)</f>
        <v>1251250</v>
      </c>
      <c r="T120" s="18">
        <f>S120/'Financial Inputs'!$B$3</f>
        <v>1.2512499999999999E-2</v>
      </c>
      <c r="U120" s="9" t="s">
        <v>52</v>
      </c>
      <c r="V120" s="3" t="s">
        <v>53</v>
      </c>
    </row>
    <row r="121" spans="1:22">
      <c r="A121" s="2" t="s">
        <v>557</v>
      </c>
      <c r="B121" s="2" t="s">
        <v>558</v>
      </c>
      <c r="C121" s="2" t="s">
        <v>497</v>
      </c>
      <c r="D121" s="2" t="s">
        <v>127</v>
      </c>
      <c r="E121" s="2" t="s">
        <v>103</v>
      </c>
      <c r="F121" s="2" t="s">
        <v>90</v>
      </c>
      <c r="G121" s="2" t="s">
        <v>45</v>
      </c>
      <c r="H121" s="2" t="s">
        <v>498</v>
      </c>
      <c r="I121" s="2" t="s">
        <v>499</v>
      </c>
      <c r="J121" s="2" t="s">
        <v>500</v>
      </c>
      <c r="K121" s="2" t="s">
        <v>559</v>
      </c>
      <c r="L121" s="2" t="s">
        <v>168</v>
      </c>
      <c r="M121" s="2" t="s">
        <v>502</v>
      </c>
      <c r="N121" s="16">
        <v>3.0000000000000009E-2</v>
      </c>
      <c r="O121" s="17">
        <f>N121*'Financial Inputs'!$B$3</f>
        <v>3000000.0000000009</v>
      </c>
      <c r="P121" s="18">
        <f>IF(I121="L",'Financial Inputs'!$B$4,IF(I121="M",'Financial Inputs'!$B$5,'Financial Inputs'!$B$6))</f>
        <v>0.7</v>
      </c>
      <c r="Q121" s="17">
        <f>O121*P121</f>
        <v>2100000.0000000005</v>
      </c>
      <c r="R121" s="16">
        <f>'Financial Inputs'!$B$7</f>
        <v>0.35</v>
      </c>
      <c r="S121" s="17">
        <f>Q121*(1-R121)</f>
        <v>1365000.0000000005</v>
      </c>
      <c r="T121" s="18">
        <f>S121/'Financial Inputs'!$B$3</f>
        <v>1.3650000000000004E-2</v>
      </c>
      <c r="U121" s="9" t="s">
        <v>52</v>
      </c>
      <c r="V121" s="3" t="s">
        <v>53</v>
      </c>
    </row>
    <row r="122" spans="1:22">
      <c r="A122" s="2" t="s">
        <v>560</v>
      </c>
      <c r="B122" s="2" t="s">
        <v>561</v>
      </c>
      <c r="C122" s="2" t="s">
        <v>497</v>
      </c>
      <c r="D122" s="2" t="s">
        <v>95</v>
      </c>
      <c r="E122" s="2" t="s">
        <v>171</v>
      </c>
      <c r="F122" s="2" t="s">
        <v>66</v>
      </c>
      <c r="G122" s="2" t="s">
        <v>143</v>
      </c>
      <c r="H122" s="2" t="s">
        <v>498</v>
      </c>
      <c r="I122" s="2" t="s">
        <v>499</v>
      </c>
      <c r="J122" s="2" t="s">
        <v>500</v>
      </c>
      <c r="K122" s="2" t="s">
        <v>562</v>
      </c>
      <c r="L122" s="2" t="s">
        <v>173</v>
      </c>
      <c r="M122" s="2" t="s">
        <v>502</v>
      </c>
      <c r="N122" s="16">
        <v>0.02</v>
      </c>
      <c r="O122" s="17">
        <f>N122*'Financial Inputs'!$B$3</f>
        <v>2000000</v>
      </c>
      <c r="P122" s="18">
        <f>IF(I122="L",'Financial Inputs'!$B$4,IF(I122="M",'Financial Inputs'!$B$5,'Financial Inputs'!$B$6))</f>
        <v>0.7</v>
      </c>
      <c r="Q122" s="17">
        <f>O122*P122</f>
        <v>1400000</v>
      </c>
      <c r="R122" s="16">
        <f>'Financial Inputs'!$B$7</f>
        <v>0.35</v>
      </c>
      <c r="S122" s="17">
        <f>Q122*(1-R122)</f>
        <v>910000</v>
      </c>
      <c r="T122" s="18">
        <f>S122/'Financial Inputs'!$B$3</f>
        <v>9.1000000000000004E-3</v>
      </c>
      <c r="U122" s="9" t="s">
        <v>52</v>
      </c>
      <c r="V122" s="3" t="s">
        <v>53</v>
      </c>
    </row>
    <row r="123" spans="1:22">
      <c r="A123" s="2" t="s">
        <v>563</v>
      </c>
      <c r="B123" s="2" t="s">
        <v>564</v>
      </c>
      <c r="C123" s="2" t="s">
        <v>497</v>
      </c>
      <c r="D123" s="2" t="s">
        <v>102</v>
      </c>
      <c r="E123" s="2" t="s">
        <v>176</v>
      </c>
      <c r="F123" s="2" t="s">
        <v>74</v>
      </c>
      <c r="G123" s="2" t="s">
        <v>162</v>
      </c>
      <c r="H123" s="2" t="s">
        <v>498</v>
      </c>
      <c r="I123" s="2" t="s">
        <v>499</v>
      </c>
      <c r="J123" s="2" t="s">
        <v>500</v>
      </c>
      <c r="K123" s="2" t="s">
        <v>565</v>
      </c>
      <c r="L123" s="2" t="s">
        <v>178</v>
      </c>
      <c r="M123" s="2" t="s">
        <v>502</v>
      </c>
      <c r="N123" s="16">
        <v>2.2499999999999999E-2</v>
      </c>
      <c r="O123" s="17">
        <f>N123*'Financial Inputs'!$B$3</f>
        <v>2250000</v>
      </c>
      <c r="P123" s="18">
        <f>IF(I123="L",'Financial Inputs'!$B$4,IF(I123="M",'Financial Inputs'!$B$5,'Financial Inputs'!$B$6))</f>
        <v>0.7</v>
      </c>
      <c r="Q123" s="17">
        <f>O123*P123</f>
        <v>1575000</v>
      </c>
      <c r="R123" s="16">
        <f>'Financial Inputs'!$B$7</f>
        <v>0.35</v>
      </c>
      <c r="S123" s="17">
        <f>Q123*(1-R123)</f>
        <v>1023750</v>
      </c>
      <c r="T123" s="18">
        <f>S123/'Financial Inputs'!$B$3</f>
        <v>1.02375E-2</v>
      </c>
      <c r="U123" s="9" t="s">
        <v>52</v>
      </c>
      <c r="V123" s="3" t="s">
        <v>53</v>
      </c>
    </row>
    <row r="124" spans="1:22">
      <c r="A124" s="2" t="s">
        <v>566</v>
      </c>
      <c r="B124" s="2" t="s">
        <v>567</v>
      </c>
      <c r="C124" s="2" t="s">
        <v>497</v>
      </c>
      <c r="D124" s="2" t="s">
        <v>42</v>
      </c>
      <c r="E124" s="2" t="s">
        <v>122</v>
      </c>
      <c r="F124" s="2" t="s">
        <v>82</v>
      </c>
      <c r="G124" s="2" t="s">
        <v>45</v>
      </c>
      <c r="H124" s="2" t="s">
        <v>498</v>
      </c>
      <c r="I124" s="2" t="s">
        <v>499</v>
      </c>
      <c r="J124" s="2" t="s">
        <v>500</v>
      </c>
      <c r="K124" s="2" t="s">
        <v>568</v>
      </c>
      <c r="L124" s="2" t="s">
        <v>182</v>
      </c>
      <c r="M124" s="2" t="s">
        <v>502</v>
      </c>
      <c r="N124" s="16">
        <v>2.5000000000000001E-2</v>
      </c>
      <c r="O124" s="17">
        <f>N124*'Financial Inputs'!$B$3</f>
        <v>2500000</v>
      </c>
      <c r="P124" s="18">
        <f>IF(I124="L",'Financial Inputs'!$B$4,IF(I124="M",'Financial Inputs'!$B$5,'Financial Inputs'!$B$6))</f>
        <v>0.7</v>
      </c>
      <c r="Q124" s="17">
        <f>O124*P124</f>
        <v>1750000</v>
      </c>
      <c r="R124" s="16">
        <f>'Financial Inputs'!$B$7</f>
        <v>0.35</v>
      </c>
      <c r="S124" s="17">
        <f>Q124*(1-R124)</f>
        <v>1137500</v>
      </c>
      <c r="T124" s="18">
        <f>S124/'Financial Inputs'!$B$3</f>
        <v>1.1375E-2</v>
      </c>
      <c r="U124" s="9" t="s">
        <v>52</v>
      </c>
      <c r="V124" s="3" t="s">
        <v>53</v>
      </c>
    </row>
    <row r="125" spans="1:22">
      <c r="A125" s="2" t="s">
        <v>569</v>
      </c>
      <c r="B125" s="2" t="s">
        <v>570</v>
      </c>
      <c r="C125" s="2" t="s">
        <v>497</v>
      </c>
      <c r="D125" s="2" t="s">
        <v>56</v>
      </c>
      <c r="E125" s="2" t="s">
        <v>128</v>
      </c>
      <c r="F125" s="2" t="s">
        <v>44</v>
      </c>
      <c r="G125" s="2" t="s">
        <v>59</v>
      </c>
      <c r="H125" s="2" t="s">
        <v>498</v>
      </c>
      <c r="I125" s="2" t="s">
        <v>499</v>
      </c>
      <c r="J125" s="2" t="s">
        <v>500</v>
      </c>
      <c r="K125" s="2" t="s">
        <v>571</v>
      </c>
      <c r="L125" s="2" t="s">
        <v>186</v>
      </c>
      <c r="M125" s="2" t="s">
        <v>502</v>
      </c>
      <c r="N125" s="16">
        <v>2.75E-2</v>
      </c>
      <c r="O125" s="17">
        <f>N125*'Financial Inputs'!$B$3</f>
        <v>2750000</v>
      </c>
      <c r="P125" s="18">
        <f>IF(I125="L",'Financial Inputs'!$B$4,IF(I125="M",'Financial Inputs'!$B$5,'Financial Inputs'!$B$6))</f>
        <v>0.7</v>
      </c>
      <c r="Q125" s="17">
        <f>O125*P125</f>
        <v>1924999.9999999998</v>
      </c>
      <c r="R125" s="16">
        <f>'Financial Inputs'!$B$7</f>
        <v>0.35</v>
      </c>
      <c r="S125" s="17">
        <f>Q125*(1-R125)</f>
        <v>1251250</v>
      </c>
      <c r="T125" s="18">
        <f>S125/'Financial Inputs'!$B$3</f>
        <v>1.2512499999999999E-2</v>
      </c>
      <c r="U125" s="9" t="s">
        <v>52</v>
      </c>
      <c r="V125" s="3" t="s">
        <v>53</v>
      </c>
    </row>
    <row r="126" spans="1:22">
      <c r="A126" s="2" t="s">
        <v>572</v>
      </c>
      <c r="B126" s="2" t="s">
        <v>573</v>
      </c>
      <c r="C126" s="2" t="s">
        <v>497</v>
      </c>
      <c r="D126" s="2" t="s">
        <v>64</v>
      </c>
      <c r="E126" s="2" t="s">
        <v>43</v>
      </c>
      <c r="F126" s="2" t="s">
        <v>58</v>
      </c>
      <c r="G126" s="2" t="s">
        <v>67</v>
      </c>
      <c r="H126" s="2" t="s">
        <v>498</v>
      </c>
      <c r="I126" s="2" t="s">
        <v>499</v>
      </c>
      <c r="J126" s="2" t="s">
        <v>500</v>
      </c>
      <c r="K126" s="2" t="s">
        <v>574</v>
      </c>
      <c r="L126" s="2" t="s">
        <v>190</v>
      </c>
      <c r="M126" s="2" t="s">
        <v>502</v>
      </c>
      <c r="N126" s="16">
        <v>3.0000000000000009E-2</v>
      </c>
      <c r="O126" s="17">
        <f>N126*'Financial Inputs'!$B$3</f>
        <v>3000000.0000000009</v>
      </c>
      <c r="P126" s="18">
        <f>IF(I126="L",'Financial Inputs'!$B$4,IF(I126="M",'Financial Inputs'!$B$5,'Financial Inputs'!$B$6))</f>
        <v>0.7</v>
      </c>
      <c r="Q126" s="17">
        <f>O126*P126</f>
        <v>2100000.0000000005</v>
      </c>
      <c r="R126" s="16">
        <f>'Financial Inputs'!$B$7</f>
        <v>0.35</v>
      </c>
      <c r="S126" s="17">
        <f>Q126*(1-R126)</f>
        <v>1365000.0000000005</v>
      </c>
      <c r="T126" s="18">
        <f>S126/'Financial Inputs'!$B$3</f>
        <v>1.3650000000000004E-2</v>
      </c>
      <c r="U126" s="9" t="s">
        <v>52</v>
      </c>
      <c r="V126" s="3" t="s">
        <v>53</v>
      </c>
    </row>
    <row r="127" spans="1:22">
      <c r="A127" s="2" t="s">
        <v>575</v>
      </c>
      <c r="B127" s="2" t="s">
        <v>576</v>
      </c>
      <c r="C127" s="2" t="s">
        <v>497</v>
      </c>
      <c r="D127" s="2" t="s">
        <v>127</v>
      </c>
      <c r="E127" s="2" t="s">
        <v>193</v>
      </c>
      <c r="F127" s="2" t="s">
        <v>104</v>
      </c>
      <c r="G127" s="2" t="s">
        <v>45</v>
      </c>
      <c r="H127" s="2" t="s">
        <v>498</v>
      </c>
      <c r="I127" s="2" t="s">
        <v>499</v>
      </c>
      <c r="J127" s="2" t="s">
        <v>500</v>
      </c>
      <c r="K127" s="2" t="s">
        <v>577</v>
      </c>
      <c r="L127" s="2" t="s">
        <v>195</v>
      </c>
      <c r="M127" s="2" t="s">
        <v>502</v>
      </c>
      <c r="N127" s="16">
        <v>0.02</v>
      </c>
      <c r="O127" s="17">
        <f>N127*'Financial Inputs'!$B$3</f>
        <v>2000000</v>
      </c>
      <c r="P127" s="18">
        <f>IF(I127="L",'Financial Inputs'!$B$4,IF(I127="M",'Financial Inputs'!$B$5,'Financial Inputs'!$B$6))</f>
        <v>0.7</v>
      </c>
      <c r="Q127" s="17">
        <f>O127*P127</f>
        <v>1400000</v>
      </c>
      <c r="R127" s="16">
        <f>'Financial Inputs'!$B$7</f>
        <v>0.35</v>
      </c>
      <c r="S127" s="17">
        <f>Q127*(1-R127)</f>
        <v>910000</v>
      </c>
      <c r="T127" s="18">
        <f>S127/'Financial Inputs'!$B$3</f>
        <v>9.1000000000000004E-3</v>
      </c>
      <c r="U127" s="9" t="s">
        <v>52</v>
      </c>
      <c r="V127" s="3" t="s">
        <v>53</v>
      </c>
    </row>
    <row r="128" spans="1:22">
      <c r="A128" s="2" t="s">
        <v>578</v>
      </c>
      <c r="B128" s="2" t="s">
        <v>579</v>
      </c>
      <c r="C128" s="2" t="s">
        <v>497</v>
      </c>
      <c r="D128" s="2" t="s">
        <v>133</v>
      </c>
      <c r="E128" s="2" t="s">
        <v>198</v>
      </c>
      <c r="F128" s="2" t="s">
        <v>110</v>
      </c>
      <c r="G128" s="2" t="s">
        <v>59</v>
      </c>
      <c r="H128" s="2" t="s">
        <v>498</v>
      </c>
      <c r="I128" s="2" t="s">
        <v>499</v>
      </c>
      <c r="J128" s="2" t="s">
        <v>500</v>
      </c>
      <c r="K128" s="2" t="s">
        <v>580</v>
      </c>
      <c r="L128" s="2" t="s">
        <v>200</v>
      </c>
      <c r="M128" s="2" t="s">
        <v>502</v>
      </c>
      <c r="N128" s="16">
        <v>2.2499999999999999E-2</v>
      </c>
      <c r="O128" s="17">
        <f>N128*'Financial Inputs'!$B$3</f>
        <v>2250000</v>
      </c>
      <c r="P128" s="18">
        <f>IF(I128="L",'Financial Inputs'!$B$4,IF(I128="M",'Financial Inputs'!$B$5,'Financial Inputs'!$B$6))</f>
        <v>0.7</v>
      </c>
      <c r="Q128" s="17">
        <f>O128*P128</f>
        <v>1575000</v>
      </c>
      <c r="R128" s="16">
        <f>'Financial Inputs'!$B$7</f>
        <v>0.35</v>
      </c>
      <c r="S128" s="17">
        <f>Q128*(1-R128)</f>
        <v>1023750</v>
      </c>
      <c r="T128" s="18">
        <f>S128/'Financial Inputs'!$B$3</f>
        <v>1.02375E-2</v>
      </c>
      <c r="U128" s="9" t="s">
        <v>52</v>
      </c>
      <c r="V128" s="3" t="s">
        <v>53</v>
      </c>
    </row>
    <row r="129" spans="1:22">
      <c r="A129" s="2" t="s">
        <v>581</v>
      </c>
      <c r="B129" s="2" t="s">
        <v>582</v>
      </c>
      <c r="C129" s="2" t="s">
        <v>497</v>
      </c>
      <c r="D129" s="2" t="s">
        <v>88</v>
      </c>
      <c r="E129" s="2" t="s">
        <v>148</v>
      </c>
      <c r="F129" s="2" t="s">
        <v>117</v>
      </c>
      <c r="G129" s="2" t="s">
        <v>67</v>
      </c>
      <c r="H129" s="2" t="s">
        <v>498</v>
      </c>
      <c r="I129" s="2" t="s">
        <v>499</v>
      </c>
      <c r="J129" s="2" t="s">
        <v>500</v>
      </c>
      <c r="K129" s="2" t="s">
        <v>583</v>
      </c>
      <c r="L129" s="2" t="s">
        <v>204</v>
      </c>
      <c r="M129" s="2" t="s">
        <v>502</v>
      </c>
      <c r="N129" s="16">
        <v>2.5000000000000001E-2</v>
      </c>
      <c r="O129" s="17">
        <f>N129*'Financial Inputs'!$B$3</f>
        <v>2500000</v>
      </c>
      <c r="P129" s="18">
        <f>IF(I129="L",'Financial Inputs'!$B$4,IF(I129="M",'Financial Inputs'!$B$5,'Financial Inputs'!$B$6))</f>
        <v>0.7</v>
      </c>
      <c r="Q129" s="17">
        <f>O129*P129</f>
        <v>1750000</v>
      </c>
      <c r="R129" s="16">
        <f>'Financial Inputs'!$B$7</f>
        <v>0.35</v>
      </c>
      <c r="S129" s="17">
        <f>Q129*(1-R129)</f>
        <v>1137500</v>
      </c>
      <c r="T129" s="18">
        <f>S129/'Financial Inputs'!$B$3</f>
        <v>1.1375E-2</v>
      </c>
      <c r="U129" s="9" t="s">
        <v>52</v>
      </c>
      <c r="V129" s="3" t="s">
        <v>53</v>
      </c>
    </row>
    <row r="130" spans="1:22">
      <c r="A130" s="2" t="s">
        <v>584</v>
      </c>
      <c r="B130" s="2" t="s">
        <v>585</v>
      </c>
      <c r="C130" s="2" t="s">
        <v>497</v>
      </c>
      <c r="D130" s="2" t="s">
        <v>95</v>
      </c>
      <c r="E130" s="2" t="s">
        <v>153</v>
      </c>
      <c r="F130" s="2" t="s">
        <v>90</v>
      </c>
      <c r="G130" s="2" t="s">
        <v>75</v>
      </c>
      <c r="H130" s="2" t="s">
        <v>498</v>
      </c>
      <c r="I130" s="2" t="s">
        <v>499</v>
      </c>
      <c r="J130" s="2" t="s">
        <v>500</v>
      </c>
      <c r="K130" s="2" t="s">
        <v>586</v>
      </c>
      <c r="L130" s="2" t="s">
        <v>208</v>
      </c>
      <c r="M130" s="2" t="s">
        <v>502</v>
      </c>
      <c r="N130" s="16">
        <v>2.75E-2</v>
      </c>
      <c r="O130" s="17">
        <f>N130*'Financial Inputs'!$B$3</f>
        <v>2750000</v>
      </c>
      <c r="P130" s="18">
        <f>IF(I130="L",'Financial Inputs'!$B$4,IF(I130="M",'Financial Inputs'!$B$5,'Financial Inputs'!$B$6))</f>
        <v>0.7</v>
      </c>
      <c r="Q130" s="17">
        <f>O130*P130</f>
        <v>1924999.9999999998</v>
      </c>
      <c r="R130" s="16">
        <f>'Financial Inputs'!$B$7</f>
        <v>0.35</v>
      </c>
      <c r="S130" s="17">
        <f>Q130*(1-R130)</f>
        <v>1251250</v>
      </c>
      <c r="T130" s="18">
        <f>S130/'Financial Inputs'!$B$3</f>
        <v>1.2512499999999999E-2</v>
      </c>
      <c r="U130" s="9" t="s">
        <v>52</v>
      </c>
      <c r="V130" s="3" t="s">
        <v>53</v>
      </c>
    </row>
    <row r="131" spans="1:22">
      <c r="A131" s="2" t="s">
        <v>587</v>
      </c>
      <c r="B131" s="2" t="s">
        <v>588</v>
      </c>
      <c r="C131" s="2" t="s">
        <v>497</v>
      </c>
      <c r="D131" s="2" t="s">
        <v>102</v>
      </c>
      <c r="E131" s="2" t="s">
        <v>89</v>
      </c>
      <c r="F131" s="2" t="s">
        <v>97</v>
      </c>
      <c r="G131" s="2" t="s">
        <v>83</v>
      </c>
      <c r="H131" s="2" t="s">
        <v>498</v>
      </c>
      <c r="I131" s="2" t="s">
        <v>499</v>
      </c>
      <c r="J131" s="2" t="s">
        <v>500</v>
      </c>
      <c r="K131" s="2" t="s">
        <v>589</v>
      </c>
      <c r="L131" s="2" t="s">
        <v>212</v>
      </c>
      <c r="M131" s="2" t="s">
        <v>502</v>
      </c>
      <c r="N131" s="16">
        <v>3.0000000000000009E-2</v>
      </c>
      <c r="O131" s="17">
        <f>N131*'Financial Inputs'!$B$3</f>
        <v>3000000.0000000009</v>
      </c>
      <c r="P131" s="18">
        <f>IF(I131="L",'Financial Inputs'!$B$4,IF(I131="M",'Financial Inputs'!$B$5,'Financial Inputs'!$B$6))</f>
        <v>0.7</v>
      </c>
      <c r="Q131" s="17">
        <f>O131*P131</f>
        <v>2100000.0000000005</v>
      </c>
      <c r="R131" s="16">
        <f>'Financial Inputs'!$B$7</f>
        <v>0.35</v>
      </c>
      <c r="S131" s="17">
        <f>Q131*(1-R131)</f>
        <v>1365000.0000000005</v>
      </c>
      <c r="T131" s="18">
        <f>S131/'Financial Inputs'!$B$3</f>
        <v>1.3650000000000004E-2</v>
      </c>
      <c r="U131" s="9" t="s">
        <v>52</v>
      </c>
      <c r="V131" s="3" t="s">
        <v>53</v>
      </c>
    </row>
    <row r="132" spans="1:22">
      <c r="A132" s="2" t="s">
        <v>590</v>
      </c>
      <c r="B132" s="2" t="s">
        <v>591</v>
      </c>
      <c r="C132" s="2" t="s">
        <v>497</v>
      </c>
      <c r="D132" s="2" t="s">
        <v>64</v>
      </c>
      <c r="E132" s="2" t="s">
        <v>215</v>
      </c>
      <c r="F132" s="2" t="s">
        <v>74</v>
      </c>
      <c r="G132" s="2" t="s">
        <v>67</v>
      </c>
      <c r="H132" s="2" t="s">
        <v>498</v>
      </c>
      <c r="I132" s="2" t="s">
        <v>499</v>
      </c>
      <c r="J132" s="2" t="s">
        <v>500</v>
      </c>
      <c r="K132" s="2" t="s">
        <v>592</v>
      </c>
      <c r="L132" s="2" t="s">
        <v>217</v>
      </c>
      <c r="M132" s="2" t="s">
        <v>502</v>
      </c>
      <c r="N132" s="16">
        <v>0.02</v>
      </c>
      <c r="O132" s="17">
        <f>N132*'Financial Inputs'!$B$3</f>
        <v>2000000</v>
      </c>
      <c r="P132" s="18">
        <f>IF(I132="L",'Financial Inputs'!$B$4,IF(I132="M",'Financial Inputs'!$B$5,'Financial Inputs'!$B$6))</f>
        <v>0.7</v>
      </c>
      <c r="Q132" s="17">
        <f>O132*P132</f>
        <v>1400000</v>
      </c>
      <c r="R132" s="16">
        <f>'Financial Inputs'!$B$7</f>
        <v>0.35</v>
      </c>
      <c r="S132" s="17">
        <f>Q132*(1-R132)</f>
        <v>910000</v>
      </c>
      <c r="T132" s="18">
        <f>S132/'Financial Inputs'!$B$3</f>
        <v>9.1000000000000004E-3</v>
      </c>
      <c r="U132" s="9" t="s">
        <v>52</v>
      </c>
      <c r="V132" s="3" t="s">
        <v>53</v>
      </c>
    </row>
    <row r="133" spans="1:22">
      <c r="A133" s="2" t="s">
        <v>593</v>
      </c>
      <c r="B133" s="2" t="s">
        <v>594</v>
      </c>
      <c r="C133" s="2" t="s">
        <v>497</v>
      </c>
      <c r="D133" s="2" t="s">
        <v>72</v>
      </c>
      <c r="E133" s="2" t="s">
        <v>220</v>
      </c>
      <c r="F133" s="2" t="s">
        <v>82</v>
      </c>
      <c r="G133" s="2" t="s">
        <v>75</v>
      </c>
      <c r="H133" s="2" t="s">
        <v>498</v>
      </c>
      <c r="I133" s="2" t="s">
        <v>499</v>
      </c>
      <c r="J133" s="2" t="s">
        <v>500</v>
      </c>
      <c r="K133" s="2" t="s">
        <v>595</v>
      </c>
      <c r="L133" s="2" t="s">
        <v>222</v>
      </c>
      <c r="M133" s="2" t="s">
        <v>502</v>
      </c>
      <c r="N133" s="16">
        <v>2.2499999999999999E-2</v>
      </c>
      <c r="O133" s="17">
        <f>N133*'Financial Inputs'!$B$3</f>
        <v>2250000</v>
      </c>
      <c r="P133" s="18">
        <f>IF(I133="L",'Financial Inputs'!$B$4,IF(I133="M",'Financial Inputs'!$B$5,'Financial Inputs'!$B$6))</f>
        <v>0.7</v>
      </c>
      <c r="Q133" s="17">
        <f>O133*P133</f>
        <v>1575000</v>
      </c>
      <c r="R133" s="16">
        <f>'Financial Inputs'!$B$7</f>
        <v>0.35</v>
      </c>
      <c r="S133" s="17">
        <f>Q133*(1-R133)</f>
        <v>1023750</v>
      </c>
      <c r="T133" s="18">
        <f>S133/'Financial Inputs'!$B$3</f>
        <v>1.02375E-2</v>
      </c>
      <c r="U133" s="9" t="s">
        <v>52</v>
      </c>
      <c r="V133" s="3" t="s">
        <v>53</v>
      </c>
    </row>
    <row r="134" spans="1:22">
      <c r="A134" s="2" t="s">
        <v>596</v>
      </c>
      <c r="B134" s="2" t="s">
        <v>597</v>
      </c>
      <c r="C134" s="2" t="s">
        <v>497</v>
      </c>
      <c r="D134" s="2" t="s">
        <v>80</v>
      </c>
      <c r="E134" s="2" t="s">
        <v>171</v>
      </c>
      <c r="F134" s="2" t="s">
        <v>44</v>
      </c>
      <c r="G134" s="2" t="s">
        <v>83</v>
      </c>
      <c r="H134" s="2" t="s">
        <v>498</v>
      </c>
      <c r="I134" s="2" t="s">
        <v>499</v>
      </c>
      <c r="J134" s="2" t="s">
        <v>500</v>
      </c>
      <c r="K134" s="2" t="s">
        <v>598</v>
      </c>
      <c r="L134" s="2" t="s">
        <v>226</v>
      </c>
      <c r="M134" s="2" t="s">
        <v>502</v>
      </c>
      <c r="N134" s="16">
        <v>2.5000000000000001E-2</v>
      </c>
      <c r="O134" s="17">
        <f>N134*'Financial Inputs'!$B$3</f>
        <v>2500000</v>
      </c>
      <c r="P134" s="18">
        <f>IF(I134="L",'Financial Inputs'!$B$4,IF(I134="M",'Financial Inputs'!$B$5,'Financial Inputs'!$B$6))</f>
        <v>0.7</v>
      </c>
      <c r="Q134" s="17">
        <f>O134*P134</f>
        <v>1750000</v>
      </c>
      <c r="R134" s="16">
        <f>'Financial Inputs'!$B$7</f>
        <v>0.35</v>
      </c>
      <c r="S134" s="17">
        <f>Q134*(1-R134)</f>
        <v>1137500</v>
      </c>
      <c r="T134" s="18">
        <f>S134/'Financial Inputs'!$B$3</f>
        <v>1.1375E-2</v>
      </c>
      <c r="U134" s="9" t="s">
        <v>52</v>
      </c>
      <c r="V134" s="3" t="s">
        <v>53</v>
      </c>
    </row>
    <row r="135" spans="1:22">
      <c r="A135" s="2" t="s">
        <v>599</v>
      </c>
      <c r="B135" s="2" t="s">
        <v>600</v>
      </c>
      <c r="C135" s="2" t="s">
        <v>497</v>
      </c>
      <c r="D135" s="2" t="s">
        <v>127</v>
      </c>
      <c r="E135" s="2" t="s">
        <v>176</v>
      </c>
      <c r="F135" s="2" t="s">
        <v>58</v>
      </c>
      <c r="G135" s="2" t="s">
        <v>111</v>
      </c>
      <c r="H135" s="2" t="s">
        <v>498</v>
      </c>
      <c r="I135" s="2" t="s">
        <v>499</v>
      </c>
      <c r="J135" s="2" t="s">
        <v>500</v>
      </c>
      <c r="K135" s="2" t="s">
        <v>601</v>
      </c>
      <c r="L135" s="2" t="s">
        <v>230</v>
      </c>
      <c r="M135" s="2" t="s">
        <v>502</v>
      </c>
      <c r="N135" s="16">
        <v>2.75E-2</v>
      </c>
      <c r="O135" s="17">
        <f>N135*'Financial Inputs'!$B$3</f>
        <v>2750000</v>
      </c>
      <c r="P135" s="18">
        <f>IF(I135="L",'Financial Inputs'!$B$4,IF(I135="M",'Financial Inputs'!$B$5,'Financial Inputs'!$B$6))</f>
        <v>0.7</v>
      </c>
      <c r="Q135" s="17">
        <f>O135*P135</f>
        <v>1924999.9999999998</v>
      </c>
      <c r="R135" s="16">
        <f>'Financial Inputs'!$B$7</f>
        <v>0.35</v>
      </c>
      <c r="S135" s="17">
        <f>Q135*(1-R135)</f>
        <v>1251250</v>
      </c>
      <c r="T135" s="18">
        <f>S135/'Financial Inputs'!$B$3</f>
        <v>1.2512499999999999E-2</v>
      </c>
      <c r="U135" s="9" t="s">
        <v>52</v>
      </c>
      <c r="V135" s="3" t="s">
        <v>53</v>
      </c>
    </row>
    <row r="136" spans="1:22">
      <c r="A136" s="2" t="s">
        <v>602</v>
      </c>
      <c r="B136" s="2" t="s">
        <v>603</v>
      </c>
      <c r="C136" s="2" t="s">
        <v>497</v>
      </c>
      <c r="D136" s="2" t="s">
        <v>133</v>
      </c>
      <c r="E136" s="2" t="s">
        <v>122</v>
      </c>
      <c r="F136" s="2" t="s">
        <v>66</v>
      </c>
      <c r="G136" s="2" t="s">
        <v>56</v>
      </c>
      <c r="H136" s="2" t="s">
        <v>498</v>
      </c>
      <c r="I136" s="2" t="s">
        <v>499</v>
      </c>
      <c r="J136" s="2" t="s">
        <v>500</v>
      </c>
      <c r="K136" s="2" t="s">
        <v>604</v>
      </c>
      <c r="L136" s="2" t="s">
        <v>234</v>
      </c>
      <c r="M136" s="2" t="s">
        <v>502</v>
      </c>
      <c r="N136" s="16">
        <v>3.0000000000000009E-2</v>
      </c>
      <c r="O136" s="17">
        <f>N136*'Financial Inputs'!$B$3</f>
        <v>3000000.0000000009</v>
      </c>
      <c r="P136" s="18">
        <f>IF(I136="L",'Financial Inputs'!$B$4,IF(I136="M",'Financial Inputs'!$B$5,'Financial Inputs'!$B$6))</f>
        <v>0.7</v>
      </c>
      <c r="Q136" s="17">
        <f>O136*P136</f>
        <v>2100000.0000000005</v>
      </c>
      <c r="R136" s="16">
        <f>'Financial Inputs'!$B$7</f>
        <v>0.35</v>
      </c>
      <c r="S136" s="17">
        <f>Q136*(1-R136)</f>
        <v>1365000.0000000005</v>
      </c>
      <c r="T136" s="18">
        <f>S136/'Financial Inputs'!$B$3</f>
        <v>1.3650000000000004E-2</v>
      </c>
      <c r="U136" s="9" t="s">
        <v>52</v>
      </c>
      <c r="V136" s="3" t="s">
        <v>53</v>
      </c>
    </row>
    <row r="137" spans="1:22">
      <c r="A137" s="2" t="s">
        <v>605</v>
      </c>
      <c r="B137" s="2" t="s">
        <v>606</v>
      </c>
      <c r="C137" s="2" t="s">
        <v>497</v>
      </c>
      <c r="D137" s="2" t="s">
        <v>102</v>
      </c>
      <c r="E137" s="2" t="s">
        <v>73</v>
      </c>
      <c r="F137" s="2" t="s">
        <v>110</v>
      </c>
      <c r="G137" s="2" t="s">
        <v>83</v>
      </c>
      <c r="H137" s="2" t="s">
        <v>498</v>
      </c>
      <c r="I137" s="2" t="s">
        <v>499</v>
      </c>
      <c r="J137" s="2" t="s">
        <v>500</v>
      </c>
      <c r="K137" s="2" t="s">
        <v>607</v>
      </c>
      <c r="L137" s="2" t="s">
        <v>238</v>
      </c>
      <c r="M137" s="2" t="s">
        <v>502</v>
      </c>
      <c r="N137" s="16">
        <v>0.02</v>
      </c>
      <c r="O137" s="17">
        <f>N137*'Financial Inputs'!$B$3</f>
        <v>2000000</v>
      </c>
      <c r="P137" s="18">
        <f>IF(I137="L",'Financial Inputs'!$B$4,IF(I137="M",'Financial Inputs'!$B$5,'Financial Inputs'!$B$6))</f>
        <v>0.7</v>
      </c>
      <c r="Q137" s="17">
        <f>O137*P137</f>
        <v>1400000</v>
      </c>
      <c r="R137" s="16">
        <f>'Financial Inputs'!$B$7</f>
        <v>0.35</v>
      </c>
      <c r="S137" s="17">
        <f>Q137*(1-R137)</f>
        <v>910000</v>
      </c>
      <c r="T137" s="18">
        <f>S137/'Financial Inputs'!$B$3</f>
        <v>9.1000000000000004E-3</v>
      </c>
      <c r="U137" s="9" t="s">
        <v>52</v>
      </c>
      <c r="V137" s="3" t="s">
        <v>53</v>
      </c>
    </row>
    <row r="138" spans="1:22">
      <c r="A138" s="2" t="s">
        <v>608</v>
      </c>
      <c r="B138" s="2" t="s">
        <v>609</v>
      </c>
      <c r="C138" s="2" t="s">
        <v>497</v>
      </c>
      <c r="D138" s="2" t="s">
        <v>42</v>
      </c>
      <c r="E138" s="2" t="s">
        <v>81</v>
      </c>
      <c r="F138" s="2" t="s">
        <v>117</v>
      </c>
      <c r="G138" s="2" t="s">
        <v>111</v>
      </c>
      <c r="H138" s="2" t="s">
        <v>498</v>
      </c>
      <c r="I138" s="2" t="s">
        <v>499</v>
      </c>
      <c r="J138" s="2" t="s">
        <v>500</v>
      </c>
      <c r="K138" s="2" t="s">
        <v>610</v>
      </c>
      <c r="L138" s="2" t="s">
        <v>242</v>
      </c>
      <c r="M138" s="2" t="s">
        <v>502</v>
      </c>
      <c r="N138" s="16">
        <v>2.2499999999999999E-2</v>
      </c>
      <c r="O138" s="17">
        <f>N138*'Financial Inputs'!$B$3</f>
        <v>2250000</v>
      </c>
      <c r="P138" s="18">
        <f>IF(I138="L",'Financial Inputs'!$B$4,IF(I138="M",'Financial Inputs'!$B$5,'Financial Inputs'!$B$6))</f>
        <v>0.7</v>
      </c>
      <c r="Q138" s="17">
        <f>O138*P138</f>
        <v>1575000</v>
      </c>
      <c r="R138" s="16">
        <f>'Financial Inputs'!$B$7</f>
        <v>0.35</v>
      </c>
      <c r="S138" s="17">
        <f>Q138*(1-R138)</f>
        <v>1023750</v>
      </c>
      <c r="T138" s="18">
        <f>S138/'Financial Inputs'!$B$3</f>
        <v>1.02375E-2</v>
      </c>
      <c r="U138" s="9" t="s">
        <v>52</v>
      </c>
      <c r="V138" s="3" t="s">
        <v>53</v>
      </c>
    </row>
    <row r="139" spans="1:22">
      <c r="A139" s="2" t="s">
        <v>611</v>
      </c>
      <c r="B139" s="2" t="s">
        <v>612</v>
      </c>
      <c r="C139" s="2" t="s">
        <v>497</v>
      </c>
      <c r="D139" s="2" t="s">
        <v>56</v>
      </c>
      <c r="E139" s="2" t="s">
        <v>193</v>
      </c>
      <c r="F139" s="2" t="s">
        <v>90</v>
      </c>
      <c r="G139" s="2" t="s">
        <v>56</v>
      </c>
      <c r="H139" s="2" t="s">
        <v>498</v>
      </c>
      <c r="I139" s="2" t="s">
        <v>499</v>
      </c>
      <c r="J139" s="2" t="s">
        <v>500</v>
      </c>
      <c r="K139" s="2" t="s">
        <v>613</v>
      </c>
      <c r="L139" s="2" t="s">
        <v>246</v>
      </c>
      <c r="M139" s="2" t="s">
        <v>502</v>
      </c>
      <c r="N139" s="16">
        <v>2.5000000000000001E-2</v>
      </c>
      <c r="O139" s="17">
        <f>N139*'Financial Inputs'!$B$3</f>
        <v>2500000</v>
      </c>
      <c r="P139" s="18">
        <f>IF(I139="L",'Financial Inputs'!$B$4,IF(I139="M",'Financial Inputs'!$B$5,'Financial Inputs'!$B$6))</f>
        <v>0.7</v>
      </c>
      <c r="Q139" s="17">
        <f>O139*P139</f>
        <v>1750000</v>
      </c>
      <c r="R139" s="16">
        <f>'Financial Inputs'!$B$7</f>
        <v>0.35</v>
      </c>
      <c r="S139" s="17">
        <f>Q139*(1-R139)</f>
        <v>1137500</v>
      </c>
      <c r="T139" s="18">
        <f>S139/'Financial Inputs'!$B$3</f>
        <v>1.1375E-2</v>
      </c>
      <c r="U139" s="9" t="s">
        <v>52</v>
      </c>
      <c r="V139" s="3" t="s">
        <v>53</v>
      </c>
    </row>
    <row r="140" spans="1:22">
      <c r="A140" s="2" t="s">
        <v>614</v>
      </c>
      <c r="B140" s="2" t="s">
        <v>615</v>
      </c>
      <c r="C140" s="2" t="s">
        <v>497</v>
      </c>
      <c r="D140" s="2" t="s">
        <v>64</v>
      </c>
      <c r="E140" s="2" t="s">
        <v>198</v>
      </c>
      <c r="F140" s="2" t="s">
        <v>97</v>
      </c>
      <c r="G140" s="2" t="s">
        <v>138</v>
      </c>
      <c r="H140" s="2" t="s">
        <v>498</v>
      </c>
      <c r="I140" s="2" t="s">
        <v>499</v>
      </c>
      <c r="J140" s="2" t="s">
        <v>500</v>
      </c>
      <c r="K140" s="2" t="s">
        <v>616</v>
      </c>
      <c r="L140" s="2" t="s">
        <v>250</v>
      </c>
      <c r="M140" s="2" t="s">
        <v>502</v>
      </c>
      <c r="N140" s="16">
        <v>2.75E-2</v>
      </c>
      <c r="O140" s="17">
        <f>N140*'Financial Inputs'!$B$3</f>
        <v>2750000</v>
      </c>
      <c r="P140" s="18">
        <f>IF(I140="L",'Financial Inputs'!$B$4,IF(I140="M",'Financial Inputs'!$B$5,'Financial Inputs'!$B$6))</f>
        <v>0.7</v>
      </c>
      <c r="Q140" s="17">
        <f>O140*P140</f>
        <v>1924999.9999999998</v>
      </c>
      <c r="R140" s="16">
        <f>'Financial Inputs'!$B$7</f>
        <v>0.35</v>
      </c>
      <c r="S140" s="17">
        <f>Q140*(1-R140)</f>
        <v>1251250</v>
      </c>
      <c r="T140" s="18">
        <f>S140/'Financial Inputs'!$B$3</f>
        <v>1.2512499999999999E-2</v>
      </c>
      <c r="U140" s="9" t="s">
        <v>52</v>
      </c>
      <c r="V140" s="3" t="s">
        <v>53</v>
      </c>
    </row>
    <row r="141" spans="1:22">
      <c r="A141" s="2" t="s">
        <v>617</v>
      </c>
      <c r="B141" s="2" t="s">
        <v>618</v>
      </c>
      <c r="C141" s="2" t="s">
        <v>497</v>
      </c>
      <c r="D141" s="2" t="s">
        <v>72</v>
      </c>
      <c r="E141" s="2" t="s">
        <v>148</v>
      </c>
      <c r="F141" s="2" t="s">
        <v>104</v>
      </c>
      <c r="G141" s="2" t="s">
        <v>143</v>
      </c>
      <c r="H141" s="2" t="s">
        <v>498</v>
      </c>
      <c r="I141" s="2" t="s">
        <v>499</v>
      </c>
      <c r="J141" s="2" t="s">
        <v>500</v>
      </c>
      <c r="K141" s="2" t="s">
        <v>619</v>
      </c>
      <c r="L141" s="2" t="s">
        <v>254</v>
      </c>
      <c r="M141" s="2" t="s">
        <v>502</v>
      </c>
      <c r="N141" s="16">
        <v>3.0000000000000009E-2</v>
      </c>
      <c r="O141" s="17">
        <f>N141*'Financial Inputs'!$B$3</f>
        <v>3000000.0000000009</v>
      </c>
      <c r="P141" s="18">
        <f>IF(I141="L",'Financial Inputs'!$B$4,IF(I141="M",'Financial Inputs'!$B$5,'Financial Inputs'!$B$6))</f>
        <v>0.7</v>
      </c>
      <c r="Q141" s="17">
        <f>O141*P141</f>
        <v>2100000.0000000005</v>
      </c>
      <c r="R141" s="16">
        <f>'Financial Inputs'!$B$7</f>
        <v>0.35</v>
      </c>
      <c r="S141" s="17">
        <f>Q141*(1-R141)</f>
        <v>1365000.0000000005</v>
      </c>
      <c r="T141" s="18">
        <f>S141/'Financial Inputs'!$B$3</f>
        <v>1.3650000000000004E-2</v>
      </c>
      <c r="U141" s="9" t="s">
        <v>52</v>
      </c>
      <c r="V141" s="3" t="s">
        <v>53</v>
      </c>
    </row>
    <row r="142" spans="1:22">
      <c r="A142" s="2" t="s">
        <v>620</v>
      </c>
      <c r="B142" s="2" t="s">
        <v>621</v>
      </c>
      <c r="C142" s="2" t="s">
        <v>497</v>
      </c>
      <c r="D142" s="2" t="s">
        <v>133</v>
      </c>
      <c r="E142" s="2" t="s">
        <v>109</v>
      </c>
      <c r="F142" s="2" t="s">
        <v>82</v>
      </c>
      <c r="G142" s="2" t="s">
        <v>56</v>
      </c>
      <c r="H142" s="2" t="s">
        <v>498</v>
      </c>
      <c r="I142" s="2" t="s">
        <v>499</v>
      </c>
      <c r="J142" s="2" t="s">
        <v>500</v>
      </c>
      <c r="K142" s="2" t="s">
        <v>622</v>
      </c>
      <c r="L142" s="2" t="s">
        <v>258</v>
      </c>
      <c r="M142" s="2" t="s">
        <v>502</v>
      </c>
      <c r="N142" s="16">
        <v>0.02</v>
      </c>
      <c r="O142" s="17">
        <f>N142*'Financial Inputs'!$B$3</f>
        <v>2000000</v>
      </c>
      <c r="P142" s="18">
        <f>IF(I142="L",'Financial Inputs'!$B$4,IF(I142="M",'Financial Inputs'!$B$5,'Financial Inputs'!$B$6))</f>
        <v>0.7</v>
      </c>
      <c r="Q142" s="17">
        <f>O142*P142</f>
        <v>1400000</v>
      </c>
      <c r="R142" s="16">
        <f>'Financial Inputs'!$B$7</f>
        <v>0.35</v>
      </c>
      <c r="S142" s="17">
        <f>Q142*(1-R142)</f>
        <v>910000</v>
      </c>
      <c r="T142" s="18">
        <f>S142/'Financial Inputs'!$B$3</f>
        <v>9.1000000000000004E-3</v>
      </c>
      <c r="U142" s="9" t="s">
        <v>52</v>
      </c>
      <c r="V142" s="3" t="s">
        <v>53</v>
      </c>
    </row>
    <row r="143" spans="1:22">
      <c r="A143" s="2" t="s">
        <v>623</v>
      </c>
      <c r="B143" s="2" t="s">
        <v>624</v>
      </c>
      <c r="C143" s="2" t="s">
        <v>497</v>
      </c>
      <c r="D143" s="2" t="s">
        <v>88</v>
      </c>
      <c r="E143" s="2" t="s">
        <v>116</v>
      </c>
      <c r="F143" s="2" t="s">
        <v>44</v>
      </c>
      <c r="G143" s="2" t="s">
        <v>138</v>
      </c>
      <c r="H143" s="2" t="s">
        <v>498</v>
      </c>
      <c r="I143" s="2" t="s">
        <v>499</v>
      </c>
      <c r="J143" s="2" t="s">
        <v>500</v>
      </c>
      <c r="K143" s="2" t="s">
        <v>625</v>
      </c>
      <c r="L143" s="2" t="s">
        <v>262</v>
      </c>
      <c r="M143" s="2" t="s">
        <v>502</v>
      </c>
      <c r="N143" s="16">
        <v>2.2499999999999999E-2</v>
      </c>
      <c r="O143" s="17">
        <f>N143*'Financial Inputs'!$B$3</f>
        <v>2250000</v>
      </c>
      <c r="P143" s="18">
        <f>IF(I143="L",'Financial Inputs'!$B$4,IF(I143="M",'Financial Inputs'!$B$5,'Financial Inputs'!$B$6))</f>
        <v>0.7</v>
      </c>
      <c r="Q143" s="17">
        <f>O143*P143</f>
        <v>1575000</v>
      </c>
      <c r="R143" s="16">
        <f>'Financial Inputs'!$B$7</f>
        <v>0.35</v>
      </c>
      <c r="S143" s="17">
        <f>Q143*(1-R143)</f>
        <v>1023750</v>
      </c>
      <c r="T143" s="18">
        <f>S143/'Financial Inputs'!$B$3</f>
        <v>1.02375E-2</v>
      </c>
      <c r="U143" s="9" t="s">
        <v>52</v>
      </c>
      <c r="V143" s="3" t="s">
        <v>53</v>
      </c>
    </row>
    <row r="144" spans="1:22">
      <c r="A144" s="2" t="s">
        <v>626</v>
      </c>
      <c r="B144" s="2" t="s">
        <v>627</v>
      </c>
      <c r="C144" s="2" t="s">
        <v>497</v>
      </c>
      <c r="D144" s="2" t="s">
        <v>95</v>
      </c>
      <c r="E144" s="2" t="s">
        <v>215</v>
      </c>
      <c r="F144" s="2" t="s">
        <v>58</v>
      </c>
      <c r="G144" s="2" t="s">
        <v>143</v>
      </c>
      <c r="H144" s="2" t="s">
        <v>498</v>
      </c>
      <c r="I144" s="2" t="s">
        <v>499</v>
      </c>
      <c r="J144" s="2" t="s">
        <v>500</v>
      </c>
      <c r="K144" s="2" t="s">
        <v>628</v>
      </c>
      <c r="L144" s="2" t="s">
        <v>266</v>
      </c>
      <c r="M144" s="2" t="s">
        <v>502</v>
      </c>
      <c r="N144" s="16">
        <v>2.5000000000000001E-2</v>
      </c>
      <c r="O144" s="17">
        <f>N144*'Financial Inputs'!$B$3</f>
        <v>2500000</v>
      </c>
      <c r="P144" s="18">
        <f>IF(I144="L",'Financial Inputs'!$B$4,IF(I144="M",'Financial Inputs'!$B$5,'Financial Inputs'!$B$6))</f>
        <v>0.7</v>
      </c>
      <c r="Q144" s="17">
        <f>O144*P144</f>
        <v>1750000</v>
      </c>
      <c r="R144" s="16">
        <f>'Financial Inputs'!$B$7</f>
        <v>0.35</v>
      </c>
      <c r="S144" s="17">
        <f>Q144*(1-R144)</f>
        <v>1137500</v>
      </c>
      <c r="T144" s="18">
        <f>S144/'Financial Inputs'!$B$3</f>
        <v>1.1375E-2</v>
      </c>
      <c r="U144" s="9" t="s">
        <v>52</v>
      </c>
      <c r="V144" s="3" t="s">
        <v>53</v>
      </c>
    </row>
    <row r="145" spans="1:22">
      <c r="A145" s="2" t="s">
        <v>629</v>
      </c>
      <c r="B145" s="2" t="s">
        <v>630</v>
      </c>
      <c r="C145" s="2" t="s">
        <v>497</v>
      </c>
      <c r="D145" s="2" t="s">
        <v>102</v>
      </c>
      <c r="E145" s="2" t="s">
        <v>220</v>
      </c>
      <c r="F145" s="2" t="s">
        <v>66</v>
      </c>
      <c r="G145" s="2" t="s">
        <v>162</v>
      </c>
      <c r="H145" s="2" t="s">
        <v>498</v>
      </c>
      <c r="I145" s="2" t="s">
        <v>499</v>
      </c>
      <c r="J145" s="2" t="s">
        <v>500</v>
      </c>
      <c r="K145" s="2" t="s">
        <v>631</v>
      </c>
      <c r="L145" s="2" t="s">
        <v>270</v>
      </c>
      <c r="M145" s="2" t="s">
        <v>502</v>
      </c>
      <c r="N145" s="16">
        <v>2.75E-2</v>
      </c>
      <c r="O145" s="17">
        <f>N145*'Financial Inputs'!$B$3</f>
        <v>2750000</v>
      </c>
      <c r="P145" s="18">
        <f>IF(I145="L",'Financial Inputs'!$B$4,IF(I145="M",'Financial Inputs'!$B$5,'Financial Inputs'!$B$6))</f>
        <v>0.7</v>
      </c>
      <c r="Q145" s="17">
        <f>O145*P145</f>
        <v>1924999.9999999998</v>
      </c>
      <c r="R145" s="16">
        <f>'Financial Inputs'!$B$7</f>
        <v>0.35</v>
      </c>
      <c r="S145" s="17">
        <f>Q145*(1-R145)</f>
        <v>1251250</v>
      </c>
      <c r="T145" s="18">
        <f>S145/'Financial Inputs'!$B$3</f>
        <v>1.2512499999999999E-2</v>
      </c>
      <c r="U145" s="9" t="s">
        <v>52</v>
      </c>
      <c r="V145" s="3" t="s">
        <v>53</v>
      </c>
    </row>
    <row r="146" spans="1:22">
      <c r="A146" s="2" t="s">
        <v>632</v>
      </c>
      <c r="B146" s="2" t="s">
        <v>633</v>
      </c>
      <c r="C146" s="2" t="s">
        <v>497</v>
      </c>
      <c r="D146" s="2" t="s">
        <v>42</v>
      </c>
      <c r="E146" s="2" t="s">
        <v>171</v>
      </c>
      <c r="F146" s="2" t="s">
        <v>74</v>
      </c>
      <c r="G146" s="2" t="s">
        <v>45</v>
      </c>
      <c r="H146" s="2" t="s">
        <v>498</v>
      </c>
      <c r="I146" s="2" t="s">
        <v>499</v>
      </c>
      <c r="J146" s="2" t="s">
        <v>500</v>
      </c>
      <c r="K146" s="2" t="s">
        <v>634</v>
      </c>
      <c r="L146" s="2" t="s">
        <v>274</v>
      </c>
      <c r="M146" s="2" t="s">
        <v>502</v>
      </c>
      <c r="N146" s="16">
        <v>3.0000000000000009E-2</v>
      </c>
      <c r="O146" s="17">
        <f>N146*'Financial Inputs'!$B$3</f>
        <v>3000000.0000000009</v>
      </c>
      <c r="P146" s="18">
        <f>IF(I146="L",'Financial Inputs'!$B$4,IF(I146="M",'Financial Inputs'!$B$5,'Financial Inputs'!$B$6))</f>
        <v>0.7</v>
      </c>
      <c r="Q146" s="17">
        <f>O146*P146</f>
        <v>2100000.0000000005</v>
      </c>
      <c r="R146" s="16">
        <f>'Financial Inputs'!$B$7</f>
        <v>0.35</v>
      </c>
      <c r="S146" s="17">
        <f>Q146*(1-R146)</f>
        <v>1365000.0000000005</v>
      </c>
      <c r="T146" s="18">
        <f>S146/'Financial Inputs'!$B$3</f>
        <v>1.3650000000000004E-2</v>
      </c>
      <c r="U146" s="9" t="s">
        <v>52</v>
      </c>
      <c r="V146" s="3" t="s">
        <v>53</v>
      </c>
    </row>
    <row r="147" spans="1:22">
      <c r="A147" s="2" t="s">
        <v>635</v>
      </c>
      <c r="B147" s="2" t="s">
        <v>636</v>
      </c>
      <c r="C147" s="2" t="s">
        <v>497</v>
      </c>
      <c r="D147" s="2" t="s">
        <v>72</v>
      </c>
      <c r="E147" s="2" t="s">
        <v>57</v>
      </c>
      <c r="F147" s="2" t="s">
        <v>117</v>
      </c>
      <c r="G147" s="2" t="s">
        <v>143</v>
      </c>
      <c r="H147" s="2" t="s">
        <v>498</v>
      </c>
      <c r="I147" s="2" t="s">
        <v>499</v>
      </c>
      <c r="J147" s="2" t="s">
        <v>500</v>
      </c>
      <c r="K147" s="2" t="s">
        <v>637</v>
      </c>
      <c r="L147" s="2" t="s">
        <v>278</v>
      </c>
      <c r="M147" s="2" t="s">
        <v>502</v>
      </c>
      <c r="N147" s="16">
        <v>0.02</v>
      </c>
      <c r="O147" s="17">
        <f>N147*'Financial Inputs'!$B$3</f>
        <v>2000000</v>
      </c>
      <c r="P147" s="18">
        <f>IF(I147="L",'Financial Inputs'!$B$4,IF(I147="M",'Financial Inputs'!$B$5,'Financial Inputs'!$B$6))</f>
        <v>0.7</v>
      </c>
      <c r="Q147" s="17">
        <f>O147*P147</f>
        <v>1400000</v>
      </c>
      <c r="R147" s="16">
        <f>'Financial Inputs'!$B$7</f>
        <v>0.35</v>
      </c>
      <c r="S147" s="17">
        <f>Q147*(1-R147)</f>
        <v>910000</v>
      </c>
      <c r="T147" s="18">
        <f>S147/'Financial Inputs'!$B$3</f>
        <v>9.1000000000000004E-3</v>
      </c>
      <c r="U147" s="9" t="s">
        <v>52</v>
      </c>
      <c r="V147" s="3" t="s">
        <v>53</v>
      </c>
    </row>
    <row r="148" spans="1:22">
      <c r="A148" s="2" t="s">
        <v>638</v>
      </c>
      <c r="B148" s="2" t="s">
        <v>639</v>
      </c>
      <c r="C148" s="2" t="s">
        <v>497</v>
      </c>
      <c r="D148" s="2" t="s">
        <v>80</v>
      </c>
      <c r="E148" s="2" t="s">
        <v>65</v>
      </c>
      <c r="F148" s="2" t="s">
        <v>90</v>
      </c>
      <c r="G148" s="2" t="s">
        <v>162</v>
      </c>
      <c r="H148" s="2" t="s">
        <v>498</v>
      </c>
      <c r="I148" s="2" t="s">
        <v>499</v>
      </c>
      <c r="J148" s="2" t="s">
        <v>500</v>
      </c>
      <c r="K148" s="2" t="s">
        <v>640</v>
      </c>
      <c r="L148" s="2" t="s">
        <v>282</v>
      </c>
      <c r="M148" s="2" t="s">
        <v>502</v>
      </c>
      <c r="N148" s="16">
        <v>2.2499999999999999E-2</v>
      </c>
      <c r="O148" s="17">
        <f>N148*'Financial Inputs'!$B$3</f>
        <v>2250000</v>
      </c>
      <c r="P148" s="18">
        <f>IF(I148="L",'Financial Inputs'!$B$4,IF(I148="M",'Financial Inputs'!$B$5,'Financial Inputs'!$B$6))</f>
        <v>0.7</v>
      </c>
      <c r="Q148" s="17">
        <f>O148*P148</f>
        <v>1575000</v>
      </c>
      <c r="R148" s="16">
        <f>'Financial Inputs'!$B$7</f>
        <v>0.35</v>
      </c>
      <c r="S148" s="17">
        <f>Q148*(1-R148)</f>
        <v>1023750</v>
      </c>
      <c r="T148" s="18">
        <f>S148/'Financial Inputs'!$B$3</f>
        <v>1.02375E-2</v>
      </c>
      <c r="U148" s="9" t="s">
        <v>52</v>
      </c>
      <c r="V148" s="3" t="s">
        <v>53</v>
      </c>
    </row>
    <row r="149" spans="1:22">
      <c r="A149" s="2" t="s">
        <v>641</v>
      </c>
      <c r="B149" s="2" t="s">
        <v>642</v>
      </c>
      <c r="C149" s="2" t="s">
        <v>497</v>
      </c>
      <c r="D149" s="2" t="s">
        <v>127</v>
      </c>
      <c r="E149" s="2" t="s">
        <v>73</v>
      </c>
      <c r="F149" s="2" t="s">
        <v>97</v>
      </c>
      <c r="G149" s="2" t="s">
        <v>45</v>
      </c>
      <c r="H149" s="2" t="s">
        <v>498</v>
      </c>
      <c r="I149" s="2" t="s">
        <v>499</v>
      </c>
      <c r="J149" s="2" t="s">
        <v>500</v>
      </c>
      <c r="K149" s="2" t="s">
        <v>643</v>
      </c>
      <c r="L149" s="2" t="s">
        <v>286</v>
      </c>
      <c r="M149" s="2" t="s">
        <v>502</v>
      </c>
      <c r="N149" s="16">
        <v>2.5000000000000001E-2</v>
      </c>
      <c r="O149" s="17">
        <f>N149*'Financial Inputs'!$B$3</f>
        <v>2500000</v>
      </c>
      <c r="P149" s="18">
        <f>IF(I149="L",'Financial Inputs'!$B$4,IF(I149="M",'Financial Inputs'!$B$5,'Financial Inputs'!$B$6))</f>
        <v>0.7</v>
      </c>
      <c r="Q149" s="17">
        <f>O149*P149</f>
        <v>1750000</v>
      </c>
      <c r="R149" s="16">
        <f>'Financial Inputs'!$B$7</f>
        <v>0.35</v>
      </c>
      <c r="S149" s="17">
        <f>Q149*(1-R149)</f>
        <v>1137500</v>
      </c>
      <c r="T149" s="18">
        <f>S149/'Financial Inputs'!$B$3</f>
        <v>1.1375E-2</v>
      </c>
      <c r="U149" s="9" t="s">
        <v>52</v>
      </c>
      <c r="V149" s="3" t="s">
        <v>53</v>
      </c>
    </row>
    <row r="150" spans="1:22">
      <c r="A150" s="2" t="s">
        <v>644</v>
      </c>
      <c r="B150" s="2" t="s">
        <v>645</v>
      </c>
      <c r="C150" s="2" t="s">
        <v>497</v>
      </c>
      <c r="D150" s="2" t="s">
        <v>133</v>
      </c>
      <c r="E150" s="2" t="s">
        <v>81</v>
      </c>
      <c r="F150" s="2" t="s">
        <v>104</v>
      </c>
      <c r="G150" s="2" t="s">
        <v>59</v>
      </c>
      <c r="H150" s="2" t="s">
        <v>498</v>
      </c>
      <c r="I150" s="2" t="s">
        <v>499</v>
      </c>
      <c r="J150" s="2" t="s">
        <v>500</v>
      </c>
      <c r="K150" s="2" t="s">
        <v>646</v>
      </c>
      <c r="L150" s="2" t="s">
        <v>290</v>
      </c>
      <c r="M150" s="2" t="s">
        <v>502</v>
      </c>
      <c r="N150" s="16">
        <v>2.75E-2</v>
      </c>
      <c r="O150" s="17">
        <f>N150*'Financial Inputs'!$B$3</f>
        <v>2750000</v>
      </c>
      <c r="P150" s="18">
        <f>IF(I150="L",'Financial Inputs'!$B$4,IF(I150="M",'Financial Inputs'!$B$5,'Financial Inputs'!$B$6))</f>
        <v>0.7</v>
      </c>
      <c r="Q150" s="17">
        <f>O150*P150</f>
        <v>1924999.9999999998</v>
      </c>
      <c r="R150" s="16">
        <f>'Financial Inputs'!$B$7</f>
        <v>0.35</v>
      </c>
      <c r="S150" s="17">
        <f>Q150*(1-R150)</f>
        <v>1251250</v>
      </c>
      <c r="T150" s="18">
        <f>S150/'Financial Inputs'!$B$3</f>
        <v>1.2512499999999999E-2</v>
      </c>
      <c r="U150" s="9" t="s">
        <v>52</v>
      </c>
      <c r="V150" s="3" t="s">
        <v>53</v>
      </c>
    </row>
    <row r="151" spans="1:22">
      <c r="A151" s="2" t="s">
        <v>647</v>
      </c>
      <c r="B151" s="2" t="s">
        <v>648</v>
      </c>
      <c r="C151" s="2" t="s">
        <v>497</v>
      </c>
      <c r="D151" s="2" t="s">
        <v>88</v>
      </c>
      <c r="E151" s="2" t="s">
        <v>193</v>
      </c>
      <c r="F151" s="2" t="s">
        <v>110</v>
      </c>
      <c r="G151" s="2" t="s">
        <v>67</v>
      </c>
      <c r="H151" s="2" t="s">
        <v>498</v>
      </c>
      <c r="I151" s="2" t="s">
        <v>499</v>
      </c>
      <c r="J151" s="2" t="s">
        <v>500</v>
      </c>
      <c r="K151" s="2" t="s">
        <v>649</v>
      </c>
      <c r="L151" s="2" t="s">
        <v>294</v>
      </c>
      <c r="M151" s="2" t="s">
        <v>502</v>
      </c>
      <c r="N151" s="16">
        <v>3.0000000000000009E-2</v>
      </c>
      <c r="O151" s="17">
        <f>N151*'Financial Inputs'!$B$3</f>
        <v>3000000.0000000009</v>
      </c>
      <c r="P151" s="18">
        <f>IF(I151="L",'Financial Inputs'!$B$4,IF(I151="M",'Financial Inputs'!$B$5,'Financial Inputs'!$B$6))</f>
        <v>0.7</v>
      </c>
      <c r="Q151" s="17">
        <f>O151*P151</f>
        <v>2100000.0000000005</v>
      </c>
      <c r="R151" s="16">
        <f>'Financial Inputs'!$B$7</f>
        <v>0.35</v>
      </c>
      <c r="S151" s="17">
        <f>Q151*(1-R151)</f>
        <v>1365000.0000000005</v>
      </c>
      <c r="T151" s="18">
        <f>S151/'Financial Inputs'!$B$3</f>
        <v>1.3650000000000004E-2</v>
      </c>
      <c r="U151" s="9" t="s">
        <v>52</v>
      </c>
      <c r="V151" s="3" t="s">
        <v>53</v>
      </c>
    </row>
    <row r="152" spans="1:22">
      <c r="A152" s="2" t="s">
        <v>650</v>
      </c>
      <c r="B152" s="2" t="s">
        <v>651</v>
      </c>
      <c r="C152" s="2" t="s">
        <v>497</v>
      </c>
      <c r="D152" s="2" t="s">
        <v>42</v>
      </c>
      <c r="E152" s="2" t="s">
        <v>96</v>
      </c>
      <c r="F152" s="2" t="s">
        <v>44</v>
      </c>
      <c r="G152" s="2" t="s">
        <v>45</v>
      </c>
      <c r="H152" s="2" t="s">
        <v>498</v>
      </c>
      <c r="I152" s="2" t="s">
        <v>499</v>
      </c>
      <c r="J152" s="2" t="s">
        <v>500</v>
      </c>
      <c r="K152" s="2" t="s">
        <v>652</v>
      </c>
      <c r="L152" s="2" t="s">
        <v>298</v>
      </c>
      <c r="M152" s="2" t="s">
        <v>502</v>
      </c>
      <c r="N152" s="16">
        <v>0.02</v>
      </c>
      <c r="O152" s="17">
        <f>N152*'Financial Inputs'!$B$3</f>
        <v>2000000</v>
      </c>
      <c r="P152" s="18">
        <f>IF(I152="L",'Financial Inputs'!$B$4,IF(I152="M",'Financial Inputs'!$B$5,'Financial Inputs'!$B$6))</f>
        <v>0.7</v>
      </c>
      <c r="Q152" s="17">
        <f>O152*P152</f>
        <v>1400000</v>
      </c>
      <c r="R152" s="16">
        <f>'Financial Inputs'!$B$7</f>
        <v>0.35</v>
      </c>
      <c r="S152" s="17">
        <f>Q152*(1-R152)</f>
        <v>910000</v>
      </c>
      <c r="T152" s="18">
        <f>S152/'Financial Inputs'!$B$3</f>
        <v>9.1000000000000004E-3</v>
      </c>
      <c r="U152" s="9" t="s">
        <v>52</v>
      </c>
      <c r="V152" s="3" t="s">
        <v>53</v>
      </c>
    </row>
    <row r="153" spans="1:22">
      <c r="A153" s="2" t="s">
        <v>653</v>
      </c>
      <c r="B153" s="2" t="s">
        <v>654</v>
      </c>
      <c r="C153" s="2" t="s">
        <v>497</v>
      </c>
      <c r="D153" s="2" t="s">
        <v>56</v>
      </c>
      <c r="E153" s="2" t="s">
        <v>103</v>
      </c>
      <c r="F153" s="2" t="s">
        <v>58</v>
      </c>
      <c r="G153" s="2" t="s">
        <v>59</v>
      </c>
      <c r="H153" s="2" t="s">
        <v>498</v>
      </c>
      <c r="I153" s="2" t="s">
        <v>499</v>
      </c>
      <c r="J153" s="2" t="s">
        <v>500</v>
      </c>
      <c r="K153" s="2" t="s">
        <v>655</v>
      </c>
      <c r="L153" s="2" t="s">
        <v>302</v>
      </c>
      <c r="M153" s="2" t="s">
        <v>502</v>
      </c>
      <c r="N153" s="16">
        <v>2.2499999999999999E-2</v>
      </c>
      <c r="O153" s="17">
        <f>N153*'Financial Inputs'!$B$3</f>
        <v>2250000</v>
      </c>
      <c r="P153" s="18">
        <f>IF(I153="L",'Financial Inputs'!$B$4,IF(I153="M",'Financial Inputs'!$B$5,'Financial Inputs'!$B$6))</f>
        <v>0.7</v>
      </c>
      <c r="Q153" s="17">
        <f>O153*P153</f>
        <v>1575000</v>
      </c>
      <c r="R153" s="16">
        <f>'Financial Inputs'!$B$7</f>
        <v>0.35</v>
      </c>
      <c r="S153" s="17">
        <f>Q153*(1-R153)</f>
        <v>1023750</v>
      </c>
      <c r="T153" s="18">
        <f>S153/'Financial Inputs'!$B$3</f>
        <v>1.02375E-2</v>
      </c>
      <c r="U153" s="9" t="s">
        <v>52</v>
      </c>
      <c r="V153" s="3" t="s">
        <v>53</v>
      </c>
    </row>
    <row r="154" spans="1:22">
      <c r="A154" s="2" t="s">
        <v>656</v>
      </c>
      <c r="B154" s="2" t="s">
        <v>657</v>
      </c>
      <c r="C154" s="2" t="s">
        <v>497</v>
      </c>
      <c r="D154" s="2" t="s">
        <v>64</v>
      </c>
      <c r="E154" s="2" t="s">
        <v>109</v>
      </c>
      <c r="F154" s="2" t="s">
        <v>66</v>
      </c>
      <c r="G154" s="2" t="s">
        <v>67</v>
      </c>
      <c r="H154" s="2" t="s">
        <v>498</v>
      </c>
      <c r="I154" s="2" t="s">
        <v>499</v>
      </c>
      <c r="J154" s="2" t="s">
        <v>500</v>
      </c>
      <c r="K154" s="2" t="s">
        <v>658</v>
      </c>
      <c r="L154" s="2" t="s">
        <v>306</v>
      </c>
      <c r="M154" s="2" t="s">
        <v>502</v>
      </c>
      <c r="N154" s="16">
        <v>2.5000000000000001E-2</v>
      </c>
      <c r="O154" s="17">
        <f>N154*'Financial Inputs'!$B$3</f>
        <v>2500000</v>
      </c>
      <c r="P154" s="18">
        <f>IF(I154="L",'Financial Inputs'!$B$4,IF(I154="M",'Financial Inputs'!$B$5,'Financial Inputs'!$B$6))</f>
        <v>0.7</v>
      </c>
      <c r="Q154" s="17">
        <f>O154*P154</f>
        <v>1750000</v>
      </c>
      <c r="R154" s="16">
        <f>'Financial Inputs'!$B$7</f>
        <v>0.35</v>
      </c>
      <c r="S154" s="17">
        <f>Q154*(1-R154)</f>
        <v>1137500</v>
      </c>
      <c r="T154" s="18">
        <f>S154/'Financial Inputs'!$B$3</f>
        <v>1.1375E-2</v>
      </c>
      <c r="U154" s="9" t="s">
        <v>52</v>
      </c>
      <c r="V154" s="3" t="s">
        <v>53</v>
      </c>
    </row>
    <row r="155" spans="1:22">
      <c r="A155" s="2" t="s">
        <v>659</v>
      </c>
      <c r="B155" s="2" t="s">
        <v>660</v>
      </c>
      <c r="C155" s="2" t="s">
        <v>497</v>
      </c>
      <c r="D155" s="2" t="s">
        <v>72</v>
      </c>
      <c r="E155" s="2" t="s">
        <v>116</v>
      </c>
      <c r="F155" s="2" t="s">
        <v>74</v>
      </c>
      <c r="G155" s="2" t="s">
        <v>75</v>
      </c>
      <c r="H155" s="2" t="s">
        <v>498</v>
      </c>
      <c r="I155" s="2" t="s">
        <v>499</v>
      </c>
      <c r="J155" s="2" t="s">
        <v>500</v>
      </c>
      <c r="K155" s="2" t="s">
        <v>661</v>
      </c>
      <c r="L155" s="2" t="s">
        <v>310</v>
      </c>
      <c r="M155" s="2" t="s">
        <v>502</v>
      </c>
      <c r="N155" s="16">
        <v>2.75E-2</v>
      </c>
      <c r="O155" s="17">
        <f>N155*'Financial Inputs'!$B$3</f>
        <v>2750000</v>
      </c>
      <c r="P155" s="18">
        <f>IF(I155="L",'Financial Inputs'!$B$4,IF(I155="M",'Financial Inputs'!$B$5,'Financial Inputs'!$B$6))</f>
        <v>0.7</v>
      </c>
      <c r="Q155" s="17">
        <f>O155*P155</f>
        <v>1924999.9999999998</v>
      </c>
      <c r="R155" s="16">
        <f>'Financial Inputs'!$B$7</f>
        <v>0.35</v>
      </c>
      <c r="S155" s="17">
        <f>Q155*(1-R155)</f>
        <v>1251250</v>
      </c>
      <c r="T155" s="18">
        <f>S155/'Financial Inputs'!$B$3</f>
        <v>1.2512499999999999E-2</v>
      </c>
      <c r="U155" s="9" t="s">
        <v>52</v>
      </c>
      <c r="V155" s="3" t="s">
        <v>53</v>
      </c>
    </row>
    <row r="156" spans="1:22">
      <c r="A156" s="2" t="s">
        <v>662</v>
      </c>
      <c r="B156" s="2" t="s">
        <v>663</v>
      </c>
      <c r="C156" s="2" t="s">
        <v>497</v>
      </c>
      <c r="D156" s="2" t="s">
        <v>80</v>
      </c>
      <c r="E156" s="2" t="s">
        <v>215</v>
      </c>
      <c r="F156" s="2" t="s">
        <v>82</v>
      </c>
      <c r="G156" s="2" t="s">
        <v>83</v>
      </c>
      <c r="H156" s="2" t="s">
        <v>498</v>
      </c>
      <c r="I156" s="2" t="s">
        <v>499</v>
      </c>
      <c r="J156" s="2" t="s">
        <v>500</v>
      </c>
      <c r="K156" s="2" t="s">
        <v>664</v>
      </c>
      <c r="L156" s="2" t="s">
        <v>314</v>
      </c>
      <c r="M156" s="2" t="s">
        <v>502</v>
      </c>
      <c r="N156" s="16">
        <v>3.0000000000000009E-2</v>
      </c>
      <c r="O156" s="17">
        <f>N156*'Financial Inputs'!$B$3</f>
        <v>3000000.0000000009</v>
      </c>
      <c r="P156" s="18">
        <f>IF(I156="L",'Financial Inputs'!$B$4,IF(I156="M",'Financial Inputs'!$B$5,'Financial Inputs'!$B$6))</f>
        <v>0.7</v>
      </c>
      <c r="Q156" s="17">
        <f>O156*P156</f>
        <v>2100000.0000000005</v>
      </c>
      <c r="R156" s="16">
        <f>'Financial Inputs'!$B$7</f>
        <v>0.35</v>
      </c>
      <c r="S156" s="17">
        <f>Q156*(1-R156)</f>
        <v>1365000.0000000005</v>
      </c>
      <c r="T156" s="18">
        <f>S156/'Financial Inputs'!$B$3</f>
        <v>1.3650000000000004E-2</v>
      </c>
      <c r="U156" s="9" t="s">
        <v>52</v>
      </c>
      <c r="V156" s="3" t="s">
        <v>53</v>
      </c>
    </row>
    <row r="157" spans="1:22">
      <c r="A157" s="2" t="s">
        <v>665</v>
      </c>
      <c r="B157" s="2" t="s">
        <v>666</v>
      </c>
      <c r="C157" s="2" t="s">
        <v>497</v>
      </c>
      <c r="D157" s="2" t="s">
        <v>88</v>
      </c>
      <c r="E157" s="2" t="s">
        <v>128</v>
      </c>
      <c r="F157" s="2" t="s">
        <v>90</v>
      </c>
      <c r="G157" s="2" t="s">
        <v>67</v>
      </c>
      <c r="H157" s="2" t="s">
        <v>498</v>
      </c>
      <c r="I157" s="2" t="s">
        <v>499</v>
      </c>
      <c r="J157" s="2" t="s">
        <v>500</v>
      </c>
      <c r="K157" s="2" t="s">
        <v>667</v>
      </c>
      <c r="L157" s="2" t="s">
        <v>318</v>
      </c>
      <c r="M157" s="2" t="s">
        <v>502</v>
      </c>
      <c r="N157" s="16">
        <v>0.02</v>
      </c>
      <c r="O157" s="17">
        <f>N157*'Financial Inputs'!$B$3</f>
        <v>2000000</v>
      </c>
      <c r="P157" s="18">
        <f>IF(I157="L",'Financial Inputs'!$B$4,IF(I157="M",'Financial Inputs'!$B$5,'Financial Inputs'!$B$6))</f>
        <v>0.7</v>
      </c>
      <c r="Q157" s="17">
        <f>O157*P157</f>
        <v>1400000</v>
      </c>
      <c r="R157" s="16">
        <f>'Financial Inputs'!$B$7</f>
        <v>0.35</v>
      </c>
      <c r="S157" s="17">
        <f>Q157*(1-R157)</f>
        <v>910000</v>
      </c>
      <c r="T157" s="18">
        <f>S157/'Financial Inputs'!$B$3</f>
        <v>9.1000000000000004E-3</v>
      </c>
      <c r="U157" s="9" t="s">
        <v>52</v>
      </c>
      <c r="V157" s="3" t="s">
        <v>53</v>
      </c>
    </row>
    <row r="158" spans="1:22">
      <c r="A158" s="2" t="s">
        <v>668</v>
      </c>
      <c r="B158" s="2" t="s">
        <v>669</v>
      </c>
      <c r="C158" s="2" t="s">
        <v>497</v>
      </c>
      <c r="D158" s="2" t="s">
        <v>95</v>
      </c>
      <c r="E158" s="2" t="s">
        <v>43</v>
      </c>
      <c r="F158" s="2" t="s">
        <v>97</v>
      </c>
      <c r="G158" s="2" t="s">
        <v>75</v>
      </c>
      <c r="H158" s="2" t="s">
        <v>498</v>
      </c>
      <c r="I158" s="2" t="s">
        <v>499</v>
      </c>
      <c r="J158" s="2" t="s">
        <v>500</v>
      </c>
      <c r="K158" s="2" t="s">
        <v>670</v>
      </c>
      <c r="L158" s="2" t="s">
        <v>322</v>
      </c>
      <c r="M158" s="2" t="s">
        <v>502</v>
      </c>
      <c r="N158" s="16">
        <v>2.2499999999999999E-2</v>
      </c>
      <c r="O158" s="17">
        <f>N158*'Financial Inputs'!$B$3</f>
        <v>2250000</v>
      </c>
      <c r="P158" s="18">
        <f>IF(I158="L",'Financial Inputs'!$B$4,IF(I158="M",'Financial Inputs'!$B$5,'Financial Inputs'!$B$6))</f>
        <v>0.7</v>
      </c>
      <c r="Q158" s="17">
        <f>O158*P158</f>
        <v>1575000</v>
      </c>
      <c r="R158" s="16">
        <f>'Financial Inputs'!$B$7</f>
        <v>0.35</v>
      </c>
      <c r="S158" s="17">
        <f>Q158*(1-R158)</f>
        <v>1023750</v>
      </c>
      <c r="T158" s="18">
        <f>S158/'Financial Inputs'!$B$3</f>
        <v>1.02375E-2</v>
      </c>
      <c r="U158" s="9" t="s">
        <v>52</v>
      </c>
      <c r="V158" s="3" t="s">
        <v>53</v>
      </c>
    </row>
    <row r="159" spans="1:22">
      <c r="A159" s="2" t="s">
        <v>671</v>
      </c>
      <c r="B159" s="2" t="s">
        <v>672</v>
      </c>
      <c r="C159" s="2" t="s">
        <v>497</v>
      </c>
      <c r="D159" s="2" t="s">
        <v>102</v>
      </c>
      <c r="E159" s="2" t="s">
        <v>57</v>
      </c>
      <c r="F159" s="2" t="s">
        <v>104</v>
      </c>
      <c r="G159" s="2" t="s">
        <v>83</v>
      </c>
      <c r="H159" s="2" t="s">
        <v>498</v>
      </c>
      <c r="I159" s="2" t="s">
        <v>499</v>
      </c>
      <c r="J159" s="2" t="s">
        <v>500</v>
      </c>
      <c r="K159" s="2" t="s">
        <v>673</v>
      </c>
      <c r="L159" s="2" t="s">
        <v>326</v>
      </c>
      <c r="M159" s="2" t="s">
        <v>502</v>
      </c>
      <c r="N159" s="16">
        <v>2.5000000000000001E-2</v>
      </c>
      <c r="O159" s="17">
        <f>N159*'Financial Inputs'!$B$3</f>
        <v>2500000</v>
      </c>
      <c r="P159" s="18">
        <f>IF(I159="L",'Financial Inputs'!$B$4,IF(I159="M",'Financial Inputs'!$B$5,'Financial Inputs'!$B$6))</f>
        <v>0.7</v>
      </c>
      <c r="Q159" s="17">
        <f>O159*P159</f>
        <v>1750000</v>
      </c>
      <c r="R159" s="16">
        <f>'Financial Inputs'!$B$7</f>
        <v>0.35</v>
      </c>
      <c r="S159" s="17">
        <f>Q159*(1-R159)</f>
        <v>1137500</v>
      </c>
      <c r="T159" s="18">
        <f>S159/'Financial Inputs'!$B$3</f>
        <v>1.1375E-2</v>
      </c>
      <c r="U159" s="9" t="s">
        <v>52</v>
      </c>
      <c r="V159" s="3" t="s">
        <v>53</v>
      </c>
    </row>
    <row r="160" spans="1:22">
      <c r="A160" s="2" t="s">
        <v>674</v>
      </c>
      <c r="B160" s="2" t="s">
        <v>675</v>
      </c>
      <c r="C160" s="2" t="s">
        <v>497</v>
      </c>
      <c r="D160" s="2" t="s">
        <v>42</v>
      </c>
      <c r="E160" s="2" t="s">
        <v>65</v>
      </c>
      <c r="F160" s="2" t="s">
        <v>110</v>
      </c>
      <c r="G160" s="2" t="s">
        <v>111</v>
      </c>
      <c r="H160" s="2" t="s">
        <v>498</v>
      </c>
      <c r="I160" s="2" t="s">
        <v>499</v>
      </c>
      <c r="J160" s="2" t="s">
        <v>500</v>
      </c>
      <c r="K160" s="2" t="s">
        <v>676</v>
      </c>
      <c r="L160" s="2" t="s">
        <v>330</v>
      </c>
      <c r="M160" s="2" t="s">
        <v>502</v>
      </c>
      <c r="N160" s="16">
        <v>2.75E-2</v>
      </c>
      <c r="O160" s="17">
        <f>N160*'Financial Inputs'!$B$3</f>
        <v>2750000</v>
      </c>
      <c r="P160" s="18">
        <f>IF(I160="L",'Financial Inputs'!$B$4,IF(I160="M",'Financial Inputs'!$B$5,'Financial Inputs'!$B$6))</f>
        <v>0.7</v>
      </c>
      <c r="Q160" s="17">
        <f>O160*P160</f>
        <v>1924999.9999999998</v>
      </c>
      <c r="R160" s="16">
        <f>'Financial Inputs'!$B$7</f>
        <v>0.35</v>
      </c>
      <c r="S160" s="17">
        <f>Q160*(1-R160)</f>
        <v>1251250</v>
      </c>
      <c r="T160" s="18">
        <f>S160/'Financial Inputs'!$B$3</f>
        <v>1.2512499999999999E-2</v>
      </c>
      <c r="U160" s="9" t="s">
        <v>52</v>
      </c>
      <c r="V160" s="3" t="s">
        <v>53</v>
      </c>
    </row>
    <row r="161" spans="1:22">
      <c r="A161" s="2" t="s">
        <v>677</v>
      </c>
      <c r="B161" s="2" t="s">
        <v>678</v>
      </c>
      <c r="C161" s="2" t="s">
        <v>497</v>
      </c>
      <c r="D161" s="2" t="s">
        <v>56</v>
      </c>
      <c r="E161" s="2" t="s">
        <v>73</v>
      </c>
      <c r="F161" s="2" t="s">
        <v>117</v>
      </c>
      <c r="G161" s="2" t="s">
        <v>56</v>
      </c>
      <c r="H161" s="2" t="s">
        <v>498</v>
      </c>
      <c r="I161" s="2" t="s">
        <v>499</v>
      </c>
      <c r="J161" s="2" t="s">
        <v>500</v>
      </c>
      <c r="K161" s="2" t="s">
        <v>679</v>
      </c>
      <c r="L161" s="2" t="s">
        <v>334</v>
      </c>
      <c r="M161" s="2" t="s">
        <v>502</v>
      </c>
      <c r="N161" s="16">
        <v>3.0000000000000009E-2</v>
      </c>
      <c r="O161" s="17">
        <f>N161*'Financial Inputs'!$B$3</f>
        <v>3000000.0000000009</v>
      </c>
      <c r="P161" s="18">
        <f>IF(I161="L",'Financial Inputs'!$B$4,IF(I161="M",'Financial Inputs'!$B$5,'Financial Inputs'!$B$6))</f>
        <v>0.7</v>
      </c>
      <c r="Q161" s="17">
        <f>O161*P161</f>
        <v>2100000.0000000005</v>
      </c>
      <c r="R161" s="16">
        <f>'Financial Inputs'!$B$7</f>
        <v>0.35</v>
      </c>
      <c r="S161" s="17">
        <f>Q161*(1-R161)</f>
        <v>1365000.0000000005</v>
      </c>
      <c r="T161" s="18">
        <f>S161/'Financial Inputs'!$B$3</f>
        <v>1.3650000000000004E-2</v>
      </c>
      <c r="U161" s="9" t="s">
        <v>52</v>
      </c>
      <c r="V161" s="3" t="s">
        <v>53</v>
      </c>
    </row>
    <row r="162" spans="1:22">
      <c r="A162" s="2" t="s">
        <v>680</v>
      </c>
      <c r="B162" s="2" t="s">
        <v>681</v>
      </c>
      <c r="C162" s="2" t="s">
        <v>497</v>
      </c>
      <c r="D162" s="2" t="s">
        <v>80</v>
      </c>
      <c r="E162" s="2" t="s">
        <v>153</v>
      </c>
      <c r="F162" s="2" t="s">
        <v>58</v>
      </c>
      <c r="G162" s="2" t="s">
        <v>83</v>
      </c>
      <c r="H162" s="2" t="s">
        <v>498</v>
      </c>
      <c r="I162" s="2" t="s">
        <v>499</v>
      </c>
      <c r="J162" s="2" t="s">
        <v>500</v>
      </c>
      <c r="K162" s="2" t="s">
        <v>682</v>
      </c>
      <c r="L162" s="2" t="s">
        <v>338</v>
      </c>
      <c r="M162" s="2" t="s">
        <v>502</v>
      </c>
      <c r="N162" s="16">
        <v>0.02</v>
      </c>
      <c r="O162" s="17">
        <f>N162*'Financial Inputs'!$B$3</f>
        <v>2000000</v>
      </c>
      <c r="P162" s="18">
        <f>IF(I162="L",'Financial Inputs'!$B$4,IF(I162="M",'Financial Inputs'!$B$5,'Financial Inputs'!$B$6))</f>
        <v>0.7</v>
      </c>
      <c r="Q162" s="17">
        <f>O162*P162</f>
        <v>1400000</v>
      </c>
      <c r="R162" s="16">
        <f>'Financial Inputs'!$B$7</f>
        <v>0.35</v>
      </c>
      <c r="S162" s="17">
        <f>Q162*(1-R162)</f>
        <v>910000</v>
      </c>
      <c r="T162" s="18">
        <f>S162/'Financial Inputs'!$B$3</f>
        <v>9.1000000000000004E-3</v>
      </c>
      <c r="U162" s="9" t="s">
        <v>52</v>
      </c>
      <c r="V162" s="3" t="s">
        <v>53</v>
      </c>
    </row>
    <row r="163" spans="1:22">
      <c r="A163" s="2" t="s">
        <v>683</v>
      </c>
      <c r="B163" s="2" t="s">
        <v>684</v>
      </c>
      <c r="C163" s="2" t="s">
        <v>497</v>
      </c>
      <c r="D163" s="2" t="s">
        <v>127</v>
      </c>
      <c r="E163" s="2" t="s">
        <v>89</v>
      </c>
      <c r="F163" s="2" t="s">
        <v>66</v>
      </c>
      <c r="G163" s="2" t="s">
        <v>111</v>
      </c>
      <c r="H163" s="2" t="s">
        <v>498</v>
      </c>
      <c r="I163" s="2" t="s">
        <v>499</v>
      </c>
      <c r="J163" s="2" t="s">
        <v>500</v>
      </c>
      <c r="K163" s="2" t="s">
        <v>685</v>
      </c>
      <c r="L163" s="2" t="s">
        <v>342</v>
      </c>
      <c r="M163" s="2" t="s">
        <v>502</v>
      </c>
      <c r="N163" s="16">
        <v>2.2499999999999999E-2</v>
      </c>
      <c r="O163" s="17">
        <f>N163*'Financial Inputs'!$B$3</f>
        <v>2250000</v>
      </c>
      <c r="P163" s="18">
        <f>IF(I163="L",'Financial Inputs'!$B$4,IF(I163="M",'Financial Inputs'!$B$5,'Financial Inputs'!$B$6))</f>
        <v>0.7</v>
      </c>
      <c r="Q163" s="17">
        <f>O163*P163</f>
        <v>1575000</v>
      </c>
      <c r="R163" s="16">
        <f>'Financial Inputs'!$B$7</f>
        <v>0.35</v>
      </c>
      <c r="S163" s="17">
        <f>Q163*(1-R163)</f>
        <v>1023750</v>
      </c>
      <c r="T163" s="18">
        <f>S163/'Financial Inputs'!$B$3</f>
        <v>1.02375E-2</v>
      </c>
      <c r="U163" s="9" t="s">
        <v>52</v>
      </c>
      <c r="V163" s="3" t="s">
        <v>53</v>
      </c>
    </row>
    <row r="164" spans="1:22">
      <c r="A164" s="2" t="s">
        <v>686</v>
      </c>
      <c r="B164" s="2" t="s">
        <v>687</v>
      </c>
      <c r="C164" s="2" t="s">
        <v>497</v>
      </c>
      <c r="D164" s="2" t="s">
        <v>133</v>
      </c>
      <c r="E164" s="2" t="s">
        <v>96</v>
      </c>
      <c r="F164" s="2" t="s">
        <v>74</v>
      </c>
      <c r="G164" s="2" t="s">
        <v>56</v>
      </c>
      <c r="H164" s="2" t="s">
        <v>498</v>
      </c>
      <c r="I164" s="2" t="s">
        <v>499</v>
      </c>
      <c r="J164" s="2" t="s">
        <v>500</v>
      </c>
      <c r="K164" s="2" t="s">
        <v>688</v>
      </c>
      <c r="L164" s="2" t="s">
        <v>346</v>
      </c>
      <c r="M164" s="2" t="s">
        <v>502</v>
      </c>
      <c r="N164" s="16">
        <v>2.5000000000000001E-2</v>
      </c>
      <c r="O164" s="17">
        <f>N164*'Financial Inputs'!$B$3</f>
        <v>2500000</v>
      </c>
      <c r="P164" s="18">
        <f>IF(I164="L",'Financial Inputs'!$B$4,IF(I164="M",'Financial Inputs'!$B$5,'Financial Inputs'!$B$6))</f>
        <v>0.7</v>
      </c>
      <c r="Q164" s="17">
        <f>O164*P164</f>
        <v>1750000</v>
      </c>
      <c r="R164" s="16">
        <f>'Financial Inputs'!$B$7</f>
        <v>0.35</v>
      </c>
      <c r="S164" s="17">
        <f>Q164*(1-R164)</f>
        <v>1137500</v>
      </c>
      <c r="T164" s="18">
        <f>S164/'Financial Inputs'!$B$3</f>
        <v>1.1375E-2</v>
      </c>
      <c r="U164" s="9" t="s">
        <v>52</v>
      </c>
      <c r="V164" s="3" t="s">
        <v>53</v>
      </c>
    </row>
    <row r="165" spans="1:22">
      <c r="A165" s="2" t="s">
        <v>689</v>
      </c>
      <c r="B165" s="2" t="s">
        <v>690</v>
      </c>
      <c r="C165" s="2" t="s">
        <v>497</v>
      </c>
      <c r="D165" s="2" t="s">
        <v>88</v>
      </c>
      <c r="E165" s="2" t="s">
        <v>103</v>
      </c>
      <c r="F165" s="2" t="s">
        <v>82</v>
      </c>
      <c r="G165" s="2" t="s">
        <v>138</v>
      </c>
      <c r="H165" s="2" t="s">
        <v>498</v>
      </c>
      <c r="I165" s="2" t="s">
        <v>499</v>
      </c>
      <c r="J165" s="2" t="s">
        <v>500</v>
      </c>
      <c r="K165" s="2" t="s">
        <v>691</v>
      </c>
      <c r="L165" s="2" t="s">
        <v>350</v>
      </c>
      <c r="M165" s="2" t="s">
        <v>502</v>
      </c>
      <c r="N165" s="16">
        <v>2.75E-2</v>
      </c>
      <c r="O165" s="17">
        <f>N165*'Financial Inputs'!$B$3</f>
        <v>2750000</v>
      </c>
      <c r="P165" s="18">
        <f>IF(I165="L",'Financial Inputs'!$B$4,IF(I165="M",'Financial Inputs'!$B$5,'Financial Inputs'!$B$6))</f>
        <v>0.7</v>
      </c>
      <c r="Q165" s="17">
        <f>O165*P165</f>
        <v>1924999.9999999998</v>
      </c>
      <c r="R165" s="16">
        <f>'Financial Inputs'!$B$7</f>
        <v>0.35</v>
      </c>
      <c r="S165" s="17">
        <f>Q165*(1-R165)</f>
        <v>1251250</v>
      </c>
      <c r="T165" s="18">
        <f>S165/'Financial Inputs'!$B$3</f>
        <v>1.2512499999999999E-2</v>
      </c>
      <c r="U165" s="9" t="s">
        <v>52</v>
      </c>
      <c r="V165" s="3" t="s">
        <v>53</v>
      </c>
    </row>
    <row r="166" spans="1:22">
      <c r="A166" s="2" t="s">
        <v>692</v>
      </c>
      <c r="B166" s="2" t="s">
        <v>693</v>
      </c>
      <c r="C166" s="2" t="s">
        <v>497</v>
      </c>
      <c r="D166" s="2" t="s">
        <v>95</v>
      </c>
      <c r="E166" s="2" t="s">
        <v>109</v>
      </c>
      <c r="F166" s="2" t="s">
        <v>44</v>
      </c>
      <c r="G166" s="2" t="s">
        <v>143</v>
      </c>
      <c r="H166" s="2" t="s">
        <v>498</v>
      </c>
      <c r="I166" s="2" t="s">
        <v>499</v>
      </c>
      <c r="J166" s="2" t="s">
        <v>500</v>
      </c>
      <c r="K166" s="2" t="s">
        <v>694</v>
      </c>
      <c r="L166" s="2" t="s">
        <v>354</v>
      </c>
      <c r="M166" s="2" t="s">
        <v>502</v>
      </c>
      <c r="N166" s="16">
        <v>3.0000000000000009E-2</v>
      </c>
      <c r="O166" s="17">
        <f>N166*'Financial Inputs'!$B$3</f>
        <v>3000000.0000000009</v>
      </c>
      <c r="P166" s="18">
        <f>IF(I166="L",'Financial Inputs'!$B$4,IF(I166="M",'Financial Inputs'!$B$5,'Financial Inputs'!$B$6))</f>
        <v>0.7</v>
      </c>
      <c r="Q166" s="17">
        <f>O166*P166</f>
        <v>2100000.0000000005</v>
      </c>
      <c r="R166" s="16">
        <f>'Financial Inputs'!$B$7</f>
        <v>0.35</v>
      </c>
      <c r="S166" s="17">
        <f>Q166*(1-R166)</f>
        <v>1365000.0000000005</v>
      </c>
      <c r="T166" s="18">
        <f>S166/'Financial Inputs'!$B$3</f>
        <v>1.3650000000000004E-2</v>
      </c>
      <c r="U166" s="9" t="s">
        <v>52</v>
      </c>
      <c r="V166" s="3" t="s">
        <v>53</v>
      </c>
    </row>
    <row r="167" spans="1:22">
      <c r="A167" s="2" t="s">
        <v>695</v>
      </c>
      <c r="B167" s="2" t="s">
        <v>696</v>
      </c>
      <c r="C167" s="2" t="s">
        <v>497</v>
      </c>
      <c r="D167" s="2" t="s">
        <v>56</v>
      </c>
      <c r="E167" s="2" t="s">
        <v>176</v>
      </c>
      <c r="F167" s="2" t="s">
        <v>97</v>
      </c>
      <c r="G167" s="2" t="s">
        <v>56</v>
      </c>
      <c r="H167" s="2" t="s">
        <v>498</v>
      </c>
      <c r="I167" s="2" t="s">
        <v>499</v>
      </c>
      <c r="J167" s="2" t="s">
        <v>500</v>
      </c>
      <c r="K167" s="2" t="s">
        <v>697</v>
      </c>
      <c r="L167" s="2" t="s">
        <v>358</v>
      </c>
      <c r="M167" s="2" t="s">
        <v>502</v>
      </c>
      <c r="N167" s="16">
        <v>0.02</v>
      </c>
      <c r="O167" s="17">
        <f>N167*'Financial Inputs'!$B$3</f>
        <v>2000000</v>
      </c>
      <c r="P167" s="18">
        <f>IF(I167="L",'Financial Inputs'!$B$4,IF(I167="M",'Financial Inputs'!$B$5,'Financial Inputs'!$B$6))</f>
        <v>0.7</v>
      </c>
      <c r="Q167" s="17">
        <f>O167*P167</f>
        <v>1400000</v>
      </c>
      <c r="R167" s="16">
        <f>'Financial Inputs'!$B$7</f>
        <v>0.35</v>
      </c>
      <c r="S167" s="17">
        <f>Q167*(1-R167)</f>
        <v>910000</v>
      </c>
      <c r="T167" s="18">
        <f>S167/'Financial Inputs'!$B$3</f>
        <v>9.1000000000000004E-3</v>
      </c>
      <c r="U167" s="9" t="s">
        <v>52</v>
      </c>
      <c r="V167" s="3" t="s">
        <v>53</v>
      </c>
    </row>
    <row r="168" spans="1:22">
      <c r="A168" s="2" t="s">
        <v>698</v>
      </c>
      <c r="B168" s="2" t="s">
        <v>699</v>
      </c>
      <c r="C168" s="2" t="s">
        <v>497</v>
      </c>
      <c r="D168" s="2" t="s">
        <v>64</v>
      </c>
      <c r="E168" s="2" t="s">
        <v>122</v>
      </c>
      <c r="F168" s="2" t="s">
        <v>104</v>
      </c>
      <c r="G168" s="2" t="s">
        <v>138</v>
      </c>
      <c r="H168" s="2" t="s">
        <v>498</v>
      </c>
      <c r="I168" s="2" t="s">
        <v>499</v>
      </c>
      <c r="J168" s="2" t="s">
        <v>500</v>
      </c>
      <c r="K168" s="2" t="s">
        <v>700</v>
      </c>
      <c r="L168" s="2" t="s">
        <v>362</v>
      </c>
      <c r="M168" s="2" t="s">
        <v>502</v>
      </c>
      <c r="N168" s="16">
        <v>2.2499999999999999E-2</v>
      </c>
      <c r="O168" s="17">
        <f>N168*'Financial Inputs'!$B$3</f>
        <v>2250000</v>
      </c>
      <c r="P168" s="18">
        <f>IF(I168="L",'Financial Inputs'!$B$4,IF(I168="M",'Financial Inputs'!$B$5,'Financial Inputs'!$B$6))</f>
        <v>0.7</v>
      </c>
      <c r="Q168" s="17">
        <f>O168*P168</f>
        <v>1575000</v>
      </c>
      <c r="R168" s="16">
        <f>'Financial Inputs'!$B$7</f>
        <v>0.35</v>
      </c>
      <c r="S168" s="17">
        <f>Q168*(1-R168)</f>
        <v>1023750</v>
      </c>
      <c r="T168" s="18">
        <f>S168/'Financial Inputs'!$B$3</f>
        <v>1.02375E-2</v>
      </c>
      <c r="U168" s="9" t="s">
        <v>52</v>
      </c>
      <c r="V168" s="3" t="s">
        <v>53</v>
      </c>
    </row>
    <row r="169" spans="1:22">
      <c r="A169" s="2" t="s">
        <v>701</v>
      </c>
      <c r="B169" s="2" t="s">
        <v>702</v>
      </c>
      <c r="C169" s="2" t="s">
        <v>497</v>
      </c>
      <c r="D169" s="2" t="s">
        <v>72</v>
      </c>
      <c r="E169" s="2" t="s">
        <v>128</v>
      </c>
      <c r="F169" s="2" t="s">
        <v>110</v>
      </c>
      <c r="G169" s="2" t="s">
        <v>143</v>
      </c>
      <c r="H169" s="2" t="s">
        <v>498</v>
      </c>
      <c r="I169" s="2" t="s">
        <v>499</v>
      </c>
      <c r="J169" s="2" t="s">
        <v>500</v>
      </c>
      <c r="K169" s="2" t="s">
        <v>703</v>
      </c>
      <c r="L169" s="2" t="s">
        <v>366</v>
      </c>
      <c r="M169" s="2" t="s">
        <v>502</v>
      </c>
      <c r="N169" s="16">
        <v>2.5000000000000001E-2</v>
      </c>
      <c r="O169" s="17">
        <f>N169*'Financial Inputs'!$B$3</f>
        <v>2500000</v>
      </c>
      <c r="P169" s="18">
        <f>IF(I169="L",'Financial Inputs'!$B$4,IF(I169="M",'Financial Inputs'!$B$5,'Financial Inputs'!$B$6))</f>
        <v>0.7</v>
      </c>
      <c r="Q169" s="17">
        <f>O169*P169</f>
        <v>1750000</v>
      </c>
      <c r="R169" s="16">
        <f>'Financial Inputs'!$B$7</f>
        <v>0.35</v>
      </c>
      <c r="S169" s="17">
        <f>Q169*(1-R169)</f>
        <v>1137500</v>
      </c>
      <c r="T169" s="18">
        <f>S169/'Financial Inputs'!$B$3</f>
        <v>1.1375E-2</v>
      </c>
      <c r="U169" s="9" t="s">
        <v>52</v>
      </c>
      <c r="V169" s="3" t="s">
        <v>53</v>
      </c>
    </row>
    <row r="170" spans="1:22">
      <c r="A170" s="2" t="s">
        <v>704</v>
      </c>
      <c r="B170" s="2" t="s">
        <v>705</v>
      </c>
      <c r="C170" s="2" t="s">
        <v>497</v>
      </c>
      <c r="D170" s="2" t="s">
        <v>80</v>
      </c>
      <c r="E170" s="2" t="s">
        <v>43</v>
      </c>
      <c r="F170" s="2" t="s">
        <v>117</v>
      </c>
      <c r="G170" s="2" t="s">
        <v>162</v>
      </c>
      <c r="H170" s="2" t="s">
        <v>498</v>
      </c>
      <c r="I170" s="2" t="s">
        <v>499</v>
      </c>
      <c r="J170" s="2" t="s">
        <v>500</v>
      </c>
      <c r="K170" s="2" t="s">
        <v>706</v>
      </c>
      <c r="L170" s="2" t="s">
        <v>370</v>
      </c>
      <c r="M170" s="2" t="s">
        <v>502</v>
      </c>
      <c r="N170" s="16">
        <v>2.75E-2</v>
      </c>
      <c r="O170" s="17">
        <f>N170*'Financial Inputs'!$B$3</f>
        <v>2750000</v>
      </c>
      <c r="P170" s="18">
        <f>IF(I170="L",'Financial Inputs'!$B$4,IF(I170="M",'Financial Inputs'!$B$5,'Financial Inputs'!$B$6))</f>
        <v>0.7</v>
      </c>
      <c r="Q170" s="17">
        <f>O170*P170</f>
        <v>1924999.9999999998</v>
      </c>
      <c r="R170" s="16">
        <f>'Financial Inputs'!$B$7</f>
        <v>0.35</v>
      </c>
      <c r="S170" s="17">
        <f>Q170*(1-R170)</f>
        <v>1251250</v>
      </c>
      <c r="T170" s="18">
        <f>S170/'Financial Inputs'!$B$3</f>
        <v>1.2512499999999999E-2</v>
      </c>
      <c r="U170" s="9" t="s">
        <v>52</v>
      </c>
      <c r="V170" s="3" t="s">
        <v>53</v>
      </c>
    </row>
    <row r="171" spans="1:22">
      <c r="A171" s="2" t="s">
        <v>707</v>
      </c>
      <c r="B171" s="2" t="s">
        <v>708</v>
      </c>
      <c r="C171" s="2" t="s">
        <v>497</v>
      </c>
      <c r="D171" s="2" t="s">
        <v>127</v>
      </c>
      <c r="E171" s="2" t="s">
        <v>57</v>
      </c>
      <c r="F171" s="2" t="s">
        <v>90</v>
      </c>
      <c r="G171" s="2" t="s">
        <v>45</v>
      </c>
      <c r="H171" s="2" t="s">
        <v>498</v>
      </c>
      <c r="I171" s="2" t="s">
        <v>499</v>
      </c>
      <c r="J171" s="2" t="s">
        <v>500</v>
      </c>
      <c r="K171" s="2" t="s">
        <v>709</v>
      </c>
      <c r="L171" s="2" t="s">
        <v>374</v>
      </c>
      <c r="M171" s="2" t="s">
        <v>502</v>
      </c>
      <c r="N171" s="16">
        <v>3.0000000000000009E-2</v>
      </c>
      <c r="O171" s="17">
        <f>N171*'Financial Inputs'!$B$3</f>
        <v>3000000.0000000009</v>
      </c>
      <c r="P171" s="18">
        <f>IF(I171="L",'Financial Inputs'!$B$4,IF(I171="M",'Financial Inputs'!$B$5,'Financial Inputs'!$B$6))</f>
        <v>0.7</v>
      </c>
      <c r="Q171" s="17">
        <f>O171*P171</f>
        <v>2100000.0000000005</v>
      </c>
      <c r="R171" s="16">
        <f>'Financial Inputs'!$B$7</f>
        <v>0.35</v>
      </c>
      <c r="S171" s="17">
        <f>Q171*(1-R171)</f>
        <v>1365000.0000000005</v>
      </c>
      <c r="T171" s="18">
        <f>S171/'Financial Inputs'!$B$3</f>
        <v>1.3650000000000004E-2</v>
      </c>
      <c r="U171" s="9" t="s">
        <v>52</v>
      </c>
      <c r="V171" s="3" t="s">
        <v>53</v>
      </c>
    </row>
    <row r="172" spans="1:22">
      <c r="A172" s="2" t="s">
        <v>710</v>
      </c>
      <c r="B172" s="2" t="s">
        <v>711</v>
      </c>
      <c r="C172" s="2" t="s">
        <v>497</v>
      </c>
      <c r="D172" s="2" t="s">
        <v>95</v>
      </c>
      <c r="E172" s="2" t="s">
        <v>198</v>
      </c>
      <c r="F172" s="2" t="s">
        <v>66</v>
      </c>
      <c r="G172" s="2" t="s">
        <v>143</v>
      </c>
      <c r="H172" s="2" t="s">
        <v>498</v>
      </c>
      <c r="I172" s="2" t="s">
        <v>499</v>
      </c>
      <c r="J172" s="2" t="s">
        <v>500</v>
      </c>
      <c r="K172" s="2" t="s">
        <v>712</v>
      </c>
      <c r="L172" s="2" t="s">
        <v>378</v>
      </c>
      <c r="M172" s="2" t="s">
        <v>502</v>
      </c>
      <c r="N172" s="16">
        <v>0.02</v>
      </c>
      <c r="O172" s="17">
        <f>N172*'Financial Inputs'!$B$3</f>
        <v>2000000</v>
      </c>
      <c r="P172" s="18">
        <f>IF(I172="L",'Financial Inputs'!$B$4,IF(I172="M",'Financial Inputs'!$B$5,'Financial Inputs'!$B$6))</f>
        <v>0.7</v>
      </c>
      <c r="Q172" s="17">
        <f>O172*P172</f>
        <v>1400000</v>
      </c>
      <c r="R172" s="16">
        <f>'Financial Inputs'!$B$7</f>
        <v>0.35</v>
      </c>
      <c r="S172" s="17">
        <f>Q172*(1-R172)</f>
        <v>910000</v>
      </c>
      <c r="T172" s="18">
        <f>S172/'Financial Inputs'!$B$3</f>
        <v>9.1000000000000004E-3</v>
      </c>
      <c r="U172" s="9" t="s">
        <v>52</v>
      </c>
      <c r="V172" s="3" t="s">
        <v>53</v>
      </c>
    </row>
    <row r="173" spans="1:22">
      <c r="A173" s="2" t="s">
        <v>713</v>
      </c>
      <c r="B173" s="2" t="s">
        <v>714</v>
      </c>
      <c r="C173" s="2" t="s">
        <v>497</v>
      </c>
      <c r="D173" s="2" t="s">
        <v>102</v>
      </c>
      <c r="E173" s="2" t="s">
        <v>148</v>
      </c>
      <c r="F173" s="2" t="s">
        <v>74</v>
      </c>
      <c r="G173" s="2" t="s">
        <v>162</v>
      </c>
      <c r="H173" s="2" t="s">
        <v>498</v>
      </c>
      <c r="I173" s="2" t="s">
        <v>499</v>
      </c>
      <c r="J173" s="2" t="s">
        <v>500</v>
      </c>
      <c r="K173" s="2" t="s">
        <v>715</v>
      </c>
      <c r="L173" s="2" t="s">
        <v>382</v>
      </c>
      <c r="M173" s="2" t="s">
        <v>502</v>
      </c>
      <c r="N173" s="16">
        <v>2.2499999999999999E-2</v>
      </c>
      <c r="O173" s="17">
        <f>N173*'Financial Inputs'!$B$3</f>
        <v>2250000</v>
      </c>
      <c r="P173" s="18">
        <f>IF(I173="L",'Financial Inputs'!$B$4,IF(I173="M",'Financial Inputs'!$B$5,'Financial Inputs'!$B$6))</f>
        <v>0.7</v>
      </c>
      <c r="Q173" s="17">
        <f>O173*P173</f>
        <v>1575000</v>
      </c>
      <c r="R173" s="16">
        <f>'Financial Inputs'!$B$7</f>
        <v>0.35</v>
      </c>
      <c r="S173" s="17">
        <f>Q173*(1-R173)</f>
        <v>1023750</v>
      </c>
      <c r="T173" s="18">
        <f>S173/'Financial Inputs'!$B$3</f>
        <v>1.02375E-2</v>
      </c>
      <c r="U173" s="9" t="s">
        <v>52</v>
      </c>
      <c r="V173" s="3" t="s">
        <v>53</v>
      </c>
    </row>
    <row r="174" spans="1:22">
      <c r="A174" s="2" t="s">
        <v>716</v>
      </c>
      <c r="B174" s="2" t="s">
        <v>717</v>
      </c>
      <c r="C174" s="2" t="s">
        <v>497</v>
      </c>
      <c r="D174" s="2" t="s">
        <v>42</v>
      </c>
      <c r="E174" s="2" t="s">
        <v>153</v>
      </c>
      <c r="F174" s="2" t="s">
        <v>82</v>
      </c>
      <c r="G174" s="2" t="s">
        <v>45</v>
      </c>
      <c r="H174" s="2" t="s">
        <v>498</v>
      </c>
      <c r="I174" s="2" t="s">
        <v>499</v>
      </c>
      <c r="J174" s="2" t="s">
        <v>500</v>
      </c>
      <c r="K174" s="2" t="s">
        <v>718</v>
      </c>
      <c r="L174" s="2" t="s">
        <v>386</v>
      </c>
      <c r="M174" s="2" t="s">
        <v>502</v>
      </c>
      <c r="N174" s="16">
        <v>2.5000000000000001E-2</v>
      </c>
      <c r="O174" s="17">
        <f>N174*'Financial Inputs'!$B$3</f>
        <v>2500000</v>
      </c>
      <c r="P174" s="18">
        <f>IF(I174="L",'Financial Inputs'!$B$4,IF(I174="M",'Financial Inputs'!$B$5,'Financial Inputs'!$B$6))</f>
        <v>0.7</v>
      </c>
      <c r="Q174" s="17">
        <f>O174*P174</f>
        <v>1750000</v>
      </c>
      <c r="R174" s="16">
        <f>'Financial Inputs'!$B$7</f>
        <v>0.35</v>
      </c>
      <c r="S174" s="17">
        <f>Q174*(1-R174)</f>
        <v>1137500</v>
      </c>
      <c r="T174" s="18">
        <f>S174/'Financial Inputs'!$B$3</f>
        <v>1.1375E-2</v>
      </c>
      <c r="U174" s="9" t="s">
        <v>52</v>
      </c>
      <c r="V174" s="3" t="s">
        <v>53</v>
      </c>
    </row>
    <row r="175" spans="1:22">
      <c r="A175" s="2" t="s">
        <v>719</v>
      </c>
      <c r="B175" s="2" t="s">
        <v>720</v>
      </c>
      <c r="C175" s="2" t="s">
        <v>497</v>
      </c>
      <c r="D175" s="2" t="s">
        <v>56</v>
      </c>
      <c r="E175" s="2" t="s">
        <v>89</v>
      </c>
      <c r="F175" s="2" t="s">
        <v>44</v>
      </c>
      <c r="G175" s="2" t="s">
        <v>59</v>
      </c>
      <c r="H175" s="2" t="s">
        <v>498</v>
      </c>
      <c r="I175" s="2" t="s">
        <v>499</v>
      </c>
      <c r="J175" s="2" t="s">
        <v>500</v>
      </c>
      <c r="K175" s="2" t="s">
        <v>721</v>
      </c>
      <c r="L175" s="2" t="s">
        <v>390</v>
      </c>
      <c r="M175" s="2" t="s">
        <v>502</v>
      </c>
      <c r="N175" s="16">
        <v>2.75E-2</v>
      </c>
      <c r="O175" s="17">
        <f>N175*'Financial Inputs'!$B$3</f>
        <v>2750000</v>
      </c>
      <c r="P175" s="18">
        <f>IF(I175="L",'Financial Inputs'!$B$4,IF(I175="M",'Financial Inputs'!$B$5,'Financial Inputs'!$B$6))</f>
        <v>0.7</v>
      </c>
      <c r="Q175" s="17">
        <f>O175*P175</f>
        <v>1924999.9999999998</v>
      </c>
      <c r="R175" s="16">
        <f>'Financial Inputs'!$B$7</f>
        <v>0.35</v>
      </c>
      <c r="S175" s="17">
        <f>Q175*(1-R175)</f>
        <v>1251250</v>
      </c>
      <c r="T175" s="18">
        <f>S175/'Financial Inputs'!$B$3</f>
        <v>1.2512499999999999E-2</v>
      </c>
      <c r="U175" s="9" t="s">
        <v>52</v>
      </c>
      <c r="V175" s="3" t="s">
        <v>53</v>
      </c>
    </row>
    <row r="176" spans="1:22">
      <c r="A176" s="2" t="s">
        <v>722</v>
      </c>
      <c r="B176" s="2" t="s">
        <v>723</v>
      </c>
      <c r="C176" s="2" t="s">
        <v>497</v>
      </c>
      <c r="D176" s="2" t="s">
        <v>64</v>
      </c>
      <c r="E176" s="2" t="s">
        <v>96</v>
      </c>
      <c r="F176" s="2" t="s">
        <v>58</v>
      </c>
      <c r="G176" s="2" t="s">
        <v>67</v>
      </c>
      <c r="H176" s="2" t="s">
        <v>498</v>
      </c>
      <c r="I176" s="2" t="s">
        <v>499</v>
      </c>
      <c r="J176" s="2" t="s">
        <v>500</v>
      </c>
      <c r="K176" s="2" t="s">
        <v>724</v>
      </c>
      <c r="L176" s="2" t="s">
        <v>394</v>
      </c>
      <c r="M176" s="2" t="s">
        <v>502</v>
      </c>
      <c r="N176" s="16">
        <v>3.0000000000000009E-2</v>
      </c>
      <c r="O176" s="17">
        <f>N176*'Financial Inputs'!$B$3</f>
        <v>3000000.0000000009</v>
      </c>
      <c r="P176" s="18">
        <f>IF(I176="L",'Financial Inputs'!$B$4,IF(I176="M",'Financial Inputs'!$B$5,'Financial Inputs'!$B$6))</f>
        <v>0.7</v>
      </c>
      <c r="Q176" s="17">
        <f>O176*P176</f>
        <v>2100000.0000000005</v>
      </c>
      <c r="R176" s="16">
        <f>'Financial Inputs'!$B$7</f>
        <v>0.35</v>
      </c>
      <c r="S176" s="17">
        <f>Q176*(1-R176)</f>
        <v>1365000.0000000005</v>
      </c>
      <c r="T176" s="18">
        <f>S176/'Financial Inputs'!$B$3</f>
        <v>1.3650000000000004E-2</v>
      </c>
      <c r="U176" s="9" t="s">
        <v>52</v>
      </c>
      <c r="V176" s="3" t="s">
        <v>53</v>
      </c>
    </row>
    <row r="177" spans="1:22">
      <c r="A177" s="2" t="s">
        <v>725</v>
      </c>
      <c r="B177" s="2" t="s">
        <v>726</v>
      </c>
      <c r="C177" s="2" t="s">
        <v>497</v>
      </c>
      <c r="D177" s="2" t="s">
        <v>127</v>
      </c>
      <c r="E177" s="2" t="s">
        <v>220</v>
      </c>
      <c r="F177" s="2" t="s">
        <v>104</v>
      </c>
      <c r="G177" s="2" t="s">
        <v>45</v>
      </c>
      <c r="H177" s="2" t="s">
        <v>498</v>
      </c>
      <c r="I177" s="2" t="s">
        <v>499</v>
      </c>
      <c r="J177" s="2" t="s">
        <v>500</v>
      </c>
      <c r="K177" s="2" t="s">
        <v>727</v>
      </c>
      <c r="L177" s="2" t="s">
        <v>398</v>
      </c>
      <c r="M177" s="2" t="s">
        <v>502</v>
      </c>
      <c r="N177" s="16">
        <v>0.02</v>
      </c>
      <c r="O177" s="17">
        <f>N177*'Financial Inputs'!$B$3</f>
        <v>2000000</v>
      </c>
      <c r="P177" s="18">
        <f>IF(I177="L",'Financial Inputs'!$B$4,IF(I177="M",'Financial Inputs'!$B$5,'Financial Inputs'!$B$6))</f>
        <v>0.7</v>
      </c>
      <c r="Q177" s="17">
        <f>O177*P177</f>
        <v>1400000</v>
      </c>
      <c r="R177" s="16">
        <f>'Financial Inputs'!$B$7</f>
        <v>0.35</v>
      </c>
      <c r="S177" s="17">
        <f>Q177*(1-R177)</f>
        <v>910000</v>
      </c>
      <c r="T177" s="18">
        <f>S177/'Financial Inputs'!$B$3</f>
        <v>9.1000000000000004E-3</v>
      </c>
      <c r="U177" s="9" t="s">
        <v>52</v>
      </c>
      <c r="V177" s="3" t="s">
        <v>53</v>
      </c>
    </row>
    <row r="178" spans="1:22">
      <c r="A178" s="2" t="s">
        <v>728</v>
      </c>
      <c r="B178" s="2" t="s">
        <v>729</v>
      </c>
      <c r="C178" s="2" t="s">
        <v>497</v>
      </c>
      <c r="D178" s="2" t="s">
        <v>133</v>
      </c>
      <c r="E178" s="2" t="s">
        <v>171</v>
      </c>
      <c r="F178" s="2" t="s">
        <v>110</v>
      </c>
      <c r="G178" s="2" t="s">
        <v>59</v>
      </c>
      <c r="H178" s="2" t="s">
        <v>498</v>
      </c>
      <c r="I178" s="2" t="s">
        <v>499</v>
      </c>
      <c r="J178" s="2" t="s">
        <v>500</v>
      </c>
      <c r="K178" s="2" t="s">
        <v>730</v>
      </c>
      <c r="L178" s="2" t="s">
        <v>402</v>
      </c>
      <c r="M178" s="2" t="s">
        <v>502</v>
      </c>
      <c r="N178" s="16">
        <v>2.2499999999999999E-2</v>
      </c>
      <c r="O178" s="17">
        <f>N178*'Financial Inputs'!$B$3</f>
        <v>2250000</v>
      </c>
      <c r="P178" s="18">
        <f>IF(I178="L",'Financial Inputs'!$B$4,IF(I178="M",'Financial Inputs'!$B$5,'Financial Inputs'!$B$6))</f>
        <v>0.7</v>
      </c>
      <c r="Q178" s="17">
        <f>O178*P178</f>
        <v>1575000</v>
      </c>
      <c r="R178" s="16">
        <f>'Financial Inputs'!$B$7</f>
        <v>0.35</v>
      </c>
      <c r="S178" s="17">
        <f>Q178*(1-R178)</f>
        <v>1023750</v>
      </c>
      <c r="T178" s="18">
        <f>S178/'Financial Inputs'!$B$3</f>
        <v>1.02375E-2</v>
      </c>
      <c r="U178" s="9" t="s">
        <v>52</v>
      </c>
      <c r="V178" s="3" t="s">
        <v>53</v>
      </c>
    </row>
    <row r="179" spans="1:22">
      <c r="A179" s="2" t="s">
        <v>731</v>
      </c>
      <c r="B179" s="2" t="s">
        <v>732</v>
      </c>
      <c r="C179" s="2" t="s">
        <v>497</v>
      </c>
      <c r="D179" s="2" t="s">
        <v>88</v>
      </c>
      <c r="E179" s="2" t="s">
        <v>176</v>
      </c>
      <c r="F179" s="2" t="s">
        <v>117</v>
      </c>
      <c r="G179" s="2" t="s">
        <v>67</v>
      </c>
      <c r="H179" s="2" t="s">
        <v>498</v>
      </c>
      <c r="I179" s="2" t="s">
        <v>499</v>
      </c>
      <c r="J179" s="2" t="s">
        <v>500</v>
      </c>
      <c r="K179" s="2" t="s">
        <v>733</v>
      </c>
      <c r="L179" s="2" t="s">
        <v>406</v>
      </c>
      <c r="M179" s="2" t="s">
        <v>502</v>
      </c>
      <c r="N179" s="16">
        <v>2.5000000000000001E-2</v>
      </c>
      <c r="O179" s="17">
        <f>N179*'Financial Inputs'!$B$3</f>
        <v>2500000</v>
      </c>
      <c r="P179" s="18">
        <f>IF(I179="L",'Financial Inputs'!$B$4,IF(I179="M",'Financial Inputs'!$B$5,'Financial Inputs'!$B$6))</f>
        <v>0.7</v>
      </c>
      <c r="Q179" s="17">
        <f>O179*P179</f>
        <v>1750000</v>
      </c>
      <c r="R179" s="16">
        <f>'Financial Inputs'!$B$7</f>
        <v>0.35</v>
      </c>
      <c r="S179" s="17">
        <f>Q179*(1-R179)</f>
        <v>1137500</v>
      </c>
      <c r="T179" s="18">
        <f>S179/'Financial Inputs'!$B$3</f>
        <v>1.1375E-2</v>
      </c>
      <c r="U179" s="9" t="s">
        <v>52</v>
      </c>
      <c r="V179" s="3" t="s">
        <v>53</v>
      </c>
    </row>
    <row r="180" spans="1:22">
      <c r="A180" s="2" t="s">
        <v>734</v>
      </c>
      <c r="B180" s="2" t="s">
        <v>735</v>
      </c>
      <c r="C180" s="2" t="s">
        <v>497</v>
      </c>
      <c r="D180" s="2" t="s">
        <v>95</v>
      </c>
      <c r="E180" s="2" t="s">
        <v>122</v>
      </c>
      <c r="F180" s="2" t="s">
        <v>90</v>
      </c>
      <c r="G180" s="2" t="s">
        <v>75</v>
      </c>
      <c r="H180" s="2" t="s">
        <v>498</v>
      </c>
      <c r="I180" s="2" t="s">
        <v>499</v>
      </c>
      <c r="J180" s="2" t="s">
        <v>500</v>
      </c>
      <c r="K180" s="2" t="s">
        <v>736</v>
      </c>
      <c r="L180" s="2" t="s">
        <v>410</v>
      </c>
      <c r="M180" s="2" t="s">
        <v>502</v>
      </c>
      <c r="N180" s="16">
        <v>2.75E-2</v>
      </c>
      <c r="O180" s="17">
        <f>N180*'Financial Inputs'!$B$3</f>
        <v>2750000</v>
      </c>
      <c r="P180" s="18">
        <f>IF(I180="L",'Financial Inputs'!$B$4,IF(I180="M",'Financial Inputs'!$B$5,'Financial Inputs'!$B$6))</f>
        <v>0.7</v>
      </c>
      <c r="Q180" s="17">
        <f>O180*P180</f>
        <v>1924999.9999999998</v>
      </c>
      <c r="R180" s="16">
        <f>'Financial Inputs'!$B$7</f>
        <v>0.35</v>
      </c>
      <c r="S180" s="17">
        <f>Q180*(1-R180)</f>
        <v>1251250</v>
      </c>
      <c r="T180" s="18">
        <f>S180/'Financial Inputs'!$B$3</f>
        <v>1.2512499999999999E-2</v>
      </c>
      <c r="U180" s="9" t="s">
        <v>52</v>
      </c>
      <c r="V180" s="3" t="s">
        <v>53</v>
      </c>
    </row>
    <row r="181" spans="1:22">
      <c r="A181" s="2" t="s">
        <v>737</v>
      </c>
      <c r="B181" s="2" t="s">
        <v>738</v>
      </c>
      <c r="C181" s="2" t="s">
        <v>497</v>
      </c>
      <c r="D181" s="2" t="s">
        <v>102</v>
      </c>
      <c r="E181" s="2" t="s">
        <v>128</v>
      </c>
      <c r="F181" s="2" t="s">
        <v>97</v>
      </c>
      <c r="G181" s="2" t="s">
        <v>83</v>
      </c>
      <c r="H181" s="2" t="s">
        <v>498</v>
      </c>
      <c r="I181" s="2" t="s">
        <v>499</v>
      </c>
      <c r="J181" s="2" t="s">
        <v>500</v>
      </c>
      <c r="K181" s="2" t="s">
        <v>739</v>
      </c>
      <c r="L181" s="2" t="s">
        <v>414</v>
      </c>
      <c r="M181" s="2" t="s">
        <v>502</v>
      </c>
      <c r="N181" s="16">
        <v>3.0000000000000009E-2</v>
      </c>
      <c r="O181" s="17">
        <f>N181*'Financial Inputs'!$B$3</f>
        <v>3000000.0000000009</v>
      </c>
      <c r="P181" s="18">
        <f>IF(I181="L",'Financial Inputs'!$B$4,IF(I181="M",'Financial Inputs'!$B$5,'Financial Inputs'!$B$6))</f>
        <v>0.7</v>
      </c>
      <c r="Q181" s="17">
        <f>O181*P181</f>
        <v>2100000.0000000005</v>
      </c>
      <c r="R181" s="16">
        <f>'Financial Inputs'!$B$7</f>
        <v>0.35</v>
      </c>
      <c r="S181" s="17">
        <f>Q181*(1-R181)</f>
        <v>1365000.0000000005</v>
      </c>
      <c r="T181" s="18">
        <f>S181/'Financial Inputs'!$B$3</f>
        <v>1.3650000000000004E-2</v>
      </c>
      <c r="U181" s="9" t="s">
        <v>52</v>
      </c>
      <c r="V181" s="3" t="s">
        <v>53</v>
      </c>
    </row>
    <row r="182" spans="1:22">
      <c r="A182" s="2" t="s">
        <v>740</v>
      </c>
      <c r="B182" s="2" t="s">
        <v>741</v>
      </c>
      <c r="C182" s="2" t="s">
        <v>497</v>
      </c>
      <c r="D182" s="2" t="s">
        <v>64</v>
      </c>
      <c r="E182" s="2" t="s">
        <v>81</v>
      </c>
      <c r="F182" s="2" t="s">
        <v>74</v>
      </c>
      <c r="G182" s="2" t="s">
        <v>67</v>
      </c>
      <c r="H182" s="2" t="s">
        <v>498</v>
      </c>
      <c r="I182" s="2" t="s">
        <v>499</v>
      </c>
      <c r="J182" s="2" t="s">
        <v>500</v>
      </c>
      <c r="K182" s="2" t="s">
        <v>742</v>
      </c>
      <c r="L182" s="2" t="s">
        <v>418</v>
      </c>
      <c r="M182" s="2" t="s">
        <v>502</v>
      </c>
      <c r="N182" s="16">
        <v>0.02</v>
      </c>
      <c r="O182" s="17">
        <f>N182*'Financial Inputs'!$B$3</f>
        <v>2000000</v>
      </c>
      <c r="P182" s="18">
        <f>IF(I182="L",'Financial Inputs'!$B$4,IF(I182="M",'Financial Inputs'!$B$5,'Financial Inputs'!$B$6))</f>
        <v>0.7</v>
      </c>
      <c r="Q182" s="17">
        <f>O182*P182</f>
        <v>1400000</v>
      </c>
      <c r="R182" s="16">
        <f>'Financial Inputs'!$B$7</f>
        <v>0.35</v>
      </c>
      <c r="S182" s="17">
        <f>Q182*(1-R182)</f>
        <v>910000</v>
      </c>
      <c r="T182" s="18">
        <f>S182/'Financial Inputs'!$B$3</f>
        <v>9.1000000000000004E-3</v>
      </c>
      <c r="U182" s="9" t="s">
        <v>52</v>
      </c>
      <c r="V182" s="3" t="s">
        <v>53</v>
      </c>
    </row>
    <row r="183" spans="1:22">
      <c r="A183" s="2" t="s">
        <v>743</v>
      </c>
      <c r="B183" s="2" t="s">
        <v>744</v>
      </c>
      <c r="C183" s="2" t="s">
        <v>497</v>
      </c>
      <c r="D183" s="2" t="s">
        <v>72</v>
      </c>
      <c r="E183" s="2" t="s">
        <v>193</v>
      </c>
      <c r="F183" s="2" t="s">
        <v>82</v>
      </c>
      <c r="G183" s="2" t="s">
        <v>75</v>
      </c>
      <c r="H183" s="2" t="s">
        <v>498</v>
      </c>
      <c r="I183" s="2" t="s">
        <v>499</v>
      </c>
      <c r="J183" s="2" t="s">
        <v>500</v>
      </c>
      <c r="K183" s="2" t="s">
        <v>745</v>
      </c>
      <c r="L183" s="2" t="s">
        <v>422</v>
      </c>
      <c r="M183" s="2" t="s">
        <v>502</v>
      </c>
      <c r="N183" s="16">
        <v>2.2499999999999999E-2</v>
      </c>
      <c r="O183" s="17">
        <f>N183*'Financial Inputs'!$B$3</f>
        <v>2250000</v>
      </c>
      <c r="P183" s="18">
        <f>IF(I183="L",'Financial Inputs'!$B$4,IF(I183="M",'Financial Inputs'!$B$5,'Financial Inputs'!$B$6))</f>
        <v>0.7</v>
      </c>
      <c r="Q183" s="17">
        <f>O183*P183</f>
        <v>1575000</v>
      </c>
      <c r="R183" s="16">
        <f>'Financial Inputs'!$B$7</f>
        <v>0.35</v>
      </c>
      <c r="S183" s="17">
        <f>Q183*(1-R183)</f>
        <v>1023750</v>
      </c>
      <c r="T183" s="18">
        <f>S183/'Financial Inputs'!$B$3</f>
        <v>1.02375E-2</v>
      </c>
      <c r="U183" s="9" t="s">
        <v>52</v>
      </c>
      <c r="V183" s="3" t="s">
        <v>53</v>
      </c>
    </row>
    <row r="184" spans="1:22">
      <c r="A184" s="2" t="s">
        <v>746</v>
      </c>
      <c r="B184" s="2" t="s">
        <v>747</v>
      </c>
      <c r="C184" s="2" t="s">
        <v>497</v>
      </c>
      <c r="D184" s="2" t="s">
        <v>80</v>
      </c>
      <c r="E184" s="2" t="s">
        <v>198</v>
      </c>
      <c r="F184" s="2" t="s">
        <v>44</v>
      </c>
      <c r="G184" s="2" t="s">
        <v>83</v>
      </c>
      <c r="H184" s="2" t="s">
        <v>498</v>
      </c>
      <c r="I184" s="2" t="s">
        <v>499</v>
      </c>
      <c r="J184" s="2" t="s">
        <v>500</v>
      </c>
      <c r="K184" s="2" t="s">
        <v>748</v>
      </c>
      <c r="L184" s="2" t="s">
        <v>426</v>
      </c>
      <c r="M184" s="2" t="s">
        <v>502</v>
      </c>
      <c r="N184" s="16">
        <v>2.5000000000000001E-2</v>
      </c>
      <c r="O184" s="17">
        <f>N184*'Financial Inputs'!$B$3</f>
        <v>2500000</v>
      </c>
      <c r="P184" s="18">
        <f>IF(I184="L",'Financial Inputs'!$B$4,IF(I184="M",'Financial Inputs'!$B$5,'Financial Inputs'!$B$6))</f>
        <v>0.7</v>
      </c>
      <c r="Q184" s="17">
        <f>O184*P184</f>
        <v>1750000</v>
      </c>
      <c r="R184" s="16">
        <f>'Financial Inputs'!$B$7</f>
        <v>0.35</v>
      </c>
      <c r="S184" s="17">
        <f>Q184*(1-R184)</f>
        <v>1137500</v>
      </c>
      <c r="T184" s="18">
        <f>S184/'Financial Inputs'!$B$3</f>
        <v>1.1375E-2</v>
      </c>
      <c r="U184" s="9" t="s">
        <v>52</v>
      </c>
      <c r="V184" s="3" t="s">
        <v>53</v>
      </c>
    </row>
    <row r="185" spans="1:22">
      <c r="A185" s="2" t="s">
        <v>749</v>
      </c>
      <c r="B185" s="2" t="s">
        <v>750</v>
      </c>
      <c r="C185" s="2" t="s">
        <v>497</v>
      </c>
      <c r="D185" s="2" t="s">
        <v>127</v>
      </c>
      <c r="E185" s="2" t="s">
        <v>148</v>
      </c>
      <c r="F185" s="2" t="s">
        <v>58</v>
      </c>
      <c r="G185" s="2" t="s">
        <v>111</v>
      </c>
      <c r="H185" s="2" t="s">
        <v>498</v>
      </c>
      <c r="I185" s="2" t="s">
        <v>499</v>
      </c>
      <c r="J185" s="2" t="s">
        <v>500</v>
      </c>
      <c r="K185" s="2" t="s">
        <v>751</v>
      </c>
      <c r="L185" s="2" t="s">
        <v>430</v>
      </c>
      <c r="M185" s="2" t="s">
        <v>502</v>
      </c>
      <c r="N185" s="16">
        <v>2.75E-2</v>
      </c>
      <c r="O185" s="17">
        <f>N185*'Financial Inputs'!$B$3</f>
        <v>2750000</v>
      </c>
      <c r="P185" s="18">
        <f>IF(I185="L",'Financial Inputs'!$B$4,IF(I185="M",'Financial Inputs'!$B$5,'Financial Inputs'!$B$6))</f>
        <v>0.7</v>
      </c>
      <c r="Q185" s="17">
        <f>O185*P185</f>
        <v>1924999.9999999998</v>
      </c>
      <c r="R185" s="16">
        <f>'Financial Inputs'!$B$7</f>
        <v>0.35</v>
      </c>
      <c r="S185" s="17">
        <f>Q185*(1-R185)</f>
        <v>1251250</v>
      </c>
      <c r="T185" s="18">
        <f>S185/'Financial Inputs'!$B$3</f>
        <v>1.2512499999999999E-2</v>
      </c>
      <c r="U185" s="9" t="s">
        <v>52</v>
      </c>
      <c r="V185" s="3" t="s">
        <v>53</v>
      </c>
    </row>
    <row r="186" spans="1:22">
      <c r="A186" s="2" t="s">
        <v>752</v>
      </c>
      <c r="B186" s="2" t="s">
        <v>753</v>
      </c>
      <c r="C186" s="2" t="s">
        <v>497</v>
      </c>
      <c r="D186" s="2" t="s">
        <v>133</v>
      </c>
      <c r="E186" s="2" t="s">
        <v>153</v>
      </c>
      <c r="F186" s="2" t="s">
        <v>66</v>
      </c>
      <c r="G186" s="2" t="s">
        <v>56</v>
      </c>
      <c r="H186" s="2" t="s">
        <v>498</v>
      </c>
      <c r="I186" s="2" t="s">
        <v>499</v>
      </c>
      <c r="J186" s="2" t="s">
        <v>500</v>
      </c>
      <c r="K186" s="2" t="s">
        <v>754</v>
      </c>
      <c r="L186" s="2" t="s">
        <v>434</v>
      </c>
      <c r="M186" s="2" t="s">
        <v>502</v>
      </c>
      <c r="N186" s="16">
        <v>3.0000000000000009E-2</v>
      </c>
      <c r="O186" s="17">
        <f>N186*'Financial Inputs'!$B$3</f>
        <v>3000000.0000000009</v>
      </c>
      <c r="P186" s="18">
        <f>IF(I186="L",'Financial Inputs'!$B$4,IF(I186="M",'Financial Inputs'!$B$5,'Financial Inputs'!$B$6))</f>
        <v>0.7</v>
      </c>
      <c r="Q186" s="17">
        <f>O186*P186</f>
        <v>2100000.0000000005</v>
      </c>
      <c r="R186" s="16">
        <f>'Financial Inputs'!$B$7</f>
        <v>0.35</v>
      </c>
      <c r="S186" s="17">
        <f>Q186*(1-R186)</f>
        <v>1365000.0000000005</v>
      </c>
      <c r="T186" s="18">
        <f>S186/'Financial Inputs'!$B$3</f>
        <v>1.3650000000000004E-2</v>
      </c>
      <c r="U186" s="9" t="s">
        <v>52</v>
      </c>
      <c r="V186" s="3" t="s">
        <v>53</v>
      </c>
    </row>
    <row r="187" spans="1:22">
      <c r="A187" s="2" t="s">
        <v>755</v>
      </c>
      <c r="B187" s="2" t="s">
        <v>756</v>
      </c>
      <c r="C187" s="2" t="s">
        <v>497</v>
      </c>
      <c r="D187" s="2" t="s">
        <v>102</v>
      </c>
      <c r="E187" s="2" t="s">
        <v>116</v>
      </c>
      <c r="F187" s="2" t="s">
        <v>110</v>
      </c>
      <c r="G187" s="2" t="s">
        <v>83</v>
      </c>
      <c r="H187" s="2" t="s">
        <v>498</v>
      </c>
      <c r="I187" s="2" t="s">
        <v>499</v>
      </c>
      <c r="J187" s="2" t="s">
        <v>500</v>
      </c>
      <c r="K187" s="2" t="s">
        <v>757</v>
      </c>
      <c r="L187" s="2" t="s">
        <v>438</v>
      </c>
      <c r="M187" s="2" t="s">
        <v>502</v>
      </c>
      <c r="N187" s="16">
        <v>0.02</v>
      </c>
      <c r="O187" s="17">
        <f>N187*'Financial Inputs'!$B$3</f>
        <v>2000000</v>
      </c>
      <c r="P187" s="18">
        <f>IF(I187="L",'Financial Inputs'!$B$4,IF(I187="M",'Financial Inputs'!$B$5,'Financial Inputs'!$B$6))</f>
        <v>0.7</v>
      </c>
      <c r="Q187" s="17">
        <f>O187*P187</f>
        <v>1400000</v>
      </c>
      <c r="R187" s="16">
        <f>'Financial Inputs'!$B$7</f>
        <v>0.35</v>
      </c>
      <c r="S187" s="17">
        <f>Q187*(1-R187)</f>
        <v>910000</v>
      </c>
      <c r="T187" s="18">
        <f>S187/'Financial Inputs'!$B$3</f>
        <v>9.1000000000000004E-3</v>
      </c>
      <c r="U187" s="9" t="s">
        <v>52</v>
      </c>
      <c r="V187" s="3" t="s">
        <v>53</v>
      </c>
    </row>
    <row r="188" spans="1:22">
      <c r="A188" s="2" t="s">
        <v>758</v>
      </c>
      <c r="B188" s="2" t="s">
        <v>759</v>
      </c>
      <c r="C188" s="2" t="s">
        <v>497</v>
      </c>
      <c r="D188" s="2" t="s">
        <v>42</v>
      </c>
      <c r="E188" s="2" t="s">
        <v>215</v>
      </c>
      <c r="F188" s="2" t="s">
        <v>117</v>
      </c>
      <c r="G188" s="2" t="s">
        <v>111</v>
      </c>
      <c r="H188" s="2" t="s">
        <v>498</v>
      </c>
      <c r="I188" s="2" t="s">
        <v>499</v>
      </c>
      <c r="J188" s="2" t="s">
        <v>500</v>
      </c>
      <c r="K188" s="2" t="s">
        <v>760</v>
      </c>
      <c r="L188" s="2" t="s">
        <v>442</v>
      </c>
      <c r="M188" s="2" t="s">
        <v>502</v>
      </c>
      <c r="N188" s="16">
        <v>2.2499999999999999E-2</v>
      </c>
      <c r="O188" s="17">
        <f>N188*'Financial Inputs'!$B$3</f>
        <v>2250000</v>
      </c>
      <c r="P188" s="18">
        <f>IF(I188="L",'Financial Inputs'!$B$4,IF(I188="M",'Financial Inputs'!$B$5,'Financial Inputs'!$B$6))</f>
        <v>0.7</v>
      </c>
      <c r="Q188" s="17">
        <f>O188*P188</f>
        <v>1575000</v>
      </c>
      <c r="R188" s="16">
        <f>'Financial Inputs'!$B$7</f>
        <v>0.35</v>
      </c>
      <c r="S188" s="17">
        <f>Q188*(1-R188)</f>
        <v>1023750</v>
      </c>
      <c r="T188" s="18">
        <f>S188/'Financial Inputs'!$B$3</f>
        <v>1.02375E-2</v>
      </c>
      <c r="U188" s="9" t="s">
        <v>52</v>
      </c>
      <c r="V188" s="3" t="s">
        <v>53</v>
      </c>
    </row>
    <row r="189" spans="1:22">
      <c r="A189" s="2" t="s">
        <v>761</v>
      </c>
      <c r="B189" s="2" t="s">
        <v>762</v>
      </c>
      <c r="C189" s="2" t="s">
        <v>497</v>
      </c>
      <c r="D189" s="2" t="s">
        <v>56</v>
      </c>
      <c r="E189" s="2" t="s">
        <v>220</v>
      </c>
      <c r="F189" s="2" t="s">
        <v>90</v>
      </c>
      <c r="G189" s="2" t="s">
        <v>56</v>
      </c>
      <c r="H189" s="2" t="s">
        <v>498</v>
      </c>
      <c r="I189" s="2" t="s">
        <v>499</v>
      </c>
      <c r="J189" s="2" t="s">
        <v>500</v>
      </c>
      <c r="K189" s="2" t="s">
        <v>763</v>
      </c>
      <c r="L189" s="2" t="s">
        <v>446</v>
      </c>
      <c r="M189" s="2" t="s">
        <v>502</v>
      </c>
      <c r="N189" s="16">
        <v>2.5000000000000001E-2</v>
      </c>
      <c r="O189" s="17">
        <f>N189*'Financial Inputs'!$B$3</f>
        <v>2500000</v>
      </c>
      <c r="P189" s="18">
        <f>IF(I189="L",'Financial Inputs'!$B$4,IF(I189="M",'Financial Inputs'!$B$5,'Financial Inputs'!$B$6))</f>
        <v>0.7</v>
      </c>
      <c r="Q189" s="17">
        <f>O189*P189</f>
        <v>1750000</v>
      </c>
      <c r="R189" s="16">
        <f>'Financial Inputs'!$B$7</f>
        <v>0.35</v>
      </c>
      <c r="S189" s="17">
        <f>Q189*(1-R189)</f>
        <v>1137500</v>
      </c>
      <c r="T189" s="18">
        <f>S189/'Financial Inputs'!$B$3</f>
        <v>1.1375E-2</v>
      </c>
      <c r="U189" s="9" t="s">
        <v>52</v>
      </c>
      <c r="V189" s="3" t="s">
        <v>53</v>
      </c>
    </row>
    <row r="190" spans="1:22">
      <c r="A190" s="2" t="s">
        <v>764</v>
      </c>
      <c r="B190" s="2" t="s">
        <v>765</v>
      </c>
      <c r="C190" s="2" t="s">
        <v>497</v>
      </c>
      <c r="D190" s="2" t="s">
        <v>64</v>
      </c>
      <c r="E190" s="2" t="s">
        <v>171</v>
      </c>
      <c r="F190" s="2" t="s">
        <v>97</v>
      </c>
      <c r="G190" s="2" t="s">
        <v>138</v>
      </c>
      <c r="H190" s="2" t="s">
        <v>498</v>
      </c>
      <c r="I190" s="2" t="s">
        <v>499</v>
      </c>
      <c r="J190" s="2" t="s">
        <v>500</v>
      </c>
      <c r="K190" s="2" t="s">
        <v>766</v>
      </c>
      <c r="L190" s="2" t="s">
        <v>450</v>
      </c>
      <c r="M190" s="2" t="s">
        <v>502</v>
      </c>
      <c r="N190" s="16">
        <v>2.75E-2</v>
      </c>
      <c r="O190" s="17">
        <f>N190*'Financial Inputs'!$B$3</f>
        <v>2750000</v>
      </c>
      <c r="P190" s="18">
        <f>IF(I190="L",'Financial Inputs'!$B$4,IF(I190="M",'Financial Inputs'!$B$5,'Financial Inputs'!$B$6))</f>
        <v>0.7</v>
      </c>
      <c r="Q190" s="17">
        <f>O190*P190</f>
        <v>1924999.9999999998</v>
      </c>
      <c r="R190" s="16">
        <f>'Financial Inputs'!$B$7</f>
        <v>0.35</v>
      </c>
      <c r="S190" s="17">
        <f>Q190*(1-R190)</f>
        <v>1251250</v>
      </c>
      <c r="T190" s="18">
        <f>S190/'Financial Inputs'!$B$3</f>
        <v>1.2512499999999999E-2</v>
      </c>
      <c r="U190" s="9" t="s">
        <v>52</v>
      </c>
      <c r="V190" s="3" t="s">
        <v>53</v>
      </c>
    </row>
    <row r="191" spans="1:22">
      <c r="A191" s="2" t="s">
        <v>767</v>
      </c>
      <c r="B191" s="2" t="s">
        <v>768</v>
      </c>
      <c r="C191" s="2" t="s">
        <v>497</v>
      </c>
      <c r="D191" s="2" t="s">
        <v>72</v>
      </c>
      <c r="E191" s="2" t="s">
        <v>176</v>
      </c>
      <c r="F191" s="2" t="s">
        <v>104</v>
      </c>
      <c r="G191" s="2" t="s">
        <v>143</v>
      </c>
      <c r="H191" s="2" t="s">
        <v>498</v>
      </c>
      <c r="I191" s="2" t="s">
        <v>499</v>
      </c>
      <c r="J191" s="2" t="s">
        <v>500</v>
      </c>
      <c r="K191" s="2" t="s">
        <v>769</v>
      </c>
      <c r="L191" s="2" t="s">
        <v>454</v>
      </c>
      <c r="M191" s="2" t="s">
        <v>502</v>
      </c>
      <c r="N191" s="16">
        <v>3.0000000000000009E-2</v>
      </c>
      <c r="O191" s="17">
        <f>N191*'Financial Inputs'!$B$3</f>
        <v>3000000.0000000009</v>
      </c>
      <c r="P191" s="18">
        <f>IF(I191="L",'Financial Inputs'!$B$4,IF(I191="M",'Financial Inputs'!$B$5,'Financial Inputs'!$B$6))</f>
        <v>0.7</v>
      </c>
      <c r="Q191" s="17">
        <f>O191*P191</f>
        <v>2100000.0000000005</v>
      </c>
      <c r="R191" s="16">
        <f>'Financial Inputs'!$B$7</f>
        <v>0.35</v>
      </c>
      <c r="S191" s="17">
        <f>Q191*(1-R191)</f>
        <v>1365000.0000000005</v>
      </c>
      <c r="T191" s="18">
        <f>S191/'Financial Inputs'!$B$3</f>
        <v>1.3650000000000004E-2</v>
      </c>
      <c r="U191" s="9" t="s">
        <v>52</v>
      </c>
      <c r="V191" s="3" t="s">
        <v>53</v>
      </c>
    </row>
    <row r="192" spans="1:22">
      <c r="A192" s="2" t="s">
        <v>770</v>
      </c>
      <c r="B192" s="2" t="s">
        <v>771</v>
      </c>
      <c r="C192" s="2" t="s">
        <v>497</v>
      </c>
      <c r="D192" s="2" t="s">
        <v>133</v>
      </c>
      <c r="E192" s="2" t="s">
        <v>65</v>
      </c>
      <c r="F192" s="2" t="s">
        <v>82</v>
      </c>
      <c r="G192" s="2" t="s">
        <v>56</v>
      </c>
      <c r="H192" s="2" t="s">
        <v>498</v>
      </c>
      <c r="I192" s="2" t="s">
        <v>499</v>
      </c>
      <c r="J192" s="2" t="s">
        <v>500</v>
      </c>
      <c r="K192" s="2" t="s">
        <v>772</v>
      </c>
      <c r="L192" s="2" t="s">
        <v>458</v>
      </c>
      <c r="M192" s="2" t="s">
        <v>502</v>
      </c>
      <c r="N192" s="16">
        <v>0.02</v>
      </c>
      <c r="O192" s="17">
        <f>N192*'Financial Inputs'!$B$3</f>
        <v>2000000</v>
      </c>
      <c r="P192" s="18">
        <f>IF(I192="L",'Financial Inputs'!$B$4,IF(I192="M",'Financial Inputs'!$B$5,'Financial Inputs'!$B$6))</f>
        <v>0.7</v>
      </c>
      <c r="Q192" s="17">
        <f>O192*P192</f>
        <v>1400000</v>
      </c>
      <c r="R192" s="16">
        <f>'Financial Inputs'!$B$7</f>
        <v>0.35</v>
      </c>
      <c r="S192" s="17">
        <f>Q192*(1-R192)</f>
        <v>910000</v>
      </c>
      <c r="T192" s="18">
        <f>S192/'Financial Inputs'!$B$3</f>
        <v>9.1000000000000004E-3</v>
      </c>
      <c r="U192" s="9" t="s">
        <v>52</v>
      </c>
      <c r="V192" s="3" t="s">
        <v>53</v>
      </c>
    </row>
    <row r="193" spans="1:22">
      <c r="A193" s="2" t="s">
        <v>773</v>
      </c>
      <c r="B193" s="2" t="s">
        <v>774</v>
      </c>
      <c r="C193" s="2" t="s">
        <v>497</v>
      </c>
      <c r="D193" s="2" t="s">
        <v>88</v>
      </c>
      <c r="E193" s="2" t="s">
        <v>73</v>
      </c>
      <c r="F193" s="2" t="s">
        <v>44</v>
      </c>
      <c r="G193" s="2" t="s">
        <v>138</v>
      </c>
      <c r="H193" s="2" t="s">
        <v>498</v>
      </c>
      <c r="I193" s="2" t="s">
        <v>499</v>
      </c>
      <c r="J193" s="2" t="s">
        <v>500</v>
      </c>
      <c r="K193" s="2" t="s">
        <v>775</v>
      </c>
      <c r="L193" s="2" t="s">
        <v>462</v>
      </c>
      <c r="M193" s="2" t="s">
        <v>502</v>
      </c>
      <c r="N193" s="16">
        <v>2.2499999999999999E-2</v>
      </c>
      <c r="O193" s="17">
        <f>N193*'Financial Inputs'!$B$3</f>
        <v>2250000</v>
      </c>
      <c r="P193" s="18">
        <f>IF(I193="L",'Financial Inputs'!$B$4,IF(I193="M",'Financial Inputs'!$B$5,'Financial Inputs'!$B$6))</f>
        <v>0.7</v>
      </c>
      <c r="Q193" s="17">
        <f>O193*P193</f>
        <v>1575000</v>
      </c>
      <c r="R193" s="16">
        <f>'Financial Inputs'!$B$7</f>
        <v>0.35</v>
      </c>
      <c r="S193" s="17">
        <f>Q193*(1-R193)</f>
        <v>1023750</v>
      </c>
      <c r="T193" s="18">
        <f>S193/'Financial Inputs'!$B$3</f>
        <v>1.02375E-2</v>
      </c>
      <c r="U193" s="9" t="s">
        <v>52</v>
      </c>
      <c r="V193" s="3" t="s">
        <v>53</v>
      </c>
    </row>
    <row r="194" spans="1:22">
      <c r="A194" s="2" t="s">
        <v>776</v>
      </c>
      <c r="B194" s="2" t="s">
        <v>777</v>
      </c>
      <c r="C194" s="2" t="s">
        <v>497</v>
      </c>
      <c r="D194" s="2" t="s">
        <v>95</v>
      </c>
      <c r="E194" s="2" t="s">
        <v>81</v>
      </c>
      <c r="F194" s="2" t="s">
        <v>58</v>
      </c>
      <c r="G194" s="2" t="s">
        <v>143</v>
      </c>
      <c r="H194" s="2" t="s">
        <v>498</v>
      </c>
      <c r="I194" s="2" t="s">
        <v>499</v>
      </c>
      <c r="J194" s="2" t="s">
        <v>500</v>
      </c>
      <c r="K194" s="2" t="s">
        <v>778</v>
      </c>
      <c r="L194" s="2" t="s">
        <v>466</v>
      </c>
      <c r="M194" s="2" t="s">
        <v>502</v>
      </c>
      <c r="N194" s="16">
        <v>2.5000000000000001E-2</v>
      </c>
      <c r="O194" s="17">
        <f>N194*'Financial Inputs'!$B$3</f>
        <v>2500000</v>
      </c>
      <c r="P194" s="18">
        <f>IF(I194="L",'Financial Inputs'!$B$4,IF(I194="M",'Financial Inputs'!$B$5,'Financial Inputs'!$B$6))</f>
        <v>0.7</v>
      </c>
      <c r="Q194" s="17">
        <f>O194*P194</f>
        <v>1750000</v>
      </c>
      <c r="R194" s="16">
        <f>'Financial Inputs'!$B$7</f>
        <v>0.35</v>
      </c>
      <c r="S194" s="17">
        <f>Q194*(1-R194)</f>
        <v>1137500</v>
      </c>
      <c r="T194" s="18">
        <f>S194/'Financial Inputs'!$B$3</f>
        <v>1.1375E-2</v>
      </c>
      <c r="U194" s="9" t="s">
        <v>52</v>
      </c>
      <c r="V194" s="3" t="s">
        <v>53</v>
      </c>
    </row>
    <row r="195" spans="1:22">
      <c r="A195" s="2" t="s">
        <v>779</v>
      </c>
      <c r="B195" s="2" t="s">
        <v>780</v>
      </c>
      <c r="C195" s="2" t="s">
        <v>497</v>
      </c>
      <c r="D195" s="2" t="s">
        <v>102</v>
      </c>
      <c r="E195" s="2" t="s">
        <v>193</v>
      </c>
      <c r="F195" s="2" t="s">
        <v>66</v>
      </c>
      <c r="G195" s="2" t="s">
        <v>162</v>
      </c>
      <c r="H195" s="2" t="s">
        <v>498</v>
      </c>
      <c r="I195" s="2" t="s">
        <v>499</v>
      </c>
      <c r="J195" s="2" t="s">
        <v>500</v>
      </c>
      <c r="K195" s="2" t="s">
        <v>781</v>
      </c>
      <c r="L195" s="2" t="s">
        <v>470</v>
      </c>
      <c r="M195" s="2" t="s">
        <v>502</v>
      </c>
      <c r="N195" s="16">
        <v>2.75E-2</v>
      </c>
      <c r="O195" s="17">
        <f>N195*'Financial Inputs'!$B$3</f>
        <v>2750000</v>
      </c>
      <c r="P195" s="18">
        <f>IF(I195="L",'Financial Inputs'!$B$4,IF(I195="M",'Financial Inputs'!$B$5,'Financial Inputs'!$B$6))</f>
        <v>0.7</v>
      </c>
      <c r="Q195" s="17">
        <f>O195*P195</f>
        <v>1924999.9999999998</v>
      </c>
      <c r="R195" s="16">
        <f>'Financial Inputs'!$B$7</f>
        <v>0.35</v>
      </c>
      <c r="S195" s="17">
        <f>Q195*(1-R195)</f>
        <v>1251250</v>
      </c>
      <c r="T195" s="18">
        <f>S195/'Financial Inputs'!$B$3</f>
        <v>1.2512499999999999E-2</v>
      </c>
      <c r="U195" s="9" t="s">
        <v>52</v>
      </c>
      <c r="V195" s="3" t="s">
        <v>53</v>
      </c>
    </row>
    <row r="196" spans="1:22">
      <c r="A196" s="2" t="s">
        <v>782</v>
      </c>
      <c r="B196" s="2" t="s">
        <v>783</v>
      </c>
      <c r="C196" s="2" t="s">
        <v>497</v>
      </c>
      <c r="D196" s="2" t="s">
        <v>42</v>
      </c>
      <c r="E196" s="2" t="s">
        <v>198</v>
      </c>
      <c r="F196" s="2" t="s">
        <v>74</v>
      </c>
      <c r="G196" s="2" t="s">
        <v>45</v>
      </c>
      <c r="H196" s="2" t="s">
        <v>498</v>
      </c>
      <c r="I196" s="2" t="s">
        <v>499</v>
      </c>
      <c r="J196" s="2" t="s">
        <v>500</v>
      </c>
      <c r="K196" s="2" t="s">
        <v>784</v>
      </c>
      <c r="L196" s="2" t="s">
        <v>474</v>
      </c>
      <c r="M196" s="2" t="s">
        <v>502</v>
      </c>
      <c r="N196" s="16">
        <v>3.0000000000000009E-2</v>
      </c>
      <c r="O196" s="17">
        <f>N196*'Financial Inputs'!$B$3</f>
        <v>3000000.0000000009</v>
      </c>
      <c r="P196" s="18">
        <f>IF(I196="L",'Financial Inputs'!$B$4,IF(I196="M",'Financial Inputs'!$B$5,'Financial Inputs'!$B$6))</f>
        <v>0.7</v>
      </c>
      <c r="Q196" s="17">
        <f>O196*P196</f>
        <v>2100000.0000000005</v>
      </c>
      <c r="R196" s="16">
        <f>'Financial Inputs'!$B$7</f>
        <v>0.35</v>
      </c>
      <c r="S196" s="17">
        <f>Q196*(1-R196)</f>
        <v>1365000.0000000005</v>
      </c>
      <c r="T196" s="18">
        <f>S196/'Financial Inputs'!$B$3</f>
        <v>1.3650000000000004E-2</v>
      </c>
      <c r="U196" s="9" t="s">
        <v>52</v>
      </c>
      <c r="V196" s="3" t="s">
        <v>53</v>
      </c>
    </row>
    <row r="197" spans="1:22">
      <c r="A197" s="2" t="s">
        <v>785</v>
      </c>
      <c r="B197" s="2" t="s">
        <v>786</v>
      </c>
      <c r="C197" s="2" t="s">
        <v>497</v>
      </c>
      <c r="D197" s="2" t="s">
        <v>72</v>
      </c>
      <c r="E197" s="2" t="s">
        <v>103</v>
      </c>
      <c r="F197" s="2" t="s">
        <v>117</v>
      </c>
      <c r="G197" s="2" t="s">
        <v>143</v>
      </c>
      <c r="H197" s="2" t="s">
        <v>498</v>
      </c>
      <c r="I197" s="2" t="s">
        <v>499</v>
      </c>
      <c r="J197" s="2" t="s">
        <v>500</v>
      </c>
      <c r="K197" s="2" t="s">
        <v>787</v>
      </c>
      <c r="L197" s="2" t="s">
        <v>478</v>
      </c>
      <c r="M197" s="2" t="s">
        <v>502</v>
      </c>
      <c r="N197" s="16">
        <v>0.02</v>
      </c>
      <c r="O197" s="17">
        <f>N197*'Financial Inputs'!$B$3</f>
        <v>2000000</v>
      </c>
      <c r="P197" s="18">
        <f>IF(I197="L",'Financial Inputs'!$B$4,IF(I197="M",'Financial Inputs'!$B$5,'Financial Inputs'!$B$6))</f>
        <v>0.7</v>
      </c>
      <c r="Q197" s="17">
        <f>O197*P197</f>
        <v>1400000</v>
      </c>
      <c r="R197" s="16">
        <f>'Financial Inputs'!$B$7</f>
        <v>0.35</v>
      </c>
      <c r="S197" s="17">
        <f>Q197*(1-R197)</f>
        <v>910000</v>
      </c>
      <c r="T197" s="18">
        <f>S197/'Financial Inputs'!$B$3</f>
        <v>9.1000000000000004E-3</v>
      </c>
      <c r="U197" s="9" t="s">
        <v>52</v>
      </c>
      <c r="V197" s="3" t="s">
        <v>53</v>
      </c>
    </row>
    <row r="198" spans="1:22">
      <c r="A198" s="2" t="s">
        <v>788</v>
      </c>
      <c r="B198" s="2" t="s">
        <v>789</v>
      </c>
      <c r="C198" s="2" t="s">
        <v>497</v>
      </c>
      <c r="D198" s="2" t="s">
        <v>80</v>
      </c>
      <c r="E198" s="2" t="s">
        <v>109</v>
      </c>
      <c r="F198" s="2" t="s">
        <v>90</v>
      </c>
      <c r="G198" s="2" t="s">
        <v>162</v>
      </c>
      <c r="H198" s="2" t="s">
        <v>498</v>
      </c>
      <c r="I198" s="2" t="s">
        <v>499</v>
      </c>
      <c r="J198" s="2" t="s">
        <v>500</v>
      </c>
      <c r="K198" s="2" t="s">
        <v>790</v>
      </c>
      <c r="L198" s="2" t="s">
        <v>482</v>
      </c>
      <c r="M198" s="2" t="s">
        <v>502</v>
      </c>
      <c r="N198" s="16">
        <v>2.2499999999999999E-2</v>
      </c>
      <c r="O198" s="17">
        <f>N198*'Financial Inputs'!$B$3</f>
        <v>2250000</v>
      </c>
      <c r="P198" s="18">
        <f>IF(I198="L",'Financial Inputs'!$B$4,IF(I198="M",'Financial Inputs'!$B$5,'Financial Inputs'!$B$6))</f>
        <v>0.7</v>
      </c>
      <c r="Q198" s="17">
        <f>O198*P198</f>
        <v>1575000</v>
      </c>
      <c r="R198" s="16">
        <f>'Financial Inputs'!$B$7</f>
        <v>0.35</v>
      </c>
      <c r="S198" s="17">
        <f>Q198*(1-R198)</f>
        <v>1023750</v>
      </c>
      <c r="T198" s="18">
        <f>S198/'Financial Inputs'!$B$3</f>
        <v>1.02375E-2</v>
      </c>
      <c r="U198" s="9" t="s">
        <v>52</v>
      </c>
      <c r="V198" s="3" t="s">
        <v>53</v>
      </c>
    </row>
    <row r="199" spans="1:22">
      <c r="A199" s="2" t="s">
        <v>791</v>
      </c>
      <c r="B199" s="2" t="s">
        <v>792</v>
      </c>
      <c r="C199" s="2" t="s">
        <v>497</v>
      </c>
      <c r="D199" s="2" t="s">
        <v>127</v>
      </c>
      <c r="E199" s="2" t="s">
        <v>116</v>
      </c>
      <c r="F199" s="2" t="s">
        <v>97</v>
      </c>
      <c r="G199" s="2" t="s">
        <v>45</v>
      </c>
      <c r="H199" s="2" t="s">
        <v>498</v>
      </c>
      <c r="I199" s="2" t="s">
        <v>499</v>
      </c>
      <c r="J199" s="2" t="s">
        <v>500</v>
      </c>
      <c r="K199" s="2" t="s">
        <v>793</v>
      </c>
      <c r="L199" s="2" t="s">
        <v>486</v>
      </c>
      <c r="M199" s="2" t="s">
        <v>502</v>
      </c>
      <c r="N199" s="16">
        <v>2.5000000000000001E-2</v>
      </c>
      <c r="O199" s="17">
        <f>N199*'Financial Inputs'!$B$3</f>
        <v>2500000</v>
      </c>
      <c r="P199" s="18">
        <f>IF(I199="L",'Financial Inputs'!$B$4,IF(I199="M",'Financial Inputs'!$B$5,'Financial Inputs'!$B$6))</f>
        <v>0.7</v>
      </c>
      <c r="Q199" s="17">
        <f>O199*P199</f>
        <v>1750000</v>
      </c>
      <c r="R199" s="16">
        <f>'Financial Inputs'!$B$7</f>
        <v>0.35</v>
      </c>
      <c r="S199" s="17">
        <f>Q199*(1-R199)</f>
        <v>1137500</v>
      </c>
      <c r="T199" s="18">
        <f>S199/'Financial Inputs'!$B$3</f>
        <v>1.1375E-2</v>
      </c>
      <c r="U199" s="9" t="s">
        <v>52</v>
      </c>
      <c r="V199" s="3" t="s">
        <v>53</v>
      </c>
    </row>
    <row r="200" spans="1:22">
      <c r="A200" s="2" t="s">
        <v>794</v>
      </c>
      <c r="B200" s="2" t="s">
        <v>795</v>
      </c>
      <c r="C200" s="2" t="s">
        <v>497</v>
      </c>
      <c r="D200" s="2" t="s">
        <v>133</v>
      </c>
      <c r="E200" s="2" t="s">
        <v>215</v>
      </c>
      <c r="F200" s="2" t="s">
        <v>104</v>
      </c>
      <c r="G200" s="2" t="s">
        <v>59</v>
      </c>
      <c r="H200" s="2" t="s">
        <v>498</v>
      </c>
      <c r="I200" s="2" t="s">
        <v>499</v>
      </c>
      <c r="J200" s="2" t="s">
        <v>500</v>
      </c>
      <c r="K200" s="2" t="s">
        <v>796</v>
      </c>
      <c r="L200" s="2" t="s">
        <v>490</v>
      </c>
      <c r="M200" s="2" t="s">
        <v>502</v>
      </c>
      <c r="N200" s="16">
        <v>2.75E-2</v>
      </c>
      <c r="O200" s="17">
        <f>N200*'Financial Inputs'!$B$3</f>
        <v>2750000</v>
      </c>
      <c r="P200" s="18">
        <f>IF(I200="L",'Financial Inputs'!$B$4,IF(I200="M",'Financial Inputs'!$B$5,'Financial Inputs'!$B$6))</f>
        <v>0.7</v>
      </c>
      <c r="Q200" s="17">
        <f>O200*P200</f>
        <v>1924999.9999999998</v>
      </c>
      <c r="R200" s="16">
        <f>'Financial Inputs'!$B$7</f>
        <v>0.35</v>
      </c>
      <c r="S200" s="17">
        <f>Q200*(1-R200)</f>
        <v>1251250</v>
      </c>
      <c r="T200" s="18">
        <f>S200/'Financial Inputs'!$B$3</f>
        <v>1.2512499999999999E-2</v>
      </c>
      <c r="U200" s="9" t="s">
        <v>52</v>
      </c>
      <c r="V200" s="3" t="s">
        <v>53</v>
      </c>
    </row>
    <row r="201" spans="1:22">
      <c r="A201" s="2" t="s">
        <v>797</v>
      </c>
      <c r="B201" s="2" t="s">
        <v>798</v>
      </c>
      <c r="C201" s="2" t="s">
        <v>497</v>
      </c>
      <c r="D201" s="2" t="s">
        <v>88</v>
      </c>
      <c r="E201" s="2" t="s">
        <v>220</v>
      </c>
      <c r="F201" s="2" t="s">
        <v>110</v>
      </c>
      <c r="G201" s="2" t="s">
        <v>67</v>
      </c>
      <c r="H201" s="2" t="s">
        <v>498</v>
      </c>
      <c r="I201" s="2" t="s">
        <v>499</v>
      </c>
      <c r="J201" s="2" t="s">
        <v>500</v>
      </c>
      <c r="K201" s="2" t="s">
        <v>799</v>
      </c>
      <c r="L201" s="2" t="s">
        <v>494</v>
      </c>
      <c r="M201" s="2" t="s">
        <v>502</v>
      </c>
      <c r="N201" s="16">
        <v>3.0000000000000009E-2</v>
      </c>
      <c r="O201" s="17">
        <f>N201*'Financial Inputs'!$B$3</f>
        <v>3000000.0000000009</v>
      </c>
      <c r="P201" s="18">
        <f>IF(I201="L",'Financial Inputs'!$B$4,IF(I201="M",'Financial Inputs'!$B$5,'Financial Inputs'!$B$6))</f>
        <v>0.7</v>
      </c>
      <c r="Q201" s="17">
        <f>O201*P201</f>
        <v>2100000.0000000005</v>
      </c>
      <c r="R201" s="16">
        <f>'Financial Inputs'!$B$7</f>
        <v>0.35</v>
      </c>
      <c r="S201" s="17">
        <f>Q201*(1-R201)</f>
        <v>1365000.0000000005</v>
      </c>
      <c r="T201" s="18">
        <f>S201/'Financial Inputs'!$B$3</f>
        <v>1.3650000000000004E-2</v>
      </c>
      <c r="U201" s="9" t="s">
        <v>52</v>
      </c>
      <c r="V201" s="3" t="s">
        <v>53</v>
      </c>
    </row>
    <row r="202" spans="1:22">
      <c r="A202" s="2" t="s">
        <v>800</v>
      </c>
      <c r="B202" s="2" t="s">
        <v>801</v>
      </c>
      <c r="C202" s="2" t="s">
        <v>802</v>
      </c>
      <c r="D202" s="2" t="s">
        <v>42</v>
      </c>
      <c r="E202" s="2" t="s">
        <v>43</v>
      </c>
      <c r="F202" s="2" t="s">
        <v>44</v>
      </c>
      <c r="G202" s="2" t="s">
        <v>45</v>
      </c>
      <c r="H202" s="2" t="s">
        <v>498</v>
      </c>
      <c r="I202" s="2" t="s">
        <v>499</v>
      </c>
      <c r="J202" s="2" t="s">
        <v>803</v>
      </c>
      <c r="K202" s="2" t="s">
        <v>804</v>
      </c>
      <c r="L202" s="2" t="s">
        <v>50</v>
      </c>
      <c r="M202" s="2" t="s">
        <v>805</v>
      </c>
      <c r="N202" s="16">
        <v>0.02</v>
      </c>
      <c r="O202" s="17">
        <f>N202*'Financial Inputs'!$B$3</f>
        <v>2000000</v>
      </c>
      <c r="P202" s="18">
        <f>IF(I202="L",'Financial Inputs'!$B$4,IF(I202="M",'Financial Inputs'!$B$5,'Financial Inputs'!$B$6))</f>
        <v>0.7</v>
      </c>
      <c r="Q202" s="17">
        <f>O202*P202</f>
        <v>1400000</v>
      </c>
      <c r="R202" s="16">
        <f>'Financial Inputs'!$B$7</f>
        <v>0.35</v>
      </c>
      <c r="S202" s="17">
        <f>Q202*(1-R202)</f>
        <v>910000</v>
      </c>
      <c r="T202" s="18">
        <f>S202/'Financial Inputs'!$B$3</f>
        <v>9.1000000000000004E-3</v>
      </c>
      <c r="U202" s="9" t="s">
        <v>52</v>
      </c>
      <c r="V202" s="3" t="s">
        <v>53</v>
      </c>
    </row>
    <row r="203" spans="1:22">
      <c r="A203" s="2" t="s">
        <v>806</v>
      </c>
      <c r="B203" s="2" t="s">
        <v>807</v>
      </c>
      <c r="C203" s="2" t="s">
        <v>802</v>
      </c>
      <c r="D203" s="2" t="s">
        <v>56</v>
      </c>
      <c r="E203" s="2" t="s">
        <v>57</v>
      </c>
      <c r="F203" s="2" t="s">
        <v>58</v>
      </c>
      <c r="G203" s="2" t="s">
        <v>59</v>
      </c>
      <c r="H203" s="2" t="s">
        <v>498</v>
      </c>
      <c r="I203" s="2" t="s">
        <v>499</v>
      </c>
      <c r="J203" s="2" t="s">
        <v>803</v>
      </c>
      <c r="K203" s="2" t="s">
        <v>808</v>
      </c>
      <c r="L203" s="2" t="s">
        <v>61</v>
      </c>
      <c r="M203" s="2" t="s">
        <v>805</v>
      </c>
      <c r="N203" s="16">
        <v>2.2499999999999999E-2</v>
      </c>
      <c r="O203" s="17">
        <f>N203*'Financial Inputs'!$B$3</f>
        <v>2250000</v>
      </c>
      <c r="P203" s="18">
        <f>IF(I203="L",'Financial Inputs'!$B$4,IF(I203="M",'Financial Inputs'!$B$5,'Financial Inputs'!$B$6))</f>
        <v>0.7</v>
      </c>
      <c r="Q203" s="17">
        <f>O203*P203</f>
        <v>1575000</v>
      </c>
      <c r="R203" s="16">
        <f>'Financial Inputs'!$B$7</f>
        <v>0.35</v>
      </c>
      <c r="S203" s="17">
        <f>Q203*(1-R203)</f>
        <v>1023750</v>
      </c>
      <c r="T203" s="18">
        <f>S203/'Financial Inputs'!$B$3</f>
        <v>1.02375E-2</v>
      </c>
      <c r="U203" s="9" t="s">
        <v>52</v>
      </c>
      <c r="V203" s="3" t="s">
        <v>53</v>
      </c>
    </row>
    <row r="204" spans="1:22">
      <c r="A204" s="2" t="s">
        <v>809</v>
      </c>
      <c r="B204" s="2" t="s">
        <v>810</v>
      </c>
      <c r="C204" s="2" t="s">
        <v>802</v>
      </c>
      <c r="D204" s="2" t="s">
        <v>64</v>
      </c>
      <c r="E204" s="2" t="s">
        <v>65</v>
      </c>
      <c r="F204" s="2" t="s">
        <v>66</v>
      </c>
      <c r="G204" s="2" t="s">
        <v>67</v>
      </c>
      <c r="H204" s="2" t="s">
        <v>498</v>
      </c>
      <c r="I204" s="2" t="s">
        <v>499</v>
      </c>
      <c r="J204" s="2" t="s">
        <v>803</v>
      </c>
      <c r="K204" s="2" t="s">
        <v>811</v>
      </c>
      <c r="L204" s="2" t="s">
        <v>69</v>
      </c>
      <c r="M204" s="2" t="s">
        <v>805</v>
      </c>
      <c r="N204" s="16">
        <v>2.5000000000000001E-2</v>
      </c>
      <c r="O204" s="17">
        <f>N204*'Financial Inputs'!$B$3</f>
        <v>2500000</v>
      </c>
      <c r="P204" s="18">
        <f>IF(I204="L",'Financial Inputs'!$B$4,IF(I204="M",'Financial Inputs'!$B$5,'Financial Inputs'!$B$6))</f>
        <v>0.7</v>
      </c>
      <c r="Q204" s="17">
        <f>O204*P204</f>
        <v>1750000</v>
      </c>
      <c r="R204" s="16">
        <f>'Financial Inputs'!$B$7</f>
        <v>0.35</v>
      </c>
      <c r="S204" s="17">
        <f>Q204*(1-R204)</f>
        <v>1137500</v>
      </c>
      <c r="T204" s="18">
        <f>S204/'Financial Inputs'!$B$3</f>
        <v>1.1375E-2</v>
      </c>
      <c r="U204" s="9" t="s">
        <v>52</v>
      </c>
      <c r="V204" s="3" t="s">
        <v>53</v>
      </c>
    </row>
    <row r="205" spans="1:22">
      <c r="A205" s="2" t="s">
        <v>812</v>
      </c>
      <c r="B205" s="2" t="s">
        <v>813</v>
      </c>
      <c r="C205" s="2" t="s">
        <v>802</v>
      </c>
      <c r="D205" s="2" t="s">
        <v>72</v>
      </c>
      <c r="E205" s="2" t="s">
        <v>73</v>
      </c>
      <c r="F205" s="2" t="s">
        <v>74</v>
      </c>
      <c r="G205" s="2" t="s">
        <v>75</v>
      </c>
      <c r="H205" s="2" t="s">
        <v>498</v>
      </c>
      <c r="I205" s="2" t="s">
        <v>499</v>
      </c>
      <c r="J205" s="2" t="s">
        <v>803</v>
      </c>
      <c r="K205" s="2" t="s">
        <v>814</v>
      </c>
      <c r="L205" s="2" t="s">
        <v>77</v>
      </c>
      <c r="M205" s="2" t="s">
        <v>805</v>
      </c>
      <c r="N205" s="16">
        <v>2.75E-2</v>
      </c>
      <c r="O205" s="17">
        <f>N205*'Financial Inputs'!$B$3</f>
        <v>2750000</v>
      </c>
      <c r="P205" s="18">
        <f>IF(I205="L",'Financial Inputs'!$B$4,IF(I205="M",'Financial Inputs'!$B$5,'Financial Inputs'!$B$6))</f>
        <v>0.7</v>
      </c>
      <c r="Q205" s="17">
        <f>O205*P205</f>
        <v>1924999.9999999998</v>
      </c>
      <c r="R205" s="16">
        <f>'Financial Inputs'!$B$7</f>
        <v>0.35</v>
      </c>
      <c r="S205" s="17">
        <f>Q205*(1-R205)</f>
        <v>1251250</v>
      </c>
      <c r="T205" s="18">
        <f>S205/'Financial Inputs'!$B$3</f>
        <v>1.2512499999999999E-2</v>
      </c>
      <c r="U205" s="9" t="s">
        <v>52</v>
      </c>
      <c r="V205" s="3" t="s">
        <v>53</v>
      </c>
    </row>
    <row r="206" spans="1:22">
      <c r="A206" s="2" t="s">
        <v>815</v>
      </c>
      <c r="B206" s="2" t="s">
        <v>816</v>
      </c>
      <c r="C206" s="2" t="s">
        <v>802</v>
      </c>
      <c r="D206" s="2" t="s">
        <v>80</v>
      </c>
      <c r="E206" s="2" t="s">
        <v>81</v>
      </c>
      <c r="F206" s="2" t="s">
        <v>82</v>
      </c>
      <c r="G206" s="2" t="s">
        <v>83</v>
      </c>
      <c r="H206" s="2" t="s">
        <v>498</v>
      </c>
      <c r="I206" s="2" t="s">
        <v>499</v>
      </c>
      <c r="J206" s="2" t="s">
        <v>803</v>
      </c>
      <c r="K206" s="2" t="s">
        <v>817</v>
      </c>
      <c r="L206" s="2" t="s">
        <v>85</v>
      </c>
      <c r="M206" s="2" t="s">
        <v>805</v>
      </c>
      <c r="N206" s="16">
        <v>3.0000000000000009E-2</v>
      </c>
      <c r="O206" s="17">
        <f>N206*'Financial Inputs'!$B$3</f>
        <v>3000000.0000000009</v>
      </c>
      <c r="P206" s="18">
        <f>IF(I206="L",'Financial Inputs'!$B$4,IF(I206="M",'Financial Inputs'!$B$5,'Financial Inputs'!$B$6))</f>
        <v>0.7</v>
      </c>
      <c r="Q206" s="17">
        <f>O206*P206</f>
        <v>2100000.0000000005</v>
      </c>
      <c r="R206" s="16">
        <f>'Financial Inputs'!$B$7</f>
        <v>0.35</v>
      </c>
      <c r="S206" s="17">
        <f>Q206*(1-R206)</f>
        <v>1365000.0000000005</v>
      </c>
      <c r="T206" s="18">
        <f>S206/'Financial Inputs'!$B$3</f>
        <v>1.3650000000000004E-2</v>
      </c>
      <c r="U206" s="9" t="s">
        <v>52</v>
      </c>
      <c r="V206" s="3" t="s">
        <v>53</v>
      </c>
    </row>
    <row r="207" spans="1:22">
      <c r="A207" s="2" t="s">
        <v>818</v>
      </c>
      <c r="B207" s="2" t="s">
        <v>819</v>
      </c>
      <c r="C207" s="2" t="s">
        <v>802</v>
      </c>
      <c r="D207" s="2" t="s">
        <v>88</v>
      </c>
      <c r="E207" s="2" t="s">
        <v>89</v>
      </c>
      <c r="F207" s="2" t="s">
        <v>90</v>
      </c>
      <c r="G207" s="2" t="s">
        <v>67</v>
      </c>
      <c r="H207" s="2" t="s">
        <v>498</v>
      </c>
      <c r="I207" s="2" t="s">
        <v>499</v>
      </c>
      <c r="J207" s="2" t="s">
        <v>803</v>
      </c>
      <c r="K207" s="2" t="s">
        <v>820</v>
      </c>
      <c r="L207" s="2" t="s">
        <v>92</v>
      </c>
      <c r="M207" s="2" t="s">
        <v>805</v>
      </c>
      <c r="N207" s="16">
        <v>0.02</v>
      </c>
      <c r="O207" s="17">
        <f>N207*'Financial Inputs'!$B$3</f>
        <v>2000000</v>
      </c>
      <c r="P207" s="18">
        <f>IF(I207="L",'Financial Inputs'!$B$4,IF(I207="M",'Financial Inputs'!$B$5,'Financial Inputs'!$B$6))</f>
        <v>0.7</v>
      </c>
      <c r="Q207" s="17">
        <f>O207*P207</f>
        <v>1400000</v>
      </c>
      <c r="R207" s="16">
        <f>'Financial Inputs'!$B$7</f>
        <v>0.35</v>
      </c>
      <c r="S207" s="17">
        <f>Q207*(1-R207)</f>
        <v>910000</v>
      </c>
      <c r="T207" s="18">
        <f>S207/'Financial Inputs'!$B$3</f>
        <v>9.1000000000000004E-3</v>
      </c>
      <c r="U207" s="9" t="s">
        <v>52</v>
      </c>
      <c r="V207" s="3" t="s">
        <v>53</v>
      </c>
    </row>
    <row r="208" spans="1:22">
      <c r="A208" s="2" t="s">
        <v>821</v>
      </c>
      <c r="B208" s="2" t="s">
        <v>822</v>
      </c>
      <c r="C208" s="2" t="s">
        <v>802</v>
      </c>
      <c r="D208" s="2" t="s">
        <v>95</v>
      </c>
      <c r="E208" s="2" t="s">
        <v>96</v>
      </c>
      <c r="F208" s="2" t="s">
        <v>97</v>
      </c>
      <c r="G208" s="2" t="s">
        <v>75</v>
      </c>
      <c r="H208" s="2" t="s">
        <v>498</v>
      </c>
      <c r="I208" s="2" t="s">
        <v>499</v>
      </c>
      <c r="J208" s="2" t="s">
        <v>803</v>
      </c>
      <c r="K208" s="2" t="s">
        <v>823</v>
      </c>
      <c r="L208" s="2" t="s">
        <v>99</v>
      </c>
      <c r="M208" s="2" t="s">
        <v>805</v>
      </c>
      <c r="N208" s="16">
        <v>2.2499999999999999E-2</v>
      </c>
      <c r="O208" s="17">
        <f>N208*'Financial Inputs'!$B$3</f>
        <v>2250000</v>
      </c>
      <c r="P208" s="18">
        <f>IF(I208="L",'Financial Inputs'!$B$4,IF(I208="M",'Financial Inputs'!$B$5,'Financial Inputs'!$B$6))</f>
        <v>0.7</v>
      </c>
      <c r="Q208" s="17">
        <f>O208*P208</f>
        <v>1575000</v>
      </c>
      <c r="R208" s="16">
        <f>'Financial Inputs'!$B$7</f>
        <v>0.35</v>
      </c>
      <c r="S208" s="17">
        <f>Q208*(1-R208)</f>
        <v>1023750</v>
      </c>
      <c r="T208" s="18">
        <f>S208/'Financial Inputs'!$B$3</f>
        <v>1.02375E-2</v>
      </c>
      <c r="U208" s="9" t="s">
        <v>52</v>
      </c>
      <c r="V208" s="3" t="s">
        <v>53</v>
      </c>
    </row>
    <row r="209" spans="1:22">
      <c r="A209" s="2" t="s">
        <v>824</v>
      </c>
      <c r="B209" s="2" t="s">
        <v>825</v>
      </c>
      <c r="C209" s="2" t="s">
        <v>802</v>
      </c>
      <c r="D209" s="2" t="s">
        <v>102</v>
      </c>
      <c r="E209" s="2" t="s">
        <v>103</v>
      </c>
      <c r="F209" s="2" t="s">
        <v>104</v>
      </c>
      <c r="G209" s="2" t="s">
        <v>83</v>
      </c>
      <c r="H209" s="2" t="s">
        <v>498</v>
      </c>
      <c r="I209" s="2" t="s">
        <v>499</v>
      </c>
      <c r="J209" s="2" t="s">
        <v>803</v>
      </c>
      <c r="K209" s="2" t="s">
        <v>826</v>
      </c>
      <c r="L209" s="2" t="s">
        <v>106</v>
      </c>
      <c r="M209" s="2" t="s">
        <v>805</v>
      </c>
      <c r="N209" s="16">
        <v>2.5000000000000001E-2</v>
      </c>
      <c r="O209" s="17">
        <f>N209*'Financial Inputs'!$B$3</f>
        <v>2500000</v>
      </c>
      <c r="P209" s="18">
        <f>IF(I209="L",'Financial Inputs'!$B$4,IF(I209="M",'Financial Inputs'!$B$5,'Financial Inputs'!$B$6))</f>
        <v>0.7</v>
      </c>
      <c r="Q209" s="17">
        <f>O209*P209</f>
        <v>1750000</v>
      </c>
      <c r="R209" s="16">
        <f>'Financial Inputs'!$B$7</f>
        <v>0.35</v>
      </c>
      <c r="S209" s="17">
        <f>Q209*(1-R209)</f>
        <v>1137500</v>
      </c>
      <c r="T209" s="18">
        <f>S209/'Financial Inputs'!$B$3</f>
        <v>1.1375E-2</v>
      </c>
      <c r="U209" s="9" t="s">
        <v>52</v>
      </c>
      <c r="V209" s="3" t="s">
        <v>53</v>
      </c>
    </row>
    <row r="210" spans="1:22">
      <c r="A210" s="2" t="s">
        <v>827</v>
      </c>
      <c r="B210" s="2" t="s">
        <v>828</v>
      </c>
      <c r="C210" s="2" t="s">
        <v>802</v>
      </c>
      <c r="D210" s="2" t="s">
        <v>42</v>
      </c>
      <c r="E210" s="2" t="s">
        <v>109</v>
      </c>
      <c r="F210" s="2" t="s">
        <v>110</v>
      </c>
      <c r="G210" s="2" t="s">
        <v>111</v>
      </c>
      <c r="H210" s="2" t="s">
        <v>498</v>
      </c>
      <c r="I210" s="2" t="s">
        <v>499</v>
      </c>
      <c r="J210" s="2" t="s">
        <v>803</v>
      </c>
      <c r="K210" s="2" t="s">
        <v>829</v>
      </c>
      <c r="L210" s="2" t="s">
        <v>113</v>
      </c>
      <c r="M210" s="2" t="s">
        <v>805</v>
      </c>
      <c r="N210" s="16">
        <v>2.75E-2</v>
      </c>
      <c r="O210" s="17">
        <f>N210*'Financial Inputs'!$B$3</f>
        <v>2750000</v>
      </c>
      <c r="P210" s="18">
        <f>IF(I210="L",'Financial Inputs'!$B$4,IF(I210="M",'Financial Inputs'!$B$5,'Financial Inputs'!$B$6))</f>
        <v>0.7</v>
      </c>
      <c r="Q210" s="17">
        <f>O210*P210</f>
        <v>1924999.9999999998</v>
      </c>
      <c r="R210" s="16">
        <f>'Financial Inputs'!$B$7</f>
        <v>0.35</v>
      </c>
      <c r="S210" s="17">
        <f>Q210*(1-R210)</f>
        <v>1251250</v>
      </c>
      <c r="T210" s="18">
        <f>S210/'Financial Inputs'!$B$3</f>
        <v>1.2512499999999999E-2</v>
      </c>
      <c r="U210" s="9" t="s">
        <v>52</v>
      </c>
      <c r="V210" s="3" t="s">
        <v>53</v>
      </c>
    </row>
    <row r="211" spans="1:22">
      <c r="A211" s="2" t="s">
        <v>830</v>
      </c>
      <c r="B211" s="2" t="s">
        <v>831</v>
      </c>
      <c r="C211" s="2" t="s">
        <v>802</v>
      </c>
      <c r="D211" s="2" t="s">
        <v>56</v>
      </c>
      <c r="E211" s="2" t="s">
        <v>116</v>
      </c>
      <c r="F211" s="2" t="s">
        <v>117</v>
      </c>
      <c r="G211" s="2" t="s">
        <v>56</v>
      </c>
      <c r="H211" s="2" t="s">
        <v>498</v>
      </c>
      <c r="I211" s="2" t="s">
        <v>499</v>
      </c>
      <c r="J211" s="2" t="s">
        <v>803</v>
      </c>
      <c r="K211" s="2" t="s">
        <v>832</v>
      </c>
      <c r="L211" s="2" t="s">
        <v>119</v>
      </c>
      <c r="M211" s="2" t="s">
        <v>805</v>
      </c>
      <c r="N211" s="16">
        <v>3.0000000000000009E-2</v>
      </c>
      <c r="O211" s="17">
        <f>N211*'Financial Inputs'!$B$3</f>
        <v>3000000.0000000009</v>
      </c>
      <c r="P211" s="18">
        <f>IF(I211="L",'Financial Inputs'!$B$4,IF(I211="M",'Financial Inputs'!$B$5,'Financial Inputs'!$B$6))</f>
        <v>0.7</v>
      </c>
      <c r="Q211" s="17">
        <f>O211*P211</f>
        <v>2100000.0000000005</v>
      </c>
      <c r="R211" s="16">
        <f>'Financial Inputs'!$B$7</f>
        <v>0.35</v>
      </c>
      <c r="S211" s="17">
        <f>Q211*(1-R211)</f>
        <v>1365000.0000000005</v>
      </c>
      <c r="T211" s="18">
        <f>S211/'Financial Inputs'!$B$3</f>
        <v>1.3650000000000004E-2</v>
      </c>
      <c r="U211" s="9" t="s">
        <v>52</v>
      </c>
      <c r="V211" s="3" t="s">
        <v>53</v>
      </c>
    </row>
    <row r="212" spans="1:22">
      <c r="A212" s="2" t="s">
        <v>833</v>
      </c>
      <c r="B212" s="2" t="s">
        <v>834</v>
      </c>
      <c r="C212" s="2" t="s">
        <v>802</v>
      </c>
      <c r="D212" s="2" t="s">
        <v>80</v>
      </c>
      <c r="E212" s="2" t="s">
        <v>122</v>
      </c>
      <c r="F212" s="2" t="s">
        <v>58</v>
      </c>
      <c r="G212" s="2" t="s">
        <v>83</v>
      </c>
      <c r="H212" s="2" t="s">
        <v>498</v>
      </c>
      <c r="I212" s="2" t="s">
        <v>499</v>
      </c>
      <c r="J212" s="2" t="s">
        <v>803</v>
      </c>
      <c r="K212" s="2" t="s">
        <v>835</v>
      </c>
      <c r="L212" s="2" t="s">
        <v>124</v>
      </c>
      <c r="M212" s="2" t="s">
        <v>805</v>
      </c>
      <c r="N212" s="16">
        <v>0.02</v>
      </c>
      <c r="O212" s="17">
        <f>N212*'Financial Inputs'!$B$3</f>
        <v>2000000</v>
      </c>
      <c r="P212" s="18">
        <f>IF(I212="L",'Financial Inputs'!$B$4,IF(I212="M",'Financial Inputs'!$B$5,'Financial Inputs'!$B$6))</f>
        <v>0.7</v>
      </c>
      <c r="Q212" s="17">
        <f>O212*P212</f>
        <v>1400000</v>
      </c>
      <c r="R212" s="16">
        <f>'Financial Inputs'!$B$7</f>
        <v>0.35</v>
      </c>
      <c r="S212" s="17">
        <f>Q212*(1-R212)</f>
        <v>910000</v>
      </c>
      <c r="T212" s="18">
        <f>S212/'Financial Inputs'!$B$3</f>
        <v>9.1000000000000004E-3</v>
      </c>
      <c r="U212" s="9" t="s">
        <v>52</v>
      </c>
      <c r="V212" s="3" t="s">
        <v>53</v>
      </c>
    </row>
    <row r="213" spans="1:22">
      <c r="A213" s="2" t="s">
        <v>836</v>
      </c>
      <c r="B213" s="2" t="s">
        <v>837</v>
      </c>
      <c r="C213" s="2" t="s">
        <v>802</v>
      </c>
      <c r="D213" s="2" t="s">
        <v>127</v>
      </c>
      <c r="E213" s="2" t="s">
        <v>128</v>
      </c>
      <c r="F213" s="2" t="s">
        <v>66</v>
      </c>
      <c r="G213" s="2" t="s">
        <v>111</v>
      </c>
      <c r="H213" s="2" t="s">
        <v>498</v>
      </c>
      <c r="I213" s="2" t="s">
        <v>499</v>
      </c>
      <c r="J213" s="2" t="s">
        <v>803</v>
      </c>
      <c r="K213" s="2" t="s">
        <v>838</v>
      </c>
      <c r="L213" s="2" t="s">
        <v>130</v>
      </c>
      <c r="M213" s="2" t="s">
        <v>805</v>
      </c>
      <c r="N213" s="16">
        <v>2.2499999999999999E-2</v>
      </c>
      <c r="O213" s="17">
        <f>N213*'Financial Inputs'!$B$3</f>
        <v>2250000</v>
      </c>
      <c r="P213" s="18">
        <f>IF(I213="L",'Financial Inputs'!$B$4,IF(I213="M",'Financial Inputs'!$B$5,'Financial Inputs'!$B$6))</f>
        <v>0.7</v>
      </c>
      <c r="Q213" s="17">
        <f>O213*P213</f>
        <v>1575000</v>
      </c>
      <c r="R213" s="16">
        <f>'Financial Inputs'!$B$7</f>
        <v>0.35</v>
      </c>
      <c r="S213" s="17">
        <f>Q213*(1-R213)</f>
        <v>1023750</v>
      </c>
      <c r="T213" s="18">
        <f>S213/'Financial Inputs'!$B$3</f>
        <v>1.02375E-2</v>
      </c>
      <c r="U213" s="9" t="s">
        <v>52</v>
      </c>
      <c r="V213" s="3" t="s">
        <v>53</v>
      </c>
    </row>
    <row r="214" spans="1:22">
      <c r="A214" s="2" t="s">
        <v>839</v>
      </c>
      <c r="B214" s="2" t="s">
        <v>840</v>
      </c>
      <c r="C214" s="2" t="s">
        <v>802</v>
      </c>
      <c r="D214" s="2" t="s">
        <v>133</v>
      </c>
      <c r="E214" s="2" t="s">
        <v>43</v>
      </c>
      <c r="F214" s="2" t="s">
        <v>74</v>
      </c>
      <c r="G214" s="2" t="s">
        <v>56</v>
      </c>
      <c r="H214" s="2" t="s">
        <v>498</v>
      </c>
      <c r="I214" s="2" t="s">
        <v>499</v>
      </c>
      <c r="J214" s="2" t="s">
        <v>803</v>
      </c>
      <c r="K214" s="2" t="s">
        <v>841</v>
      </c>
      <c r="L214" s="2" t="s">
        <v>135</v>
      </c>
      <c r="M214" s="2" t="s">
        <v>805</v>
      </c>
      <c r="N214" s="16">
        <v>2.5000000000000001E-2</v>
      </c>
      <c r="O214" s="17">
        <f>N214*'Financial Inputs'!$B$3</f>
        <v>2500000</v>
      </c>
      <c r="P214" s="18">
        <f>IF(I214="L",'Financial Inputs'!$B$4,IF(I214="M",'Financial Inputs'!$B$5,'Financial Inputs'!$B$6))</f>
        <v>0.7</v>
      </c>
      <c r="Q214" s="17">
        <f>O214*P214</f>
        <v>1750000</v>
      </c>
      <c r="R214" s="16">
        <f>'Financial Inputs'!$B$7</f>
        <v>0.35</v>
      </c>
      <c r="S214" s="17">
        <f>Q214*(1-R214)</f>
        <v>1137500</v>
      </c>
      <c r="T214" s="18">
        <f>S214/'Financial Inputs'!$B$3</f>
        <v>1.1375E-2</v>
      </c>
      <c r="U214" s="9" t="s">
        <v>52</v>
      </c>
      <c r="V214" s="3" t="s">
        <v>53</v>
      </c>
    </row>
    <row r="215" spans="1:22">
      <c r="A215" s="2" t="s">
        <v>842</v>
      </c>
      <c r="B215" s="2" t="s">
        <v>843</v>
      </c>
      <c r="C215" s="2" t="s">
        <v>802</v>
      </c>
      <c r="D215" s="2" t="s">
        <v>88</v>
      </c>
      <c r="E215" s="2" t="s">
        <v>57</v>
      </c>
      <c r="F215" s="2" t="s">
        <v>82</v>
      </c>
      <c r="G215" s="2" t="s">
        <v>138</v>
      </c>
      <c r="H215" s="2" t="s">
        <v>498</v>
      </c>
      <c r="I215" s="2" t="s">
        <v>499</v>
      </c>
      <c r="J215" s="2" t="s">
        <v>803</v>
      </c>
      <c r="K215" s="2" t="s">
        <v>844</v>
      </c>
      <c r="L215" s="2" t="s">
        <v>140</v>
      </c>
      <c r="M215" s="2" t="s">
        <v>805</v>
      </c>
      <c r="N215" s="16">
        <v>2.75E-2</v>
      </c>
      <c r="O215" s="17">
        <f>N215*'Financial Inputs'!$B$3</f>
        <v>2750000</v>
      </c>
      <c r="P215" s="18">
        <f>IF(I215="L",'Financial Inputs'!$B$4,IF(I215="M",'Financial Inputs'!$B$5,'Financial Inputs'!$B$6))</f>
        <v>0.7</v>
      </c>
      <c r="Q215" s="17">
        <f>O215*P215</f>
        <v>1924999.9999999998</v>
      </c>
      <c r="R215" s="16">
        <f>'Financial Inputs'!$B$7</f>
        <v>0.35</v>
      </c>
      <c r="S215" s="17">
        <f>Q215*(1-R215)</f>
        <v>1251250</v>
      </c>
      <c r="T215" s="18">
        <f>S215/'Financial Inputs'!$B$3</f>
        <v>1.2512499999999999E-2</v>
      </c>
      <c r="U215" s="9" t="s">
        <v>52</v>
      </c>
      <c r="V215" s="3" t="s">
        <v>53</v>
      </c>
    </row>
    <row r="216" spans="1:22">
      <c r="A216" s="2" t="s">
        <v>845</v>
      </c>
      <c r="B216" s="2" t="s">
        <v>846</v>
      </c>
      <c r="C216" s="2" t="s">
        <v>802</v>
      </c>
      <c r="D216" s="2" t="s">
        <v>95</v>
      </c>
      <c r="E216" s="2" t="s">
        <v>65</v>
      </c>
      <c r="F216" s="2" t="s">
        <v>44</v>
      </c>
      <c r="G216" s="2" t="s">
        <v>143</v>
      </c>
      <c r="H216" s="2" t="s">
        <v>498</v>
      </c>
      <c r="I216" s="2" t="s">
        <v>499</v>
      </c>
      <c r="J216" s="2" t="s">
        <v>803</v>
      </c>
      <c r="K216" s="2" t="s">
        <v>847</v>
      </c>
      <c r="L216" s="2" t="s">
        <v>145</v>
      </c>
      <c r="M216" s="2" t="s">
        <v>805</v>
      </c>
      <c r="N216" s="16">
        <v>3.0000000000000009E-2</v>
      </c>
      <c r="O216" s="17">
        <f>N216*'Financial Inputs'!$B$3</f>
        <v>3000000.0000000009</v>
      </c>
      <c r="P216" s="18">
        <f>IF(I216="L",'Financial Inputs'!$B$4,IF(I216="M",'Financial Inputs'!$B$5,'Financial Inputs'!$B$6))</f>
        <v>0.7</v>
      </c>
      <c r="Q216" s="17">
        <f>O216*P216</f>
        <v>2100000.0000000005</v>
      </c>
      <c r="R216" s="16">
        <f>'Financial Inputs'!$B$7</f>
        <v>0.35</v>
      </c>
      <c r="S216" s="17">
        <f>Q216*(1-R216)</f>
        <v>1365000.0000000005</v>
      </c>
      <c r="T216" s="18">
        <f>S216/'Financial Inputs'!$B$3</f>
        <v>1.3650000000000004E-2</v>
      </c>
      <c r="U216" s="9" t="s">
        <v>52</v>
      </c>
      <c r="V216" s="3" t="s">
        <v>53</v>
      </c>
    </row>
    <row r="217" spans="1:22">
      <c r="A217" s="2" t="s">
        <v>848</v>
      </c>
      <c r="B217" s="2" t="s">
        <v>849</v>
      </c>
      <c r="C217" s="2" t="s">
        <v>802</v>
      </c>
      <c r="D217" s="2" t="s">
        <v>56</v>
      </c>
      <c r="E217" s="2" t="s">
        <v>148</v>
      </c>
      <c r="F217" s="2" t="s">
        <v>97</v>
      </c>
      <c r="G217" s="2" t="s">
        <v>56</v>
      </c>
      <c r="H217" s="2" t="s">
        <v>498</v>
      </c>
      <c r="I217" s="2" t="s">
        <v>499</v>
      </c>
      <c r="J217" s="2" t="s">
        <v>803</v>
      </c>
      <c r="K217" s="2" t="s">
        <v>850</v>
      </c>
      <c r="L217" s="2" t="s">
        <v>150</v>
      </c>
      <c r="M217" s="2" t="s">
        <v>805</v>
      </c>
      <c r="N217" s="16">
        <v>0.02</v>
      </c>
      <c r="O217" s="17">
        <f>N217*'Financial Inputs'!$B$3</f>
        <v>2000000</v>
      </c>
      <c r="P217" s="18">
        <f>IF(I217="L",'Financial Inputs'!$B$4,IF(I217="M",'Financial Inputs'!$B$5,'Financial Inputs'!$B$6))</f>
        <v>0.7</v>
      </c>
      <c r="Q217" s="17">
        <f>O217*P217</f>
        <v>1400000</v>
      </c>
      <c r="R217" s="16">
        <f>'Financial Inputs'!$B$7</f>
        <v>0.35</v>
      </c>
      <c r="S217" s="17">
        <f>Q217*(1-R217)</f>
        <v>910000</v>
      </c>
      <c r="T217" s="18">
        <f>S217/'Financial Inputs'!$B$3</f>
        <v>9.1000000000000004E-3</v>
      </c>
      <c r="U217" s="9" t="s">
        <v>52</v>
      </c>
      <c r="V217" s="3" t="s">
        <v>53</v>
      </c>
    </row>
    <row r="218" spans="1:22">
      <c r="A218" s="2" t="s">
        <v>851</v>
      </c>
      <c r="B218" s="2" t="s">
        <v>852</v>
      </c>
      <c r="C218" s="2" t="s">
        <v>802</v>
      </c>
      <c r="D218" s="2" t="s">
        <v>64</v>
      </c>
      <c r="E218" s="2" t="s">
        <v>153</v>
      </c>
      <c r="F218" s="2" t="s">
        <v>104</v>
      </c>
      <c r="G218" s="2" t="s">
        <v>138</v>
      </c>
      <c r="H218" s="2" t="s">
        <v>498</v>
      </c>
      <c r="I218" s="2" t="s">
        <v>499</v>
      </c>
      <c r="J218" s="2" t="s">
        <v>803</v>
      </c>
      <c r="K218" s="2" t="s">
        <v>853</v>
      </c>
      <c r="L218" s="2" t="s">
        <v>155</v>
      </c>
      <c r="M218" s="2" t="s">
        <v>805</v>
      </c>
      <c r="N218" s="16">
        <v>2.2499999999999999E-2</v>
      </c>
      <c r="O218" s="17">
        <f>N218*'Financial Inputs'!$B$3</f>
        <v>2250000</v>
      </c>
      <c r="P218" s="18">
        <f>IF(I218="L",'Financial Inputs'!$B$4,IF(I218="M",'Financial Inputs'!$B$5,'Financial Inputs'!$B$6))</f>
        <v>0.7</v>
      </c>
      <c r="Q218" s="17">
        <f>O218*P218</f>
        <v>1575000</v>
      </c>
      <c r="R218" s="16">
        <f>'Financial Inputs'!$B$7</f>
        <v>0.35</v>
      </c>
      <c r="S218" s="17">
        <f>Q218*(1-R218)</f>
        <v>1023750</v>
      </c>
      <c r="T218" s="18">
        <f>S218/'Financial Inputs'!$B$3</f>
        <v>1.02375E-2</v>
      </c>
      <c r="U218" s="9" t="s">
        <v>52</v>
      </c>
      <c r="V218" s="3" t="s">
        <v>53</v>
      </c>
    </row>
    <row r="219" spans="1:22">
      <c r="A219" s="2" t="s">
        <v>854</v>
      </c>
      <c r="B219" s="2" t="s">
        <v>855</v>
      </c>
      <c r="C219" s="2" t="s">
        <v>802</v>
      </c>
      <c r="D219" s="2" t="s">
        <v>72</v>
      </c>
      <c r="E219" s="2" t="s">
        <v>89</v>
      </c>
      <c r="F219" s="2" t="s">
        <v>110</v>
      </c>
      <c r="G219" s="2" t="s">
        <v>143</v>
      </c>
      <c r="H219" s="2" t="s">
        <v>498</v>
      </c>
      <c r="I219" s="2" t="s">
        <v>499</v>
      </c>
      <c r="J219" s="2" t="s">
        <v>803</v>
      </c>
      <c r="K219" s="2" t="s">
        <v>856</v>
      </c>
      <c r="L219" s="2" t="s">
        <v>159</v>
      </c>
      <c r="M219" s="2" t="s">
        <v>805</v>
      </c>
      <c r="N219" s="16">
        <v>2.5000000000000001E-2</v>
      </c>
      <c r="O219" s="17">
        <f>N219*'Financial Inputs'!$B$3</f>
        <v>2500000</v>
      </c>
      <c r="P219" s="18">
        <f>IF(I219="L",'Financial Inputs'!$B$4,IF(I219="M",'Financial Inputs'!$B$5,'Financial Inputs'!$B$6))</f>
        <v>0.7</v>
      </c>
      <c r="Q219" s="17">
        <f>O219*P219</f>
        <v>1750000</v>
      </c>
      <c r="R219" s="16">
        <f>'Financial Inputs'!$B$7</f>
        <v>0.35</v>
      </c>
      <c r="S219" s="17">
        <f>Q219*(1-R219)</f>
        <v>1137500</v>
      </c>
      <c r="T219" s="18">
        <f>S219/'Financial Inputs'!$B$3</f>
        <v>1.1375E-2</v>
      </c>
      <c r="U219" s="9" t="s">
        <v>52</v>
      </c>
      <c r="V219" s="3" t="s">
        <v>53</v>
      </c>
    </row>
    <row r="220" spans="1:22">
      <c r="A220" s="2" t="s">
        <v>857</v>
      </c>
      <c r="B220" s="2" t="s">
        <v>858</v>
      </c>
      <c r="C220" s="2" t="s">
        <v>802</v>
      </c>
      <c r="D220" s="2" t="s">
        <v>80</v>
      </c>
      <c r="E220" s="2" t="s">
        <v>96</v>
      </c>
      <c r="F220" s="2" t="s">
        <v>117</v>
      </c>
      <c r="G220" s="2" t="s">
        <v>162</v>
      </c>
      <c r="H220" s="2" t="s">
        <v>498</v>
      </c>
      <c r="I220" s="2" t="s">
        <v>499</v>
      </c>
      <c r="J220" s="2" t="s">
        <v>803</v>
      </c>
      <c r="K220" s="2" t="s">
        <v>859</v>
      </c>
      <c r="L220" s="2" t="s">
        <v>164</v>
      </c>
      <c r="M220" s="2" t="s">
        <v>805</v>
      </c>
      <c r="N220" s="16">
        <v>2.75E-2</v>
      </c>
      <c r="O220" s="17">
        <f>N220*'Financial Inputs'!$B$3</f>
        <v>2750000</v>
      </c>
      <c r="P220" s="18">
        <f>IF(I220="L",'Financial Inputs'!$B$4,IF(I220="M",'Financial Inputs'!$B$5,'Financial Inputs'!$B$6))</f>
        <v>0.7</v>
      </c>
      <c r="Q220" s="17">
        <f>O220*P220</f>
        <v>1924999.9999999998</v>
      </c>
      <c r="R220" s="16">
        <f>'Financial Inputs'!$B$7</f>
        <v>0.35</v>
      </c>
      <c r="S220" s="17">
        <f>Q220*(1-R220)</f>
        <v>1251250</v>
      </c>
      <c r="T220" s="18">
        <f>S220/'Financial Inputs'!$B$3</f>
        <v>1.2512499999999999E-2</v>
      </c>
      <c r="U220" s="9" t="s">
        <v>52</v>
      </c>
      <c r="V220" s="3" t="s">
        <v>53</v>
      </c>
    </row>
    <row r="221" spans="1:22">
      <c r="A221" s="2" t="s">
        <v>860</v>
      </c>
      <c r="B221" s="2" t="s">
        <v>861</v>
      </c>
      <c r="C221" s="2" t="s">
        <v>802</v>
      </c>
      <c r="D221" s="2" t="s">
        <v>127</v>
      </c>
      <c r="E221" s="2" t="s">
        <v>103</v>
      </c>
      <c r="F221" s="2" t="s">
        <v>90</v>
      </c>
      <c r="G221" s="2" t="s">
        <v>45</v>
      </c>
      <c r="H221" s="2" t="s">
        <v>498</v>
      </c>
      <c r="I221" s="2" t="s">
        <v>499</v>
      </c>
      <c r="J221" s="2" t="s">
        <v>803</v>
      </c>
      <c r="K221" s="2" t="s">
        <v>862</v>
      </c>
      <c r="L221" s="2" t="s">
        <v>168</v>
      </c>
      <c r="M221" s="2" t="s">
        <v>805</v>
      </c>
      <c r="N221" s="16">
        <v>3.0000000000000009E-2</v>
      </c>
      <c r="O221" s="17">
        <f>N221*'Financial Inputs'!$B$3</f>
        <v>3000000.0000000009</v>
      </c>
      <c r="P221" s="18">
        <f>IF(I221="L",'Financial Inputs'!$B$4,IF(I221="M",'Financial Inputs'!$B$5,'Financial Inputs'!$B$6))</f>
        <v>0.7</v>
      </c>
      <c r="Q221" s="17">
        <f>O221*P221</f>
        <v>2100000.0000000005</v>
      </c>
      <c r="R221" s="16">
        <f>'Financial Inputs'!$B$7</f>
        <v>0.35</v>
      </c>
      <c r="S221" s="17">
        <f>Q221*(1-R221)</f>
        <v>1365000.0000000005</v>
      </c>
      <c r="T221" s="18">
        <f>S221/'Financial Inputs'!$B$3</f>
        <v>1.3650000000000004E-2</v>
      </c>
      <c r="U221" s="9" t="s">
        <v>52</v>
      </c>
      <c r="V221" s="3" t="s">
        <v>53</v>
      </c>
    </row>
    <row r="222" spans="1:22">
      <c r="A222" s="2" t="s">
        <v>863</v>
      </c>
      <c r="B222" s="2" t="s">
        <v>864</v>
      </c>
      <c r="C222" s="2" t="s">
        <v>802</v>
      </c>
      <c r="D222" s="2" t="s">
        <v>95</v>
      </c>
      <c r="E222" s="2" t="s">
        <v>171</v>
      </c>
      <c r="F222" s="2" t="s">
        <v>66</v>
      </c>
      <c r="G222" s="2" t="s">
        <v>143</v>
      </c>
      <c r="H222" s="2" t="s">
        <v>498</v>
      </c>
      <c r="I222" s="2" t="s">
        <v>499</v>
      </c>
      <c r="J222" s="2" t="s">
        <v>803</v>
      </c>
      <c r="K222" s="2" t="s">
        <v>865</v>
      </c>
      <c r="L222" s="2" t="s">
        <v>173</v>
      </c>
      <c r="M222" s="2" t="s">
        <v>805</v>
      </c>
      <c r="N222" s="16">
        <v>0.02</v>
      </c>
      <c r="O222" s="17">
        <f>N222*'Financial Inputs'!$B$3</f>
        <v>2000000</v>
      </c>
      <c r="P222" s="18">
        <f>IF(I222="L",'Financial Inputs'!$B$4,IF(I222="M",'Financial Inputs'!$B$5,'Financial Inputs'!$B$6))</f>
        <v>0.7</v>
      </c>
      <c r="Q222" s="17">
        <f>O222*P222</f>
        <v>1400000</v>
      </c>
      <c r="R222" s="16">
        <f>'Financial Inputs'!$B$7</f>
        <v>0.35</v>
      </c>
      <c r="S222" s="17">
        <f>Q222*(1-R222)</f>
        <v>910000</v>
      </c>
      <c r="T222" s="18">
        <f>S222/'Financial Inputs'!$B$3</f>
        <v>9.1000000000000004E-3</v>
      </c>
      <c r="U222" s="9" t="s">
        <v>52</v>
      </c>
      <c r="V222" s="3" t="s">
        <v>53</v>
      </c>
    </row>
    <row r="223" spans="1:22">
      <c r="A223" s="2" t="s">
        <v>866</v>
      </c>
      <c r="B223" s="2" t="s">
        <v>867</v>
      </c>
      <c r="C223" s="2" t="s">
        <v>802</v>
      </c>
      <c r="D223" s="2" t="s">
        <v>102</v>
      </c>
      <c r="E223" s="2" t="s">
        <v>176</v>
      </c>
      <c r="F223" s="2" t="s">
        <v>74</v>
      </c>
      <c r="G223" s="2" t="s">
        <v>162</v>
      </c>
      <c r="H223" s="2" t="s">
        <v>498</v>
      </c>
      <c r="I223" s="2" t="s">
        <v>499</v>
      </c>
      <c r="J223" s="2" t="s">
        <v>803</v>
      </c>
      <c r="K223" s="2" t="s">
        <v>868</v>
      </c>
      <c r="L223" s="2" t="s">
        <v>178</v>
      </c>
      <c r="M223" s="2" t="s">
        <v>805</v>
      </c>
      <c r="N223" s="16">
        <v>2.2499999999999999E-2</v>
      </c>
      <c r="O223" s="17">
        <f>N223*'Financial Inputs'!$B$3</f>
        <v>2250000</v>
      </c>
      <c r="P223" s="18">
        <f>IF(I223="L",'Financial Inputs'!$B$4,IF(I223="M",'Financial Inputs'!$B$5,'Financial Inputs'!$B$6))</f>
        <v>0.7</v>
      </c>
      <c r="Q223" s="17">
        <f>O223*P223</f>
        <v>1575000</v>
      </c>
      <c r="R223" s="16">
        <f>'Financial Inputs'!$B$7</f>
        <v>0.35</v>
      </c>
      <c r="S223" s="17">
        <f>Q223*(1-R223)</f>
        <v>1023750</v>
      </c>
      <c r="T223" s="18">
        <f>S223/'Financial Inputs'!$B$3</f>
        <v>1.02375E-2</v>
      </c>
      <c r="U223" s="9" t="s">
        <v>52</v>
      </c>
      <c r="V223" s="3" t="s">
        <v>53</v>
      </c>
    </row>
    <row r="224" spans="1:22">
      <c r="A224" s="2" t="s">
        <v>869</v>
      </c>
      <c r="B224" s="2" t="s">
        <v>870</v>
      </c>
      <c r="C224" s="2" t="s">
        <v>802</v>
      </c>
      <c r="D224" s="2" t="s">
        <v>42</v>
      </c>
      <c r="E224" s="2" t="s">
        <v>122</v>
      </c>
      <c r="F224" s="2" t="s">
        <v>82</v>
      </c>
      <c r="G224" s="2" t="s">
        <v>45</v>
      </c>
      <c r="H224" s="2" t="s">
        <v>498</v>
      </c>
      <c r="I224" s="2" t="s">
        <v>499</v>
      </c>
      <c r="J224" s="2" t="s">
        <v>803</v>
      </c>
      <c r="K224" s="2" t="s">
        <v>871</v>
      </c>
      <c r="L224" s="2" t="s">
        <v>182</v>
      </c>
      <c r="M224" s="2" t="s">
        <v>805</v>
      </c>
      <c r="N224" s="16">
        <v>2.5000000000000001E-2</v>
      </c>
      <c r="O224" s="17">
        <f>N224*'Financial Inputs'!$B$3</f>
        <v>2500000</v>
      </c>
      <c r="P224" s="18">
        <f>IF(I224="L",'Financial Inputs'!$B$4,IF(I224="M",'Financial Inputs'!$B$5,'Financial Inputs'!$B$6))</f>
        <v>0.7</v>
      </c>
      <c r="Q224" s="17">
        <f>O224*P224</f>
        <v>1750000</v>
      </c>
      <c r="R224" s="16">
        <f>'Financial Inputs'!$B$7</f>
        <v>0.35</v>
      </c>
      <c r="S224" s="17">
        <f>Q224*(1-R224)</f>
        <v>1137500</v>
      </c>
      <c r="T224" s="18">
        <f>S224/'Financial Inputs'!$B$3</f>
        <v>1.1375E-2</v>
      </c>
      <c r="U224" s="9" t="s">
        <v>52</v>
      </c>
      <c r="V224" s="3" t="s">
        <v>53</v>
      </c>
    </row>
    <row r="225" spans="1:22">
      <c r="A225" s="2" t="s">
        <v>872</v>
      </c>
      <c r="B225" s="2" t="s">
        <v>873</v>
      </c>
      <c r="C225" s="2" t="s">
        <v>802</v>
      </c>
      <c r="D225" s="2" t="s">
        <v>56</v>
      </c>
      <c r="E225" s="2" t="s">
        <v>128</v>
      </c>
      <c r="F225" s="2" t="s">
        <v>44</v>
      </c>
      <c r="G225" s="2" t="s">
        <v>59</v>
      </c>
      <c r="H225" s="2" t="s">
        <v>498</v>
      </c>
      <c r="I225" s="2" t="s">
        <v>499</v>
      </c>
      <c r="J225" s="2" t="s">
        <v>803</v>
      </c>
      <c r="K225" s="2" t="s">
        <v>874</v>
      </c>
      <c r="L225" s="2" t="s">
        <v>186</v>
      </c>
      <c r="M225" s="2" t="s">
        <v>805</v>
      </c>
      <c r="N225" s="16">
        <v>2.75E-2</v>
      </c>
      <c r="O225" s="17">
        <f>N225*'Financial Inputs'!$B$3</f>
        <v>2750000</v>
      </c>
      <c r="P225" s="18">
        <f>IF(I225="L",'Financial Inputs'!$B$4,IF(I225="M",'Financial Inputs'!$B$5,'Financial Inputs'!$B$6))</f>
        <v>0.7</v>
      </c>
      <c r="Q225" s="17">
        <f>O225*P225</f>
        <v>1924999.9999999998</v>
      </c>
      <c r="R225" s="16">
        <f>'Financial Inputs'!$B$7</f>
        <v>0.35</v>
      </c>
      <c r="S225" s="17">
        <f>Q225*(1-R225)</f>
        <v>1251250</v>
      </c>
      <c r="T225" s="18">
        <f>S225/'Financial Inputs'!$B$3</f>
        <v>1.2512499999999999E-2</v>
      </c>
      <c r="U225" s="9" t="s">
        <v>52</v>
      </c>
      <c r="V225" s="3" t="s">
        <v>53</v>
      </c>
    </row>
    <row r="226" spans="1:22">
      <c r="A226" s="2" t="s">
        <v>875</v>
      </c>
      <c r="B226" s="2" t="s">
        <v>876</v>
      </c>
      <c r="C226" s="2" t="s">
        <v>802</v>
      </c>
      <c r="D226" s="2" t="s">
        <v>64</v>
      </c>
      <c r="E226" s="2" t="s">
        <v>43</v>
      </c>
      <c r="F226" s="2" t="s">
        <v>58</v>
      </c>
      <c r="G226" s="2" t="s">
        <v>67</v>
      </c>
      <c r="H226" s="2" t="s">
        <v>498</v>
      </c>
      <c r="I226" s="2" t="s">
        <v>499</v>
      </c>
      <c r="J226" s="2" t="s">
        <v>803</v>
      </c>
      <c r="K226" s="2" t="s">
        <v>877</v>
      </c>
      <c r="L226" s="2" t="s">
        <v>190</v>
      </c>
      <c r="M226" s="2" t="s">
        <v>805</v>
      </c>
      <c r="N226" s="16">
        <v>3.0000000000000009E-2</v>
      </c>
      <c r="O226" s="17">
        <f>N226*'Financial Inputs'!$B$3</f>
        <v>3000000.0000000009</v>
      </c>
      <c r="P226" s="18">
        <f>IF(I226="L",'Financial Inputs'!$B$4,IF(I226="M",'Financial Inputs'!$B$5,'Financial Inputs'!$B$6))</f>
        <v>0.7</v>
      </c>
      <c r="Q226" s="17">
        <f>O226*P226</f>
        <v>2100000.0000000005</v>
      </c>
      <c r="R226" s="16">
        <f>'Financial Inputs'!$B$7</f>
        <v>0.35</v>
      </c>
      <c r="S226" s="17">
        <f>Q226*(1-R226)</f>
        <v>1365000.0000000005</v>
      </c>
      <c r="T226" s="18">
        <f>S226/'Financial Inputs'!$B$3</f>
        <v>1.3650000000000004E-2</v>
      </c>
      <c r="U226" s="9" t="s">
        <v>52</v>
      </c>
      <c r="V226" s="3" t="s">
        <v>53</v>
      </c>
    </row>
    <row r="227" spans="1:22">
      <c r="A227" s="2" t="s">
        <v>878</v>
      </c>
      <c r="B227" s="2" t="s">
        <v>879</v>
      </c>
      <c r="C227" s="2" t="s">
        <v>802</v>
      </c>
      <c r="D227" s="2" t="s">
        <v>127</v>
      </c>
      <c r="E227" s="2" t="s">
        <v>193</v>
      </c>
      <c r="F227" s="2" t="s">
        <v>104</v>
      </c>
      <c r="G227" s="2" t="s">
        <v>45</v>
      </c>
      <c r="H227" s="2" t="s">
        <v>498</v>
      </c>
      <c r="I227" s="2" t="s">
        <v>499</v>
      </c>
      <c r="J227" s="2" t="s">
        <v>803</v>
      </c>
      <c r="K227" s="2" t="s">
        <v>880</v>
      </c>
      <c r="L227" s="2" t="s">
        <v>195</v>
      </c>
      <c r="M227" s="2" t="s">
        <v>805</v>
      </c>
      <c r="N227" s="16">
        <v>0.02</v>
      </c>
      <c r="O227" s="17">
        <f>N227*'Financial Inputs'!$B$3</f>
        <v>2000000</v>
      </c>
      <c r="P227" s="18">
        <f>IF(I227="L",'Financial Inputs'!$B$4,IF(I227="M",'Financial Inputs'!$B$5,'Financial Inputs'!$B$6))</f>
        <v>0.7</v>
      </c>
      <c r="Q227" s="17">
        <f>O227*P227</f>
        <v>1400000</v>
      </c>
      <c r="R227" s="16">
        <f>'Financial Inputs'!$B$7</f>
        <v>0.35</v>
      </c>
      <c r="S227" s="17">
        <f>Q227*(1-R227)</f>
        <v>910000</v>
      </c>
      <c r="T227" s="18">
        <f>S227/'Financial Inputs'!$B$3</f>
        <v>9.1000000000000004E-3</v>
      </c>
      <c r="U227" s="9" t="s">
        <v>52</v>
      </c>
      <c r="V227" s="3" t="s">
        <v>53</v>
      </c>
    </row>
    <row r="228" spans="1:22">
      <c r="A228" s="2" t="s">
        <v>881</v>
      </c>
      <c r="B228" s="2" t="s">
        <v>882</v>
      </c>
      <c r="C228" s="2" t="s">
        <v>802</v>
      </c>
      <c r="D228" s="2" t="s">
        <v>133</v>
      </c>
      <c r="E228" s="2" t="s">
        <v>198</v>
      </c>
      <c r="F228" s="2" t="s">
        <v>110</v>
      </c>
      <c r="G228" s="2" t="s">
        <v>59</v>
      </c>
      <c r="H228" s="2" t="s">
        <v>498</v>
      </c>
      <c r="I228" s="2" t="s">
        <v>499</v>
      </c>
      <c r="J228" s="2" t="s">
        <v>803</v>
      </c>
      <c r="K228" s="2" t="s">
        <v>883</v>
      </c>
      <c r="L228" s="2" t="s">
        <v>200</v>
      </c>
      <c r="M228" s="2" t="s">
        <v>805</v>
      </c>
      <c r="N228" s="16">
        <v>2.2499999999999999E-2</v>
      </c>
      <c r="O228" s="17">
        <f>N228*'Financial Inputs'!$B$3</f>
        <v>2250000</v>
      </c>
      <c r="P228" s="18">
        <f>IF(I228="L",'Financial Inputs'!$B$4,IF(I228="M",'Financial Inputs'!$B$5,'Financial Inputs'!$B$6))</f>
        <v>0.7</v>
      </c>
      <c r="Q228" s="17">
        <f>O228*P228</f>
        <v>1575000</v>
      </c>
      <c r="R228" s="16">
        <f>'Financial Inputs'!$B$7</f>
        <v>0.35</v>
      </c>
      <c r="S228" s="17">
        <f>Q228*(1-R228)</f>
        <v>1023750</v>
      </c>
      <c r="T228" s="18">
        <f>S228/'Financial Inputs'!$B$3</f>
        <v>1.02375E-2</v>
      </c>
      <c r="U228" s="9" t="s">
        <v>52</v>
      </c>
      <c r="V228" s="3" t="s">
        <v>53</v>
      </c>
    </row>
    <row r="229" spans="1:22">
      <c r="A229" s="2" t="s">
        <v>884</v>
      </c>
      <c r="B229" s="2" t="s">
        <v>885</v>
      </c>
      <c r="C229" s="2" t="s">
        <v>802</v>
      </c>
      <c r="D229" s="2" t="s">
        <v>88</v>
      </c>
      <c r="E229" s="2" t="s">
        <v>148</v>
      </c>
      <c r="F229" s="2" t="s">
        <v>117</v>
      </c>
      <c r="G229" s="2" t="s">
        <v>67</v>
      </c>
      <c r="H229" s="2" t="s">
        <v>498</v>
      </c>
      <c r="I229" s="2" t="s">
        <v>499</v>
      </c>
      <c r="J229" s="2" t="s">
        <v>803</v>
      </c>
      <c r="K229" s="2" t="s">
        <v>886</v>
      </c>
      <c r="L229" s="2" t="s">
        <v>204</v>
      </c>
      <c r="M229" s="2" t="s">
        <v>805</v>
      </c>
      <c r="N229" s="16">
        <v>2.5000000000000001E-2</v>
      </c>
      <c r="O229" s="17">
        <f>N229*'Financial Inputs'!$B$3</f>
        <v>2500000</v>
      </c>
      <c r="P229" s="18">
        <f>IF(I229="L",'Financial Inputs'!$B$4,IF(I229="M",'Financial Inputs'!$B$5,'Financial Inputs'!$B$6))</f>
        <v>0.7</v>
      </c>
      <c r="Q229" s="17">
        <f>O229*P229</f>
        <v>1750000</v>
      </c>
      <c r="R229" s="16">
        <f>'Financial Inputs'!$B$7</f>
        <v>0.35</v>
      </c>
      <c r="S229" s="17">
        <f>Q229*(1-R229)</f>
        <v>1137500</v>
      </c>
      <c r="T229" s="18">
        <f>S229/'Financial Inputs'!$B$3</f>
        <v>1.1375E-2</v>
      </c>
      <c r="U229" s="9" t="s">
        <v>52</v>
      </c>
      <c r="V229" s="3" t="s">
        <v>53</v>
      </c>
    </row>
    <row r="230" spans="1:22">
      <c r="A230" s="2" t="s">
        <v>887</v>
      </c>
      <c r="B230" s="2" t="s">
        <v>888</v>
      </c>
      <c r="C230" s="2" t="s">
        <v>802</v>
      </c>
      <c r="D230" s="2" t="s">
        <v>95</v>
      </c>
      <c r="E230" s="2" t="s">
        <v>153</v>
      </c>
      <c r="F230" s="2" t="s">
        <v>90</v>
      </c>
      <c r="G230" s="2" t="s">
        <v>75</v>
      </c>
      <c r="H230" s="2" t="s">
        <v>498</v>
      </c>
      <c r="I230" s="2" t="s">
        <v>499</v>
      </c>
      <c r="J230" s="2" t="s">
        <v>803</v>
      </c>
      <c r="K230" s="2" t="s">
        <v>889</v>
      </c>
      <c r="L230" s="2" t="s">
        <v>208</v>
      </c>
      <c r="M230" s="2" t="s">
        <v>805</v>
      </c>
      <c r="N230" s="16">
        <v>2.75E-2</v>
      </c>
      <c r="O230" s="17">
        <f>N230*'Financial Inputs'!$B$3</f>
        <v>2750000</v>
      </c>
      <c r="P230" s="18">
        <f>IF(I230="L",'Financial Inputs'!$B$4,IF(I230="M",'Financial Inputs'!$B$5,'Financial Inputs'!$B$6))</f>
        <v>0.7</v>
      </c>
      <c r="Q230" s="17">
        <f>O230*P230</f>
        <v>1924999.9999999998</v>
      </c>
      <c r="R230" s="16">
        <f>'Financial Inputs'!$B$7</f>
        <v>0.35</v>
      </c>
      <c r="S230" s="17">
        <f>Q230*(1-R230)</f>
        <v>1251250</v>
      </c>
      <c r="T230" s="18">
        <f>S230/'Financial Inputs'!$B$3</f>
        <v>1.2512499999999999E-2</v>
      </c>
      <c r="U230" s="9" t="s">
        <v>52</v>
      </c>
      <c r="V230" s="3" t="s">
        <v>53</v>
      </c>
    </row>
    <row r="231" spans="1:22">
      <c r="A231" s="2" t="s">
        <v>890</v>
      </c>
      <c r="B231" s="2" t="s">
        <v>891</v>
      </c>
      <c r="C231" s="2" t="s">
        <v>802</v>
      </c>
      <c r="D231" s="2" t="s">
        <v>102</v>
      </c>
      <c r="E231" s="2" t="s">
        <v>89</v>
      </c>
      <c r="F231" s="2" t="s">
        <v>97</v>
      </c>
      <c r="G231" s="2" t="s">
        <v>83</v>
      </c>
      <c r="H231" s="2" t="s">
        <v>498</v>
      </c>
      <c r="I231" s="2" t="s">
        <v>499</v>
      </c>
      <c r="J231" s="2" t="s">
        <v>803</v>
      </c>
      <c r="K231" s="2" t="s">
        <v>892</v>
      </c>
      <c r="L231" s="2" t="s">
        <v>212</v>
      </c>
      <c r="M231" s="2" t="s">
        <v>805</v>
      </c>
      <c r="N231" s="16">
        <v>3.0000000000000009E-2</v>
      </c>
      <c r="O231" s="17">
        <f>N231*'Financial Inputs'!$B$3</f>
        <v>3000000.0000000009</v>
      </c>
      <c r="P231" s="18">
        <f>IF(I231="L",'Financial Inputs'!$B$4,IF(I231="M",'Financial Inputs'!$B$5,'Financial Inputs'!$B$6))</f>
        <v>0.7</v>
      </c>
      <c r="Q231" s="17">
        <f>O231*P231</f>
        <v>2100000.0000000005</v>
      </c>
      <c r="R231" s="16">
        <f>'Financial Inputs'!$B$7</f>
        <v>0.35</v>
      </c>
      <c r="S231" s="17">
        <f>Q231*(1-R231)</f>
        <v>1365000.0000000005</v>
      </c>
      <c r="T231" s="18">
        <f>S231/'Financial Inputs'!$B$3</f>
        <v>1.3650000000000004E-2</v>
      </c>
      <c r="U231" s="9" t="s">
        <v>52</v>
      </c>
      <c r="V231" s="3" t="s">
        <v>53</v>
      </c>
    </row>
    <row r="232" spans="1:22">
      <c r="A232" s="2" t="s">
        <v>893</v>
      </c>
      <c r="B232" s="2" t="s">
        <v>894</v>
      </c>
      <c r="C232" s="2" t="s">
        <v>802</v>
      </c>
      <c r="D232" s="2" t="s">
        <v>64</v>
      </c>
      <c r="E232" s="2" t="s">
        <v>215</v>
      </c>
      <c r="F232" s="2" t="s">
        <v>74</v>
      </c>
      <c r="G232" s="2" t="s">
        <v>67</v>
      </c>
      <c r="H232" s="2" t="s">
        <v>498</v>
      </c>
      <c r="I232" s="2" t="s">
        <v>499</v>
      </c>
      <c r="J232" s="2" t="s">
        <v>803</v>
      </c>
      <c r="K232" s="2" t="s">
        <v>895</v>
      </c>
      <c r="L232" s="2" t="s">
        <v>217</v>
      </c>
      <c r="M232" s="2" t="s">
        <v>805</v>
      </c>
      <c r="N232" s="16">
        <v>0.02</v>
      </c>
      <c r="O232" s="17">
        <f>N232*'Financial Inputs'!$B$3</f>
        <v>2000000</v>
      </c>
      <c r="P232" s="18">
        <f>IF(I232="L",'Financial Inputs'!$B$4,IF(I232="M",'Financial Inputs'!$B$5,'Financial Inputs'!$B$6))</f>
        <v>0.7</v>
      </c>
      <c r="Q232" s="17">
        <f>O232*P232</f>
        <v>1400000</v>
      </c>
      <c r="R232" s="16">
        <f>'Financial Inputs'!$B$7</f>
        <v>0.35</v>
      </c>
      <c r="S232" s="17">
        <f>Q232*(1-R232)</f>
        <v>910000</v>
      </c>
      <c r="T232" s="18">
        <f>S232/'Financial Inputs'!$B$3</f>
        <v>9.1000000000000004E-3</v>
      </c>
      <c r="U232" s="9" t="s">
        <v>52</v>
      </c>
      <c r="V232" s="3" t="s">
        <v>53</v>
      </c>
    </row>
    <row r="233" spans="1:22">
      <c r="A233" s="2" t="s">
        <v>896</v>
      </c>
      <c r="B233" s="2" t="s">
        <v>897</v>
      </c>
      <c r="C233" s="2" t="s">
        <v>802</v>
      </c>
      <c r="D233" s="2" t="s">
        <v>72</v>
      </c>
      <c r="E233" s="2" t="s">
        <v>220</v>
      </c>
      <c r="F233" s="2" t="s">
        <v>82</v>
      </c>
      <c r="G233" s="2" t="s">
        <v>75</v>
      </c>
      <c r="H233" s="2" t="s">
        <v>498</v>
      </c>
      <c r="I233" s="2" t="s">
        <v>499</v>
      </c>
      <c r="J233" s="2" t="s">
        <v>803</v>
      </c>
      <c r="K233" s="2" t="s">
        <v>898</v>
      </c>
      <c r="L233" s="2" t="s">
        <v>222</v>
      </c>
      <c r="M233" s="2" t="s">
        <v>805</v>
      </c>
      <c r="N233" s="16">
        <v>2.2499999999999999E-2</v>
      </c>
      <c r="O233" s="17">
        <f>N233*'Financial Inputs'!$B$3</f>
        <v>2250000</v>
      </c>
      <c r="P233" s="18">
        <f>IF(I233="L",'Financial Inputs'!$B$4,IF(I233="M",'Financial Inputs'!$B$5,'Financial Inputs'!$B$6))</f>
        <v>0.7</v>
      </c>
      <c r="Q233" s="17">
        <f>O233*P233</f>
        <v>1575000</v>
      </c>
      <c r="R233" s="16">
        <f>'Financial Inputs'!$B$7</f>
        <v>0.35</v>
      </c>
      <c r="S233" s="17">
        <f>Q233*(1-R233)</f>
        <v>1023750</v>
      </c>
      <c r="T233" s="18">
        <f>S233/'Financial Inputs'!$B$3</f>
        <v>1.02375E-2</v>
      </c>
      <c r="U233" s="9" t="s">
        <v>52</v>
      </c>
      <c r="V233" s="3" t="s">
        <v>53</v>
      </c>
    </row>
    <row r="234" spans="1:22">
      <c r="A234" s="2" t="s">
        <v>899</v>
      </c>
      <c r="B234" s="2" t="s">
        <v>900</v>
      </c>
      <c r="C234" s="2" t="s">
        <v>802</v>
      </c>
      <c r="D234" s="2" t="s">
        <v>80</v>
      </c>
      <c r="E234" s="2" t="s">
        <v>171</v>
      </c>
      <c r="F234" s="2" t="s">
        <v>44</v>
      </c>
      <c r="G234" s="2" t="s">
        <v>83</v>
      </c>
      <c r="H234" s="2" t="s">
        <v>498</v>
      </c>
      <c r="I234" s="2" t="s">
        <v>499</v>
      </c>
      <c r="J234" s="2" t="s">
        <v>803</v>
      </c>
      <c r="K234" s="2" t="s">
        <v>901</v>
      </c>
      <c r="L234" s="2" t="s">
        <v>226</v>
      </c>
      <c r="M234" s="2" t="s">
        <v>805</v>
      </c>
      <c r="N234" s="16">
        <v>2.5000000000000001E-2</v>
      </c>
      <c r="O234" s="17">
        <f>N234*'Financial Inputs'!$B$3</f>
        <v>2500000</v>
      </c>
      <c r="P234" s="18">
        <f>IF(I234="L",'Financial Inputs'!$B$4,IF(I234="M",'Financial Inputs'!$B$5,'Financial Inputs'!$B$6))</f>
        <v>0.7</v>
      </c>
      <c r="Q234" s="17">
        <f>O234*P234</f>
        <v>1750000</v>
      </c>
      <c r="R234" s="16">
        <f>'Financial Inputs'!$B$7</f>
        <v>0.35</v>
      </c>
      <c r="S234" s="17">
        <f>Q234*(1-R234)</f>
        <v>1137500</v>
      </c>
      <c r="T234" s="18">
        <f>S234/'Financial Inputs'!$B$3</f>
        <v>1.1375E-2</v>
      </c>
      <c r="U234" s="9" t="s">
        <v>52</v>
      </c>
      <c r="V234" s="3" t="s">
        <v>53</v>
      </c>
    </row>
    <row r="235" spans="1:22">
      <c r="A235" s="2" t="s">
        <v>902</v>
      </c>
      <c r="B235" s="2" t="s">
        <v>903</v>
      </c>
      <c r="C235" s="2" t="s">
        <v>802</v>
      </c>
      <c r="D235" s="2" t="s">
        <v>127</v>
      </c>
      <c r="E235" s="2" t="s">
        <v>176</v>
      </c>
      <c r="F235" s="2" t="s">
        <v>58</v>
      </c>
      <c r="G235" s="2" t="s">
        <v>111</v>
      </c>
      <c r="H235" s="2" t="s">
        <v>498</v>
      </c>
      <c r="I235" s="2" t="s">
        <v>499</v>
      </c>
      <c r="J235" s="2" t="s">
        <v>803</v>
      </c>
      <c r="K235" s="2" t="s">
        <v>904</v>
      </c>
      <c r="L235" s="2" t="s">
        <v>230</v>
      </c>
      <c r="M235" s="2" t="s">
        <v>805</v>
      </c>
      <c r="N235" s="16">
        <v>2.75E-2</v>
      </c>
      <c r="O235" s="17">
        <f>N235*'Financial Inputs'!$B$3</f>
        <v>2750000</v>
      </c>
      <c r="P235" s="18">
        <f>IF(I235="L",'Financial Inputs'!$B$4,IF(I235="M",'Financial Inputs'!$B$5,'Financial Inputs'!$B$6))</f>
        <v>0.7</v>
      </c>
      <c r="Q235" s="17">
        <f>O235*P235</f>
        <v>1924999.9999999998</v>
      </c>
      <c r="R235" s="16">
        <f>'Financial Inputs'!$B$7</f>
        <v>0.35</v>
      </c>
      <c r="S235" s="17">
        <f>Q235*(1-R235)</f>
        <v>1251250</v>
      </c>
      <c r="T235" s="18">
        <f>S235/'Financial Inputs'!$B$3</f>
        <v>1.2512499999999999E-2</v>
      </c>
      <c r="U235" s="9" t="s">
        <v>52</v>
      </c>
      <c r="V235" s="3" t="s">
        <v>53</v>
      </c>
    </row>
    <row r="236" spans="1:22">
      <c r="A236" s="2" t="s">
        <v>905</v>
      </c>
      <c r="B236" s="2" t="s">
        <v>906</v>
      </c>
      <c r="C236" s="2" t="s">
        <v>802</v>
      </c>
      <c r="D236" s="2" t="s">
        <v>133</v>
      </c>
      <c r="E236" s="2" t="s">
        <v>122</v>
      </c>
      <c r="F236" s="2" t="s">
        <v>66</v>
      </c>
      <c r="G236" s="2" t="s">
        <v>56</v>
      </c>
      <c r="H236" s="2" t="s">
        <v>498</v>
      </c>
      <c r="I236" s="2" t="s">
        <v>499</v>
      </c>
      <c r="J236" s="2" t="s">
        <v>803</v>
      </c>
      <c r="K236" s="2" t="s">
        <v>907</v>
      </c>
      <c r="L236" s="2" t="s">
        <v>234</v>
      </c>
      <c r="M236" s="2" t="s">
        <v>805</v>
      </c>
      <c r="N236" s="16">
        <v>3.0000000000000009E-2</v>
      </c>
      <c r="O236" s="17">
        <f>N236*'Financial Inputs'!$B$3</f>
        <v>3000000.0000000009</v>
      </c>
      <c r="P236" s="18">
        <f>IF(I236="L",'Financial Inputs'!$B$4,IF(I236="M",'Financial Inputs'!$B$5,'Financial Inputs'!$B$6))</f>
        <v>0.7</v>
      </c>
      <c r="Q236" s="17">
        <f>O236*P236</f>
        <v>2100000.0000000005</v>
      </c>
      <c r="R236" s="16">
        <f>'Financial Inputs'!$B$7</f>
        <v>0.35</v>
      </c>
      <c r="S236" s="17">
        <f>Q236*(1-R236)</f>
        <v>1365000.0000000005</v>
      </c>
      <c r="T236" s="18">
        <f>S236/'Financial Inputs'!$B$3</f>
        <v>1.3650000000000004E-2</v>
      </c>
      <c r="U236" s="9" t="s">
        <v>52</v>
      </c>
      <c r="V236" s="3" t="s">
        <v>53</v>
      </c>
    </row>
    <row r="237" spans="1:22">
      <c r="A237" s="2" t="s">
        <v>908</v>
      </c>
      <c r="B237" s="2" t="s">
        <v>909</v>
      </c>
      <c r="C237" s="2" t="s">
        <v>802</v>
      </c>
      <c r="D237" s="2" t="s">
        <v>102</v>
      </c>
      <c r="E237" s="2" t="s">
        <v>73</v>
      </c>
      <c r="F237" s="2" t="s">
        <v>110</v>
      </c>
      <c r="G237" s="2" t="s">
        <v>83</v>
      </c>
      <c r="H237" s="2" t="s">
        <v>498</v>
      </c>
      <c r="I237" s="2" t="s">
        <v>499</v>
      </c>
      <c r="J237" s="2" t="s">
        <v>803</v>
      </c>
      <c r="K237" s="2" t="s">
        <v>910</v>
      </c>
      <c r="L237" s="2" t="s">
        <v>238</v>
      </c>
      <c r="M237" s="2" t="s">
        <v>805</v>
      </c>
      <c r="N237" s="16">
        <v>0.02</v>
      </c>
      <c r="O237" s="17">
        <f>N237*'Financial Inputs'!$B$3</f>
        <v>2000000</v>
      </c>
      <c r="P237" s="18">
        <f>IF(I237="L",'Financial Inputs'!$B$4,IF(I237="M",'Financial Inputs'!$B$5,'Financial Inputs'!$B$6))</f>
        <v>0.7</v>
      </c>
      <c r="Q237" s="17">
        <f>O237*P237</f>
        <v>1400000</v>
      </c>
      <c r="R237" s="16">
        <f>'Financial Inputs'!$B$7</f>
        <v>0.35</v>
      </c>
      <c r="S237" s="17">
        <f>Q237*(1-R237)</f>
        <v>910000</v>
      </c>
      <c r="T237" s="18">
        <f>S237/'Financial Inputs'!$B$3</f>
        <v>9.1000000000000004E-3</v>
      </c>
      <c r="U237" s="9" t="s">
        <v>52</v>
      </c>
      <c r="V237" s="3" t="s">
        <v>53</v>
      </c>
    </row>
    <row r="238" spans="1:22">
      <c r="A238" s="2" t="s">
        <v>911</v>
      </c>
      <c r="B238" s="2" t="s">
        <v>912</v>
      </c>
      <c r="C238" s="2" t="s">
        <v>802</v>
      </c>
      <c r="D238" s="2" t="s">
        <v>42</v>
      </c>
      <c r="E238" s="2" t="s">
        <v>81</v>
      </c>
      <c r="F238" s="2" t="s">
        <v>117</v>
      </c>
      <c r="G238" s="2" t="s">
        <v>111</v>
      </c>
      <c r="H238" s="2" t="s">
        <v>498</v>
      </c>
      <c r="I238" s="2" t="s">
        <v>499</v>
      </c>
      <c r="J238" s="2" t="s">
        <v>803</v>
      </c>
      <c r="K238" s="2" t="s">
        <v>913</v>
      </c>
      <c r="L238" s="2" t="s">
        <v>242</v>
      </c>
      <c r="M238" s="2" t="s">
        <v>805</v>
      </c>
      <c r="N238" s="16">
        <v>2.2499999999999999E-2</v>
      </c>
      <c r="O238" s="17">
        <f>N238*'Financial Inputs'!$B$3</f>
        <v>2250000</v>
      </c>
      <c r="P238" s="18">
        <f>IF(I238="L",'Financial Inputs'!$B$4,IF(I238="M",'Financial Inputs'!$B$5,'Financial Inputs'!$B$6))</f>
        <v>0.7</v>
      </c>
      <c r="Q238" s="17">
        <f>O238*P238</f>
        <v>1575000</v>
      </c>
      <c r="R238" s="16">
        <f>'Financial Inputs'!$B$7</f>
        <v>0.35</v>
      </c>
      <c r="S238" s="17">
        <f>Q238*(1-R238)</f>
        <v>1023750</v>
      </c>
      <c r="T238" s="18">
        <f>S238/'Financial Inputs'!$B$3</f>
        <v>1.02375E-2</v>
      </c>
      <c r="U238" s="9" t="s">
        <v>52</v>
      </c>
      <c r="V238" s="3" t="s">
        <v>53</v>
      </c>
    </row>
    <row r="239" spans="1:22">
      <c r="A239" s="2" t="s">
        <v>914</v>
      </c>
      <c r="B239" s="2" t="s">
        <v>915</v>
      </c>
      <c r="C239" s="2" t="s">
        <v>802</v>
      </c>
      <c r="D239" s="2" t="s">
        <v>56</v>
      </c>
      <c r="E239" s="2" t="s">
        <v>193</v>
      </c>
      <c r="F239" s="2" t="s">
        <v>90</v>
      </c>
      <c r="G239" s="2" t="s">
        <v>56</v>
      </c>
      <c r="H239" s="2" t="s">
        <v>498</v>
      </c>
      <c r="I239" s="2" t="s">
        <v>499</v>
      </c>
      <c r="J239" s="2" t="s">
        <v>803</v>
      </c>
      <c r="K239" s="2" t="s">
        <v>916</v>
      </c>
      <c r="L239" s="2" t="s">
        <v>246</v>
      </c>
      <c r="M239" s="2" t="s">
        <v>805</v>
      </c>
      <c r="N239" s="16">
        <v>2.5000000000000001E-2</v>
      </c>
      <c r="O239" s="17">
        <f>N239*'Financial Inputs'!$B$3</f>
        <v>2500000</v>
      </c>
      <c r="P239" s="18">
        <f>IF(I239="L",'Financial Inputs'!$B$4,IF(I239="M",'Financial Inputs'!$B$5,'Financial Inputs'!$B$6))</f>
        <v>0.7</v>
      </c>
      <c r="Q239" s="17">
        <f>O239*P239</f>
        <v>1750000</v>
      </c>
      <c r="R239" s="16">
        <f>'Financial Inputs'!$B$7</f>
        <v>0.35</v>
      </c>
      <c r="S239" s="17">
        <f>Q239*(1-R239)</f>
        <v>1137500</v>
      </c>
      <c r="T239" s="18">
        <f>S239/'Financial Inputs'!$B$3</f>
        <v>1.1375E-2</v>
      </c>
      <c r="U239" s="9" t="s">
        <v>52</v>
      </c>
      <c r="V239" s="3" t="s">
        <v>53</v>
      </c>
    </row>
    <row r="240" spans="1:22">
      <c r="A240" s="2" t="s">
        <v>917</v>
      </c>
      <c r="B240" s="2" t="s">
        <v>918</v>
      </c>
      <c r="C240" s="2" t="s">
        <v>802</v>
      </c>
      <c r="D240" s="2" t="s">
        <v>64</v>
      </c>
      <c r="E240" s="2" t="s">
        <v>198</v>
      </c>
      <c r="F240" s="2" t="s">
        <v>97</v>
      </c>
      <c r="G240" s="2" t="s">
        <v>138</v>
      </c>
      <c r="H240" s="2" t="s">
        <v>498</v>
      </c>
      <c r="I240" s="2" t="s">
        <v>499</v>
      </c>
      <c r="J240" s="2" t="s">
        <v>803</v>
      </c>
      <c r="K240" s="2" t="s">
        <v>919</v>
      </c>
      <c r="L240" s="2" t="s">
        <v>250</v>
      </c>
      <c r="M240" s="2" t="s">
        <v>805</v>
      </c>
      <c r="N240" s="16">
        <v>2.75E-2</v>
      </c>
      <c r="O240" s="17">
        <f>N240*'Financial Inputs'!$B$3</f>
        <v>2750000</v>
      </c>
      <c r="P240" s="18">
        <f>IF(I240="L",'Financial Inputs'!$B$4,IF(I240="M",'Financial Inputs'!$B$5,'Financial Inputs'!$B$6))</f>
        <v>0.7</v>
      </c>
      <c r="Q240" s="17">
        <f>O240*P240</f>
        <v>1924999.9999999998</v>
      </c>
      <c r="R240" s="16">
        <f>'Financial Inputs'!$B$7</f>
        <v>0.35</v>
      </c>
      <c r="S240" s="17">
        <f>Q240*(1-R240)</f>
        <v>1251250</v>
      </c>
      <c r="T240" s="18">
        <f>S240/'Financial Inputs'!$B$3</f>
        <v>1.2512499999999999E-2</v>
      </c>
      <c r="U240" s="9" t="s">
        <v>52</v>
      </c>
      <c r="V240" s="3" t="s">
        <v>53</v>
      </c>
    </row>
    <row r="241" spans="1:22">
      <c r="A241" s="2" t="s">
        <v>920</v>
      </c>
      <c r="B241" s="2" t="s">
        <v>921</v>
      </c>
      <c r="C241" s="2" t="s">
        <v>802</v>
      </c>
      <c r="D241" s="2" t="s">
        <v>72</v>
      </c>
      <c r="E241" s="2" t="s">
        <v>148</v>
      </c>
      <c r="F241" s="2" t="s">
        <v>104</v>
      </c>
      <c r="G241" s="2" t="s">
        <v>143</v>
      </c>
      <c r="H241" s="2" t="s">
        <v>498</v>
      </c>
      <c r="I241" s="2" t="s">
        <v>499</v>
      </c>
      <c r="J241" s="2" t="s">
        <v>803</v>
      </c>
      <c r="K241" s="2" t="s">
        <v>922</v>
      </c>
      <c r="L241" s="2" t="s">
        <v>254</v>
      </c>
      <c r="M241" s="2" t="s">
        <v>805</v>
      </c>
      <c r="N241" s="16">
        <v>3.0000000000000009E-2</v>
      </c>
      <c r="O241" s="17">
        <f>N241*'Financial Inputs'!$B$3</f>
        <v>3000000.0000000009</v>
      </c>
      <c r="P241" s="18">
        <f>IF(I241="L",'Financial Inputs'!$B$4,IF(I241="M",'Financial Inputs'!$B$5,'Financial Inputs'!$B$6))</f>
        <v>0.7</v>
      </c>
      <c r="Q241" s="17">
        <f>O241*P241</f>
        <v>2100000.0000000005</v>
      </c>
      <c r="R241" s="16">
        <f>'Financial Inputs'!$B$7</f>
        <v>0.35</v>
      </c>
      <c r="S241" s="17">
        <f>Q241*(1-R241)</f>
        <v>1365000.0000000005</v>
      </c>
      <c r="T241" s="18">
        <f>S241/'Financial Inputs'!$B$3</f>
        <v>1.3650000000000004E-2</v>
      </c>
      <c r="U241" s="9" t="s">
        <v>52</v>
      </c>
      <c r="V241" s="3" t="s">
        <v>53</v>
      </c>
    </row>
    <row r="242" spans="1:22">
      <c r="A242" s="2" t="s">
        <v>923</v>
      </c>
      <c r="B242" s="2" t="s">
        <v>924</v>
      </c>
      <c r="C242" s="2" t="s">
        <v>802</v>
      </c>
      <c r="D242" s="2" t="s">
        <v>133</v>
      </c>
      <c r="E242" s="2" t="s">
        <v>109</v>
      </c>
      <c r="F242" s="2" t="s">
        <v>82</v>
      </c>
      <c r="G242" s="2" t="s">
        <v>56</v>
      </c>
      <c r="H242" s="2" t="s">
        <v>498</v>
      </c>
      <c r="I242" s="2" t="s">
        <v>499</v>
      </c>
      <c r="J242" s="2" t="s">
        <v>803</v>
      </c>
      <c r="K242" s="2" t="s">
        <v>925</v>
      </c>
      <c r="L242" s="2" t="s">
        <v>258</v>
      </c>
      <c r="M242" s="2" t="s">
        <v>805</v>
      </c>
      <c r="N242" s="16">
        <v>0.02</v>
      </c>
      <c r="O242" s="17">
        <f>N242*'Financial Inputs'!$B$3</f>
        <v>2000000</v>
      </c>
      <c r="P242" s="18">
        <f>IF(I242="L",'Financial Inputs'!$B$4,IF(I242="M",'Financial Inputs'!$B$5,'Financial Inputs'!$B$6))</f>
        <v>0.7</v>
      </c>
      <c r="Q242" s="17">
        <f>O242*P242</f>
        <v>1400000</v>
      </c>
      <c r="R242" s="16">
        <f>'Financial Inputs'!$B$7</f>
        <v>0.35</v>
      </c>
      <c r="S242" s="17">
        <f>Q242*(1-R242)</f>
        <v>910000</v>
      </c>
      <c r="T242" s="18">
        <f>S242/'Financial Inputs'!$B$3</f>
        <v>9.1000000000000004E-3</v>
      </c>
      <c r="U242" s="9" t="s">
        <v>52</v>
      </c>
      <c r="V242" s="3" t="s">
        <v>53</v>
      </c>
    </row>
    <row r="243" spans="1:22">
      <c r="A243" s="2" t="s">
        <v>926</v>
      </c>
      <c r="B243" s="2" t="s">
        <v>927</v>
      </c>
      <c r="C243" s="2" t="s">
        <v>802</v>
      </c>
      <c r="D243" s="2" t="s">
        <v>88</v>
      </c>
      <c r="E243" s="2" t="s">
        <v>116</v>
      </c>
      <c r="F243" s="2" t="s">
        <v>44</v>
      </c>
      <c r="G243" s="2" t="s">
        <v>138</v>
      </c>
      <c r="H243" s="2" t="s">
        <v>498</v>
      </c>
      <c r="I243" s="2" t="s">
        <v>499</v>
      </c>
      <c r="J243" s="2" t="s">
        <v>803</v>
      </c>
      <c r="K243" s="2" t="s">
        <v>928</v>
      </c>
      <c r="L243" s="2" t="s">
        <v>262</v>
      </c>
      <c r="M243" s="2" t="s">
        <v>805</v>
      </c>
      <c r="N243" s="16">
        <v>2.2499999999999999E-2</v>
      </c>
      <c r="O243" s="17">
        <f>N243*'Financial Inputs'!$B$3</f>
        <v>2250000</v>
      </c>
      <c r="P243" s="18">
        <f>IF(I243="L",'Financial Inputs'!$B$4,IF(I243="M",'Financial Inputs'!$B$5,'Financial Inputs'!$B$6))</f>
        <v>0.7</v>
      </c>
      <c r="Q243" s="17">
        <f>O243*P243</f>
        <v>1575000</v>
      </c>
      <c r="R243" s="16">
        <f>'Financial Inputs'!$B$7</f>
        <v>0.35</v>
      </c>
      <c r="S243" s="17">
        <f>Q243*(1-R243)</f>
        <v>1023750</v>
      </c>
      <c r="T243" s="18">
        <f>S243/'Financial Inputs'!$B$3</f>
        <v>1.02375E-2</v>
      </c>
      <c r="U243" s="9" t="s">
        <v>52</v>
      </c>
      <c r="V243" s="3" t="s">
        <v>53</v>
      </c>
    </row>
    <row r="244" spans="1:22">
      <c r="A244" s="2" t="s">
        <v>929</v>
      </c>
      <c r="B244" s="2" t="s">
        <v>930</v>
      </c>
      <c r="C244" s="2" t="s">
        <v>802</v>
      </c>
      <c r="D244" s="2" t="s">
        <v>95</v>
      </c>
      <c r="E244" s="2" t="s">
        <v>215</v>
      </c>
      <c r="F244" s="2" t="s">
        <v>58</v>
      </c>
      <c r="G244" s="2" t="s">
        <v>143</v>
      </c>
      <c r="H244" s="2" t="s">
        <v>498</v>
      </c>
      <c r="I244" s="2" t="s">
        <v>499</v>
      </c>
      <c r="J244" s="2" t="s">
        <v>803</v>
      </c>
      <c r="K244" s="2" t="s">
        <v>931</v>
      </c>
      <c r="L244" s="2" t="s">
        <v>266</v>
      </c>
      <c r="M244" s="2" t="s">
        <v>805</v>
      </c>
      <c r="N244" s="16">
        <v>2.5000000000000001E-2</v>
      </c>
      <c r="O244" s="17">
        <f>N244*'Financial Inputs'!$B$3</f>
        <v>2500000</v>
      </c>
      <c r="P244" s="18">
        <f>IF(I244="L",'Financial Inputs'!$B$4,IF(I244="M",'Financial Inputs'!$B$5,'Financial Inputs'!$B$6))</f>
        <v>0.7</v>
      </c>
      <c r="Q244" s="17">
        <f>O244*P244</f>
        <v>1750000</v>
      </c>
      <c r="R244" s="16">
        <f>'Financial Inputs'!$B$7</f>
        <v>0.35</v>
      </c>
      <c r="S244" s="17">
        <f>Q244*(1-R244)</f>
        <v>1137500</v>
      </c>
      <c r="T244" s="18">
        <f>S244/'Financial Inputs'!$B$3</f>
        <v>1.1375E-2</v>
      </c>
      <c r="U244" s="9" t="s">
        <v>52</v>
      </c>
      <c r="V244" s="3" t="s">
        <v>53</v>
      </c>
    </row>
    <row r="245" spans="1:22">
      <c r="A245" s="2" t="s">
        <v>932</v>
      </c>
      <c r="B245" s="2" t="s">
        <v>933</v>
      </c>
      <c r="C245" s="2" t="s">
        <v>802</v>
      </c>
      <c r="D245" s="2" t="s">
        <v>102</v>
      </c>
      <c r="E245" s="2" t="s">
        <v>220</v>
      </c>
      <c r="F245" s="2" t="s">
        <v>66</v>
      </c>
      <c r="G245" s="2" t="s">
        <v>162</v>
      </c>
      <c r="H245" s="2" t="s">
        <v>498</v>
      </c>
      <c r="I245" s="2" t="s">
        <v>499</v>
      </c>
      <c r="J245" s="2" t="s">
        <v>803</v>
      </c>
      <c r="K245" s="2" t="s">
        <v>934</v>
      </c>
      <c r="L245" s="2" t="s">
        <v>270</v>
      </c>
      <c r="M245" s="2" t="s">
        <v>805</v>
      </c>
      <c r="N245" s="16">
        <v>2.75E-2</v>
      </c>
      <c r="O245" s="17">
        <f>N245*'Financial Inputs'!$B$3</f>
        <v>2750000</v>
      </c>
      <c r="P245" s="18">
        <f>IF(I245="L",'Financial Inputs'!$B$4,IF(I245="M",'Financial Inputs'!$B$5,'Financial Inputs'!$B$6))</f>
        <v>0.7</v>
      </c>
      <c r="Q245" s="17">
        <f>O245*P245</f>
        <v>1924999.9999999998</v>
      </c>
      <c r="R245" s="16">
        <f>'Financial Inputs'!$B$7</f>
        <v>0.35</v>
      </c>
      <c r="S245" s="17">
        <f>Q245*(1-R245)</f>
        <v>1251250</v>
      </c>
      <c r="T245" s="18">
        <f>S245/'Financial Inputs'!$B$3</f>
        <v>1.2512499999999999E-2</v>
      </c>
      <c r="U245" s="9" t="s">
        <v>52</v>
      </c>
      <c r="V245" s="3" t="s">
        <v>53</v>
      </c>
    </row>
    <row r="246" spans="1:22">
      <c r="A246" s="2" t="s">
        <v>935</v>
      </c>
      <c r="B246" s="2" t="s">
        <v>936</v>
      </c>
      <c r="C246" s="2" t="s">
        <v>802</v>
      </c>
      <c r="D246" s="2" t="s">
        <v>42</v>
      </c>
      <c r="E246" s="2" t="s">
        <v>171</v>
      </c>
      <c r="F246" s="2" t="s">
        <v>74</v>
      </c>
      <c r="G246" s="2" t="s">
        <v>45</v>
      </c>
      <c r="H246" s="2" t="s">
        <v>498</v>
      </c>
      <c r="I246" s="2" t="s">
        <v>499</v>
      </c>
      <c r="J246" s="2" t="s">
        <v>803</v>
      </c>
      <c r="K246" s="2" t="s">
        <v>937</v>
      </c>
      <c r="L246" s="2" t="s">
        <v>274</v>
      </c>
      <c r="M246" s="2" t="s">
        <v>805</v>
      </c>
      <c r="N246" s="16">
        <v>3.0000000000000009E-2</v>
      </c>
      <c r="O246" s="17">
        <f>N246*'Financial Inputs'!$B$3</f>
        <v>3000000.0000000009</v>
      </c>
      <c r="P246" s="18">
        <f>IF(I246="L",'Financial Inputs'!$B$4,IF(I246="M",'Financial Inputs'!$B$5,'Financial Inputs'!$B$6))</f>
        <v>0.7</v>
      </c>
      <c r="Q246" s="17">
        <f>O246*P246</f>
        <v>2100000.0000000005</v>
      </c>
      <c r="R246" s="16">
        <f>'Financial Inputs'!$B$7</f>
        <v>0.35</v>
      </c>
      <c r="S246" s="17">
        <f>Q246*(1-R246)</f>
        <v>1365000.0000000005</v>
      </c>
      <c r="T246" s="18">
        <f>S246/'Financial Inputs'!$B$3</f>
        <v>1.3650000000000004E-2</v>
      </c>
      <c r="U246" s="9" t="s">
        <v>52</v>
      </c>
      <c r="V246" s="3" t="s">
        <v>53</v>
      </c>
    </row>
    <row r="247" spans="1:22">
      <c r="A247" s="2" t="s">
        <v>938</v>
      </c>
      <c r="B247" s="2" t="s">
        <v>939</v>
      </c>
      <c r="C247" s="2" t="s">
        <v>802</v>
      </c>
      <c r="D247" s="2" t="s">
        <v>72</v>
      </c>
      <c r="E247" s="2" t="s">
        <v>57</v>
      </c>
      <c r="F247" s="2" t="s">
        <v>117</v>
      </c>
      <c r="G247" s="2" t="s">
        <v>143</v>
      </c>
      <c r="H247" s="2" t="s">
        <v>498</v>
      </c>
      <c r="I247" s="2" t="s">
        <v>499</v>
      </c>
      <c r="J247" s="2" t="s">
        <v>803</v>
      </c>
      <c r="K247" s="2" t="s">
        <v>940</v>
      </c>
      <c r="L247" s="2" t="s">
        <v>278</v>
      </c>
      <c r="M247" s="2" t="s">
        <v>805</v>
      </c>
      <c r="N247" s="16">
        <v>0.02</v>
      </c>
      <c r="O247" s="17">
        <f>N247*'Financial Inputs'!$B$3</f>
        <v>2000000</v>
      </c>
      <c r="P247" s="18">
        <f>IF(I247="L",'Financial Inputs'!$B$4,IF(I247="M",'Financial Inputs'!$B$5,'Financial Inputs'!$B$6))</f>
        <v>0.7</v>
      </c>
      <c r="Q247" s="17">
        <f>O247*P247</f>
        <v>1400000</v>
      </c>
      <c r="R247" s="16">
        <f>'Financial Inputs'!$B$7</f>
        <v>0.35</v>
      </c>
      <c r="S247" s="17">
        <f>Q247*(1-R247)</f>
        <v>910000</v>
      </c>
      <c r="T247" s="18">
        <f>S247/'Financial Inputs'!$B$3</f>
        <v>9.1000000000000004E-3</v>
      </c>
      <c r="U247" s="9" t="s">
        <v>52</v>
      </c>
      <c r="V247" s="3" t="s">
        <v>53</v>
      </c>
    </row>
    <row r="248" spans="1:22">
      <c r="A248" s="2" t="s">
        <v>941</v>
      </c>
      <c r="B248" s="2" t="s">
        <v>942</v>
      </c>
      <c r="C248" s="2" t="s">
        <v>802</v>
      </c>
      <c r="D248" s="2" t="s">
        <v>80</v>
      </c>
      <c r="E248" s="2" t="s">
        <v>65</v>
      </c>
      <c r="F248" s="2" t="s">
        <v>90</v>
      </c>
      <c r="G248" s="2" t="s">
        <v>162</v>
      </c>
      <c r="H248" s="2" t="s">
        <v>498</v>
      </c>
      <c r="I248" s="2" t="s">
        <v>499</v>
      </c>
      <c r="J248" s="2" t="s">
        <v>803</v>
      </c>
      <c r="K248" s="2" t="s">
        <v>943</v>
      </c>
      <c r="L248" s="2" t="s">
        <v>282</v>
      </c>
      <c r="M248" s="2" t="s">
        <v>805</v>
      </c>
      <c r="N248" s="16">
        <v>2.2499999999999999E-2</v>
      </c>
      <c r="O248" s="17">
        <f>N248*'Financial Inputs'!$B$3</f>
        <v>2250000</v>
      </c>
      <c r="P248" s="18">
        <f>IF(I248="L",'Financial Inputs'!$B$4,IF(I248="M",'Financial Inputs'!$B$5,'Financial Inputs'!$B$6))</f>
        <v>0.7</v>
      </c>
      <c r="Q248" s="17">
        <f>O248*P248</f>
        <v>1575000</v>
      </c>
      <c r="R248" s="16">
        <f>'Financial Inputs'!$B$7</f>
        <v>0.35</v>
      </c>
      <c r="S248" s="17">
        <f>Q248*(1-R248)</f>
        <v>1023750</v>
      </c>
      <c r="T248" s="18">
        <f>S248/'Financial Inputs'!$B$3</f>
        <v>1.02375E-2</v>
      </c>
      <c r="U248" s="9" t="s">
        <v>52</v>
      </c>
      <c r="V248" s="3" t="s">
        <v>53</v>
      </c>
    </row>
    <row r="249" spans="1:22">
      <c r="A249" s="2" t="s">
        <v>944</v>
      </c>
      <c r="B249" s="2" t="s">
        <v>945</v>
      </c>
      <c r="C249" s="2" t="s">
        <v>802</v>
      </c>
      <c r="D249" s="2" t="s">
        <v>127</v>
      </c>
      <c r="E249" s="2" t="s">
        <v>73</v>
      </c>
      <c r="F249" s="2" t="s">
        <v>97</v>
      </c>
      <c r="G249" s="2" t="s">
        <v>45</v>
      </c>
      <c r="H249" s="2" t="s">
        <v>498</v>
      </c>
      <c r="I249" s="2" t="s">
        <v>499</v>
      </c>
      <c r="J249" s="2" t="s">
        <v>803</v>
      </c>
      <c r="K249" s="2" t="s">
        <v>946</v>
      </c>
      <c r="L249" s="2" t="s">
        <v>286</v>
      </c>
      <c r="M249" s="2" t="s">
        <v>805</v>
      </c>
      <c r="N249" s="16">
        <v>2.5000000000000001E-2</v>
      </c>
      <c r="O249" s="17">
        <f>N249*'Financial Inputs'!$B$3</f>
        <v>2500000</v>
      </c>
      <c r="P249" s="18">
        <f>IF(I249="L",'Financial Inputs'!$B$4,IF(I249="M",'Financial Inputs'!$B$5,'Financial Inputs'!$B$6))</f>
        <v>0.7</v>
      </c>
      <c r="Q249" s="17">
        <f>O249*P249</f>
        <v>1750000</v>
      </c>
      <c r="R249" s="16">
        <f>'Financial Inputs'!$B$7</f>
        <v>0.35</v>
      </c>
      <c r="S249" s="17">
        <f>Q249*(1-R249)</f>
        <v>1137500</v>
      </c>
      <c r="T249" s="18">
        <f>S249/'Financial Inputs'!$B$3</f>
        <v>1.1375E-2</v>
      </c>
      <c r="U249" s="9" t="s">
        <v>52</v>
      </c>
      <c r="V249" s="3" t="s">
        <v>53</v>
      </c>
    </row>
    <row r="250" spans="1:22">
      <c r="A250" s="2" t="s">
        <v>947</v>
      </c>
      <c r="B250" s="2" t="s">
        <v>948</v>
      </c>
      <c r="C250" s="2" t="s">
        <v>802</v>
      </c>
      <c r="D250" s="2" t="s">
        <v>133</v>
      </c>
      <c r="E250" s="2" t="s">
        <v>81</v>
      </c>
      <c r="F250" s="2" t="s">
        <v>104</v>
      </c>
      <c r="G250" s="2" t="s">
        <v>59</v>
      </c>
      <c r="H250" s="2" t="s">
        <v>498</v>
      </c>
      <c r="I250" s="2" t="s">
        <v>499</v>
      </c>
      <c r="J250" s="2" t="s">
        <v>803</v>
      </c>
      <c r="K250" s="2" t="s">
        <v>949</v>
      </c>
      <c r="L250" s="2" t="s">
        <v>290</v>
      </c>
      <c r="M250" s="2" t="s">
        <v>805</v>
      </c>
      <c r="N250" s="16">
        <v>2.75E-2</v>
      </c>
      <c r="O250" s="17">
        <f>N250*'Financial Inputs'!$B$3</f>
        <v>2750000</v>
      </c>
      <c r="P250" s="18">
        <f>IF(I250="L",'Financial Inputs'!$B$4,IF(I250="M",'Financial Inputs'!$B$5,'Financial Inputs'!$B$6))</f>
        <v>0.7</v>
      </c>
      <c r="Q250" s="17">
        <f>O250*P250</f>
        <v>1924999.9999999998</v>
      </c>
      <c r="R250" s="16">
        <f>'Financial Inputs'!$B$7</f>
        <v>0.35</v>
      </c>
      <c r="S250" s="17">
        <f>Q250*(1-R250)</f>
        <v>1251250</v>
      </c>
      <c r="T250" s="18">
        <f>S250/'Financial Inputs'!$B$3</f>
        <v>1.2512499999999999E-2</v>
      </c>
      <c r="U250" s="9" t="s">
        <v>52</v>
      </c>
      <c r="V250" s="3" t="s">
        <v>53</v>
      </c>
    </row>
    <row r="251" spans="1:22">
      <c r="A251" s="2" t="s">
        <v>950</v>
      </c>
      <c r="B251" s="2" t="s">
        <v>951</v>
      </c>
      <c r="C251" s="2" t="s">
        <v>802</v>
      </c>
      <c r="D251" s="2" t="s">
        <v>88</v>
      </c>
      <c r="E251" s="2" t="s">
        <v>193</v>
      </c>
      <c r="F251" s="2" t="s">
        <v>110</v>
      </c>
      <c r="G251" s="2" t="s">
        <v>67</v>
      </c>
      <c r="H251" s="2" t="s">
        <v>498</v>
      </c>
      <c r="I251" s="2" t="s">
        <v>499</v>
      </c>
      <c r="J251" s="2" t="s">
        <v>803</v>
      </c>
      <c r="K251" s="2" t="s">
        <v>952</v>
      </c>
      <c r="L251" s="2" t="s">
        <v>294</v>
      </c>
      <c r="M251" s="2" t="s">
        <v>805</v>
      </c>
      <c r="N251" s="16">
        <v>3.0000000000000009E-2</v>
      </c>
      <c r="O251" s="17">
        <f>N251*'Financial Inputs'!$B$3</f>
        <v>3000000.0000000009</v>
      </c>
      <c r="P251" s="18">
        <f>IF(I251="L",'Financial Inputs'!$B$4,IF(I251="M",'Financial Inputs'!$B$5,'Financial Inputs'!$B$6))</f>
        <v>0.7</v>
      </c>
      <c r="Q251" s="17">
        <f>O251*P251</f>
        <v>2100000.0000000005</v>
      </c>
      <c r="R251" s="16">
        <f>'Financial Inputs'!$B$7</f>
        <v>0.35</v>
      </c>
      <c r="S251" s="17">
        <f>Q251*(1-R251)</f>
        <v>1365000.0000000005</v>
      </c>
      <c r="T251" s="18">
        <f>S251/'Financial Inputs'!$B$3</f>
        <v>1.3650000000000004E-2</v>
      </c>
      <c r="U251" s="9" t="s">
        <v>52</v>
      </c>
      <c r="V251" s="3" t="s">
        <v>53</v>
      </c>
    </row>
    <row r="252" spans="1:22">
      <c r="A252" s="2" t="s">
        <v>953</v>
      </c>
      <c r="B252" s="2" t="s">
        <v>954</v>
      </c>
      <c r="C252" s="2" t="s">
        <v>802</v>
      </c>
      <c r="D252" s="2" t="s">
        <v>42</v>
      </c>
      <c r="E252" s="2" t="s">
        <v>96</v>
      </c>
      <c r="F252" s="2" t="s">
        <v>44</v>
      </c>
      <c r="G252" s="2" t="s">
        <v>45</v>
      </c>
      <c r="H252" s="2" t="s">
        <v>498</v>
      </c>
      <c r="I252" s="2" t="s">
        <v>499</v>
      </c>
      <c r="J252" s="2" t="s">
        <v>803</v>
      </c>
      <c r="K252" s="2" t="s">
        <v>955</v>
      </c>
      <c r="L252" s="2" t="s">
        <v>298</v>
      </c>
      <c r="M252" s="2" t="s">
        <v>805</v>
      </c>
      <c r="N252" s="16">
        <v>0.02</v>
      </c>
      <c r="O252" s="17">
        <f>N252*'Financial Inputs'!$B$3</f>
        <v>2000000</v>
      </c>
      <c r="P252" s="18">
        <f>IF(I252="L",'Financial Inputs'!$B$4,IF(I252="M",'Financial Inputs'!$B$5,'Financial Inputs'!$B$6))</f>
        <v>0.7</v>
      </c>
      <c r="Q252" s="17">
        <f>O252*P252</f>
        <v>1400000</v>
      </c>
      <c r="R252" s="16">
        <f>'Financial Inputs'!$B$7</f>
        <v>0.35</v>
      </c>
      <c r="S252" s="17">
        <f>Q252*(1-R252)</f>
        <v>910000</v>
      </c>
      <c r="T252" s="18">
        <f>S252/'Financial Inputs'!$B$3</f>
        <v>9.1000000000000004E-3</v>
      </c>
      <c r="U252" s="9" t="s">
        <v>52</v>
      </c>
      <c r="V252" s="3" t="s">
        <v>53</v>
      </c>
    </row>
    <row r="253" spans="1:22">
      <c r="A253" s="2" t="s">
        <v>956</v>
      </c>
      <c r="B253" s="2" t="s">
        <v>957</v>
      </c>
      <c r="C253" s="2" t="s">
        <v>802</v>
      </c>
      <c r="D253" s="2" t="s">
        <v>56</v>
      </c>
      <c r="E253" s="2" t="s">
        <v>103</v>
      </c>
      <c r="F253" s="2" t="s">
        <v>58</v>
      </c>
      <c r="G253" s="2" t="s">
        <v>59</v>
      </c>
      <c r="H253" s="2" t="s">
        <v>498</v>
      </c>
      <c r="I253" s="2" t="s">
        <v>499</v>
      </c>
      <c r="J253" s="2" t="s">
        <v>803</v>
      </c>
      <c r="K253" s="2" t="s">
        <v>958</v>
      </c>
      <c r="L253" s="2" t="s">
        <v>302</v>
      </c>
      <c r="M253" s="2" t="s">
        <v>805</v>
      </c>
      <c r="N253" s="16">
        <v>2.2499999999999999E-2</v>
      </c>
      <c r="O253" s="17">
        <f>N253*'Financial Inputs'!$B$3</f>
        <v>2250000</v>
      </c>
      <c r="P253" s="18">
        <f>IF(I253="L",'Financial Inputs'!$B$4,IF(I253="M",'Financial Inputs'!$B$5,'Financial Inputs'!$B$6))</f>
        <v>0.7</v>
      </c>
      <c r="Q253" s="17">
        <f>O253*P253</f>
        <v>1575000</v>
      </c>
      <c r="R253" s="16">
        <f>'Financial Inputs'!$B$7</f>
        <v>0.35</v>
      </c>
      <c r="S253" s="17">
        <f>Q253*(1-R253)</f>
        <v>1023750</v>
      </c>
      <c r="T253" s="18">
        <f>S253/'Financial Inputs'!$B$3</f>
        <v>1.02375E-2</v>
      </c>
      <c r="U253" s="9" t="s">
        <v>52</v>
      </c>
      <c r="V253" s="3" t="s">
        <v>53</v>
      </c>
    </row>
    <row r="254" spans="1:22">
      <c r="A254" s="2" t="s">
        <v>959</v>
      </c>
      <c r="B254" s="2" t="s">
        <v>960</v>
      </c>
      <c r="C254" s="2" t="s">
        <v>802</v>
      </c>
      <c r="D254" s="2" t="s">
        <v>64</v>
      </c>
      <c r="E254" s="2" t="s">
        <v>109</v>
      </c>
      <c r="F254" s="2" t="s">
        <v>66</v>
      </c>
      <c r="G254" s="2" t="s">
        <v>67</v>
      </c>
      <c r="H254" s="2" t="s">
        <v>498</v>
      </c>
      <c r="I254" s="2" t="s">
        <v>499</v>
      </c>
      <c r="J254" s="2" t="s">
        <v>803</v>
      </c>
      <c r="K254" s="2" t="s">
        <v>961</v>
      </c>
      <c r="L254" s="2" t="s">
        <v>306</v>
      </c>
      <c r="M254" s="2" t="s">
        <v>805</v>
      </c>
      <c r="N254" s="16">
        <v>2.5000000000000001E-2</v>
      </c>
      <c r="O254" s="17">
        <f>N254*'Financial Inputs'!$B$3</f>
        <v>2500000</v>
      </c>
      <c r="P254" s="18">
        <f>IF(I254="L",'Financial Inputs'!$B$4,IF(I254="M",'Financial Inputs'!$B$5,'Financial Inputs'!$B$6))</f>
        <v>0.7</v>
      </c>
      <c r="Q254" s="17">
        <f>O254*P254</f>
        <v>1750000</v>
      </c>
      <c r="R254" s="16">
        <f>'Financial Inputs'!$B$7</f>
        <v>0.35</v>
      </c>
      <c r="S254" s="17">
        <f>Q254*(1-R254)</f>
        <v>1137500</v>
      </c>
      <c r="T254" s="18">
        <f>S254/'Financial Inputs'!$B$3</f>
        <v>1.1375E-2</v>
      </c>
      <c r="U254" s="9" t="s">
        <v>52</v>
      </c>
      <c r="V254" s="3" t="s">
        <v>53</v>
      </c>
    </row>
    <row r="255" spans="1:22">
      <c r="A255" s="2" t="s">
        <v>962</v>
      </c>
      <c r="B255" s="2" t="s">
        <v>963</v>
      </c>
      <c r="C255" s="2" t="s">
        <v>802</v>
      </c>
      <c r="D255" s="2" t="s">
        <v>72</v>
      </c>
      <c r="E255" s="2" t="s">
        <v>116</v>
      </c>
      <c r="F255" s="2" t="s">
        <v>74</v>
      </c>
      <c r="G255" s="2" t="s">
        <v>75</v>
      </c>
      <c r="H255" s="2" t="s">
        <v>498</v>
      </c>
      <c r="I255" s="2" t="s">
        <v>499</v>
      </c>
      <c r="J255" s="2" t="s">
        <v>803</v>
      </c>
      <c r="K255" s="2" t="s">
        <v>964</v>
      </c>
      <c r="L255" s="2" t="s">
        <v>310</v>
      </c>
      <c r="M255" s="2" t="s">
        <v>805</v>
      </c>
      <c r="N255" s="16">
        <v>2.75E-2</v>
      </c>
      <c r="O255" s="17">
        <f>N255*'Financial Inputs'!$B$3</f>
        <v>2750000</v>
      </c>
      <c r="P255" s="18">
        <f>IF(I255="L",'Financial Inputs'!$B$4,IF(I255="M",'Financial Inputs'!$B$5,'Financial Inputs'!$B$6))</f>
        <v>0.7</v>
      </c>
      <c r="Q255" s="17">
        <f>O255*P255</f>
        <v>1924999.9999999998</v>
      </c>
      <c r="R255" s="16">
        <f>'Financial Inputs'!$B$7</f>
        <v>0.35</v>
      </c>
      <c r="S255" s="17">
        <f>Q255*(1-R255)</f>
        <v>1251250</v>
      </c>
      <c r="T255" s="18">
        <f>S255/'Financial Inputs'!$B$3</f>
        <v>1.2512499999999999E-2</v>
      </c>
      <c r="U255" s="9" t="s">
        <v>52</v>
      </c>
      <c r="V255" s="3" t="s">
        <v>53</v>
      </c>
    </row>
    <row r="256" spans="1:22">
      <c r="A256" s="2" t="s">
        <v>965</v>
      </c>
      <c r="B256" s="2" t="s">
        <v>966</v>
      </c>
      <c r="C256" s="2" t="s">
        <v>802</v>
      </c>
      <c r="D256" s="2" t="s">
        <v>80</v>
      </c>
      <c r="E256" s="2" t="s">
        <v>215</v>
      </c>
      <c r="F256" s="2" t="s">
        <v>82</v>
      </c>
      <c r="G256" s="2" t="s">
        <v>83</v>
      </c>
      <c r="H256" s="2" t="s">
        <v>498</v>
      </c>
      <c r="I256" s="2" t="s">
        <v>499</v>
      </c>
      <c r="J256" s="2" t="s">
        <v>803</v>
      </c>
      <c r="K256" s="2" t="s">
        <v>967</v>
      </c>
      <c r="L256" s="2" t="s">
        <v>314</v>
      </c>
      <c r="M256" s="2" t="s">
        <v>805</v>
      </c>
      <c r="N256" s="16">
        <v>3.0000000000000009E-2</v>
      </c>
      <c r="O256" s="17">
        <f>N256*'Financial Inputs'!$B$3</f>
        <v>3000000.0000000009</v>
      </c>
      <c r="P256" s="18">
        <f>IF(I256="L",'Financial Inputs'!$B$4,IF(I256="M",'Financial Inputs'!$B$5,'Financial Inputs'!$B$6))</f>
        <v>0.7</v>
      </c>
      <c r="Q256" s="17">
        <f>O256*P256</f>
        <v>2100000.0000000005</v>
      </c>
      <c r="R256" s="16">
        <f>'Financial Inputs'!$B$7</f>
        <v>0.35</v>
      </c>
      <c r="S256" s="17">
        <f>Q256*(1-R256)</f>
        <v>1365000.0000000005</v>
      </c>
      <c r="T256" s="18">
        <f>S256/'Financial Inputs'!$B$3</f>
        <v>1.3650000000000004E-2</v>
      </c>
      <c r="U256" s="9" t="s">
        <v>52</v>
      </c>
      <c r="V256" s="3" t="s">
        <v>53</v>
      </c>
    </row>
    <row r="257" spans="1:22">
      <c r="A257" s="2" t="s">
        <v>968</v>
      </c>
      <c r="B257" s="2" t="s">
        <v>969</v>
      </c>
      <c r="C257" s="2" t="s">
        <v>802</v>
      </c>
      <c r="D257" s="2" t="s">
        <v>88</v>
      </c>
      <c r="E257" s="2" t="s">
        <v>128</v>
      </c>
      <c r="F257" s="2" t="s">
        <v>90</v>
      </c>
      <c r="G257" s="2" t="s">
        <v>67</v>
      </c>
      <c r="H257" s="2" t="s">
        <v>498</v>
      </c>
      <c r="I257" s="2" t="s">
        <v>499</v>
      </c>
      <c r="J257" s="2" t="s">
        <v>803</v>
      </c>
      <c r="K257" s="2" t="s">
        <v>970</v>
      </c>
      <c r="L257" s="2" t="s">
        <v>318</v>
      </c>
      <c r="M257" s="2" t="s">
        <v>805</v>
      </c>
      <c r="N257" s="16">
        <v>0.02</v>
      </c>
      <c r="O257" s="17">
        <f>N257*'Financial Inputs'!$B$3</f>
        <v>2000000</v>
      </c>
      <c r="P257" s="18">
        <f>IF(I257="L",'Financial Inputs'!$B$4,IF(I257="M",'Financial Inputs'!$B$5,'Financial Inputs'!$B$6))</f>
        <v>0.7</v>
      </c>
      <c r="Q257" s="17">
        <f>O257*P257</f>
        <v>1400000</v>
      </c>
      <c r="R257" s="16">
        <f>'Financial Inputs'!$B$7</f>
        <v>0.35</v>
      </c>
      <c r="S257" s="17">
        <f>Q257*(1-R257)</f>
        <v>910000</v>
      </c>
      <c r="T257" s="18">
        <f>S257/'Financial Inputs'!$B$3</f>
        <v>9.1000000000000004E-3</v>
      </c>
      <c r="U257" s="9" t="s">
        <v>52</v>
      </c>
      <c r="V257" s="3" t="s">
        <v>53</v>
      </c>
    </row>
    <row r="258" spans="1:22">
      <c r="A258" s="2" t="s">
        <v>971</v>
      </c>
      <c r="B258" s="2" t="s">
        <v>972</v>
      </c>
      <c r="C258" s="2" t="s">
        <v>802</v>
      </c>
      <c r="D258" s="2" t="s">
        <v>95</v>
      </c>
      <c r="E258" s="2" t="s">
        <v>43</v>
      </c>
      <c r="F258" s="2" t="s">
        <v>97</v>
      </c>
      <c r="G258" s="2" t="s">
        <v>75</v>
      </c>
      <c r="H258" s="2" t="s">
        <v>498</v>
      </c>
      <c r="I258" s="2" t="s">
        <v>499</v>
      </c>
      <c r="J258" s="2" t="s">
        <v>803</v>
      </c>
      <c r="K258" s="2" t="s">
        <v>973</v>
      </c>
      <c r="L258" s="2" t="s">
        <v>322</v>
      </c>
      <c r="M258" s="2" t="s">
        <v>805</v>
      </c>
      <c r="N258" s="16">
        <v>2.2499999999999999E-2</v>
      </c>
      <c r="O258" s="17">
        <f>N258*'Financial Inputs'!$B$3</f>
        <v>2250000</v>
      </c>
      <c r="P258" s="18">
        <f>IF(I258="L",'Financial Inputs'!$B$4,IF(I258="M",'Financial Inputs'!$B$5,'Financial Inputs'!$B$6))</f>
        <v>0.7</v>
      </c>
      <c r="Q258" s="17">
        <f>O258*P258</f>
        <v>1575000</v>
      </c>
      <c r="R258" s="16">
        <f>'Financial Inputs'!$B$7</f>
        <v>0.35</v>
      </c>
      <c r="S258" s="17">
        <f>Q258*(1-R258)</f>
        <v>1023750</v>
      </c>
      <c r="T258" s="18">
        <f>S258/'Financial Inputs'!$B$3</f>
        <v>1.02375E-2</v>
      </c>
      <c r="U258" s="9" t="s">
        <v>52</v>
      </c>
      <c r="V258" s="3" t="s">
        <v>53</v>
      </c>
    </row>
    <row r="259" spans="1:22">
      <c r="A259" s="2" t="s">
        <v>974</v>
      </c>
      <c r="B259" s="2" t="s">
        <v>975</v>
      </c>
      <c r="C259" s="2" t="s">
        <v>802</v>
      </c>
      <c r="D259" s="2" t="s">
        <v>102</v>
      </c>
      <c r="E259" s="2" t="s">
        <v>57</v>
      </c>
      <c r="F259" s="2" t="s">
        <v>104</v>
      </c>
      <c r="G259" s="2" t="s">
        <v>83</v>
      </c>
      <c r="H259" s="2" t="s">
        <v>498</v>
      </c>
      <c r="I259" s="2" t="s">
        <v>499</v>
      </c>
      <c r="J259" s="2" t="s">
        <v>803</v>
      </c>
      <c r="K259" s="2" t="s">
        <v>976</v>
      </c>
      <c r="L259" s="2" t="s">
        <v>326</v>
      </c>
      <c r="M259" s="2" t="s">
        <v>805</v>
      </c>
      <c r="N259" s="16">
        <v>2.5000000000000001E-2</v>
      </c>
      <c r="O259" s="17">
        <f>N259*'Financial Inputs'!$B$3</f>
        <v>2500000</v>
      </c>
      <c r="P259" s="18">
        <f>IF(I259="L",'Financial Inputs'!$B$4,IF(I259="M",'Financial Inputs'!$B$5,'Financial Inputs'!$B$6))</f>
        <v>0.7</v>
      </c>
      <c r="Q259" s="17">
        <f>O259*P259</f>
        <v>1750000</v>
      </c>
      <c r="R259" s="16">
        <f>'Financial Inputs'!$B$7</f>
        <v>0.35</v>
      </c>
      <c r="S259" s="17">
        <f>Q259*(1-R259)</f>
        <v>1137500</v>
      </c>
      <c r="T259" s="18">
        <f>S259/'Financial Inputs'!$B$3</f>
        <v>1.1375E-2</v>
      </c>
      <c r="U259" s="9" t="s">
        <v>52</v>
      </c>
      <c r="V259" s="3" t="s">
        <v>53</v>
      </c>
    </row>
    <row r="260" spans="1:22">
      <c r="A260" s="2" t="s">
        <v>977</v>
      </c>
      <c r="B260" s="2" t="s">
        <v>978</v>
      </c>
      <c r="C260" s="2" t="s">
        <v>802</v>
      </c>
      <c r="D260" s="2" t="s">
        <v>42</v>
      </c>
      <c r="E260" s="2" t="s">
        <v>65</v>
      </c>
      <c r="F260" s="2" t="s">
        <v>110</v>
      </c>
      <c r="G260" s="2" t="s">
        <v>111</v>
      </c>
      <c r="H260" s="2" t="s">
        <v>498</v>
      </c>
      <c r="I260" s="2" t="s">
        <v>499</v>
      </c>
      <c r="J260" s="2" t="s">
        <v>803</v>
      </c>
      <c r="K260" s="2" t="s">
        <v>979</v>
      </c>
      <c r="L260" s="2" t="s">
        <v>330</v>
      </c>
      <c r="M260" s="2" t="s">
        <v>805</v>
      </c>
      <c r="N260" s="16">
        <v>2.75E-2</v>
      </c>
      <c r="O260" s="17">
        <f>N260*'Financial Inputs'!$B$3</f>
        <v>2750000</v>
      </c>
      <c r="P260" s="18">
        <f>IF(I260="L",'Financial Inputs'!$B$4,IF(I260="M",'Financial Inputs'!$B$5,'Financial Inputs'!$B$6))</f>
        <v>0.7</v>
      </c>
      <c r="Q260" s="17">
        <f>O260*P260</f>
        <v>1924999.9999999998</v>
      </c>
      <c r="R260" s="16">
        <f>'Financial Inputs'!$B$7</f>
        <v>0.35</v>
      </c>
      <c r="S260" s="17">
        <f>Q260*(1-R260)</f>
        <v>1251250</v>
      </c>
      <c r="T260" s="18">
        <f>S260/'Financial Inputs'!$B$3</f>
        <v>1.2512499999999999E-2</v>
      </c>
      <c r="U260" s="9" t="s">
        <v>52</v>
      </c>
      <c r="V260" s="3" t="s">
        <v>53</v>
      </c>
    </row>
    <row r="261" spans="1:22">
      <c r="A261" s="2" t="s">
        <v>980</v>
      </c>
      <c r="B261" s="2" t="s">
        <v>981</v>
      </c>
      <c r="C261" s="2" t="s">
        <v>802</v>
      </c>
      <c r="D261" s="2" t="s">
        <v>56</v>
      </c>
      <c r="E261" s="2" t="s">
        <v>73</v>
      </c>
      <c r="F261" s="2" t="s">
        <v>117</v>
      </c>
      <c r="G261" s="2" t="s">
        <v>56</v>
      </c>
      <c r="H261" s="2" t="s">
        <v>498</v>
      </c>
      <c r="I261" s="2" t="s">
        <v>499</v>
      </c>
      <c r="J261" s="2" t="s">
        <v>803</v>
      </c>
      <c r="K261" s="2" t="s">
        <v>982</v>
      </c>
      <c r="L261" s="2" t="s">
        <v>334</v>
      </c>
      <c r="M261" s="2" t="s">
        <v>805</v>
      </c>
      <c r="N261" s="16">
        <v>3.0000000000000009E-2</v>
      </c>
      <c r="O261" s="17">
        <f>N261*'Financial Inputs'!$B$3</f>
        <v>3000000.0000000009</v>
      </c>
      <c r="P261" s="18">
        <f>IF(I261="L",'Financial Inputs'!$B$4,IF(I261="M",'Financial Inputs'!$B$5,'Financial Inputs'!$B$6))</f>
        <v>0.7</v>
      </c>
      <c r="Q261" s="17">
        <f>O261*P261</f>
        <v>2100000.0000000005</v>
      </c>
      <c r="R261" s="16">
        <f>'Financial Inputs'!$B$7</f>
        <v>0.35</v>
      </c>
      <c r="S261" s="17">
        <f>Q261*(1-R261)</f>
        <v>1365000.0000000005</v>
      </c>
      <c r="T261" s="18">
        <f>S261/'Financial Inputs'!$B$3</f>
        <v>1.3650000000000004E-2</v>
      </c>
      <c r="U261" s="9" t="s">
        <v>52</v>
      </c>
      <c r="V261" s="3" t="s">
        <v>53</v>
      </c>
    </row>
    <row r="262" spans="1:22">
      <c r="A262" s="2" t="s">
        <v>983</v>
      </c>
      <c r="B262" s="2" t="s">
        <v>984</v>
      </c>
      <c r="C262" s="2" t="s">
        <v>802</v>
      </c>
      <c r="D262" s="2" t="s">
        <v>80</v>
      </c>
      <c r="E262" s="2" t="s">
        <v>153</v>
      </c>
      <c r="F262" s="2" t="s">
        <v>58</v>
      </c>
      <c r="G262" s="2" t="s">
        <v>83</v>
      </c>
      <c r="H262" s="2" t="s">
        <v>498</v>
      </c>
      <c r="I262" s="2" t="s">
        <v>499</v>
      </c>
      <c r="J262" s="2" t="s">
        <v>803</v>
      </c>
      <c r="K262" s="2" t="s">
        <v>985</v>
      </c>
      <c r="L262" s="2" t="s">
        <v>338</v>
      </c>
      <c r="M262" s="2" t="s">
        <v>805</v>
      </c>
      <c r="N262" s="16">
        <v>0.02</v>
      </c>
      <c r="O262" s="17">
        <f>N262*'Financial Inputs'!$B$3</f>
        <v>2000000</v>
      </c>
      <c r="P262" s="18">
        <f>IF(I262="L",'Financial Inputs'!$B$4,IF(I262="M",'Financial Inputs'!$B$5,'Financial Inputs'!$B$6))</f>
        <v>0.7</v>
      </c>
      <c r="Q262" s="17">
        <f>O262*P262</f>
        <v>1400000</v>
      </c>
      <c r="R262" s="16">
        <f>'Financial Inputs'!$B$7</f>
        <v>0.35</v>
      </c>
      <c r="S262" s="17">
        <f>Q262*(1-R262)</f>
        <v>910000</v>
      </c>
      <c r="T262" s="18">
        <f>S262/'Financial Inputs'!$B$3</f>
        <v>9.1000000000000004E-3</v>
      </c>
      <c r="U262" s="9" t="s">
        <v>52</v>
      </c>
      <c r="V262" s="3" t="s">
        <v>53</v>
      </c>
    </row>
    <row r="263" spans="1:22">
      <c r="A263" s="2" t="s">
        <v>986</v>
      </c>
      <c r="B263" s="2" t="s">
        <v>987</v>
      </c>
      <c r="C263" s="2" t="s">
        <v>802</v>
      </c>
      <c r="D263" s="2" t="s">
        <v>127</v>
      </c>
      <c r="E263" s="2" t="s">
        <v>89</v>
      </c>
      <c r="F263" s="2" t="s">
        <v>66</v>
      </c>
      <c r="G263" s="2" t="s">
        <v>111</v>
      </c>
      <c r="H263" s="2" t="s">
        <v>498</v>
      </c>
      <c r="I263" s="2" t="s">
        <v>499</v>
      </c>
      <c r="J263" s="2" t="s">
        <v>803</v>
      </c>
      <c r="K263" s="2" t="s">
        <v>988</v>
      </c>
      <c r="L263" s="2" t="s">
        <v>342</v>
      </c>
      <c r="M263" s="2" t="s">
        <v>805</v>
      </c>
      <c r="N263" s="16">
        <v>2.2499999999999999E-2</v>
      </c>
      <c r="O263" s="17">
        <f>N263*'Financial Inputs'!$B$3</f>
        <v>2250000</v>
      </c>
      <c r="P263" s="18">
        <f>IF(I263="L",'Financial Inputs'!$B$4,IF(I263="M",'Financial Inputs'!$B$5,'Financial Inputs'!$B$6))</f>
        <v>0.7</v>
      </c>
      <c r="Q263" s="17">
        <f>O263*P263</f>
        <v>1575000</v>
      </c>
      <c r="R263" s="16">
        <f>'Financial Inputs'!$B$7</f>
        <v>0.35</v>
      </c>
      <c r="S263" s="17">
        <f>Q263*(1-R263)</f>
        <v>1023750</v>
      </c>
      <c r="T263" s="18">
        <f>S263/'Financial Inputs'!$B$3</f>
        <v>1.02375E-2</v>
      </c>
      <c r="U263" s="9" t="s">
        <v>52</v>
      </c>
      <c r="V263" s="3" t="s">
        <v>53</v>
      </c>
    </row>
    <row r="264" spans="1:22">
      <c r="A264" s="2" t="s">
        <v>989</v>
      </c>
      <c r="B264" s="2" t="s">
        <v>990</v>
      </c>
      <c r="C264" s="2" t="s">
        <v>802</v>
      </c>
      <c r="D264" s="2" t="s">
        <v>133</v>
      </c>
      <c r="E264" s="2" t="s">
        <v>96</v>
      </c>
      <c r="F264" s="2" t="s">
        <v>74</v>
      </c>
      <c r="G264" s="2" t="s">
        <v>56</v>
      </c>
      <c r="H264" s="2" t="s">
        <v>498</v>
      </c>
      <c r="I264" s="2" t="s">
        <v>499</v>
      </c>
      <c r="J264" s="2" t="s">
        <v>803</v>
      </c>
      <c r="K264" s="2" t="s">
        <v>991</v>
      </c>
      <c r="L264" s="2" t="s">
        <v>346</v>
      </c>
      <c r="M264" s="2" t="s">
        <v>805</v>
      </c>
      <c r="N264" s="16">
        <v>2.5000000000000001E-2</v>
      </c>
      <c r="O264" s="17">
        <f>N264*'Financial Inputs'!$B$3</f>
        <v>2500000</v>
      </c>
      <c r="P264" s="18">
        <f>IF(I264="L",'Financial Inputs'!$B$4,IF(I264="M",'Financial Inputs'!$B$5,'Financial Inputs'!$B$6))</f>
        <v>0.7</v>
      </c>
      <c r="Q264" s="17">
        <f>O264*P264</f>
        <v>1750000</v>
      </c>
      <c r="R264" s="16">
        <f>'Financial Inputs'!$B$7</f>
        <v>0.35</v>
      </c>
      <c r="S264" s="17">
        <f>Q264*(1-R264)</f>
        <v>1137500</v>
      </c>
      <c r="T264" s="18">
        <f>S264/'Financial Inputs'!$B$3</f>
        <v>1.1375E-2</v>
      </c>
      <c r="U264" s="9" t="s">
        <v>52</v>
      </c>
      <c r="V264" s="3" t="s">
        <v>53</v>
      </c>
    </row>
    <row r="265" spans="1:22">
      <c r="A265" s="2" t="s">
        <v>992</v>
      </c>
      <c r="B265" s="2" t="s">
        <v>993</v>
      </c>
      <c r="C265" s="2" t="s">
        <v>802</v>
      </c>
      <c r="D265" s="2" t="s">
        <v>88</v>
      </c>
      <c r="E265" s="2" t="s">
        <v>103</v>
      </c>
      <c r="F265" s="2" t="s">
        <v>82</v>
      </c>
      <c r="G265" s="2" t="s">
        <v>138</v>
      </c>
      <c r="H265" s="2" t="s">
        <v>498</v>
      </c>
      <c r="I265" s="2" t="s">
        <v>499</v>
      </c>
      <c r="J265" s="2" t="s">
        <v>803</v>
      </c>
      <c r="K265" s="2" t="s">
        <v>994</v>
      </c>
      <c r="L265" s="2" t="s">
        <v>350</v>
      </c>
      <c r="M265" s="2" t="s">
        <v>805</v>
      </c>
      <c r="N265" s="16">
        <v>2.75E-2</v>
      </c>
      <c r="O265" s="17">
        <f>N265*'Financial Inputs'!$B$3</f>
        <v>2750000</v>
      </c>
      <c r="P265" s="18">
        <f>IF(I265="L",'Financial Inputs'!$B$4,IF(I265="M",'Financial Inputs'!$B$5,'Financial Inputs'!$B$6))</f>
        <v>0.7</v>
      </c>
      <c r="Q265" s="17">
        <f>O265*P265</f>
        <v>1924999.9999999998</v>
      </c>
      <c r="R265" s="16">
        <f>'Financial Inputs'!$B$7</f>
        <v>0.35</v>
      </c>
      <c r="S265" s="17">
        <f>Q265*(1-R265)</f>
        <v>1251250</v>
      </c>
      <c r="T265" s="18">
        <f>S265/'Financial Inputs'!$B$3</f>
        <v>1.2512499999999999E-2</v>
      </c>
      <c r="U265" s="9" t="s">
        <v>52</v>
      </c>
      <c r="V265" s="3" t="s">
        <v>53</v>
      </c>
    </row>
    <row r="266" spans="1:22">
      <c r="A266" s="2" t="s">
        <v>995</v>
      </c>
      <c r="B266" s="2" t="s">
        <v>996</v>
      </c>
      <c r="C266" s="2" t="s">
        <v>802</v>
      </c>
      <c r="D266" s="2" t="s">
        <v>95</v>
      </c>
      <c r="E266" s="2" t="s">
        <v>109</v>
      </c>
      <c r="F266" s="2" t="s">
        <v>44</v>
      </c>
      <c r="G266" s="2" t="s">
        <v>143</v>
      </c>
      <c r="H266" s="2" t="s">
        <v>498</v>
      </c>
      <c r="I266" s="2" t="s">
        <v>499</v>
      </c>
      <c r="J266" s="2" t="s">
        <v>803</v>
      </c>
      <c r="K266" s="2" t="s">
        <v>997</v>
      </c>
      <c r="L266" s="2" t="s">
        <v>354</v>
      </c>
      <c r="M266" s="2" t="s">
        <v>805</v>
      </c>
      <c r="N266" s="16">
        <v>3.0000000000000009E-2</v>
      </c>
      <c r="O266" s="17">
        <f>N266*'Financial Inputs'!$B$3</f>
        <v>3000000.0000000009</v>
      </c>
      <c r="P266" s="18">
        <f>IF(I266="L",'Financial Inputs'!$B$4,IF(I266="M",'Financial Inputs'!$B$5,'Financial Inputs'!$B$6))</f>
        <v>0.7</v>
      </c>
      <c r="Q266" s="17">
        <f>O266*P266</f>
        <v>2100000.0000000005</v>
      </c>
      <c r="R266" s="16">
        <f>'Financial Inputs'!$B$7</f>
        <v>0.35</v>
      </c>
      <c r="S266" s="17">
        <f>Q266*(1-R266)</f>
        <v>1365000.0000000005</v>
      </c>
      <c r="T266" s="18">
        <f>S266/'Financial Inputs'!$B$3</f>
        <v>1.3650000000000004E-2</v>
      </c>
      <c r="U266" s="9" t="s">
        <v>52</v>
      </c>
      <c r="V266" s="3" t="s">
        <v>53</v>
      </c>
    </row>
    <row r="267" spans="1:22">
      <c r="A267" s="2" t="s">
        <v>998</v>
      </c>
      <c r="B267" s="2" t="s">
        <v>999</v>
      </c>
      <c r="C267" s="2" t="s">
        <v>802</v>
      </c>
      <c r="D267" s="2" t="s">
        <v>56</v>
      </c>
      <c r="E267" s="2" t="s">
        <v>176</v>
      </c>
      <c r="F267" s="2" t="s">
        <v>97</v>
      </c>
      <c r="G267" s="2" t="s">
        <v>56</v>
      </c>
      <c r="H267" s="2" t="s">
        <v>498</v>
      </c>
      <c r="I267" s="2" t="s">
        <v>499</v>
      </c>
      <c r="J267" s="2" t="s">
        <v>803</v>
      </c>
      <c r="K267" s="2" t="s">
        <v>1000</v>
      </c>
      <c r="L267" s="2" t="s">
        <v>358</v>
      </c>
      <c r="M267" s="2" t="s">
        <v>805</v>
      </c>
      <c r="N267" s="16">
        <v>0.02</v>
      </c>
      <c r="O267" s="17">
        <f>N267*'Financial Inputs'!$B$3</f>
        <v>2000000</v>
      </c>
      <c r="P267" s="18">
        <f>IF(I267="L",'Financial Inputs'!$B$4,IF(I267="M",'Financial Inputs'!$B$5,'Financial Inputs'!$B$6))</f>
        <v>0.7</v>
      </c>
      <c r="Q267" s="17">
        <f>O267*P267</f>
        <v>1400000</v>
      </c>
      <c r="R267" s="16">
        <f>'Financial Inputs'!$B$7</f>
        <v>0.35</v>
      </c>
      <c r="S267" s="17">
        <f>Q267*(1-R267)</f>
        <v>910000</v>
      </c>
      <c r="T267" s="18">
        <f>S267/'Financial Inputs'!$B$3</f>
        <v>9.1000000000000004E-3</v>
      </c>
      <c r="U267" s="9" t="s">
        <v>52</v>
      </c>
      <c r="V267" s="3" t="s">
        <v>53</v>
      </c>
    </row>
    <row r="268" spans="1:22">
      <c r="A268" s="2" t="s">
        <v>1001</v>
      </c>
      <c r="B268" s="2" t="s">
        <v>1002</v>
      </c>
      <c r="C268" s="2" t="s">
        <v>802</v>
      </c>
      <c r="D268" s="2" t="s">
        <v>64</v>
      </c>
      <c r="E268" s="2" t="s">
        <v>122</v>
      </c>
      <c r="F268" s="2" t="s">
        <v>104</v>
      </c>
      <c r="G268" s="2" t="s">
        <v>138</v>
      </c>
      <c r="H268" s="2" t="s">
        <v>498</v>
      </c>
      <c r="I268" s="2" t="s">
        <v>499</v>
      </c>
      <c r="J268" s="2" t="s">
        <v>803</v>
      </c>
      <c r="K268" s="2" t="s">
        <v>1003</v>
      </c>
      <c r="L268" s="2" t="s">
        <v>362</v>
      </c>
      <c r="M268" s="2" t="s">
        <v>805</v>
      </c>
      <c r="N268" s="16">
        <v>2.2499999999999999E-2</v>
      </c>
      <c r="O268" s="17">
        <f>N268*'Financial Inputs'!$B$3</f>
        <v>2250000</v>
      </c>
      <c r="P268" s="18">
        <f>IF(I268="L",'Financial Inputs'!$B$4,IF(I268="M",'Financial Inputs'!$B$5,'Financial Inputs'!$B$6))</f>
        <v>0.7</v>
      </c>
      <c r="Q268" s="17">
        <f>O268*P268</f>
        <v>1575000</v>
      </c>
      <c r="R268" s="16">
        <f>'Financial Inputs'!$B$7</f>
        <v>0.35</v>
      </c>
      <c r="S268" s="17">
        <f>Q268*(1-R268)</f>
        <v>1023750</v>
      </c>
      <c r="T268" s="18">
        <f>S268/'Financial Inputs'!$B$3</f>
        <v>1.02375E-2</v>
      </c>
      <c r="U268" s="9" t="s">
        <v>52</v>
      </c>
      <c r="V268" s="3" t="s">
        <v>53</v>
      </c>
    </row>
    <row r="269" spans="1:22">
      <c r="A269" s="2" t="s">
        <v>1004</v>
      </c>
      <c r="B269" s="2" t="s">
        <v>1005</v>
      </c>
      <c r="C269" s="2" t="s">
        <v>802</v>
      </c>
      <c r="D269" s="2" t="s">
        <v>72</v>
      </c>
      <c r="E269" s="2" t="s">
        <v>128</v>
      </c>
      <c r="F269" s="2" t="s">
        <v>110</v>
      </c>
      <c r="G269" s="2" t="s">
        <v>143</v>
      </c>
      <c r="H269" s="2" t="s">
        <v>498</v>
      </c>
      <c r="I269" s="2" t="s">
        <v>499</v>
      </c>
      <c r="J269" s="2" t="s">
        <v>803</v>
      </c>
      <c r="K269" s="2" t="s">
        <v>1006</v>
      </c>
      <c r="L269" s="2" t="s">
        <v>366</v>
      </c>
      <c r="M269" s="2" t="s">
        <v>805</v>
      </c>
      <c r="N269" s="16">
        <v>2.5000000000000001E-2</v>
      </c>
      <c r="O269" s="17">
        <f>N269*'Financial Inputs'!$B$3</f>
        <v>2500000</v>
      </c>
      <c r="P269" s="18">
        <f>IF(I269="L",'Financial Inputs'!$B$4,IF(I269="M",'Financial Inputs'!$B$5,'Financial Inputs'!$B$6))</f>
        <v>0.7</v>
      </c>
      <c r="Q269" s="17">
        <f>O269*P269</f>
        <v>1750000</v>
      </c>
      <c r="R269" s="16">
        <f>'Financial Inputs'!$B$7</f>
        <v>0.35</v>
      </c>
      <c r="S269" s="17">
        <f>Q269*(1-R269)</f>
        <v>1137500</v>
      </c>
      <c r="T269" s="18">
        <f>S269/'Financial Inputs'!$B$3</f>
        <v>1.1375E-2</v>
      </c>
      <c r="U269" s="9" t="s">
        <v>52</v>
      </c>
      <c r="V269" s="3" t="s">
        <v>53</v>
      </c>
    </row>
    <row r="270" spans="1:22">
      <c r="A270" s="2" t="s">
        <v>1007</v>
      </c>
      <c r="B270" s="2" t="s">
        <v>1008</v>
      </c>
      <c r="C270" s="2" t="s">
        <v>802</v>
      </c>
      <c r="D270" s="2" t="s">
        <v>80</v>
      </c>
      <c r="E270" s="2" t="s">
        <v>43</v>
      </c>
      <c r="F270" s="2" t="s">
        <v>117</v>
      </c>
      <c r="G270" s="2" t="s">
        <v>162</v>
      </c>
      <c r="H270" s="2" t="s">
        <v>498</v>
      </c>
      <c r="I270" s="2" t="s">
        <v>499</v>
      </c>
      <c r="J270" s="2" t="s">
        <v>803</v>
      </c>
      <c r="K270" s="2" t="s">
        <v>1009</v>
      </c>
      <c r="L270" s="2" t="s">
        <v>370</v>
      </c>
      <c r="M270" s="2" t="s">
        <v>805</v>
      </c>
      <c r="N270" s="16">
        <v>2.75E-2</v>
      </c>
      <c r="O270" s="17">
        <f>N270*'Financial Inputs'!$B$3</f>
        <v>2750000</v>
      </c>
      <c r="P270" s="18">
        <f>IF(I270="L",'Financial Inputs'!$B$4,IF(I270="M",'Financial Inputs'!$B$5,'Financial Inputs'!$B$6))</f>
        <v>0.7</v>
      </c>
      <c r="Q270" s="17">
        <f>O270*P270</f>
        <v>1924999.9999999998</v>
      </c>
      <c r="R270" s="16">
        <f>'Financial Inputs'!$B$7</f>
        <v>0.35</v>
      </c>
      <c r="S270" s="17">
        <f>Q270*(1-R270)</f>
        <v>1251250</v>
      </c>
      <c r="T270" s="18">
        <f>S270/'Financial Inputs'!$B$3</f>
        <v>1.2512499999999999E-2</v>
      </c>
      <c r="U270" s="9" t="s">
        <v>52</v>
      </c>
      <c r="V270" s="3" t="s">
        <v>53</v>
      </c>
    </row>
    <row r="271" spans="1:22">
      <c r="A271" s="2" t="s">
        <v>1010</v>
      </c>
      <c r="B271" s="2" t="s">
        <v>1011</v>
      </c>
      <c r="C271" s="2" t="s">
        <v>802</v>
      </c>
      <c r="D271" s="2" t="s">
        <v>127</v>
      </c>
      <c r="E271" s="2" t="s">
        <v>57</v>
      </c>
      <c r="F271" s="2" t="s">
        <v>90</v>
      </c>
      <c r="G271" s="2" t="s">
        <v>45</v>
      </c>
      <c r="H271" s="2" t="s">
        <v>498</v>
      </c>
      <c r="I271" s="2" t="s">
        <v>499</v>
      </c>
      <c r="J271" s="2" t="s">
        <v>803</v>
      </c>
      <c r="K271" s="2" t="s">
        <v>1012</v>
      </c>
      <c r="L271" s="2" t="s">
        <v>374</v>
      </c>
      <c r="M271" s="2" t="s">
        <v>805</v>
      </c>
      <c r="N271" s="16">
        <v>3.0000000000000009E-2</v>
      </c>
      <c r="O271" s="17">
        <f>N271*'Financial Inputs'!$B$3</f>
        <v>3000000.0000000009</v>
      </c>
      <c r="P271" s="18">
        <f>IF(I271="L",'Financial Inputs'!$B$4,IF(I271="M",'Financial Inputs'!$B$5,'Financial Inputs'!$B$6))</f>
        <v>0.7</v>
      </c>
      <c r="Q271" s="17">
        <f>O271*P271</f>
        <v>2100000.0000000005</v>
      </c>
      <c r="R271" s="16">
        <f>'Financial Inputs'!$B$7</f>
        <v>0.35</v>
      </c>
      <c r="S271" s="17">
        <f>Q271*(1-R271)</f>
        <v>1365000.0000000005</v>
      </c>
      <c r="T271" s="18">
        <f>S271/'Financial Inputs'!$B$3</f>
        <v>1.3650000000000004E-2</v>
      </c>
      <c r="U271" s="9" t="s">
        <v>52</v>
      </c>
      <c r="V271" s="3" t="s">
        <v>53</v>
      </c>
    </row>
    <row r="272" spans="1:22">
      <c r="A272" s="2" t="s">
        <v>1013</v>
      </c>
      <c r="B272" s="2" t="s">
        <v>1014</v>
      </c>
      <c r="C272" s="2" t="s">
        <v>802</v>
      </c>
      <c r="D272" s="2" t="s">
        <v>95</v>
      </c>
      <c r="E272" s="2" t="s">
        <v>198</v>
      </c>
      <c r="F272" s="2" t="s">
        <v>66</v>
      </c>
      <c r="G272" s="2" t="s">
        <v>143</v>
      </c>
      <c r="H272" s="2" t="s">
        <v>498</v>
      </c>
      <c r="I272" s="2" t="s">
        <v>499</v>
      </c>
      <c r="J272" s="2" t="s">
        <v>803</v>
      </c>
      <c r="K272" s="2" t="s">
        <v>1015</v>
      </c>
      <c r="L272" s="2" t="s">
        <v>378</v>
      </c>
      <c r="M272" s="2" t="s">
        <v>805</v>
      </c>
      <c r="N272" s="16">
        <v>0.02</v>
      </c>
      <c r="O272" s="17">
        <f>N272*'Financial Inputs'!$B$3</f>
        <v>2000000</v>
      </c>
      <c r="P272" s="18">
        <f>IF(I272="L",'Financial Inputs'!$B$4,IF(I272="M",'Financial Inputs'!$B$5,'Financial Inputs'!$B$6))</f>
        <v>0.7</v>
      </c>
      <c r="Q272" s="17">
        <f>O272*P272</f>
        <v>1400000</v>
      </c>
      <c r="R272" s="16">
        <f>'Financial Inputs'!$B$7</f>
        <v>0.35</v>
      </c>
      <c r="S272" s="17">
        <f>Q272*(1-R272)</f>
        <v>910000</v>
      </c>
      <c r="T272" s="18">
        <f>S272/'Financial Inputs'!$B$3</f>
        <v>9.1000000000000004E-3</v>
      </c>
      <c r="U272" s="9" t="s">
        <v>52</v>
      </c>
      <c r="V272" s="3" t="s">
        <v>53</v>
      </c>
    </row>
    <row r="273" spans="1:22">
      <c r="A273" s="2" t="s">
        <v>1016</v>
      </c>
      <c r="B273" s="2" t="s">
        <v>1017</v>
      </c>
      <c r="C273" s="2" t="s">
        <v>802</v>
      </c>
      <c r="D273" s="2" t="s">
        <v>102</v>
      </c>
      <c r="E273" s="2" t="s">
        <v>148</v>
      </c>
      <c r="F273" s="2" t="s">
        <v>74</v>
      </c>
      <c r="G273" s="2" t="s">
        <v>162</v>
      </c>
      <c r="H273" s="2" t="s">
        <v>498</v>
      </c>
      <c r="I273" s="2" t="s">
        <v>499</v>
      </c>
      <c r="J273" s="2" t="s">
        <v>803</v>
      </c>
      <c r="K273" s="2" t="s">
        <v>1018</v>
      </c>
      <c r="L273" s="2" t="s">
        <v>382</v>
      </c>
      <c r="M273" s="2" t="s">
        <v>805</v>
      </c>
      <c r="N273" s="16">
        <v>2.2499999999999999E-2</v>
      </c>
      <c r="O273" s="17">
        <f>N273*'Financial Inputs'!$B$3</f>
        <v>2250000</v>
      </c>
      <c r="P273" s="18">
        <f>IF(I273="L",'Financial Inputs'!$B$4,IF(I273="M",'Financial Inputs'!$B$5,'Financial Inputs'!$B$6))</f>
        <v>0.7</v>
      </c>
      <c r="Q273" s="17">
        <f>O273*P273</f>
        <v>1575000</v>
      </c>
      <c r="R273" s="16">
        <f>'Financial Inputs'!$B$7</f>
        <v>0.35</v>
      </c>
      <c r="S273" s="17">
        <f>Q273*(1-R273)</f>
        <v>1023750</v>
      </c>
      <c r="T273" s="18">
        <f>S273/'Financial Inputs'!$B$3</f>
        <v>1.02375E-2</v>
      </c>
      <c r="U273" s="9" t="s">
        <v>52</v>
      </c>
      <c r="V273" s="3" t="s">
        <v>53</v>
      </c>
    </row>
    <row r="274" spans="1:22">
      <c r="A274" s="2" t="s">
        <v>1019</v>
      </c>
      <c r="B274" s="2" t="s">
        <v>1020</v>
      </c>
      <c r="C274" s="2" t="s">
        <v>802</v>
      </c>
      <c r="D274" s="2" t="s">
        <v>42</v>
      </c>
      <c r="E274" s="2" t="s">
        <v>153</v>
      </c>
      <c r="F274" s="2" t="s">
        <v>82</v>
      </c>
      <c r="G274" s="2" t="s">
        <v>45</v>
      </c>
      <c r="H274" s="2" t="s">
        <v>498</v>
      </c>
      <c r="I274" s="2" t="s">
        <v>499</v>
      </c>
      <c r="J274" s="2" t="s">
        <v>803</v>
      </c>
      <c r="K274" s="2" t="s">
        <v>1021</v>
      </c>
      <c r="L274" s="2" t="s">
        <v>386</v>
      </c>
      <c r="M274" s="2" t="s">
        <v>805</v>
      </c>
      <c r="N274" s="16">
        <v>2.5000000000000001E-2</v>
      </c>
      <c r="O274" s="17">
        <f>N274*'Financial Inputs'!$B$3</f>
        <v>2500000</v>
      </c>
      <c r="P274" s="18">
        <f>IF(I274="L",'Financial Inputs'!$B$4,IF(I274="M",'Financial Inputs'!$B$5,'Financial Inputs'!$B$6))</f>
        <v>0.7</v>
      </c>
      <c r="Q274" s="17">
        <f>O274*P274</f>
        <v>1750000</v>
      </c>
      <c r="R274" s="16">
        <f>'Financial Inputs'!$B$7</f>
        <v>0.35</v>
      </c>
      <c r="S274" s="17">
        <f>Q274*(1-R274)</f>
        <v>1137500</v>
      </c>
      <c r="T274" s="18">
        <f>S274/'Financial Inputs'!$B$3</f>
        <v>1.1375E-2</v>
      </c>
      <c r="U274" s="9" t="s">
        <v>52</v>
      </c>
      <c r="V274" s="3" t="s">
        <v>53</v>
      </c>
    </row>
    <row r="275" spans="1:22">
      <c r="A275" s="2" t="s">
        <v>1022</v>
      </c>
      <c r="B275" s="2" t="s">
        <v>1023</v>
      </c>
      <c r="C275" s="2" t="s">
        <v>802</v>
      </c>
      <c r="D275" s="2" t="s">
        <v>56</v>
      </c>
      <c r="E275" s="2" t="s">
        <v>89</v>
      </c>
      <c r="F275" s="2" t="s">
        <v>44</v>
      </c>
      <c r="G275" s="2" t="s">
        <v>59</v>
      </c>
      <c r="H275" s="2" t="s">
        <v>498</v>
      </c>
      <c r="I275" s="2" t="s">
        <v>499</v>
      </c>
      <c r="J275" s="2" t="s">
        <v>803</v>
      </c>
      <c r="K275" s="2" t="s">
        <v>1024</v>
      </c>
      <c r="L275" s="2" t="s">
        <v>390</v>
      </c>
      <c r="M275" s="2" t="s">
        <v>805</v>
      </c>
      <c r="N275" s="16">
        <v>2.75E-2</v>
      </c>
      <c r="O275" s="17">
        <f>N275*'Financial Inputs'!$B$3</f>
        <v>2750000</v>
      </c>
      <c r="P275" s="18">
        <f>IF(I275="L",'Financial Inputs'!$B$4,IF(I275="M",'Financial Inputs'!$B$5,'Financial Inputs'!$B$6))</f>
        <v>0.7</v>
      </c>
      <c r="Q275" s="17">
        <f>O275*P275</f>
        <v>1924999.9999999998</v>
      </c>
      <c r="R275" s="16">
        <f>'Financial Inputs'!$B$7</f>
        <v>0.35</v>
      </c>
      <c r="S275" s="17">
        <f>Q275*(1-R275)</f>
        <v>1251250</v>
      </c>
      <c r="T275" s="18">
        <f>S275/'Financial Inputs'!$B$3</f>
        <v>1.2512499999999999E-2</v>
      </c>
      <c r="U275" s="9" t="s">
        <v>52</v>
      </c>
      <c r="V275" s="3" t="s">
        <v>53</v>
      </c>
    </row>
    <row r="276" spans="1:22">
      <c r="A276" s="2" t="s">
        <v>1025</v>
      </c>
      <c r="B276" s="2" t="s">
        <v>1026</v>
      </c>
      <c r="C276" s="2" t="s">
        <v>802</v>
      </c>
      <c r="D276" s="2" t="s">
        <v>64</v>
      </c>
      <c r="E276" s="2" t="s">
        <v>96</v>
      </c>
      <c r="F276" s="2" t="s">
        <v>58</v>
      </c>
      <c r="G276" s="2" t="s">
        <v>67</v>
      </c>
      <c r="H276" s="2" t="s">
        <v>498</v>
      </c>
      <c r="I276" s="2" t="s">
        <v>499</v>
      </c>
      <c r="J276" s="2" t="s">
        <v>803</v>
      </c>
      <c r="K276" s="2" t="s">
        <v>1027</v>
      </c>
      <c r="L276" s="2" t="s">
        <v>394</v>
      </c>
      <c r="M276" s="2" t="s">
        <v>805</v>
      </c>
      <c r="N276" s="16">
        <v>3.0000000000000009E-2</v>
      </c>
      <c r="O276" s="17">
        <f>N276*'Financial Inputs'!$B$3</f>
        <v>3000000.0000000009</v>
      </c>
      <c r="P276" s="18">
        <f>IF(I276="L",'Financial Inputs'!$B$4,IF(I276="M",'Financial Inputs'!$B$5,'Financial Inputs'!$B$6))</f>
        <v>0.7</v>
      </c>
      <c r="Q276" s="17">
        <f>O276*P276</f>
        <v>2100000.0000000005</v>
      </c>
      <c r="R276" s="16">
        <f>'Financial Inputs'!$B$7</f>
        <v>0.35</v>
      </c>
      <c r="S276" s="17">
        <f>Q276*(1-R276)</f>
        <v>1365000.0000000005</v>
      </c>
      <c r="T276" s="18">
        <f>S276/'Financial Inputs'!$B$3</f>
        <v>1.3650000000000004E-2</v>
      </c>
      <c r="U276" s="9" t="s">
        <v>52</v>
      </c>
      <c r="V276" s="3" t="s">
        <v>53</v>
      </c>
    </row>
    <row r="277" spans="1:22">
      <c r="A277" s="2" t="s">
        <v>1028</v>
      </c>
      <c r="B277" s="2" t="s">
        <v>1029</v>
      </c>
      <c r="C277" s="2" t="s">
        <v>802</v>
      </c>
      <c r="D277" s="2" t="s">
        <v>127</v>
      </c>
      <c r="E277" s="2" t="s">
        <v>220</v>
      </c>
      <c r="F277" s="2" t="s">
        <v>104</v>
      </c>
      <c r="G277" s="2" t="s">
        <v>45</v>
      </c>
      <c r="H277" s="2" t="s">
        <v>498</v>
      </c>
      <c r="I277" s="2" t="s">
        <v>499</v>
      </c>
      <c r="J277" s="2" t="s">
        <v>803</v>
      </c>
      <c r="K277" s="2" t="s">
        <v>1030</v>
      </c>
      <c r="L277" s="2" t="s">
        <v>398</v>
      </c>
      <c r="M277" s="2" t="s">
        <v>805</v>
      </c>
      <c r="N277" s="16">
        <v>0.02</v>
      </c>
      <c r="O277" s="17">
        <f>N277*'Financial Inputs'!$B$3</f>
        <v>2000000</v>
      </c>
      <c r="P277" s="18">
        <f>IF(I277="L",'Financial Inputs'!$B$4,IF(I277="M",'Financial Inputs'!$B$5,'Financial Inputs'!$B$6))</f>
        <v>0.7</v>
      </c>
      <c r="Q277" s="17">
        <f>O277*P277</f>
        <v>1400000</v>
      </c>
      <c r="R277" s="16">
        <f>'Financial Inputs'!$B$7</f>
        <v>0.35</v>
      </c>
      <c r="S277" s="17">
        <f>Q277*(1-R277)</f>
        <v>910000</v>
      </c>
      <c r="T277" s="18">
        <f>S277/'Financial Inputs'!$B$3</f>
        <v>9.1000000000000004E-3</v>
      </c>
      <c r="U277" s="9" t="s">
        <v>52</v>
      </c>
      <c r="V277" s="3" t="s">
        <v>53</v>
      </c>
    </row>
    <row r="278" spans="1:22">
      <c r="A278" s="2" t="s">
        <v>1031</v>
      </c>
      <c r="B278" s="2" t="s">
        <v>1032</v>
      </c>
      <c r="C278" s="2" t="s">
        <v>802</v>
      </c>
      <c r="D278" s="2" t="s">
        <v>133</v>
      </c>
      <c r="E278" s="2" t="s">
        <v>171</v>
      </c>
      <c r="F278" s="2" t="s">
        <v>110</v>
      </c>
      <c r="G278" s="2" t="s">
        <v>59</v>
      </c>
      <c r="H278" s="2" t="s">
        <v>498</v>
      </c>
      <c r="I278" s="2" t="s">
        <v>499</v>
      </c>
      <c r="J278" s="2" t="s">
        <v>803</v>
      </c>
      <c r="K278" s="2" t="s">
        <v>1033</v>
      </c>
      <c r="L278" s="2" t="s">
        <v>402</v>
      </c>
      <c r="M278" s="2" t="s">
        <v>805</v>
      </c>
      <c r="N278" s="16">
        <v>2.2499999999999999E-2</v>
      </c>
      <c r="O278" s="17">
        <f>N278*'Financial Inputs'!$B$3</f>
        <v>2250000</v>
      </c>
      <c r="P278" s="18">
        <f>IF(I278="L",'Financial Inputs'!$B$4,IF(I278="M",'Financial Inputs'!$B$5,'Financial Inputs'!$B$6))</f>
        <v>0.7</v>
      </c>
      <c r="Q278" s="17">
        <f>O278*P278</f>
        <v>1575000</v>
      </c>
      <c r="R278" s="16">
        <f>'Financial Inputs'!$B$7</f>
        <v>0.35</v>
      </c>
      <c r="S278" s="17">
        <f>Q278*(1-R278)</f>
        <v>1023750</v>
      </c>
      <c r="T278" s="18">
        <f>S278/'Financial Inputs'!$B$3</f>
        <v>1.02375E-2</v>
      </c>
      <c r="U278" s="9" t="s">
        <v>52</v>
      </c>
      <c r="V278" s="3" t="s">
        <v>53</v>
      </c>
    </row>
    <row r="279" spans="1:22">
      <c r="A279" s="2" t="s">
        <v>1034</v>
      </c>
      <c r="B279" s="2" t="s">
        <v>1035</v>
      </c>
      <c r="C279" s="2" t="s">
        <v>802</v>
      </c>
      <c r="D279" s="2" t="s">
        <v>88</v>
      </c>
      <c r="E279" s="2" t="s">
        <v>176</v>
      </c>
      <c r="F279" s="2" t="s">
        <v>117</v>
      </c>
      <c r="G279" s="2" t="s">
        <v>67</v>
      </c>
      <c r="H279" s="2" t="s">
        <v>498</v>
      </c>
      <c r="I279" s="2" t="s">
        <v>499</v>
      </c>
      <c r="J279" s="2" t="s">
        <v>803</v>
      </c>
      <c r="K279" s="2" t="s">
        <v>1036</v>
      </c>
      <c r="L279" s="2" t="s">
        <v>406</v>
      </c>
      <c r="M279" s="2" t="s">
        <v>805</v>
      </c>
      <c r="N279" s="16">
        <v>2.5000000000000001E-2</v>
      </c>
      <c r="O279" s="17">
        <f>N279*'Financial Inputs'!$B$3</f>
        <v>2500000</v>
      </c>
      <c r="P279" s="18">
        <f>IF(I279="L",'Financial Inputs'!$B$4,IF(I279="M",'Financial Inputs'!$B$5,'Financial Inputs'!$B$6))</f>
        <v>0.7</v>
      </c>
      <c r="Q279" s="17">
        <f>O279*P279</f>
        <v>1750000</v>
      </c>
      <c r="R279" s="16">
        <f>'Financial Inputs'!$B$7</f>
        <v>0.35</v>
      </c>
      <c r="S279" s="17">
        <f>Q279*(1-R279)</f>
        <v>1137500</v>
      </c>
      <c r="T279" s="18">
        <f>S279/'Financial Inputs'!$B$3</f>
        <v>1.1375E-2</v>
      </c>
      <c r="U279" s="9" t="s">
        <v>52</v>
      </c>
      <c r="V279" s="3" t="s">
        <v>53</v>
      </c>
    </row>
    <row r="280" spans="1:22">
      <c r="A280" s="2" t="s">
        <v>1037</v>
      </c>
      <c r="B280" s="2" t="s">
        <v>1038</v>
      </c>
      <c r="C280" s="2" t="s">
        <v>802</v>
      </c>
      <c r="D280" s="2" t="s">
        <v>95</v>
      </c>
      <c r="E280" s="2" t="s">
        <v>122</v>
      </c>
      <c r="F280" s="2" t="s">
        <v>90</v>
      </c>
      <c r="G280" s="2" t="s">
        <v>75</v>
      </c>
      <c r="H280" s="2" t="s">
        <v>498</v>
      </c>
      <c r="I280" s="2" t="s">
        <v>499</v>
      </c>
      <c r="J280" s="2" t="s">
        <v>803</v>
      </c>
      <c r="K280" s="2" t="s">
        <v>1039</v>
      </c>
      <c r="L280" s="2" t="s">
        <v>410</v>
      </c>
      <c r="M280" s="2" t="s">
        <v>805</v>
      </c>
      <c r="N280" s="16">
        <v>2.75E-2</v>
      </c>
      <c r="O280" s="17">
        <f>N280*'Financial Inputs'!$B$3</f>
        <v>2750000</v>
      </c>
      <c r="P280" s="18">
        <f>IF(I280="L",'Financial Inputs'!$B$4,IF(I280="M",'Financial Inputs'!$B$5,'Financial Inputs'!$B$6))</f>
        <v>0.7</v>
      </c>
      <c r="Q280" s="17">
        <f>O280*P280</f>
        <v>1924999.9999999998</v>
      </c>
      <c r="R280" s="16">
        <f>'Financial Inputs'!$B$7</f>
        <v>0.35</v>
      </c>
      <c r="S280" s="17">
        <f>Q280*(1-R280)</f>
        <v>1251250</v>
      </c>
      <c r="T280" s="18">
        <f>S280/'Financial Inputs'!$B$3</f>
        <v>1.2512499999999999E-2</v>
      </c>
      <c r="U280" s="9" t="s">
        <v>52</v>
      </c>
      <c r="V280" s="3" t="s">
        <v>53</v>
      </c>
    </row>
    <row r="281" spans="1:22">
      <c r="A281" s="2" t="s">
        <v>1040</v>
      </c>
      <c r="B281" s="2" t="s">
        <v>1041</v>
      </c>
      <c r="C281" s="2" t="s">
        <v>802</v>
      </c>
      <c r="D281" s="2" t="s">
        <v>102</v>
      </c>
      <c r="E281" s="2" t="s">
        <v>128</v>
      </c>
      <c r="F281" s="2" t="s">
        <v>97</v>
      </c>
      <c r="G281" s="2" t="s">
        <v>83</v>
      </c>
      <c r="H281" s="2" t="s">
        <v>498</v>
      </c>
      <c r="I281" s="2" t="s">
        <v>499</v>
      </c>
      <c r="J281" s="2" t="s">
        <v>803</v>
      </c>
      <c r="K281" s="2" t="s">
        <v>1042</v>
      </c>
      <c r="L281" s="2" t="s">
        <v>414</v>
      </c>
      <c r="M281" s="2" t="s">
        <v>805</v>
      </c>
      <c r="N281" s="16">
        <v>3.0000000000000009E-2</v>
      </c>
      <c r="O281" s="17">
        <f>N281*'Financial Inputs'!$B$3</f>
        <v>3000000.0000000009</v>
      </c>
      <c r="P281" s="18">
        <f>IF(I281="L",'Financial Inputs'!$B$4,IF(I281="M",'Financial Inputs'!$B$5,'Financial Inputs'!$B$6))</f>
        <v>0.7</v>
      </c>
      <c r="Q281" s="17">
        <f>O281*P281</f>
        <v>2100000.0000000005</v>
      </c>
      <c r="R281" s="16">
        <f>'Financial Inputs'!$B$7</f>
        <v>0.35</v>
      </c>
      <c r="S281" s="17">
        <f>Q281*(1-R281)</f>
        <v>1365000.0000000005</v>
      </c>
      <c r="T281" s="18">
        <f>S281/'Financial Inputs'!$B$3</f>
        <v>1.3650000000000004E-2</v>
      </c>
      <c r="U281" s="9" t="s">
        <v>52</v>
      </c>
      <c r="V281" s="3" t="s">
        <v>53</v>
      </c>
    </row>
    <row r="282" spans="1:22">
      <c r="A282" s="2" t="s">
        <v>1043</v>
      </c>
      <c r="B282" s="2" t="s">
        <v>1044</v>
      </c>
      <c r="C282" s="2" t="s">
        <v>802</v>
      </c>
      <c r="D282" s="2" t="s">
        <v>64</v>
      </c>
      <c r="E282" s="2" t="s">
        <v>81</v>
      </c>
      <c r="F282" s="2" t="s">
        <v>74</v>
      </c>
      <c r="G282" s="2" t="s">
        <v>67</v>
      </c>
      <c r="H282" s="2" t="s">
        <v>498</v>
      </c>
      <c r="I282" s="2" t="s">
        <v>499</v>
      </c>
      <c r="J282" s="2" t="s">
        <v>803</v>
      </c>
      <c r="K282" s="2" t="s">
        <v>1045</v>
      </c>
      <c r="L282" s="2" t="s">
        <v>418</v>
      </c>
      <c r="M282" s="2" t="s">
        <v>805</v>
      </c>
      <c r="N282" s="16">
        <v>0.02</v>
      </c>
      <c r="O282" s="17">
        <f>N282*'Financial Inputs'!$B$3</f>
        <v>2000000</v>
      </c>
      <c r="P282" s="18">
        <f>IF(I282="L",'Financial Inputs'!$B$4,IF(I282="M",'Financial Inputs'!$B$5,'Financial Inputs'!$B$6))</f>
        <v>0.7</v>
      </c>
      <c r="Q282" s="17">
        <f>O282*P282</f>
        <v>1400000</v>
      </c>
      <c r="R282" s="16">
        <f>'Financial Inputs'!$B$7</f>
        <v>0.35</v>
      </c>
      <c r="S282" s="17">
        <f>Q282*(1-R282)</f>
        <v>910000</v>
      </c>
      <c r="T282" s="18">
        <f>S282/'Financial Inputs'!$B$3</f>
        <v>9.1000000000000004E-3</v>
      </c>
      <c r="U282" s="9" t="s">
        <v>52</v>
      </c>
      <c r="V282" s="3" t="s">
        <v>53</v>
      </c>
    </row>
    <row r="283" spans="1:22">
      <c r="A283" s="2" t="s">
        <v>1046</v>
      </c>
      <c r="B283" s="2" t="s">
        <v>1047</v>
      </c>
      <c r="C283" s="2" t="s">
        <v>802</v>
      </c>
      <c r="D283" s="2" t="s">
        <v>72</v>
      </c>
      <c r="E283" s="2" t="s">
        <v>193</v>
      </c>
      <c r="F283" s="2" t="s">
        <v>82</v>
      </c>
      <c r="G283" s="2" t="s">
        <v>75</v>
      </c>
      <c r="H283" s="2" t="s">
        <v>498</v>
      </c>
      <c r="I283" s="2" t="s">
        <v>499</v>
      </c>
      <c r="J283" s="2" t="s">
        <v>803</v>
      </c>
      <c r="K283" s="2" t="s">
        <v>1048</v>
      </c>
      <c r="L283" s="2" t="s">
        <v>422</v>
      </c>
      <c r="M283" s="2" t="s">
        <v>805</v>
      </c>
      <c r="N283" s="16">
        <v>2.2499999999999999E-2</v>
      </c>
      <c r="O283" s="17">
        <f>N283*'Financial Inputs'!$B$3</f>
        <v>2250000</v>
      </c>
      <c r="P283" s="18">
        <f>IF(I283="L",'Financial Inputs'!$B$4,IF(I283="M",'Financial Inputs'!$B$5,'Financial Inputs'!$B$6))</f>
        <v>0.7</v>
      </c>
      <c r="Q283" s="17">
        <f>O283*P283</f>
        <v>1575000</v>
      </c>
      <c r="R283" s="16">
        <f>'Financial Inputs'!$B$7</f>
        <v>0.35</v>
      </c>
      <c r="S283" s="17">
        <f>Q283*(1-R283)</f>
        <v>1023750</v>
      </c>
      <c r="T283" s="18">
        <f>S283/'Financial Inputs'!$B$3</f>
        <v>1.02375E-2</v>
      </c>
      <c r="U283" s="9" t="s">
        <v>52</v>
      </c>
      <c r="V283" s="3" t="s">
        <v>53</v>
      </c>
    </row>
    <row r="284" spans="1:22">
      <c r="A284" s="2" t="s">
        <v>1049</v>
      </c>
      <c r="B284" s="2" t="s">
        <v>1050</v>
      </c>
      <c r="C284" s="2" t="s">
        <v>802</v>
      </c>
      <c r="D284" s="2" t="s">
        <v>80</v>
      </c>
      <c r="E284" s="2" t="s">
        <v>198</v>
      </c>
      <c r="F284" s="2" t="s">
        <v>44</v>
      </c>
      <c r="G284" s="2" t="s">
        <v>83</v>
      </c>
      <c r="H284" s="2" t="s">
        <v>498</v>
      </c>
      <c r="I284" s="2" t="s">
        <v>499</v>
      </c>
      <c r="J284" s="2" t="s">
        <v>803</v>
      </c>
      <c r="K284" s="2" t="s">
        <v>1051</v>
      </c>
      <c r="L284" s="2" t="s">
        <v>426</v>
      </c>
      <c r="M284" s="2" t="s">
        <v>805</v>
      </c>
      <c r="N284" s="16">
        <v>2.5000000000000001E-2</v>
      </c>
      <c r="O284" s="17">
        <f>N284*'Financial Inputs'!$B$3</f>
        <v>2500000</v>
      </c>
      <c r="P284" s="18">
        <f>IF(I284="L",'Financial Inputs'!$B$4,IF(I284="M",'Financial Inputs'!$B$5,'Financial Inputs'!$B$6))</f>
        <v>0.7</v>
      </c>
      <c r="Q284" s="17">
        <f>O284*P284</f>
        <v>1750000</v>
      </c>
      <c r="R284" s="16">
        <f>'Financial Inputs'!$B$7</f>
        <v>0.35</v>
      </c>
      <c r="S284" s="17">
        <f>Q284*(1-R284)</f>
        <v>1137500</v>
      </c>
      <c r="T284" s="18">
        <f>S284/'Financial Inputs'!$B$3</f>
        <v>1.1375E-2</v>
      </c>
      <c r="U284" s="9" t="s">
        <v>52</v>
      </c>
      <c r="V284" s="3" t="s">
        <v>53</v>
      </c>
    </row>
    <row r="285" spans="1:22">
      <c r="A285" s="2" t="s">
        <v>1052</v>
      </c>
      <c r="B285" s="2" t="s">
        <v>1053</v>
      </c>
      <c r="C285" s="2" t="s">
        <v>802</v>
      </c>
      <c r="D285" s="2" t="s">
        <v>127</v>
      </c>
      <c r="E285" s="2" t="s">
        <v>148</v>
      </c>
      <c r="F285" s="2" t="s">
        <v>58</v>
      </c>
      <c r="G285" s="2" t="s">
        <v>111</v>
      </c>
      <c r="H285" s="2" t="s">
        <v>498</v>
      </c>
      <c r="I285" s="2" t="s">
        <v>499</v>
      </c>
      <c r="J285" s="2" t="s">
        <v>803</v>
      </c>
      <c r="K285" s="2" t="s">
        <v>1054</v>
      </c>
      <c r="L285" s="2" t="s">
        <v>430</v>
      </c>
      <c r="M285" s="2" t="s">
        <v>805</v>
      </c>
      <c r="N285" s="16">
        <v>2.75E-2</v>
      </c>
      <c r="O285" s="17">
        <f>N285*'Financial Inputs'!$B$3</f>
        <v>2750000</v>
      </c>
      <c r="P285" s="18">
        <f>IF(I285="L",'Financial Inputs'!$B$4,IF(I285="M",'Financial Inputs'!$B$5,'Financial Inputs'!$B$6))</f>
        <v>0.7</v>
      </c>
      <c r="Q285" s="17">
        <f>O285*P285</f>
        <v>1924999.9999999998</v>
      </c>
      <c r="R285" s="16">
        <f>'Financial Inputs'!$B$7</f>
        <v>0.35</v>
      </c>
      <c r="S285" s="17">
        <f>Q285*(1-R285)</f>
        <v>1251250</v>
      </c>
      <c r="T285" s="18">
        <f>S285/'Financial Inputs'!$B$3</f>
        <v>1.2512499999999999E-2</v>
      </c>
      <c r="U285" s="9" t="s">
        <v>52</v>
      </c>
      <c r="V285" s="3" t="s">
        <v>53</v>
      </c>
    </row>
    <row r="286" spans="1:22">
      <c r="A286" s="2" t="s">
        <v>1055</v>
      </c>
      <c r="B286" s="2" t="s">
        <v>1056</v>
      </c>
      <c r="C286" s="2" t="s">
        <v>802</v>
      </c>
      <c r="D286" s="2" t="s">
        <v>133</v>
      </c>
      <c r="E286" s="2" t="s">
        <v>153</v>
      </c>
      <c r="F286" s="2" t="s">
        <v>66</v>
      </c>
      <c r="G286" s="2" t="s">
        <v>56</v>
      </c>
      <c r="H286" s="2" t="s">
        <v>498</v>
      </c>
      <c r="I286" s="2" t="s">
        <v>499</v>
      </c>
      <c r="J286" s="2" t="s">
        <v>803</v>
      </c>
      <c r="K286" s="2" t="s">
        <v>1057</v>
      </c>
      <c r="L286" s="2" t="s">
        <v>434</v>
      </c>
      <c r="M286" s="2" t="s">
        <v>805</v>
      </c>
      <c r="N286" s="16">
        <v>3.0000000000000009E-2</v>
      </c>
      <c r="O286" s="17">
        <f>N286*'Financial Inputs'!$B$3</f>
        <v>3000000.0000000009</v>
      </c>
      <c r="P286" s="18">
        <f>IF(I286="L",'Financial Inputs'!$B$4,IF(I286="M",'Financial Inputs'!$B$5,'Financial Inputs'!$B$6))</f>
        <v>0.7</v>
      </c>
      <c r="Q286" s="17">
        <f>O286*P286</f>
        <v>2100000.0000000005</v>
      </c>
      <c r="R286" s="16">
        <f>'Financial Inputs'!$B$7</f>
        <v>0.35</v>
      </c>
      <c r="S286" s="17">
        <f>Q286*(1-R286)</f>
        <v>1365000.0000000005</v>
      </c>
      <c r="T286" s="18">
        <f>S286/'Financial Inputs'!$B$3</f>
        <v>1.3650000000000004E-2</v>
      </c>
      <c r="U286" s="9" t="s">
        <v>52</v>
      </c>
      <c r="V286" s="3" t="s">
        <v>53</v>
      </c>
    </row>
    <row r="287" spans="1:22">
      <c r="A287" s="2" t="s">
        <v>1058</v>
      </c>
      <c r="B287" s="2" t="s">
        <v>1059</v>
      </c>
      <c r="C287" s="2" t="s">
        <v>802</v>
      </c>
      <c r="D287" s="2" t="s">
        <v>102</v>
      </c>
      <c r="E287" s="2" t="s">
        <v>116</v>
      </c>
      <c r="F287" s="2" t="s">
        <v>110</v>
      </c>
      <c r="G287" s="2" t="s">
        <v>83</v>
      </c>
      <c r="H287" s="2" t="s">
        <v>498</v>
      </c>
      <c r="I287" s="2" t="s">
        <v>499</v>
      </c>
      <c r="J287" s="2" t="s">
        <v>803</v>
      </c>
      <c r="K287" s="2" t="s">
        <v>1060</v>
      </c>
      <c r="L287" s="2" t="s">
        <v>438</v>
      </c>
      <c r="M287" s="2" t="s">
        <v>805</v>
      </c>
      <c r="N287" s="16">
        <v>0.02</v>
      </c>
      <c r="O287" s="17">
        <f>N287*'Financial Inputs'!$B$3</f>
        <v>2000000</v>
      </c>
      <c r="P287" s="18">
        <f>IF(I287="L",'Financial Inputs'!$B$4,IF(I287="M",'Financial Inputs'!$B$5,'Financial Inputs'!$B$6))</f>
        <v>0.7</v>
      </c>
      <c r="Q287" s="17">
        <f>O287*P287</f>
        <v>1400000</v>
      </c>
      <c r="R287" s="16">
        <f>'Financial Inputs'!$B$7</f>
        <v>0.35</v>
      </c>
      <c r="S287" s="17">
        <f>Q287*(1-R287)</f>
        <v>910000</v>
      </c>
      <c r="T287" s="18">
        <f>S287/'Financial Inputs'!$B$3</f>
        <v>9.1000000000000004E-3</v>
      </c>
      <c r="U287" s="9" t="s">
        <v>52</v>
      </c>
      <c r="V287" s="3" t="s">
        <v>53</v>
      </c>
    </row>
    <row r="288" spans="1:22">
      <c r="A288" s="2" t="s">
        <v>1061</v>
      </c>
      <c r="B288" s="2" t="s">
        <v>1062</v>
      </c>
      <c r="C288" s="2" t="s">
        <v>802</v>
      </c>
      <c r="D288" s="2" t="s">
        <v>42</v>
      </c>
      <c r="E288" s="2" t="s">
        <v>215</v>
      </c>
      <c r="F288" s="2" t="s">
        <v>117</v>
      </c>
      <c r="G288" s="2" t="s">
        <v>111</v>
      </c>
      <c r="H288" s="2" t="s">
        <v>498</v>
      </c>
      <c r="I288" s="2" t="s">
        <v>499</v>
      </c>
      <c r="J288" s="2" t="s">
        <v>803</v>
      </c>
      <c r="K288" s="2" t="s">
        <v>1063</v>
      </c>
      <c r="L288" s="2" t="s">
        <v>442</v>
      </c>
      <c r="M288" s="2" t="s">
        <v>805</v>
      </c>
      <c r="N288" s="16">
        <v>2.2499999999999999E-2</v>
      </c>
      <c r="O288" s="17">
        <f>N288*'Financial Inputs'!$B$3</f>
        <v>2250000</v>
      </c>
      <c r="P288" s="18">
        <f>IF(I288="L",'Financial Inputs'!$B$4,IF(I288="M",'Financial Inputs'!$B$5,'Financial Inputs'!$B$6))</f>
        <v>0.7</v>
      </c>
      <c r="Q288" s="17">
        <f>O288*P288</f>
        <v>1575000</v>
      </c>
      <c r="R288" s="16">
        <f>'Financial Inputs'!$B$7</f>
        <v>0.35</v>
      </c>
      <c r="S288" s="17">
        <f>Q288*(1-R288)</f>
        <v>1023750</v>
      </c>
      <c r="T288" s="18">
        <f>S288/'Financial Inputs'!$B$3</f>
        <v>1.02375E-2</v>
      </c>
      <c r="U288" s="9" t="s">
        <v>52</v>
      </c>
      <c r="V288" s="3" t="s">
        <v>53</v>
      </c>
    </row>
    <row r="289" spans="1:22">
      <c r="A289" s="2" t="s">
        <v>1064</v>
      </c>
      <c r="B289" s="2" t="s">
        <v>1065</v>
      </c>
      <c r="C289" s="2" t="s">
        <v>802</v>
      </c>
      <c r="D289" s="2" t="s">
        <v>56</v>
      </c>
      <c r="E289" s="2" t="s">
        <v>220</v>
      </c>
      <c r="F289" s="2" t="s">
        <v>90</v>
      </c>
      <c r="G289" s="2" t="s">
        <v>56</v>
      </c>
      <c r="H289" s="2" t="s">
        <v>498</v>
      </c>
      <c r="I289" s="2" t="s">
        <v>499</v>
      </c>
      <c r="J289" s="2" t="s">
        <v>803</v>
      </c>
      <c r="K289" s="2" t="s">
        <v>1066</v>
      </c>
      <c r="L289" s="2" t="s">
        <v>446</v>
      </c>
      <c r="M289" s="2" t="s">
        <v>805</v>
      </c>
      <c r="N289" s="16">
        <v>2.5000000000000001E-2</v>
      </c>
      <c r="O289" s="17">
        <f>N289*'Financial Inputs'!$B$3</f>
        <v>2500000</v>
      </c>
      <c r="P289" s="18">
        <f>IF(I289="L",'Financial Inputs'!$B$4,IF(I289="M",'Financial Inputs'!$B$5,'Financial Inputs'!$B$6))</f>
        <v>0.7</v>
      </c>
      <c r="Q289" s="17">
        <f>O289*P289</f>
        <v>1750000</v>
      </c>
      <c r="R289" s="16">
        <f>'Financial Inputs'!$B$7</f>
        <v>0.35</v>
      </c>
      <c r="S289" s="17">
        <f>Q289*(1-R289)</f>
        <v>1137500</v>
      </c>
      <c r="T289" s="18">
        <f>S289/'Financial Inputs'!$B$3</f>
        <v>1.1375E-2</v>
      </c>
      <c r="U289" s="9" t="s">
        <v>52</v>
      </c>
      <c r="V289" s="3" t="s">
        <v>53</v>
      </c>
    </row>
    <row r="290" spans="1:22">
      <c r="A290" s="2" t="s">
        <v>1067</v>
      </c>
      <c r="B290" s="2" t="s">
        <v>1068</v>
      </c>
      <c r="C290" s="2" t="s">
        <v>802</v>
      </c>
      <c r="D290" s="2" t="s">
        <v>64</v>
      </c>
      <c r="E290" s="2" t="s">
        <v>171</v>
      </c>
      <c r="F290" s="2" t="s">
        <v>97</v>
      </c>
      <c r="G290" s="2" t="s">
        <v>138</v>
      </c>
      <c r="H290" s="2" t="s">
        <v>498</v>
      </c>
      <c r="I290" s="2" t="s">
        <v>499</v>
      </c>
      <c r="J290" s="2" t="s">
        <v>803</v>
      </c>
      <c r="K290" s="2" t="s">
        <v>1069</v>
      </c>
      <c r="L290" s="2" t="s">
        <v>450</v>
      </c>
      <c r="M290" s="2" t="s">
        <v>805</v>
      </c>
      <c r="N290" s="16">
        <v>2.75E-2</v>
      </c>
      <c r="O290" s="17">
        <f>N290*'Financial Inputs'!$B$3</f>
        <v>2750000</v>
      </c>
      <c r="P290" s="18">
        <f>IF(I290="L",'Financial Inputs'!$B$4,IF(I290="M",'Financial Inputs'!$B$5,'Financial Inputs'!$B$6))</f>
        <v>0.7</v>
      </c>
      <c r="Q290" s="17">
        <f>O290*P290</f>
        <v>1924999.9999999998</v>
      </c>
      <c r="R290" s="16">
        <f>'Financial Inputs'!$B$7</f>
        <v>0.35</v>
      </c>
      <c r="S290" s="17">
        <f>Q290*(1-R290)</f>
        <v>1251250</v>
      </c>
      <c r="T290" s="18">
        <f>S290/'Financial Inputs'!$B$3</f>
        <v>1.2512499999999999E-2</v>
      </c>
      <c r="U290" s="9" t="s">
        <v>52</v>
      </c>
      <c r="V290" s="3" t="s">
        <v>53</v>
      </c>
    </row>
    <row r="291" spans="1:22">
      <c r="A291" s="2" t="s">
        <v>1070</v>
      </c>
      <c r="B291" s="2" t="s">
        <v>1071</v>
      </c>
      <c r="C291" s="2" t="s">
        <v>802</v>
      </c>
      <c r="D291" s="2" t="s">
        <v>72</v>
      </c>
      <c r="E291" s="2" t="s">
        <v>176</v>
      </c>
      <c r="F291" s="2" t="s">
        <v>104</v>
      </c>
      <c r="G291" s="2" t="s">
        <v>143</v>
      </c>
      <c r="H291" s="2" t="s">
        <v>498</v>
      </c>
      <c r="I291" s="2" t="s">
        <v>499</v>
      </c>
      <c r="J291" s="2" t="s">
        <v>803</v>
      </c>
      <c r="K291" s="2" t="s">
        <v>1072</v>
      </c>
      <c r="L291" s="2" t="s">
        <v>454</v>
      </c>
      <c r="M291" s="2" t="s">
        <v>805</v>
      </c>
      <c r="N291" s="16">
        <v>3.0000000000000009E-2</v>
      </c>
      <c r="O291" s="17">
        <f>N291*'Financial Inputs'!$B$3</f>
        <v>3000000.0000000009</v>
      </c>
      <c r="P291" s="18">
        <f>IF(I291="L",'Financial Inputs'!$B$4,IF(I291="M",'Financial Inputs'!$B$5,'Financial Inputs'!$B$6))</f>
        <v>0.7</v>
      </c>
      <c r="Q291" s="17">
        <f>O291*P291</f>
        <v>2100000.0000000005</v>
      </c>
      <c r="R291" s="16">
        <f>'Financial Inputs'!$B$7</f>
        <v>0.35</v>
      </c>
      <c r="S291" s="17">
        <f>Q291*(1-R291)</f>
        <v>1365000.0000000005</v>
      </c>
      <c r="T291" s="18">
        <f>S291/'Financial Inputs'!$B$3</f>
        <v>1.3650000000000004E-2</v>
      </c>
      <c r="U291" s="9" t="s">
        <v>52</v>
      </c>
      <c r="V291" s="3" t="s">
        <v>53</v>
      </c>
    </row>
    <row r="292" spans="1:22">
      <c r="A292" s="2" t="s">
        <v>1073</v>
      </c>
      <c r="B292" s="2" t="s">
        <v>1074</v>
      </c>
      <c r="C292" s="2" t="s">
        <v>802</v>
      </c>
      <c r="D292" s="2" t="s">
        <v>133</v>
      </c>
      <c r="E292" s="2" t="s">
        <v>65</v>
      </c>
      <c r="F292" s="2" t="s">
        <v>82</v>
      </c>
      <c r="G292" s="2" t="s">
        <v>56</v>
      </c>
      <c r="H292" s="2" t="s">
        <v>498</v>
      </c>
      <c r="I292" s="2" t="s">
        <v>499</v>
      </c>
      <c r="J292" s="2" t="s">
        <v>803</v>
      </c>
      <c r="K292" s="2" t="s">
        <v>1075</v>
      </c>
      <c r="L292" s="2" t="s">
        <v>458</v>
      </c>
      <c r="M292" s="2" t="s">
        <v>805</v>
      </c>
      <c r="N292" s="16">
        <v>0.02</v>
      </c>
      <c r="O292" s="17">
        <f>N292*'Financial Inputs'!$B$3</f>
        <v>2000000</v>
      </c>
      <c r="P292" s="18">
        <f>IF(I292="L",'Financial Inputs'!$B$4,IF(I292="M",'Financial Inputs'!$B$5,'Financial Inputs'!$B$6))</f>
        <v>0.7</v>
      </c>
      <c r="Q292" s="17">
        <f>O292*P292</f>
        <v>1400000</v>
      </c>
      <c r="R292" s="16">
        <f>'Financial Inputs'!$B$7</f>
        <v>0.35</v>
      </c>
      <c r="S292" s="17">
        <f>Q292*(1-R292)</f>
        <v>910000</v>
      </c>
      <c r="T292" s="18">
        <f>S292/'Financial Inputs'!$B$3</f>
        <v>9.1000000000000004E-3</v>
      </c>
      <c r="U292" s="9" t="s">
        <v>52</v>
      </c>
      <c r="V292" s="3" t="s">
        <v>53</v>
      </c>
    </row>
    <row r="293" spans="1:22">
      <c r="A293" s="2" t="s">
        <v>1076</v>
      </c>
      <c r="B293" s="2" t="s">
        <v>1077</v>
      </c>
      <c r="C293" s="2" t="s">
        <v>802</v>
      </c>
      <c r="D293" s="2" t="s">
        <v>88</v>
      </c>
      <c r="E293" s="2" t="s">
        <v>73</v>
      </c>
      <c r="F293" s="2" t="s">
        <v>44</v>
      </c>
      <c r="G293" s="2" t="s">
        <v>138</v>
      </c>
      <c r="H293" s="2" t="s">
        <v>498</v>
      </c>
      <c r="I293" s="2" t="s">
        <v>499</v>
      </c>
      <c r="J293" s="2" t="s">
        <v>803</v>
      </c>
      <c r="K293" s="2" t="s">
        <v>1078</v>
      </c>
      <c r="L293" s="2" t="s">
        <v>462</v>
      </c>
      <c r="M293" s="2" t="s">
        <v>805</v>
      </c>
      <c r="N293" s="16">
        <v>2.2499999999999999E-2</v>
      </c>
      <c r="O293" s="17">
        <f>N293*'Financial Inputs'!$B$3</f>
        <v>2250000</v>
      </c>
      <c r="P293" s="18">
        <f>IF(I293="L",'Financial Inputs'!$B$4,IF(I293="M",'Financial Inputs'!$B$5,'Financial Inputs'!$B$6))</f>
        <v>0.7</v>
      </c>
      <c r="Q293" s="17">
        <f>O293*P293</f>
        <v>1575000</v>
      </c>
      <c r="R293" s="16">
        <f>'Financial Inputs'!$B$7</f>
        <v>0.35</v>
      </c>
      <c r="S293" s="17">
        <f>Q293*(1-R293)</f>
        <v>1023750</v>
      </c>
      <c r="T293" s="18">
        <f>S293/'Financial Inputs'!$B$3</f>
        <v>1.02375E-2</v>
      </c>
      <c r="U293" s="9" t="s">
        <v>52</v>
      </c>
      <c r="V293" s="3" t="s">
        <v>53</v>
      </c>
    </row>
    <row r="294" spans="1:22">
      <c r="A294" s="2" t="s">
        <v>1079</v>
      </c>
      <c r="B294" s="2" t="s">
        <v>1080</v>
      </c>
      <c r="C294" s="2" t="s">
        <v>802</v>
      </c>
      <c r="D294" s="2" t="s">
        <v>95</v>
      </c>
      <c r="E294" s="2" t="s">
        <v>81</v>
      </c>
      <c r="F294" s="2" t="s">
        <v>58</v>
      </c>
      <c r="G294" s="2" t="s">
        <v>143</v>
      </c>
      <c r="H294" s="2" t="s">
        <v>498</v>
      </c>
      <c r="I294" s="2" t="s">
        <v>499</v>
      </c>
      <c r="J294" s="2" t="s">
        <v>803</v>
      </c>
      <c r="K294" s="2" t="s">
        <v>1081</v>
      </c>
      <c r="L294" s="2" t="s">
        <v>466</v>
      </c>
      <c r="M294" s="2" t="s">
        <v>805</v>
      </c>
      <c r="N294" s="16">
        <v>2.5000000000000001E-2</v>
      </c>
      <c r="O294" s="17">
        <f>N294*'Financial Inputs'!$B$3</f>
        <v>2500000</v>
      </c>
      <c r="P294" s="18">
        <f>IF(I294="L",'Financial Inputs'!$B$4,IF(I294="M",'Financial Inputs'!$B$5,'Financial Inputs'!$B$6))</f>
        <v>0.7</v>
      </c>
      <c r="Q294" s="17">
        <f>O294*P294</f>
        <v>1750000</v>
      </c>
      <c r="R294" s="16">
        <f>'Financial Inputs'!$B$7</f>
        <v>0.35</v>
      </c>
      <c r="S294" s="17">
        <f>Q294*(1-R294)</f>
        <v>1137500</v>
      </c>
      <c r="T294" s="18">
        <f>S294/'Financial Inputs'!$B$3</f>
        <v>1.1375E-2</v>
      </c>
      <c r="U294" s="9" t="s">
        <v>52</v>
      </c>
      <c r="V294" s="3" t="s">
        <v>53</v>
      </c>
    </row>
    <row r="295" spans="1:22">
      <c r="A295" s="2" t="s">
        <v>1082</v>
      </c>
      <c r="B295" s="2" t="s">
        <v>1083</v>
      </c>
      <c r="C295" s="2" t="s">
        <v>802</v>
      </c>
      <c r="D295" s="2" t="s">
        <v>102</v>
      </c>
      <c r="E295" s="2" t="s">
        <v>193</v>
      </c>
      <c r="F295" s="2" t="s">
        <v>66</v>
      </c>
      <c r="G295" s="2" t="s">
        <v>162</v>
      </c>
      <c r="H295" s="2" t="s">
        <v>498</v>
      </c>
      <c r="I295" s="2" t="s">
        <v>499</v>
      </c>
      <c r="J295" s="2" t="s">
        <v>803</v>
      </c>
      <c r="K295" s="2" t="s">
        <v>1084</v>
      </c>
      <c r="L295" s="2" t="s">
        <v>470</v>
      </c>
      <c r="M295" s="2" t="s">
        <v>805</v>
      </c>
      <c r="N295" s="16">
        <v>2.75E-2</v>
      </c>
      <c r="O295" s="17">
        <f>N295*'Financial Inputs'!$B$3</f>
        <v>2750000</v>
      </c>
      <c r="P295" s="18">
        <f>IF(I295="L",'Financial Inputs'!$B$4,IF(I295="M",'Financial Inputs'!$B$5,'Financial Inputs'!$B$6))</f>
        <v>0.7</v>
      </c>
      <c r="Q295" s="17">
        <f>O295*P295</f>
        <v>1924999.9999999998</v>
      </c>
      <c r="R295" s="16">
        <f>'Financial Inputs'!$B$7</f>
        <v>0.35</v>
      </c>
      <c r="S295" s="17">
        <f>Q295*(1-R295)</f>
        <v>1251250</v>
      </c>
      <c r="T295" s="18">
        <f>S295/'Financial Inputs'!$B$3</f>
        <v>1.2512499999999999E-2</v>
      </c>
      <c r="U295" s="9" t="s">
        <v>52</v>
      </c>
      <c r="V295" s="3" t="s">
        <v>53</v>
      </c>
    </row>
    <row r="296" spans="1:22">
      <c r="A296" s="2" t="s">
        <v>1085</v>
      </c>
      <c r="B296" s="2" t="s">
        <v>1086</v>
      </c>
      <c r="C296" s="2" t="s">
        <v>802</v>
      </c>
      <c r="D296" s="2" t="s">
        <v>42</v>
      </c>
      <c r="E296" s="2" t="s">
        <v>198</v>
      </c>
      <c r="F296" s="2" t="s">
        <v>74</v>
      </c>
      <c r="G296" s="2" t="s">
        <v>45</v>
      </c>
      <c r="H296" s="2" t="s">
        <v>498</v>
      </c>
      <c r="I296" s="2" t="s">
        <v>499</v>
      </c>
      <c r="J296" s="2" t="s">
        <v>803</v>
      </c>
      <c r="K296" s="2" t="s">
        <v>1087</v>
      </c>
      <c r="L296" s="2" t="s">
        <v>474</v>
      </c>
      <c r="M296" s="2" t="s">
        <v>805</v>
      </c>
      <c r="N296" s="16">
        <v>3.0000000000000009E-2</v>
      </c>
      <c r="O296" s="17">
        <f>N296*'Financial Inputs'!$B$3</f>
        <v>3000000.0000000009</v>
      </c>
      <c r="P296" s="18">
        <f>IF(I296="L",'Financial Inputs'!$B$4,IF(I296="M",'Financial Inputs'!$B$5,'Financial Inputs'!$B$6))</f>
        <v>0.7</v>
      </c>
      <c r="Q296" s="17">
        <f>O296*P296</f>
        <v>2100000.0000000005</v>
      </c>
      <c r="R296" s="16">
        <f>'Financial Inputs'!$B$7</f>
        <v>0.35</v>
      </c>
      <c r="S296" s="17">
        <f>Q296*(1-R296)</f>
        <v>1365000.0000000005</v>
      </c>
      <c r="T296" s="18">
        <f>S296/'Financial Inputs'!$B$3</f>
        <v>1.3650000000000004E-2</v>
      </c>
      <c r="U296" s="9" t="s">
        <v>52</v>
      </c>
      <c r="V296" s="3" t="s">
        <v>53</v>
      </c>
    </row>
    <row r="297" spans="1:22">
      <c r="A297" s="2" t="s">
        <v>1088</v>
      </c>
      <c r="B297" s="2" t="s">
        <v>1089</v>
      </c>
      <c r="C297" s="2" t="s">
        <v>802</v>
      </c>
      <c r="D297" s="2" t="s">
        <v>72</v>
      </c>
      <c r="E297" s="2" t="s">
        <v>103</v>
      </c>
      <c r="F297" s="2" t="s">
        <v>117</v>
      </c>
      <c r="G297" s="2" t="s">
        <v>143</v>
      </c>
      <c r="H297" s="2" t="s">
        <v>498</v>
      </c>
      <c r="I297" s="2" t="s">
        <v>499</v>
      </c>
      <c r="J297" s="2" t="s">
        <v>803</v>
      </c>
      <c r="K297" s="2" t="s">
        <v>1090</v>
      </c>
      <c r="L297" s="2" t="s">
        <v>478</v>
      </c>
      <c r="M297" s="2" t="s">
        <v>805</v>
      </c>
      <c r="N297" s="16">
        <v>0.02</v>
      </c>
      <c r="O297" s="17">
        <f>N297*'Financial Inputs'!$B$3</f>
        <v>2000000</v>
      </c>
      <c r="P297" s="18">
        <f>IF(I297="L",'Financial Inputs'!$B$4,IF(I297="M",'Financial Inputs'!$B$5,'Financial Inputs'!$B$6))</f>
        <v>0.7</v>
      </c>
      <c r="Q297" s="17">
        <f>O297*P297</f>
        <v>1400000</v>
      </c>
      <c r="R297" s="16">
        <f>'Financial Inputs'!$B$7</f>
        <v>0.35</v>
      </c>
      <c r="S297" s="17">
        <f>Q297*(1-R297)</f>
        <v>910000</v>
      </c>
      <c r="T297" s="18">
        <f>S297/'Financial Inputs'!$B$3</f>
        <v>9.1000000000000004E-3</v>
      </c>
      <c r="U297" s="9" t="s">
        <v>52</v>
      </c>
      <c r="V297" s="3" t="s">
        <v>53</v>
      </c>
    </row>
    <row r="298" spans="1:22">
      <c r="A298" s="2" t="s">
        <v>1091</v>
      </c>
      <c r="B298" s="2" t="s">
        <v>1092</v>
      </c>
      <c r="C298" s="2" t="s">
        <v>802</v>
      </c>
      <c r="D298" s="2" t="s">
        <v>80</v>
      </c>
      <c r="E298" s="2" t="s">
        <v>109</v>
      </c>
      <c r="F298" s="2" t="s">
        <v>90</v>
      </c>
      <c r="G298" s="2" t="s">
        <v>162</v>
      </c>
      <c r="H298" s="2" t="s">
        <v>498</v>
      </c>
      <c r="I298" s="2" t="s">
        <v>499</v>
      </c>
      <c r="J298" s="2" t="s">
        <v>803</v>
      </c>
      <c r="K298" s="2" t="s">
        <v>1093</v>
      </c>
      <c r="L298" s="2" t="s">
        <v>482</v>
      </c>
      <c r="M298" s="2" t="s">
        <v>805</v>
      </c>
      <c r="N298" s="16">
        <v>2.2499999999999999E-2</v>
      </c>
      <c r="O298" s="17">
        <f>N298*'Financial Inputs'!$B$3</f>
        <v>2250000</v>
      </c>
      <c r="P298" s="18">
        <f>IF(I298="L",'Financial Inputs'!$B$4,IF(I298="M",'Financial Inputs'!$B$5,'Financial Inputs'!$B$6))</f>
        <v>0.7</v>
      </c>
      <c r="Q298" s="17">
        <f>O298*P298</f>
        <v>1575000</v>
      </c>
      <c r="R298" s="16">
        <f>'Financial Inputs'!$B$7</f>
        <v>0.35</v>
      </c>
      <c r="S298" s="17">
        <f>Q298*(1-R298)</f>
        <v>1023750</v>
      </c>
      <c r="T298" s="18">
        <f>S298/'Financial Inputs'!$B$3</f>
        <v>1.02375E-2</v>
      </c>
      <c r="U298" s="9" t="s">
        <v>52</v>
      </c>
      <c r="V298" s="3" t="s">
        <v>53</v>
      </c>
    </row>
    <row r="299" spans="1:22">
      <c r="A299" s="2" t="s">
        <v>1094</v>
      </c>
      <c r="B299" s="2" t="s">
        <v>1095</v>
      </c>
      <c r="C299" s="2" t="s">
        <v>802</v>
      </c>
      <c r="D299" s="2" t="s">
        <v>127</v>
      </c>
      <c r="E299" s="2" t="s">
        <v>116</v>
      </c>
      <c r="F299" s="2" t="s">
        <v>97</v>
      </c>
      <c r="G299" s="2" t="s">
        <v>45</v>
      </c>
      <c r="H299" s="2" t="s">
        <v>498</v>
      </c>
      <c r="I299" s="2" t="s">
        <v>499</v>
      </c>
      <c r="J299" s="2" t="s">
        <v>803</v>
      </c>
      <c r="K299" s="2" t="s">
        <v>1096</v>
      </c>
      <c r="L299" s="2" t="s">
        <v>486</v>
      </c>
      <c r="M299" s="2" t="s">
        <v>805</v>
      </c>
      <c r="N299" s="16">
        <v>2.5000000000000001E-2</v>
      </c>
      <c r="O299" s="17">
        <f>N299*'Financial Inputs'!$B$3</f>
        <v>2500000</v>
      </c>
      <c r="P299" s="18">
        <f>IF(I299="L",'Financial Inputs'!$B$4,IF(I299="M",'Financial Inputs'!$B$5,'Financial Inputs'!$B$6))</f>
        <v>0.7</v>
      </c>
      <c r="Q299" s="17">
        <f>O299*P299</f>
        <v>1750000</v>
      </c>
      <c r="R299" s="16">
        <f>'Financial Inputs'!$B$7</f>
        <v>0.35</v>
      </c>
      <c r="S299" s="17">
        <f>Q299*(1-R299)</f>
        <v>1137500</v>
      </c>
      <c r="T299" s="18">
        <f>S299/'Financial Inputs'!$B$3</f>
        <v>1.1375E-2</v>
      </c>
      <c r="U299" s="9" t="s">
        <v>52</v>
      </c>
      <c r="V299" s="3" t="s">
        <v>53</v>
      </c>
    </row>
    <row r="300" spans="1:22">
      <c r="A300" s="2" t="s">
        <v>1097</v>
      </c>
      <c r="B300" s="2" t="s">
        <v>1098</v>
      </c>
      <c r="C300" s="2" t="s">
        <v>802</v>
      </c>
      <c r="D300" s="2" t="s">
        <v>133</v>
      </c>
      <c r="E300" s="2" t="s">
        <v>215</v>
      </c>
      <c r="F300" s="2" t="s">
        <v>104</v>
      </c>
      <c r="G300" s="2" t="s">
        <v>59</v>
      </c>
      <c r="H300" s="2" t="s">
        <v>498</v>
      </c>
      <c r="I300" s="2" t="s">
        <v>499</v>
      </c>
      <c r="J300" s="2" t="s">
        <v>803</v>
      </c>
      <c r="K300" s="2" t="s">
        <v>1099</v>
      </c>
      <c r="L300" s="2" t="s">
        <v>490</v>
      </c>
      <c r="M300" s="2" t="s">
        <v>805</v>
      </c>
      <c r="N300" s="16">
        <v>2.75E-2</v>
      </c>
      <c r="O300" s="17">
        <f>N300*'Financial Inputs'!$B$3</f>
        <v>2750000</v>
      </c>
      <c r="P300" s="18">
        <f>IF(I300="L",'Financial Inputs'!$B$4,IF(I300="M",'Financial Inputs'!$B$5,'Financial Inputs'!$B$6))</f>
        <v>0.7</v>
      </c>
      <c r="Q300" s="17">
        <f>O300*P300</f>
        <v>1924999.9999999998</v>
      </c>
      <c r="R300" s="16">
        <f>'Financial Inputs'!$B$7</f>
        <v>0.35</v>
      </c>
      <c r="S300" s="17">
        <f>Q300*(1-R300)</f>
        <v>1251250</v>
      </c>
      <c r="T300" s="18">
        <f>S300/'Financial Inputs'!$B$3</f>
        <v>1.2512499999999999E-2</v>
      </c>
      <c r="U300" s="9" t="s">
        <v>52</v>
      </c>
      <c r="V300" s="3" t="s">
        <v>53</v>
      </c>
    </row>
    <row r="301" spans="1:22">
      <c r="A301" s="2" t="s">
        <v>1100</v>
      </c>
      <c r="B301" s="2" t="s">
        <v>1101</v>
      </c>
      <c r="C301" s="2" t="s">
        <v>802</v>
      </c>
      <c r="D301" s="2" t="s">
        <v>88</v>
      </c>
      <c r="E301" s="2" t="s">
        <v>220</v>
      </c>
      <c r="F301" s="2" t="s">
        <v>110</v>
      </c>
      <c r="G301" s="2" t="s">
        <v>67</v>
      </c>
      <c r="H301" s="2" t="s">
        <v>498</v>
      </c>
      <c r="I301" s="2" t="s">
        <v>499</v>
      </c>
      <c r="J301" s="2" t="s">
        <v>803</v>
      </c>
      <c r="K301" s="2" t="s">
        <v>1102</v>
      </c>
      <c r="L301" s="2" t="s">
        <v>494</v>
      </c>
      <c r="M301" s="2" t="s">
        <v>805</v>
      </c>
      <c r="N301" s="16">
        <v>3.0000000000000009E-2</v>
      </c>
      <c r="O301" s="17">
        <f>N301*'Financial Inputs'!$B$3</f>
        <v>3000000.0000000009</v>
      </c>
      <c r="P301" s="18">
        <f>IF(I301="L",'Financial Inputs'!$B$4,IF(I301="M",'Financial Inputs'!$B$5,'Financial Inputs'!$B$6))</f>
        <v>0.7</v>
      </c>
      <c r="Q301" s="17">
        <f>O301*P301</f>
        <v>2100000.0000000005</v>
      </c>
      <c r="R301" s="16">
        <f>'Financial Inputs'!$B$7</f>
        <v>0.35</v>
      </c>
      <c r="S301" s="17">
        <f>Q301*(1-R301)</f>
        <v>1365000.0000000005</v>
      </c>
      <c r="T301" s="18">
        <f>S301/'Financial Inputs'!$B$3</f>
        <v>1.3650000000000004E-2</v>
      </c>
      <c r="U301" s="9" t="s">
        <v>52</v>
      </c>
      <c r="V301" s="3" t="s">
        <v>53</v>
      </c>
    </row>
    <row r="302" spans="1:22">
      <c r="A302" s="2" t="s">
        <v>1103</v>
      </c>
      <c r="B302" s="2" t="s">
        <v>1104</v>
      </c>
      <c r="C302" s="2" t="s">
        <v>1105</v>
      </c>
      <c r="D302" s="2" t="s">
        <v>42</v>
      </c>
      <c r="E302" s="2" t="s">
        <v>43</v>
      </c>
      <c r="F302" s="2" t="s">
        <v>44</v>
      </c>
      <c r="G302" s="2" t="s">
        <v>45</v>
      </c>
      <c r="H302" s="2" t="s">
        <v>498</v>
      </c>
      <c r="I302" s="2" t="s">
        <v>499</v>
      </c>
      <c r="J302" s="2" t="s">
        <v>1106</v>
      </c>
      <c r="K302" s="2" t="s">
        <v>1107</v>
      </c>
      <c r="L302" s="2" t="s">
        <v>50</v>
      </c>
      <c r="M302" s="2" t="s">
        <v>1108</v>
      </c>
      <c r="N302" s="16">
        <v>0.02</v>
      </c>
      <c r="O302" s="17">
        <f>N302*'Financial Inputs'!$B$3</f>
        <v>2000000</v>
      </c>
      <c r="P302" s="18">
        <f>IF(I302="L",'Financial Inputs'!$B$4,IF(I302="M",'Financial Inputs'!$B$5,'Financial Inputs'!$B$6))</f>
        <v>0.7</v>
      </c>
      <c r="Q302" s="17">
        <f>O302*P302</f>
        <v>1400000</v>
      </c>
      <c r="R302" s="16">
        <f>'Financial Inputs'!$B$7</f>
        <v>0.35</v>
      </c>
      <c r="S302" s="17">
        <f>Q302*(1-R302)</f>
        <v>910000</v>
      </c>
      <c r="T302" s="18">
        <f>S302/'Financial Inputs'!$B$3</f>
        <v>9.1000000000000004E-3</v>
      </c>
      <c r="U302" s="9" t="s">
        <v>52</v>
      </c>
      <c r="V302" s="3" t="s">
        <v>53</v>
      </c>
    </row>
    <row r="303" spans="1:22">
      <c r="A303" s="2" t="s">
        <v>1109</v>
      </c>
      <c r="B303" s="2" t="s">
        <v>1110</v>
      </c>
      <c r="C303" s="2" t="s">
        <v>1105</v>
      </c>
      <c r="D303" s="2" t="s">
        <v>56</v>
      </c>
      <c r="E303" s="2" t="s">
        <v>57</v>
      </c>
      <c r="F303" s="2" t="s">
        <v>58</v>
      </c>
      <c r="G303" s="2" t="s">
        <v>59</v>
      </c>
      <c r="H303" s="2" t="s">
        <v>498</v>
      </c>
      <c r="I303" s="2" t="s">
        <v>499</v>
      </c>
      <c r="J303" s="2" t="s">
        <v>1106</v>
      </c>
      <c r="K303" s="2" t="s">
        <v>1111</v>
      </c>
      <c r="L303" s="2" t="s">
        <v>61</v>
      </c>
      <c r="M303" s="2" t="s">
        <v>1108</v>
      </c>
      <c r="N303" s="16">
        <v>2.2499999999999999E-2</v>
      </c>
      <c r="O303" s="17">
        <f>N303*'Financial Inputs'!$B$3</f>
        <v>2250000</v>
      </c>
      <c r="P303" s="18">
        <f>IF(I303="L",'Financial Inputs'!$B$4,IF(I303="M",'Financial Inputs'!$B$5,'Financial Inputs'!$B$6))</f>
        <v>0.7</v>
      </c>
      <c r="Q303" s="17">
        <f>O303*P303</f>
        <v>1575000</v>
      </c>
      <c r="R303" s="16">
        <f>'Financial Inputs'!$B$7</f>
        <v>0.35</v>
      </c>
      <c r="S303" s="17">
        <f>Q303*(1-R303)</f>
        <v>1023750</v>
      </c>
      <c r="T303" s="18">
        <f>S303/'Financial Inputs'!$B$3</f>
        <v>1.02375E-2</v>
      </c>
      <c r="U303" s="9" t="s">
        <v>52</v>
      </c>
      <c r="V303" s="3" t="s">
        <v>53</v>
      </c>
    </row>
    <row r="304" spans="1:22">
      <c r="A304" s="2" t="s">
        <v>1112</v>
      </c>
      <c r="B304" s="2" t="s">
        <v>1113</v>
      </c>
      <c r="C304" s="2" t="s">
        <v>1105</v>
      </c>
      <c r="D304" s="2" t="s">
        <v>64</v>
      </c>
      <c r="E304" s="2" t="s">
        <v>65</v>
      </c>
      <c r="F304" s="2" t="s">
        <v>66</v>
      </c>
      <c r="G304" s="2" t="s">
        <v>67</v>
      </c>
      <c r="H304" s="2" t="s">
        <v>498</v>
      </c>
      <c r="I304" s="2" t="s">
        <v>499</v>
      </c>
      <c r="J304" s="2" t="s">
        <v>1106</v>
      </c>
      <c r="K304" s="2" t="s">
        <v>1114</v>
      </c>
      <c r="L304" s="2" t="s">
        <v>69</v>
      </c>
      <c r="M304" s="2" t="s">
        <v>1108</v>
      </c>
      <c r="N304" s="16">
        <v>2.5000000000000001E-2</v>
      </c>
      <c r="O304" s="17">
        <f>N304*'Financial Inputs'!$B$3</f>
        <v>2500000</v>
      </c>
      <c r="P304" s="18">
        <f>IF(I304="L",'Financial Inputs'!$B$4,IF(I304="M",'Financial Inputs'!$B$5,'Financial Inputs'!$B$6))</f>
        <v>0.7</v>
      </c>
      <c r="Q304" s="17">
        <f>O304*P304</f>
        <v>1750000</v>
      </c>
      <c r="R304" s="16">
        <f>'Financial Inputs'!$B$7</f>
        <v>0.35</v>
      </c>
      <c r="S304" s="17">
        <f>Q304*(1-R304)</f>
        <v>1137500</v>
      </c>
      <c r="T304" s="18">
        <f>S304/'Financial Inputs'!$B$3</f>
        <v>1.1375E-2</v>
      </c>
      <c r="U304" s="9" t="s">
        <v>52</v>
      </c>
      <c r="V304" s="3" t="s">
        <v>53</v>
      </c>
    </row>
    <row r="305" spans="1:22">
      <c r="A305" s="2" t="s">
        <v>1115</v>
      </c>
      <c r="B305" s="2" t="s">
        <v>1116</v>
      </c>
      <c r="C305" s="2" t="s">
        <v>1105</v>
      </c>
      <c r="D305" s="2" t="s">
        <v>72</v>
      </c>
      <c r="E305" s="2" t="s">
        <v>73</v>
      </c>
      <c r="F305" s="2" t="s">
        <v>74</v>
      </c>
      <c r="G305" s="2" t="s">
        <v>75</v>
      </c>
      <c r="H305" s="2" t="s">
        <v>498</v>
      </c>
      <c r="I305" s="2" t="s">
        <v>499</v>
      </c>
      <c r="J305" s="2" t="s">
        <v>1106</v>
      </c>
      <c r="K305" s="2" t="s">
        <v>1117</v>
      </c>
      <c r="L305" s="2" t="s">
        <v>77</v>
      </c>
      <c r="M305" s="2" t="s">
        <v>1108</v>
      </c>
      <c r="N305" s="16">
        <v>2.75E-2</v>
      </c>
      <c r="O305" s="17">
        <f>N305*'Financial Inputs'!$B$3</f>
        <v>2750000</v>
      </c>
      <c r="P305" s="18">
        <f>IF(I305="L",'Financial Inputs'!$B$4,IF(I305="M",'Financial Inputs'!$B$5,'Financial Inputs'!$B$6))</f>
        <v>0.7</v>
      </c>
      <c r="Q305" s="17">
        <f>O305*P305</f>
        <v>1924999.9999999998</v>
      </c>
      <c r="R305" s="16">
        <f>'Financial Inputs'!$B$7</f>
        <v>0.35</v>
      </c>
      <c r="S305" s="17">
        <f>Q305*(1-R305)</f>
        <v>1251250</v>
      </c>
      <c r="T305" s="18">
        <f>S305/'Financial Inputs'!$B$3</f>
        <v>1.2512499999999999E-2</v>
      </c>
      <c r="U305" s="9" t="s">
        <v>52</v>
      </c>
      <c r="V305" s="3" t="s">
        <v>53</v>
      </c>
    </row>
    <row r="306" spans="1:22">
      <c r="A306" s="2" t="s">
        <v>1118</v>
      </c>
      <c r="B306" s="2" t="s">
        <v>1119</v>
      </c>
      <c r="C306" s="2" t="s">
        <v>1105</v>
      </c>
      <c r="D306" s="2" t="s">
        <v>80</v>
      </c>
      <c r="E306" s="2" t="s">
        <v>81</v>
      </c>
      <c r="F306" s="2" t="s">
        <v>82</v>
      </c>
      <c r="G306" s="2" t="s">
        <v>83</v>
      </c>
      <c r="H306" s="2" t="s">
        <v>498</v>
      </c>
      <c r="I306" s="2" t="s">
        <v>499</v>
      </c>
      <c r="J306" s="2" t="s">
        <v>1106</v>
      </c>
      <c r="K306" s="2" t="s">
        <v>1120</v>
      </c>
      <c r="L306" s="2" t="s">
        <v>85</v>
      </c>
      <c r="M306" s="2" t="s">
        <v>1108</v>
      </c>
      <c r="N306" s="16">
        <v>3.0000000000000009E-2</v>
      </c>
      <c r="O306" s="17">
        <f>N306*'Financial Inputs'!$B$3</f>
        <v>3000000.0000000009</v>
      </c>
      <c r="P306" s="18">
        <f>IF(I306="L",'Financial Inputs'!$B$4,IF(I306="M",'Financial Inputs'!$B$5,'Financial Inputs'!$B$6))</f>
        <v>0.7</v>
      </c>
      <c r="Q306" s="17">
        <f>O306*P306</f>
        <v>2100000.0000000005</v>
      </c>
      <c r="R306" s="16">
        <f>'Financial Inputs'!$B$7</f>
        <v>0.35</v>
      </c>
      <c r="S306" s="17">
        <f>Q306*(1-R306)</f>
        <v>1365000.0000000005</v>
      </c>
      <c r="T306" s="18">
        <f>S306/'Financial Inputs'!$B$3</f>
        <v>1.3650000000000004E-2</v>
      </c>
      <c r="U306" s="9" t="s">
        <v>52</v>
      </c>
      <c r="V306" s="3" t="s">
        <v>53</v>
      </c>
    </row>
    <row r="307" spans="1:22">
      <c r="A307" s="2" t="s">
        <v>1121</v>
      </c>
      <c r="B307" s="2" t="s">
        <v>1122</v>
      </c>
      <c r="C307" s="2" t="s">
        <v>1105</v>
      </c>
      <c r="D307" s="2" t="s">
        <v>88</v>
      </c>
      <c r="E307" s="2" t="s">
        <v>89</v>
      </c>
      <c r="F307" s="2" t="s">
        <v>90</v>
      </c>
      <c r="G307" s="2" t="s">
        <v>67</v>
      </c>
      <c r="H307" s="2" t="s">
        <v>498</v>
      </c>
      <c r="I307" s="2" t="s">
        <v>499</v>
      </c>
      <c r="J307" s="2" t="s">
        <v>1106</v>
      </c>
      <c r="K307" s="2" t="s">
        <v>1123</v>
      </c>
      <c r="L307" s="2" t="s">
        <v>92</v>
      </c>
      <c r="M307" s="2" t="s">
        <v>1108</v>
      </c>
      <c r="N307" s="16">
        <v>0.02</v>
      </c>
      <c r="O307" s="17">
        <f>N307*'Financial Inputs'!$B$3</f>
        <v>2000000</v>
      </c>
      <c r="P307" s="18">
        <f>IF(I307="L",'Financial Inputs'!$B$4,IF(I307="M",'Financial Inputs'!$B$5,'Financial Inputs'!$B$6))</f>
        <v>0.7</v>
      </c>
      <c r="Q307" s="17">
        <f>O307*P307</f>
        <v>1400000</v>
      </c>
      <c r="R307" s="16">
        <f>'Financial Inputs'!$B$7</f>
        <v>0.35</v>
      </c>
      <c r="S307" s="17">
        <f>Q307*(1-R307)</f>
        <v>910000</v>
      </c>
      <c r="T307" s="18">
        <f>S307/'Financial Inputs'!$B$3</f>
        <v>9.1000000000000004E-3</v>
      </c>
      <c r="U307" s="9" t="s">
        <v>52</v>
      </c>
      <c r="V307" s="3" t="s">
        <v>53</v>
      </c>
    </row>
    <row r="308" spans="1:22">
      <c r="A308" s="2" t="s">
        <v>1124</v>
      </c>
      <c r="B308" s="2" t="s">
        <v>1125</v>
      </c>
      <c r="C308" s="2" t="s">
        <v>1105</v>
      </c>
      <c r="D308" s="2" t="s">
        <v>95</v>
      </c>
      <c r="E308" s="2" t="s">
        <v>96</v>
      </c>
      <c r="F308" s="2" t="s">
        <v>97</v>
      </c>
      <c r="G308" s="2" t="s">
        <v>75</v>
      </c>
      <c r="H308" s="2" t="s">
        <v>498</v>
      </c>
      <c r="I308" s="2" t="s">
        <v>499</v>
      </c>
      <c r="J308" s="2" t="s">
        <v>1106</v>
      </c>
      <c r="K308" s="2" t="s">
        <v>1126</v>
      </c>
      <c r="L308" s="2" t="s">
        <v>99</v>
      </c>
      <c r="M308" s="2" t="s">
        <v>1108</v>
      </c>
      <c r="N308" s="16">
        <v>2.2499999999999999E-2</v>
      </c>
      <c r="O308" s="17">
        <f>N308*'Financial Inputs'!$B$3</f>
        <v>2250000</v>
      </c>
      <c r="P308" s="18">
        <f>IF(I308="L",'Financial Inputs'!$B$4,IF(I308="M",'Financial Inputs'!$B$5,'Financial Inputs'!$B$6))</f>
        <v>0.7</v>
      </c>
      <c r="Q308" s="17">
        <f>O308*P308</f>
        <v>1575000</v>
      </c>
      <c r="R308" s="16">
        <f>'Financial Inputs'!$B$7</f>
        <v>0.35</v>
      </c>
      <c r="S308" s="17">
        <f>Q308*(1-R308)</f>
        <v>1023750</v>
      </c>
      <c r="T308" s="18">
        <f>S308/'Financial Inputs'!$B$3</f>
        <v>1.02375E-2</v>
      </c>
      <c r="U308" s="9" t="s">
        <v>52</v>
      </c>
      <c r="V308" s="3" t="s">
        <v>53</v>
      </c>
    </row>
    <row r="309" spans="1:22">
      <c r="A309" s="2" t="s">
        <v>1127</v>
      </c>
      <c r="B309" s="2" t="s">
        <v>1128</v>
      </c>
      <c r="C309" s="2" t="s">
        <v>1105</v>
      </c>
      <c r="D309" s="2" t="s">
        <v>102</v>
      </c>
      <c r="E309" s="2" t="s">
        <v>103</v>
      </c>
      <c r="F309" s="2" t="s">
        <v>104</v>
      </c>
      <c r="G309" s="2" t="s">
        <v>83</v>
      </c>
      <c r="H309" s="2" t="s">
        <v>498</v>
      </c>
      <c r="I309" s="2" t="s">
        <v>499</v>
      </c>
      <c r="J309" s="2" t="s">
        <v>1106</v>
      </c>
      <c r="K309" s="2" t="s">
        <v>1129</v>
      </c>
      <c r="L309" s="2" t="s">
        <v>106</v>
      </c>
      <c r="M309" s="2" t="s">
        <v>1108</v>
      </c>
      <c r="N309" s="16">
        <v>2.5000000000000001E-2</v>
      </c>
      <c r="O309" s="17">
        <f>N309*'Financial Inputs'!$B$3</f>
        <v>2500000</v>
      </c>
      <c r="P309" s="18">
        <f>IF(I309="L",'Financial Inputs'!$B$4,IF(I309="M",'Financial Inputs'!$B$5,'Financial Inputs'!$B$6))</f>
        <v>0.7</v>
      </c>
      <c r="Q309" s="17">
        <f>O309*P309</f>
        <v>1750000</v>
      </c>
      <c r="R309" s="16">
        <f>'Financial Inputs'!$B$7</f>
        <v>0.35</v>
      </c>
      <c r="S309" s="17">
        <f>Q309*(1-R309)</f>
        <v>1137500</v>
      </c>
      <c r="T309" s="18">
        <f>S309/'Financial Inputs'!$B$3</f>
        <v>1.1375E-2</v>
      </c>
      <c r="U309" s="9" t="s">
        <v>52</v>
      </c>
      <c r="V309" s="3" t="s">
        <v>53</v>
      </c>
    </row>
    <row r="310" spans="1:22">
      <c r="A310" s="2" t="s">
        <v>1130</v>
      </c>
      <c r="B310" s="2" t="s">
        <v>1131</v>
      </c>
      <c r="C310" s="2" t="s">
        <v>1105</v>
      </c>
      <c r="D310" s="2" t="s">
        <v>42</v>
      </c>
      <c r="E310" s="2" t="s">
        <v>109</v>
      </c>
      <c r="F310" s="2" t="s">
        <v>110</v>
      </c>
      <c r="G310" s="2" t="s">
        <v>111</v>
      </c>
      <c r="H310" s="2" t="s">
        <v>498</v>
      </c>
      <c r="I310" s="2" t="s">
        <v>499</v>
      </c>
      <c r="J310" s="2" t="s">
        <v>1106</v>
      </c>
      <c r="K310" s="2" t="s">
        <v>1132</v>
      </c>
      <c r="L310" s="2" t="s">
        <v>113</v>
      </c>
      <c r="M310" s="2" t="s">
        <v>1108</v>
      </c>
      <c r="N310" s="16">
        <v>2.75E-2</v>
      </c>
      <c r="O310" s="17">
        <f>N310*'Financial Inputs'!$B$3</f>
        <v>2750000</v>
      </c>
      <c r="P310" s="18">
        <f>IF(I310="L",'Financial Inputs'!$B$4,IF(I310="M",'Financial Inputs'!$B$5,'Financial Inputs'!$B$6))</f>
        <v>0.7</v>
      </c>
      <c r="Q310" s="17">
        <f>O310*P310</f>
        <v>1924999.9999999998</v>
      </c>
      <c r="R310" s="16">
        <f>'Financial Inputs'!$B$7</f>
        <v>0.35</v>
      </c>
      <c r="S310" s="17">
        <f>Q310*(1-R310)</f>
        <v>1251250</v>
      </c>
      <c r="T310" s="18">
        <f>S310/'Financial Inputs'!$B$3</f>
        <v>1.2512499999999999E-2</v>
      </c>
      <c r="U310" s="9" t="s">
        <v>52</v>
      </c>
      <c r="V310" s="3" t="s">
        <v>53</v>
      </c>
    </row>
    <row r="311" spans="1:22">
      <c r="A311" s="2" t="s">
        <v>1133</v>
      </c>
      <c r="B311" s="2" t="s">
        <v>1134</v>
      </c>
      <c r="C311" s="2" t="s">
        <v>1105</v>
      </c>
      <c r="D311" s="2" t="s">
        <v>56</v>
      </c>
      <c r="E311" s="2" t="s">
        <v>116</v>
      </c>
      <c r="F311" s="2" t="s">
        <v>117</v>
      </c>
      <c r="G311" s="2" t="s">
        <v>56</v>
      </c>
      <c r="H311" s="2" t="s">
        <v>498</v>
      </c>
      <c r="I311" s="2" t="s">
        <v>499</v>
      </c>
      <c r="J311" s="2" t="s">
        <v>1106</v>
      </c>
      <c r="K311" s="2" t="s">
        <v>1135</v>
      </c>
      <c r="L311" s="2" t="s">
        <v>119</v>
      </c>
      <c r="M311" s="2" t="s">
        <v>1108</v>
      </c>
      <c r="N311" s="16">
        <v>3.0000000000000009E-2</v>
      </c>
      <c r="O311" s="17">
        <f>N311*'Financial Inputs'!$B$3</f>
        <v>3000000.0000000009</v>
      </c>
      <c r="P311" s="18">
        <f>IF(I311="L",'Financial Inputs'!$B$4,IF(I311="M",'Financial Inputs'!$B$5,'Financial Inputs'!$B$6))</f>
        <v>0.7</v>
      </c>
      <c r="Q311" s="17">
        <f>O311*P311</f>
        <v>2100000.0000000005</v>
      </c>
      <c r="R311" s="16">
        <f>'Financial Inputs'!$B$7</f>
        <v>0.35</v>
      </c>
      <c r="S311" s="17">
        <f>Q311*(1-R311)</f>
        <v>1365000.0000000005</v>
      </c>
      <c r="T311" s="18">
        <f>S311/'Financial Inputs'!$B$3</f>
        <v>1.3650000000000004E-2</v>
      </c>
      <c r="U311" s="9" t="s">
        <v>52</v>
      </c>
      <c r="V311" s="3" t="s">
        <v>53</v>
      </c>
    </row>
    <row r="312" spans="1:22">
      <c r="A312" s="2" t="s">
        <v>1136</v>
      </c>
      <c r="B312" s="2" t="s">
        <v>1137</v>
      </c>
      <c r="C312" s="2" t="s">
        <v>1105</v>
      </c>
      <c r="D312" s="2" t="s">
        <v>80</v>
      </c>
      <c r="E312" s="2" t="s">
        <v>122</v>
      </c>
      <c r="F312" s="2" t="s">
        <v>58</v>
      </c>
      <c r="G312" s="2" t="s">
        <v>83</v>
      </c>
      <c r="H312" s="2" t="s">
        <v>498</v>
      </c>
      <c r="I312" s="2" t="s">
        <v>499</v>
      </c>
      <c r="J312" s="2" t="s">
        <v>1106</v>
      </c>
      <c r="K312" s="2" t="s">
        <v>1138</v>
      </c>
      <c r="L312" s="2" t="s">
        <v>124</v>
      </c>
      <c r="M312" s="2" t="s">
        <v>1108</v>
      </c>
      <c r="N312" s="16">
        <v>0.02</v>
      </c>
      <c r="O312" s="17">
        <f>N312*'Financial Inputs'!$B$3</f>
        <v>2000000</v>
      </c>
      <c r="P312" s="18">
        <f>IF(I312="L",'Financial Inputs'!$B$4,IF(I312="M",'Financial Inputs'!$B$5,'Financial Inputs'!$B$6))</f>
        <v>0.7</v>
      </c>
      <c r="Q312" s="17">
        <f>O312*P312</f>
        <v>1400000</v>
      </c>
      <c r="R312" s="16">
        <f>'Financial Inputs'!$B$7</f>
        <v>0.35</v>
      </c>
      <c r="S312" s="17">
        <f>Q312*(1-R312)</f>
        <v>910000</v>
      </c>
      <c r="T312" s="18">
        <f>S312/'Financial Inputs'!$B$3</f>
        <v>9.1000000000000004E-3</v>
      </c>
      <c r="U312" s="9" t="s">
        <v>52</v>
      </c>
      <c r="V312" s="3" t="s">
        <v>53</v>
      </c>
    </row>
    <row r="313" spans="1:22">
      <c r="A313" s="2" t="s">
        <v>1139</v>
      </c>
      <c r="B313" s="2" t="s">
        <v>1140</v>
      </c>
      <c r="C313" s="2" t="s">
        <v>1105</v>
      </c>
      <c r="D313" s="2" t="s">
        <v>127</v>
      </c>
      <c r="E313" s="2" t="s">
        <v>128</v>
      </c>
      <c r="F313" s="2" t="s">
        <v>66</v>
      </c>
      <c r="G313" s="2" t="s">
        <v>111</v>
      </c>
      <c r="H313" s="2" t="s">
        <v>498</v>
      </c>
      <c r="I313" s="2" t="s">
        <v>499</v>
      </c>
      <c r="J313" s="2" t="s">
        <v>1106</v>
      </c>
      <c r="K313" s="2" t="s">
        <v>1141</v>
      </c>
      <c r="L313" s="2" t="s">
        <v>130</v>
      </c>
      <c r="M313" s="2" t="s">
        <v>1108</v>
      </c>
      <c r="N313" s="16">
        <v>2.2499999999999999E-2</v>
      </c>
      <c r="O313" s="17">
        <f>N313*'Financial Inputs'!$B$3</f>
        <v>2250000</v>
      </c>
      <c r="P313" s="18">
        <f>IF(I313="L",'Financial Inputs'!$B$4,IF(I313="M",'Financial Inputs'!$B$5,'Financial Inputs'!$B$6))</f>
        <v>0.7</v>
      </c>
      <c r="Q313" s="17">
        <f>O313*P313</f>
        <v>1575000</v>
      </c>
      <c r="R313" s="16">
        <f>'Financial Inputs'!$B$7</f>
        <v>0.35</v>
      </c>
      <c r="S313" s="17">
        <f>Q313*(1-R313)</f>
        <v>1023750</v>
      </c>
      <c r="T313" s="18">
        <f>S313/'Financial Inputs'!$B$3</f>
        <v>1.02375E-2</v>
      </c>
      <c r="U313" s="9" t="s">
        <v>52</v>
      </c>
      <c r="V313" s="3" t="s">
        <v>53</v>
      </c>
    </row>
    <row r="314" spans="1:22">
      <c r="A314" s="2" t="s">
        <v>1142</v>
      </c>
      <c r="B314" s="2" t="s">
        <v>1143</v>
      </c>
      <c r="C314" s="2" t="s">
        <v>1105</v>
      </c>
      <c r="D314" s="2" t="s">
        <v>133</v>
      </c>
      <c r="E314" s="2" t="s">
        <v>43</v>
      </c>
      <c r="F314" s="2" t="s">
        <v>74</v>
      </c>
      <c r="G314" s="2" t="s">
        <v>56</v>
      </c>
      <c r="H314" s="2" t="s">
        <v>498</v>
      </c>
      <c r="I314" s="2" t="s">
        <v>499</v>
      </c>
      <c r="J314" s="2" t="s">
        <v>1106</v>
      </c>
      <c r="K314" s="2" t="s">
        <v>1144</v>
      </c>
      <c r="L314" s="2" t="s">
        <v>135</v>
      </c>
      <c r="M314" s="2" t="s">
        <v>1108</v>
      </c>
      <c r="N314" s="16">
        <v>2.5000000000000001E-2</v>
      </c>
      <c r="O314" s="17">
        <f>N314*'Financial Inputs'!$B$3</f>
        <v>2500000</v>
      </c>
      <c r="P314" s="18">
        <f>IF(I314="L",'Financial Inputs'!$B$4,IF(I314="M",'Financial Inputs'!$B$5,'Financial Inputs'!$B$6))</f>
        <v>0.7</v>
      </c>
      <c r="Q314" s="17">
        <f>O314*P314</f>
        <v>1750000</v>
      </c>
      <c r="R314" s="16">
        <f>'Financial Inputs'!$B$7</f>
        <v>0.35</v>
      </c>
      <c r="S314" s="17">
        <f>Q314*(1-R314)</f>
        <v>1137500</v>
      </c>
      <c r="T314" s="18">
        <f>S314/'Financial Inputs'!$B$3</f>
        <v>1.1375E-2</v>
      </c>
      <c r="U314" s="9" t="s">
        <v>52</v>
      </c>
      <c r="V314" s="3" t="s">
        <v>53</v>
      </c>
    </row>
    <row r="315" spans="1:22">
      <c r="A315" s="2" t="s">
        <v>1145</v>
      </c>
      <c r="B315" s="2" t="s">
        <v>1146</v>
      </c>
      <c r="C315" s="2" t="s">
        <v>1105</v>
      </c>
      <c r="D315" s="2" t="s">
        <v>88</v>
      </c>
      <c r="E315" s="2" t="s">
        <v>57</v>
      </c>
      <c r="F315" s="2" t="s">
        <v>82</v>
      </c>
      <c r="G315" s="2" t="s">
        <v>138</v>
      </c>
      <c r="H315" s="2" t="s">
        <v>498</v>
      </c>
      <c r="I315" s="2" t="s">
        <v>499</v>
      </c>
      <c r="J315" s="2" t="s">
        <v>1106</v>
      </c>
      <c r="K315" s="2" t="s">
        <v>1147</v>
      </c>
      <c r="L315" s="2" t="s">
        <v>140</v>
      </c>
      <c r="M315" s="2" t="s">
        <v>1108</v>
      </c>
      <c r="N315" s="16">
        <v>2.75E-2</v>
      </c>
      <c r="O315" s="17">
        <f>N315*'Financial Inputs'!$B$3</f>
        <v>2750000</v>
      </c>
      <c r="P315" s="18">
        <f>IF(I315="L",'Financial Inputs'!$B$4,IF(I315="M",'Financial Inputs'!$B$5,'Financial Inputs'!$B$6))</f>
        <v>0.7</v>
      </c>
      <c r="Q315" s="17">
        <f>O315*P315</f>
        <v>1924999.9999999998</v>
      </c>
      <c r="R315" s="16">
        <f>'Financial Inputs'!$B$7</f>
        <v>0.35</v>
      </c>
      <c r="S315" s="17">
        <f>Q315*(1-R315)</f>
        <v>1251250</v>
      </c>
      <c r="T315" s="18">
        <f>S315/'Financial Inputs'!$B$3</f>
        <v>1.2512499999999999E-2</v>
      </c>
      <c r="U315" s="9" t="s">
        <v>52</v>
      </c>
      <c r="V315" s="3" t="s">
        <v>53</v>
      </c>
    </row>
    <row r="316" spans="1:22">
      <c r="A316" s="2" t="s">
        <v>1148</v>
      </c>
      <c r="B316" s="2" t="s">
        <v>1149</v>
      </c>
      <c r="C316" s="2" t="s">
        <v>1105</v>
      </c>
      <c r="D316" s="2" t="s">
        <v>95</v>
      </c>
      <c r="E316" s="2" t="s">
        <v>65</v>
      </c>
      <c r="F316" s="2" t="s">
        <v>44</v>
      </c>
      <c r="G316" s="2" t="s">
        <v>143</v>
      </c>
      <c r="H316" s="2" t="s">
        <v>498</v>
      </c>
      <c r="I316" s="2" t="s">
        <v>499</v>
      </c>
      <c r="J316" s="2" t="s">
        <v>1106</v>
      </c>
      <c r="K316" s="2" t="s">
        <v>1150</v>
      </c>
      <c r="L316" s="2" t="s">
        <v>145</v>
      </c>
      <c r="M316" s="2" t="s">
        <v>1108</v>
      </c>
      <c r="N316" s="16">
        <v>3.0000000000000009E-2</v>
      </c>
      <c r="O316" s="17">
        <f>N316*'Financial Inputs'!$B$3</f>
        <v>3000000.0000000009</v>
      </c>
      <c r="P316" s="18">
        <f>IF(I316="L",'Financial Inputs'!$B$4,IF(I316="M",'Financial Inputs'!$B$5,'Financial Inputs'!$B$6))</f>
        <v>0.7</v>
      </c>
      <c r="Q316" s="17">
        <f>O316*P316</f>
        <v>2100000.0000000005</v>
      </c>
      <c r="R316" s="16">
        <f>'Financial Inputs'!$B$7</f>
        <v>0.35</v>
      </c>
      <c r="S316" s="17">
        <f>Q316*(1-R316)</f>
        <v>1365000.0000000005</v>
      </c>
      <c r="T316" s="18">
        <f>S316/'Financial Inputs'!$B$3</f>
        <v>1.3650000000000004E-2</v>
      </c>
      <c r="U316" s="9" t="s">
        <v>52</v>
      </c>
      <c r="V316" s="3" t="s">
        <v>53</v>
      </c>
    </row>
    <row r="317" spans="1:22">
      <c r="A317" s="2" t="s">
        <v>1151</v>
      </c>
      <c r="B317" s="2" t="s">
        <v>1152</v>
      </c>
      <c r="C317" s="2" t="s">
        <v>1105</v>
      </c>
      <c r="D317" s="2" t="s">
        <v>56</v>
      </c>
      <c r="E317" s="2" t="s">
        <v>148</v>
      </c>
      <c r="F317" s="2" t="s">
        <v>97</v>
      </c>
      <c r="G317" s="2" t="s">
        <v>56</v>
      </c>
      <c r="H317" s="2" t="s">
        <v>498</v>
      </c>
      <c r="I317" s="2" t="s">
        <v>499</v>
      </c>
      <c r="J317" s="2" t="s">
        <v>1106</v>
      </c>
      <c r="K317" s="2" t="s">
        <v>1153</v>
      </c>
      <c r="L317" s="2" t="s">
        <v>150</v>
      </c>
      <c r="M317" s="2" t="s">
        <v>1108</v>
      </c>
      <c r="N317" s="16">
        <v>0.02</v>
      </c>
      <c r="O317" s="17">
        <f>N317*'Financial Inputs'!$B$3</f>
        <v>2000000</v>
      </c>
      <c r="P317" s="18">
        <f>IF(I317="L",'Financial Inputs'!$B$4,IF(I317="M",'Financial Inputs'!$B$5,'Financial Inputs'!$B$6))</f>
        <v>0.7</v>
      </c>
      <c r="Q317" s="17">
        <f>O317*P317</f>
        <v>1400000</v>
      </c>
      <c r="R317" s="16">
        <f>'Financial Inputs'!$B$7</f>
        <v>0.35</v>
      </c>
      <c r="S317" s="17">
        <f>Q317*(1-R317)</f>
        <v>910000</v>
      </c>
      <c r="T317" s="18">
        <f>S317/'Financial Inputs'!$B$3</f>
        <v>9.1000000000000004E-3</v>
      </c>
      <c r="U317" s="9" t="s">
        <v>52</v>
      </c>
      <c r="V317" s="3" t="s">
        <v>53</v>
      </c>
    </row>
    <row r="318" spans="1:22">
      <c r="A318" s="2" t="s">
        <v>1154</v>
      </c>
      <c r="B318" s="2" t="s">
        <v>1155</v>
      </c>
      <c r="C318" s="2" t="s">
        <v>1105</v>
      </c>
      <c r="D318" s="2" t="s">
        <v>64</v>
      </c>
      <c r="E318" s="2" t="s">
        <v>153</v>
      </c>
      <c r="F318" s="2" t="s">
        <v>104</v>
      </c>
      <c r="G318" s="2" t="s">
        <v>138</v>
      </c>
      <c r="H318" s="2" t="s">
        <v>498</v>
      </c>
      <c r="I318" s="2" t="s">
        <v>499</v>
      </c>
      <c r="J318" s="2" t="s">
        <v>1106</v>
      </c>
      <c r="K318" s="2" t="s">
        <v>1156</v>
      </c>
      <c r="L318" s="2" t="s">
        <v>155</v>
      </c>
      <c r="M318" s="2" t="s">
        <v>1108</v>
      </c>
      <c r="N318" s="16">
        <v>2.2499999999999999E-2</v>
      </c>
      <c r="O318" s="17">
        <f>N318*'Financial Inputs'!$B$3</f>
        <v>2250000</v>
      </c>
      <c r="P318" s="18">
        <f>IF(I318="L",'Financial Inputs'!$B$4,IF(I318="M",'Financial Inputs'!$B$5,'Financial Inputs'!$B$6))</f>
        <v>0.7</v>
      </c>
      <c r="Q318" s="17">
        <f>O318*P318</f>
        <v>1575000</v>
      </c>
      <c r="R318" s="16">
        <f>'Financial Inputs'!$B$7</f>
        <v>0.35</v>
      </c>
      <c r="S318" s="17">
        <f>Q318*(1-R318)</f>
        <v>1023750</v>
      </c>
      <c r="T318" s="18">
        <f>S318/'Financial Inputs'!$B$3</f>
        <v>1.02375E-2</v>
      </c>
      <c r="U318" s="9" t="s">
        <v>52</v>
      </c>
      <c r="V318" s="3" t="s">
        <v>53</v>
      </c>
    </row>
    <row r="319" spans="1:22">
      <c r="A319" s="2" t="s">
        <v>1157</v>
      </c>
      <c r="B319" s="2" t="s">
        <v>1158</v>
      </c>
      <c r="C319" s="2" t="s">
        <v>1105</v>
      </c>
      <c r="D319" s="2" t="s">
        <v>72</v>
      </c>
      <c r="E319" s="2" t="s">
        <v>89</v>
      </c>
      <c r="F319" s="2" t="s">
        <v>110</v>
      </c>
      <c r="G319" s="2" t="s">
        <v>143</v>
      </c>
      <c r="H319" s="2" t="s">
        <v>498</v>
      </c>
      <c r="I319" s="2" t="s">
        <v>499</v>
      </c>
      <c r="J319" s="2" t="s">
        <v>1106</v>
      </c>
      <c r="K319" s="2" t="s">
        <v>1159</v>
      </c>
      <c r="L319" s="2" t="s">
        <v>159</v>
      </c>
      <c r="M319" s="2" t="s">
        <v>1108</v>
      </c>
      <c r="N319" s="16">
        <v>2.5000000000000001E-2</v>
      </c>
      <c r="O319" s="17">
        <f>N319*'Financial Inputs'!$B$3</f>
        <v>2500000</v>
      </c>
      <c r="P319" s="18">
        <f>IF(I319="L",'Financial Inputs'!$B$4,IF(I319="M",'Financial Inputs'!$B$5,'Financial Inputs'!$B$6))</f>
        <v>0.7</v>
      </c>
      <c r="Q319" s="17">
        <f>O319*P319</f>
        <v>1750000</v>
      </c>
      <c r="R319" s="16">
        <f>'Financial Inputs'!$B$7</f>
        <v>0.35</v>
      </c>
      <c r="S319" s="17">
        <f>Q319*(1-R319)</f>
        <v>1137500</v>
      </c>
      <c r="T319" s="18">
        <f>S319/'Financial Inputs'!$B$3</f>
        <v>1.1375E-2</v>
      </c>
      <c r="U319" s="9" t="s">
        <v>52</v>
      </c>
      <c r="V319" s="3" t="s">
        <v>53</v>
      </c>
    </row>
    <row r="320" spans="1:22">
      <c r="A320" s="2" t="s">
        <v>1160</v>
      </c>
      <c r="B320" s="2" t="s">
        <v>1161</v>
      </c>
      <c r="C320" s="2" t="s">
        <v>1105</v>
      </c>
      <c r="D320" s="2" t="s">
        <v>80</v>
      </c>
      <c r="E320" s="2" t="s">
        <v>96</v>
      </c>
      <c r="F320" s="2" t="s">
        <v>117</v>
      </c>
      <c r="G320" s="2" t="s">
        <v>162</v>
      </c>
      <c r="H320" s="2" t="s">
        <v>498</v>
      </c>
      <c r="I320" s="2" t="s">
        <v>499</v>
      </c>
      <c r="J320" s="2" t="s">
        <v>1106</v>
      </c>
      <c r="K320" s="2" t="s">
        <v>1162</v>
      </c>
      <c r="L320" s="2" t="s">
        <v>164</v>
      </c>
      <c r="M320" s="2" t="s">
        <v>1108</v>
      </c>
      <c r="N320" s="16">
        <v>2.75E-2</v>
      </c>
      <c r="O320" s="17">
        <f>N320*'Financial Inputs'!$B$3</f>
        <v>2750000</v>
      </c>
      <c r="P320" s="18">
        <f>IF(I320="L",'Financial Inputs'!$B$4,IF(I320="M",'Financial Inputs'!$B$5,'Financial Inputs'!$B$6))</f>
        <v>0.7</v>
      </c>
      <c r="Q320" s="17">
        <f>O320*P320</f>
        <v>1924999.9999999998</v>
      </c>
      <c r="R320" s="16">
        <f>'Financial Inputs'!$B$7</f>
        <v>0.35</v>
      </c>
      <c r="S320" s="17">
        <f>Q320*(1-R320)</f>
        <v>1251250</v>
      </c>
      <c r="T320" s="18">
        <f>S320/'Financial Inputs'!$B$3</f>
        <v>1.2512499999999999E-2</v>
      </c>
      <c r="U320" s="9" t="s">
        <v>52</v>
      </c>
      <c r="V320" s="3" t="s">
        <v>53</v>
      </c>
    </row>
    <row r="321" spans="1:22">
      <c r="A321" s="2" t="s">
        <v>1163</v>
      </c>
      <c r="B321" s="2" t="s">
        <v>1164</v>
      </c>
      <c r="C321" s="2" t="s">
        <v>1105</v>
      </c>
      <c r="D321" s="2" t="s">
        <v>127</v>
      </c>
      <c r="E321" s="2" t="s">
        <v>103</v>
      </c>
      <c r="F321" s="2" t="s">
        <v>90</v>
      </c>
      <c r="G321" s="2" t="s">
        <v>45</v>
      </c>
      <c r="H321" s="2" t="s">
        <v>498</v>
      </c>
      <c r="I321" s="2" t="s">
        <v>499</v>
      </c>
      <c r="J321" s="2" t="s">
        <v>1106</v>
      </c>
      <c r="K321" s="2" t="s">
        <v>1165</v>
      </c>
      <c r="L321" s="2" t="s">
        <v>168</v>
      </c>
      <c r="M321" s="2" t="s">
        <v>1108</v>
      </c>
      <c r="N321" s="16">
        <v>3.0000000000000009E-2</v>
      </c>
      <c r="O321" s="17">
        <f>N321*'Financial Inputs'!$B$3</f>
        <v>3000000.0000000009</v>
      </c>
      <c r="P321" s="18">
        <f>IF(I321="L",'Financial Inputs'!$B$4,IF(I321="M",'Financial Inputs'!$B$5,'Financial Inputs'!$B$6))</f>
        <v>0.7</v>
      </c>
      <c r="Q321" s="17">
        <f>O321*P321</f>
        <v>2100000.0000000005</v>
      </c>
      <c r="R321" s="16">
        <f>'Financial Inputs'!$B$7</f>
        <v>0.35</v>
      </c>
      <c r="S321" s="17">
        <f>Q321*(1-R321)</f>
        <v>1365000.0000000005</v>
      </c>
      <c r="T321" s="18">
        <f>S321/'Financial Inputs'!$B$3</f>
        <v>1.3650000000000004E-2</v>
      </c>
      <c r="U321" s="9" t="s">
        <v>52</v>
      </c>
      <c r="V321" s="3" t="s">
        <v>53</v>
      </c>
    </row>
    <row r="322" spans="1:22">
      <c r="A322" s="2" t="s">
        <v>1166</v>
      </c>
      <c r="B322" s="2" t="s">
        <v>1167</v>
      </c>
      <c r="C322" s="2" t="s">
        <v>1105</v>
      </c>
      <c r="D322" s="2" t="s">
        <v>95</v>
      </c>
      <c r="E322" s="2" t="s">
        <v>171</v>
      </c>
      <c r="F322" s="2" t="s">
        <v>66</v>
      </c>
      <c r="G322" s="2" t="s">
        <v>143</v>
      </c>
      <c r="H322" s="2" t="s">
        <v>498</v>
      </c>
      <c r="I322" s="2" t="s">
        <v>499</v>
      </c>
      <c r="J322" s="2" t="s">
        <v>1106</v>
      </c>
      <c r="K322" s="2" t="s">
        <v>1168</v>
      </c>
      <c r="L322" s="2" t="s">
        <v>173</v>
      </c>
      <c r="M322" s="2" t="s">
        <v>1108</v>
      </c>
      <c r="N322" s="16">
        <v>0.02</v>
      </c>
      <c r="O322" s="17">
        <f>N322*'Financial Inputs'!$B$3</f>
        <v>2000000</v>
      </c>
      <c r="P322" s="18">
        <f>IF(I322="L",'Financial Inputs'!$B$4,IF(I322="M",'Financial Inputs'!$B$5,'Financial Inputs'!$B$6))</f>
        <v>0.7</v>
      </c>
      <c r="Q322" s="17">
        <f>O322*P322</f>
        <v>1400000</v>
      </c>
      <c r="R322" s="16">
        <f>'Financial Inputs'!$B$7</f>
        <v>0.35</v>
      </c>
      <c r="S322" s="17">
        <f>Q322*(1-R322)</f>
        <v>910000</v>
      </c>
      <c r="T322" s="18">
        <f>S322/'Financial Inputs'!$B$3</f>
        <v>9.1000000000000004E-3</v>
      </c>
      <c r="U322" s="9" t="s">
        <v>52</v>
      </c>
      <c r="V322" s="3" t="s">
        <v>53</v>
      </c>
    </row>
    <row r="323" spans="1:22">
      <c r="A323" s="2" t="s">
        <v>1169</v>
      </c>
      <c r="B323" s="2" t="s">
        <v>1170</v>
      </c>
      <c r="C323" s="2" t="s">
        <v>1105</v>
      </c>
      <c r="D323" s="2" t="s">
        <v>102</v>
      </c>
      <c r="E323" s="2" t="s">
        <v>176</v>
      </c>
      <c r="F323" s="2" t="s">
        <v>74</v>
      </c>
      <c r="G323" s="2" t="s">
        <v>162</v>
      </c>
      <c r="H323" s="2" t="s">
        <v>498</v>
      </c>
      <c r="I323" s="2" t="s">
        <v>499</v>
      </c>
      <c r="J323" s="2" t="s">
        <v>1106</v>
      </c>
      <c r="K323" s="2" t="s">
        <v>1171</v>
      </c>
      <c r="L323" s="2" t="s">
        <v>178</v>
      </c>
      <c r="M323" s="2" t="s">
        <v>1108</v>
      </c>
      <c r="N323" s="16">
        <v>2.2499999999999999E-2</v>
      </c>
      <c r="O323" s="17">
        <f>N323*'Financial Inputs'!$B$3</f>
        <v>2250000</v>
      </c>
      <c r="P323" s="18">
        <f>IF(I323="L",'Financial Inputs'!$B$4,IF(I323="M",'Financial Inputs'!$B$5,'Financial Inputs'!$B$6))</f>
        <v>0.7</v>
      </c>
      <c r="Q323" s="17">
        <f>O323*P323</f>
        <v>1575000</v>
      </c>
      <c r="R323" s="16">
        <f>'Financial Inputs'!$B$7</f>
        <v>0.35</v>
      </c>
      <c r="S323" s="17">
        <f>Q323*(1-R323)</f>
        <v>1023750</v>
      </c>
      <c r="T323" s="18">
        <f>S323/'Financial Inputs'!$B$3</f>
        <v>1.02375E-2</v>
      </c>
      <c r="U323" s="9" t="s">
        <v>52</v>
      </c>
      <c r="V323" s="3" t="s">
        <v>53</v>
      </c>
    </row>
    <row r="324" spans="1:22">
      <c r="A324" s="2" t="s">
        <v>1172</v>
      </c>
      <c r="B324" s="2" t="s">
        <v>1173</v>
      </c>
      <c r="C324" s="2" t="s">
        <v>1105</v>
      </c>
      <c r="D324" s="2" t="s">
        <v>42</v>
      </c>
      <c r="E324" s="2" t="s">
        <v>122</v>
      </c>
      <c r="F324" s="2" t="s">
        <v>82</v>
      </c>
      <c r="G324" s="2" t="s">
        <v>45</v>
      </c>
      <c r="H324" s="2" t="s">
        <v>498</v>
      </c>
      <c r="I324" s="2" t="s">
        <v>499</v>
      </c>
      <c r="J324" s="2" t="s">
        <v>1106</v>
      </c>
      <c r="K324" s="2" t="s">
        <v>1174</v>
      </c>
      <c r="L324" s="2" t="s">
        <v>182</v>
      </c>
      <c r="M324" s="2" t="s">
        <v>1108</v>
      </c>
      <c r="N324" s="16">
        <v>2.5000000000000001E-2</v>
      </c>
      <c r="O324" s="17">
        <f>N324*'Financial Inputs'!$B$3</f>
        <v>2500000</v>
      </c>
      <c r="P324" s="18">
        <f>IF(I324="L",'Financial Inputs'!$B$4,IF(I324="M",'Financial Inputs'!$B$5,'Financial Inputs'!$B$6))</f>
        <v>0.7</v>
      </c>
      <c r="Q324" s="17">
        <f>O324*P324</f>
        <v>1750000</v>
      </c>
      <c r="R324" s="16">
        <f>'Financial Inputs'!$B$7</f>
        <v>0.35</v>
      </c>
      <c r="S324" s="17">
        <f>Q324*(1-R324)</f>
        <v>1137500</v>
      </c>
      <c r="T324" s="18">
        <f>S324/'Financial Inputs'!$B$3</f>
        <v>1.1375E-2</v>
      </c>
      <c r="U324" s="9" t="s">
        <v>52</v>
      </c>
      <c r="V324" s="3" t="s">
        <v>53</v>
      </c>
    </row>
    <row r="325" spans="1:22">
      <c r="A325" s="2" t="s">
        <v>1175</v>
      </c>
      <c r="B325" s="2" t="s">
        <v>1176</v>
      </c>
      <c r="C325" s="2" t="s">
        <v>1105</v>
      </c>
      <c r="D325" s="2" t="s">
        <v>56</v>
      </c>
      <c r="E325" s="2" t="s">
        <v>128</v>
      </c>
      <c r="F325" s="2" t="s">
        <v>44</v>
      </c>
      <c r="G325" s="2" t="s">
        <v>59</v>
      </c>
      <c r="H325" s="2" t="s">
        <v>498</v>
      </c>
      <c r="I325" s="2" t="s">
        <v>499</v>
      </c>
      <c r="J325" s="2" t="s">
        <v>1106</v>
      </c>
      <c r="K325" s="2" t="s">
        <v>1177</v>
      </c>
      <c r="L325" s="2" t="s">
        <v>186</v>
      </c>
      <c r="M325" s="2" t="s">
        <v>1108</v>
      </c>
      <c r="N325" s="16">
        <v>2.75E-2</v>
      </c>
      <c r="O325" s="17">
        <f>N325*'Financial Inputs'!$B$3</f>
        <v>2750000</v>
      </c>
      <c r="P325" s="18">
        <f>IF(I325="L",'Financial Inputs'!$B$4,IF(I325="M",'Financial Inputs'!$B$5,'Financial Inputs'!$B$6))</f>
        <v>0.7</v>
      </c>
      <c r="Q325" s="17">
        <f>O325*P325</f>
        <v>1924999.9999999998</v>
      </c>
      <c r="R325" s="16">
        <f>'Financial Inputs'!$B$7</f>
        <v>0.35</v>
      </c>
      <c r="S325" s="17">
        <f>Q325*(1-R325)</f>
        <v>1251250</v>
      </c>
      <c r="T325" s="18">
        <f>S325/'Financial Inputs'!$B$3</f>
        <v>1.2512499999999999E-2</v>
      </c>
      <c r="U325" s="9" t="s">
        <v>52</v>
      </c>
      <c r="V325" s="3" t="s">
        <v>53</v>
      </c>
    </row>
    <row r="326" spans="1:22">
      <c r="A326" s="2" t="s">
        <v>1178</v>
      </c>
      <c r="B326" s="2" t="s">
        <v>1179</v>
      </c>
      <c r="C326" s="2" t="s">
        <v>1105</v>
      </c>
      <c r="D326" s="2" t="s">
        <v>64</v>
      </c>
      <c r="E326" s="2" t="s">
        <v>43</v>
      </c>
      <c r="F326" s="2" t="s">
        <v>58</v>
      </c>
      <c r="G326" s="2" t="s">
        <v>67</v>
      </c>
      <c r="H326" s="2" t="s">
        <v>498</v>
      </c>
      <c r="I326" s="2" t="s">
        <v>499</v>
      </c>
      <c r="J326" s="2" t="s">
        <v>1106</v>
      </c>
      <c r="K326" s="2" t="s">
        <v>1180</v>
      </c>
      <c r="L326" s="2" t="s">
        <v>190</v>
      </c>
      <c r="M326" s="2" t="s">
        <v>1108</v>
      </c>
      <c r="N326" s="16">
        <v>3.0000000000000009E-2</v>
      </c>
      <c r="O326" s="17">
        <f>N326*'Financial Inputs'!$B$3</f>
        <v>3000000.0000000009</v>
      </c>
      <c r="P326" s="18">
        <f>IF(I326="L",'Financial Inputs'!$B$4,IF(I326="M",'Financial Inputs'!$B$5,'Financial Inputs'!$B$6))</f>
        <v>0.7</v>
      </c>
      <c r="Q326" s="17">
        <f>O326*P326</f>
        <v>2100000.0000000005</v>
      </c>
      <c r="R326" s="16">
        <f>'Financial Inputs'!$B$7</f>
        <v>0.35</v>
      </c>
      <c r="S326" s="17">
        <f>Q326*(1-R326)</f>
        <v>1365000.0000000005</v>
      </c>
      <c r="T326" s="18">
        <f>S326/'Financial Inputs'!$B$3</f>
        <v>1.3650000000000004E-2</v>
      </c>
      <c r="U326" s="9" t="s">
        <v>52</v>
      </c>
      <c r="V326" s="3" t="s">
        <v>53</v>
      </c>
    </row>
    <row r="327" spans="1:22">
      <c r="A327" s="2" t="s">
        <v>1181</v>
      </c>
      <c r="B327" s="2" t="s">
        <v>1182</v>
      </c>
      <c r="C327" s="2" t="s">
        <v>1105</v>
      </c>
      <c r="D327" s="2" t="s">
        <v>127</v>
      </c>
      <c r="E327" s="2" t="s">
        <v>193</v>
      </c>
      <c r="F327" s="2" t="s">
        <v>104</v>
      </c>
      <c r="G327" s="2" t="s">
        <v>45</v>
      </c>
      <c r="H327" s="2" t="s">
        <v>498</v>
      </c>
      <c r="I327" s="2" t="s">
        <v>499</v>
      </c>
      <c r="J327" s="2" t="s">
        <v>1106</v>
      </c>
      <c r="K327" s="2" t="s">
        <v>1183</v>
      </c>
      <c r="L327" s="2" t="s">
        <v>195</v>
      </c>
      <c r="M327" s="2" t="s">
        <v>1108</v>
      </c>
      <c r="N327" s="16">
        <v>0.02</v>
      </c>
      <c r="O327" s="17">
        <f>N327*'Financial Inputs'!$B$3</f>
        <v>2000000</v>
      </c>
      <c r="P327" s="18">
        <f>IF(I327="L",'Financial Inputs'!$B$4,IF(I327="M",'Financial Inputs'!$B$5,'Financial Inputs'!$B$6))</f>
        <v>0.7</v>
      </c>
      <c r="Q327" s="17">
        <f>O327*P327</f>
        <v>1400000</v>
      </c>
      <c r="R327" s="16">
        <f>'Financial Inputs'!$B$7</f>
        <v>0.35</v>
      </c>
      <c r="S327" s="17">
        <f>Q327*(1-R327)</f>
        <v>910000</v>
      </c>
      <c r="T327" s="18">
        <f>S327/'Financial Inputs'!$B$3</f>
        <v>9.1000000000000004E-3</v>
      </c>
      <c r="U327" s="9" t="s">
        <v>52</v>
      </c>
      <c r="V327" s="3" t="s">
        <v>53</v>
      </c>
    </row>
    <row r="328" spans="1:22">
      <c r="A328" s="2" t="s">
        <v>1184</v>
      </c>
      <c r="B328" s="2" t="s">
        <v>1185</v>
      </c>
      <c r="C328" s="2" t="s">
        <v>1105</v>
      </c>
      <c r="D328" s="2" t="s">
        <v>133</v>
      </c>
      <c r="E328" s="2" t="s">
        <v>198</v>
      </c>
      <c r="F328" s="2" t="s">
        <v>110</v>
      </c>
      <c r="G328" s="2" t="s">
        <v>59</v>
      </c>
      <c r="H328" s="2" t="s">
        <v>498</v>
      </c>
      <c r="I328" s="2" t="s">
        <v>499</v>
      </c>
      <c r="J328" s="2" t="s">
        <v>1106</v>
      </c>
      <c r="K328" s="2" t="s">
        <v>1186</v>
      </c>
      <c r="L328" s="2" t="s">
        <v>200</v>
      </c>
      <c r="M328" s="2" t="s">
        <v>1108</v>
      </c>
      <c r="N328" s="16">
        <v>2.2499999999999999E-2</v>
      </c>
      <c r="O328" s="17">
        <f>N328*'Financial Inputs'!$B$3</f>
        <v>2250000</v>
      </c>
      <c r="P328" s="18">
        <f>IF(I328="L",'Financial Inputs'!$B$4,IF(I328="M",'Financial Inputs'!$B$5,'Financial Inputs'!$B$6))</f>
        <v>0.7</v>
      </c>
      <c r="Q328" s="17">
        <f>O328*P328</f>
        <v>1575000</v>
      </c>
      <c r="R328" s="16">
        <f>'Financial Inputs'!$B$7</f>
        <v>0.35</v>
      </c>
      <c r="S328" s="17">
        <f>Q328*(1-R328)</f>
        <v>1023750</v>
      </c>
      <c r="T328" s="18">
        <f>S328/'Financial Inputs'!$B$3</f>
        <v>1.02375E-2</v>
      </c>
      <c r="U328" s="9" t="s">
        <v>52</v>
      </c>
      <c r="V328" s="3" t="s">
        <v>53</v>
      </c>
    </row>
    <row r="329" spans="1:22">
      <c r="A329" s="2" t="s">
        <v>1187</v>
      </c>
      <c r="B329" s="2" t="s">
        <v>1188</v>
      </c>
      <c r="C329" s="2" t="s">
        <v>1105</v>
      </c>
      <c r="D329" s="2" t="s">
        <v>88</v>
      </c>
      <c r="E329" s="2" t="s">
        <v>148</v>
      </c>
      <c r="F329" s="2" t="s">
        <v>117</v>
      </c>
      <c r="G329" s="2" t="s">
        <v>67</v>
      </c>
      <c r="H329" s="2" t="s">
        <v>498</v>
      </c>
      <c r="I329" s="2" t="s">
        <v>499</v>
      </c>
      <c r="J329" s="2" t="s">
        <v>1106</v>
      </c>
      <c r="K329" s="2" t="s">
        <v>1189</v>
      </c>
      <c r="L329" s="2" t="s">
        <v>204</v>
      </c>
      <c r="M329" s="2" t="s">
        <v>1108</v>
      </c>
      <c r="N329" s="16">
        <v>2.5000000000000001E-2</v>
      </c>
      <c r="O329" s="17">
        <f>N329*'Financial Inputs'!$B$3</f>
        <v>2500000</v>
      </c>
      <c r="P329" s="18">
        <f>IF(I329="L",'Financial Inputs'!$B$4,IF(I329="M",'Financial Inputs'!$B$5,'Financial Inputs'!$B$6))</f>
        <v>0.7</v>
      </c>
      <c r="Q329" s="17">
        <f>O329*P329</f>
        <v>1750000</v>
      </c>
      <c r="R329" s="16">
        <f>'Financial Inputs'!$B$7</f>
        <v>0.35</v>
      </c>
      <c r="S329" s="17">
        <f>Q329*(1-R329)</f>
        <v>1137500</v>
      </c>
      <c r="T329" s="18">
        <f>S329/'Financial Inputs'!$B$3</f>
        <v>1.1375E-2</v>
      </c>
      <c r="U329" s="9" t="s">
        <v>52</v>
      </c>
      <c r="V329" s="3" t="s">
        <v>53</v>
      </c>
    </row>
    <row r="330" spans="1:22">
      <c r="A330" s="2" t="s">
        <v>1190</v>
      </c>
      <c r="B330" s="2" t="s">
        <v>1191</v>
      </c>
      <c r="C330" s="2" t="s">
        <v>1105</v>
      </c>
      <c r="D330" s="2" t="s">
        <v>95</v>
      </c>
      <c r="E330" s="2" t="s">
        <v>153</v>
      </c>
      <c r="F330" s="2" t="s">
        <v>90</v>
      </c>
      <c r="G330" s="2" t="s">
        <v>75</v>
      </c>
      <c r="H330" s="2" t="s">
        <v>498</v>
      </c>
      <c r="I330" s="2" t="s">
        <v>499</v>
      </c>
      <c r="J330" s="2" t="s">
        <v>1106</v>
      </c>
      <c r="K330" s="2" t="s">
        <v>1192</v>
      </c>
      <c r="L330" s="2" t="s">
        <v>208</v>
      </c>
      <c r="M330" s="2" t="s">
        <v>1108</v>
      </c>
      <c r="N330" s="16">
        <v>2.75E-2</v>
      </c>
      <c r="O330" s="17">
        <f>N330*'Financial Inputs'!$B$3</f>
        <v>2750000</v>
      </c>
      <c r="P330" s="18">
        <f>IF(I330="L",'Financial Inputs'!$B$4,IF(I330="M",'Financial Inputs'!$B$5,'Financial Inputs'!$B$6))</f>
        <v>0.7</v>
      </c>
      <c r="Q330" s="17">
        <f>O330*P330</f>
        <v>1924999.9999999998</v>
      </c>
      <c r="R330" s="16">
        <f>'Financial Inputs'!$B$7</f>
        <v>0.35</v>
      </c>
      <c r="S330" s="17">
        <f>Q330*(1-R330)</f>
        <v>1251250</v>
      </c>
      <c r="T330" s="18">
        <f>S330/'Financial Inputs'!$B$3</f>
        <v>1.2512499999999999E-2</v>
      </c>
      <c r="U330" s="9" t="s">
        <v>52</v>
      </c>
      <c r="V330" s="3" t="s">
        <v>53</v>
      </c>
    </row>
    <row r="331" spans="1:22">
      <c r="A331" s="2" t="s">
        <v>1193</v>
      </c>
      <c r="B331" s="2" t="s">
        <v>1194</v>
      </c>
      <c r="C331" s="2" t="s">
        <v>1105</v>
      </c>
      <c r="D331" s="2" t="s">
        <v>102</v>
      </c>
      <c r="E331" s="2" t="s">
        <v>89</v>
      </c>
      <c r="F331" s="2" t="s">
        <v>97</v>
      </c>
      <c r="G331" s="2" t="s">
        <v>83</v>
      </c>
      <c r="H331" s="2" t="s">
        <v>498</v>
      </c>
      <c r="I331" s="2" t="s">
        <v>499</v>
      </c>
      <c r="J331" s="2" t="s">
        <v>1106</v>
      </c>
      <c r="K331" s="2" t="s">
        <v>1195</v>
      </c>
      <c r="L331" s="2" t="s">
        <v>212</v>
      </c>
      <c r="M331" s="2" t="s">
        <v>1108</v>
      </c>
      <c r="N331" s="16">
        <v>3.0000000000000009E-2</v>
      </c>
      <c r="O331" s="17">
        <f>N331*'Financial Inputs'!$B$3</f>
        <v>3000000.0000000009</v>
      </c>
      <c r="P331" s="18">
        <f>IF(I331="L",'Financial Inputs'!$B$4,IF(I331="M",'Financial Inputs'!$B$5,'Financial Inputs'!$B$6))</f>
        <v>0.7</v>
      </c>
      <c r="Q331" s="17">
        <f>O331*P331</f>
        <v>2100000.0000000005</v>
      </c>
      <c r="R331" s="16">
        <f>'Financial Inputs'!$B$7</f>
        <v>0.35</v>
      </c>
      <c r="S331" s="17">
        <f>Q331*(1-R331)</f>
        <v>1365000.0000000005</v>
      </c>
      <c r="T331" s="18">
        <f>S331/'Financial Inputs'!$B$3</f>
        <v>1.3650000000000004E-2</v>
      </c>
      <c r="U331" s="9" t="s">
        <v>52</v>
      </c>
      <c r="V331" s="3" t="s">
        <v>53</v>
      </c>
    </row>
    <row r="332" spans="1:22">
      <c r="A332" s="2" t="s">
        <v>1196</v>
      </c>
      <c r="B332" s="2" t="s">
        <v>1197</v>
      </c>
      <c r="C332" s="2" t="s">
        <v>1105</v>
      </c>
      <c r="D332" s="2" t="s">
        <v>64</v>
      </c>
      <c r="E332" s="2" t="s">
        <v>215</v>
      </c>
      <c r="F332" s="2" t="s">
        <v>74</v>
      </c>
      <c r="G332" s="2" t="s">
        <v>67</v>
      </c>
      <c r="H332" s="2" t="s">
        <v>498</v>
      </c>
      <c r="I332" s="2" t="s">
        <v>499</v>
      </c>
      <c r="J332" s="2" t="s">
        <v>1106</v>
      </c>
      <c r="K332" s="2" t="s">
        <v>1198</v>
      </c>
      <c r="L332" s="2" t="s">
        <v>217</v>
      </c>
      <c r="M332" s="2" t="s">
        <v>1108</v>
      </c>
      <c r="N332" s="16">
        <v>0.02</v>
      </c>
      <c r="O332" s="17">
        <f>N332*'Financial Inputs'!$B$3</f>
        <v>2000000</v>
      </c>
      <c r="P332" s="18">
        <f>IF(I332="L",'Financial Inputs'!$B$4,IF(I332="M",'Financial Inputs'!$B$5,'Financial Inputs'!$B$6))</f>
        <v>0.7</v>
      </c>
      <c r="Q332" s="17">
        <f>O332*P332</f>
        <v>1400000</v>
      </c>
      <c r="R332" s="16">
        <f>'Financial Inputs'!$B$7</f>
        <v>0.35</v>
      </c>
      <c r="S332" s="17">
        <f>Q332*(1-R332)</f>
        <v>910000</v>
      </c>
      <c r="T332" s="18">
        <f>S332/'Financial Inputs'!$B$3</f>
        <v>9.1000000000000004E-3</v>
      </c>
      <c r="U332" s="9" t="s">
        <v>52</v>
      </c>
      <c r="V332" s="3" t="s">
        <v>53</v>
      </c>
    </row>
    <row r="333" spans="1:22">
      <c r="A333" s="2" t="s">
        <v>1199</v>
      </c>
      <c r="B333" s="2" t="s">
        <v>1200</v>
      </c>
      <c r="C333" s="2" t="s">
        <v>1105</v>
      </c>
      <c r="D333" s="2" t="s">
        <v>72</v>
      </c>
      <c r="E333" s="2" t="s">
        <v>220</v>
      </c>
      <c r="F333" s="2" t="s">
        <v>82</v>
      </c>
      <c r="G333" s="2" t="s">
        <v>75</v>
      </c>
      <c r="H333" s="2" t="s">
        <v>498</v>
      </c>
      <c r="I333" s="2" t="s">
        <v>499</v>
      </c>
      <c r="J333" s="2" t="s">
        <v>1106</v>
      </c>
      <c r="K333" s="2" t="s">
        <v>1201</v>
      </c>
      <c r="L333" s="2" t="s">
        <v>222</v>
      </c>
      <c r="M333" s="2" t="s">
        <v>1108</v>
      </c>
      <c r="N333" s="16">
        <v>2.2499999999999999E-2</v>
      </c>
      <c r="O333" s="17">
        <f>N333*'Financial Inputs'!$B$3</f>
        <v>2250000</v>
      </c>
      <c r="P333" s="18">
        <f>IF(I333="L",'Financial Inputs'!$B$4,IF(I333="M",'Financial Inputs'!$B$5,'Financial Inputs'!$B$6))</f>
        <v>0.7</v>
      </c>
      <c r="Q333" s="17">
        <f>O333*P333</f>
        <v>1575000</v>
      </c>
      <c r="R333" s="16">
        <f>'Financial Inputs'!$B$7</f>
        <v>0.35</v>
      </c>
      <c r="S333" s="17">
        <f>Q333*(1-R333)</f>
        <v>1023750</v>
      </c>
      <c r="T333" s="18">
        <f>S333/'Financial Inputs'!$B$3</f>
        <v>1.02375E-2</v>
      </c>
      <c r="U333" s="9" t="s">
        <v>52</v>
      </c>
      <c r="V333" s="3" t="s">
        <v>53</v>
      </c>
    </row>
    <row r="334" spans="1:22">
      <c r="A334" s="2" t="s">
        <v>1202</v>
      </c>
      <c r="B334" s="2" t="s">
        <v>1203</v>
      </c>
      <c r="C334" s="2" t="s">
        <v>1105</v>
      </c>
      <c r="D334" s="2" t="s">
        <v>80</v>
      </c>
      <c r="E334" s="2" t="s">
        <v>171</v>
      </c>
      <c r="F334" s="2" t="s">
        <v>44</v>
      </c>
      <c r="G334" s="2" t="s">
        <v>83</v>
      </c>
      <c r="H334" s="2" t="s">
        <v>498</v>
      </c>
      <c r="I334" s="2" t="s">
        <v>499</v>
      </c>
      <c r="J334" s="2" t="s">
        <v>1106</v>
      </c>
      <c r="K334" s="2" t="s">
        <v>1204</v>
      </c>
      <c r="L334" s="2" t="s">
        <v>226</v>
      </c>
      <c r="M334" s="2" t="s">
        <v>1108</v>
      </c>
      <c r="N334" s="16">
        <v>2.5000000000000001E-2</v>
      </c>
      <c r="O334" s="17">
        <f>N334*'Financial Inputs'!$B$3</f>
        <v>2500000</v>
      </c>
      <c r="P334" s="18">
        <f>IF(I334="L",'Financial Inputs'!$B$4,IF(I334="M",'Financial Inputs'!$B$5,'Financial Inputs'!$B$6))</f>
        <v>0.7</v>
      </c>
      <c r="Q334" s="17">
        <f>O334*P334</f>
        <v>1750000</v>
      </c>
      <c r="R334" s="16">
        <f>'Financial Inputs'!$B$7</f>
        <v>0.35</v>
      </c>
      <c r="S334" s="17">
        <f>Q334*(1-R334)</f>
        <v>1137500</v>
      </c>
      <c r="T334" s="18">
        <f>S334/'Financial Inputs'!$B$3</f>
        <v>1.1375E-2</v>
      </c>
      <c r="U334" s="9" t="s">
        <v>52</v>
      </c>
      <c r="V334" s="3" t="s">
        <v>53</v>
      </c>
    </row>
    <row r="335" spans="1:22">
      <c r="A335" s="2" t="s">
        <v>1205</v>
      </c>
      <c r="B335" s="2" t="s">
        <v>1206</v>
      </c>
      <c r="C335" s="2" t="s">
        <v>1105</v>
      </c>
      <c r="D335" s="2" t="s">
        <v>127</v>
      </c>
      <c r="E335" s="2" t="s">
        <v>176</v>
      </c>
      <c r="F335" s="2" t="s">
        <v>58</v>
      </c>
      <c r="G335" s="2" t="s">
        <v>111</v>
      </c>
      <c r="H335" s="2" t="s">
        <v>498</v>
      </c>
      <c r="I335" s="2" t="s">
        <v>499</v>
      </c>
      <c r="J335" s="2" t="s">
        <v>1106</v>
      </c>
      <c r="K335" s="2" t="s">
        <v>1207</v>
      </c>
      <c r="L335" s="2" t="s">
        <v>230</v>
      </c>
      <c r="M335" s="2" t="s">
        <v>1108</v>
      </c>
      <c r="N335" s="16">
        <v>2.75E-2</v>
      </c>
      <c r="O335" s="17">
        <f>N335*'Financial Inputs'!$B$3</f>
        <v>2750000</v>
      </c>
      <c r="P335" s="18">
        <f>IF(I335="L",'Financial Inputs'!$B$4,IF(I335="M",'Financial Inputs'!$B$5,'Financial Inputs'!$B$6))</f>
        <v>0.7</v>
      </c>
      <c r="Q335" s="17">
        <f>O335*P335</f>
        <v>1924999.9999999998</v>
      </c>
      <c r="R335" s="16">
        <f>'Financial Inputs'!$B$7</f>
        <v>0.35</v>
      </c>
      <c r="S335" s="17">
        <f>Q335*(1-R335)</f>
        <v>1251250</v>
      </c>
      <c r="T335" s="18">
        <f>S335/'Financial Inputs'!$B$3</f>
        <v>1.2512499999999999E-2</v>
      </c>
      <c r="U335" s="9" t="s">
        <v>52</v>
      </c>
      <c r="V335" s="3" t="s">
        <v>53</v>
      </c>
    </row>
    <row r="336" spans="1:22">
      <c r="A336" s="2" t="s">
        <v>1208</v>
      </c>
      <c r="B336" s="2" t="s">
        <v>1209</v>
      </c>
      <c r="C336" s="2" t="s">
        <v>1105</v>
      </c>
      <c r="D336" s="2" t="s">
        <v>133</v>
      </c>
      <c r="E336" s="2" t="s">
        <v>122</v>
      </c>
      <c r="F336" s="2" t="s">
        <v>66</v>
      </c>
      <c r="G336" s="2" t="s">
        <v>56</v>
      </c>
      <c r="H336" s="2" t="s">
        <v>498</v>
      </c>
      <c r="I336" s="2" t="s">
        <v>499</v>
      </c>
      <c r="J336" s="2" t="s">
        <v>1106</v>
      </c>
      <c r="K336" s="2" t="s">
        <v>1210</v>
      </c>
      <c r="L336" s="2" t="s">
        <v>234</v>
      </c>
      <c r="M336" s="2" t="s">
        <v>1108</v>
      </c>
      <c r="N336" s="16">
        <v>3.0000000000000009E-2</v>
      </c>
      <c r="O336" s="17">
        <f>N336*'Financial Inputs'!$B$3</f>
        <v>3000000.0000000009</v>
      </c>
      <c r="P336" s="18">
        <f>IF(I336="L",'Financial Inputs'!$B$4,IF(I336="M",'Financial Inputs'!$B$5,'Financial Inputs'!$B$6))</f>
        <v>0.7</v>
      </c>
      <c r="Q336" s="17">
        <f>O336*P336</f>
        <v>2100000.0000000005</v>
      </c>
      <c r="R336" s="16">
        <f>'Financial Inputs'!$B$7</f>
        <v>0.35</v>
      </c>
      <c r="S336" s="17">
        <f>Q336*(1-R336)</f>
        <v>1365000.0000000005</v>
      </c>
      <c r="T336" s="18">
        <f>S336/'Financial Inputs'!$B$3</f>
        <v>1.3650000000000004E-2</v>
      </c>
      <c r="U336" s="9" t="s">
        <v>52</v>
      </c>
      <c r="V336" s="3" t="s">
        <v>53</v>
      </c>
    </row>
    <row r="337" spans="1:22">
      <c r="A337" s="2" t="s">
        <v>1211</v>
      </c>
      <c r="B337" s="2" t="s">
        <v>1212</v>
      </c>
      <c r="C337" s="2" t="s">
        <v>1105</v>
      </c>
      <c r="D337" s="2" t="s">
        <v>102</v>
      </c>
      <c r="E337" s="2" t="s">
        <v>73</v>
      </c>
      <c r="F337" s="2" t="s">
        <v>110</v>
      </c>
      <c r="G337" s="2" t="s">
        <v>83</v>
      </c>
      <c r="H337" s="2" t="s">
        <v>498</v>
      </c>
      <c r="I337" s="2" t="s">
        <v>499</v>
      </c>
      <c r="J337" s="2" t="s">
        <v>1106</v>
      </c>
      <c r="K337" s="2" t="s">
        <v>1213</v>
      </c>
      <c r="L337" s="2" t="s">
        <v>238</v>
      </c>
      <c r="M337" s="2" t="s">
        <v>1108</v>
      </c>
      <c r="N337" s="16">
        <v>0.02</v>
      </c>
      <c r="O337" s="17">
        <f>N337*'Financial Inputs'!$B$3</f>
        <v>2000000</v>
      </c>
      <c r="P337" s="18">
        <f>IF(I337="L",'Financial Inputs'!$B$4,IF(I337="M",'Financial Inputs'!$B$5,'Financial Inputs'!$B$6))</f>
        <v>0.7</v>
      </c>
      <c r="Q337" s="17">
        <f>O337*P337</f>
        <v>1400000</v>
      </c>
      <c r="R337" s="16">
        <f>'Financial Inputs'!$B$7</f>
        <v>0.35</v>
      </c>
      <c r="S337" s="17">
        <f>Q337*(1-R337)</f>
        <v>910000</v>
      </c>
      <c r="T337" s="18">
        <f>S337/'Financial Inputs'!$B$3</f>
        <v>9.1000000000000004E-3</v>
      </c>
      <c r="U337" s="9" t="s">
        <v>52</v>
      </c>
      <c r="V337" s="3" t="s">
        <v>53</v>
      </c>
    </row>
    <row r="338" spans="1:22">
      <c r="A338" s="2" t="s">
        <v>1214</v>
      </c>
      <c r="B338" s="2" t="s">
        <v>1215</v>
      </c>
      <c r="C338" s="2" t="s">
        <v>1105</v>
      </c>
      <c r="D338" s="2" t="s">
        <v>42</v>
      </c>
      <c r="E338" s="2" t="s">
        <v>81</v>
      </c>
      <c r="F338" s="2" t="s">
        <v>117</v>
      </c>
      <c r="G338" s="2" t="s">
        <v>111</v>
      </c>
      <c r="H338" s="2" t="s">
        <v>498</v>
      </c>
      <c r="I338" s="2" t="s">
        <v>499</v>
      </c>
      <c r="J338" s="2" t="s">
        <v>1106</v>
      </c>
      <c r="K338" s="2" t="s">
        <v>1216</v>
      </c>
      <c r="L338" s="2" t="s">
        <v>242</v>
      </c>
      <c r="M338" s="2" t="s">
        <v>1108</v>
      </c>
      <c r="N338" s="16">
        <v>2.2499999999999999E-2</v>
      </c>
      <c r="O338" s="17">
        <f>N338*'Financial Inputs'!$B$3</f>
        <v>2250000</v>
      </c>
      <c r="P338" s="18">
        <f>IF(I338="L",'Financial Inputs'!$B$4,IF(I338="M",'Financial Inputs'!$B$5,'Financial Inputs'!$B$6))</f>
        <v>0.7</v>
      </c>
      <c r="Q338" s="17">
        <f>O338*P338</f>
        <v>1575000</v>
      </c>
      <c r="R338" s="16">
        <f>'Financial Inputs'!$B$7</f>
        <v>0.35</v>
      </c>
      <c r="S338" s="17">
        <f>Q338*(1-R338)</f>
        <v>1023750</v>
      </c>
      <c r="T338" s="18">
        <f>S338/'Financial Inputs'!$B$3</f>
        <v>1.02375E-2</v>
      </c>
      <c r="U338" s="9" t="s">
        <v>52</v>
      </c>
      <c r="V338" s="3" t="s">
        <v>53</v>
      </c>
    </row>
    <row r="339" spans="1:22">
      <c r="A339" s="2" t="s">
        <v>1217</v>
      </c>
      <c r="B339" s="2" t="s">
        <v>1218</v>
      </c>
      <c r="C339" s="2" t="s">
        <v>1105</v>
      </c>
      <c r="D339" s="2" t="s">
        <v>56</v>
      </c>
      <c r="E339" s="2" t="s">
        <v>193</v>
      </c>
      <c r="F339" s="2" t="s">
        <v>90</v>
      </c>
      <c r="G339" s="2" t="s">
        <v>56</v>
      </c>
      <c r="H339" s="2" t="s">
        <v>498</v>
      </c>
      <c r="I339" s="2" t="s">
        <v>499</v>
      </c>
      <c r="J339" s="2" t="s">
        <v>1106</v>
      </c>
      <c r="K339" s="2" t="s">
        <v>1219</v>
      </c>
      <c r="L339" s="2" t="s">
        <v>246</v>
      </c>
      <c r="M339" s="2" t="s">
        <v>1108</v>
      </c>
      <c r="N339" s="16">
        <v>2.5000000000000001E-2</v>
      </c>
      <c r="O339" s="17">
        <f>N339*'Financial Inputs'!$B$3</f>
        <v>2500000</v>
      </c>
      <c r="P339" s="18">
        <f>IF(I339="L",'Financial Inputs'!$B$4,IF(I339="M",'Financial Inputs'!$B$5,'Financial Inputs'!$B$6))</f>
        <v>0.7</v>
      </c>
      <c r="Q339" s="17">
        <f>O339*P339</f>
        <v>1750000</v>
      </c>
      <c r="R339" s="16">
        <f>'Financial Inputs'!$B$7</f>
        <v>0.35</v>
      </c>
      <c r="S339" s="17">
        <f>Q339*(1-R339)</f>
        <v>1137500</v>
      </c>
      <c r="T339" s="18">
        <f>S339/'Financial Inputs'!$B$3</f>
        <v>1.1375E-2</v>
      </c>
      <c r="U339" s="9" t="s">
        <v>52</v>
      </c>
      <c r="V339" s="3" t="s">
        <v>53</v>
      </c>
    </row>
    <row r="340" spans="1:22">
      <c r="A340" s="2" t="s">
        <v>1220</v>
      </c>
      <c r="B340" s="2" t="s">
        <v>1221</v>
      </c>
      <c r="C340" s="2" t="s">
        <v>1105</v>
      </c>
      <c r="D340" s="2" t="s">
        <v>64</v>
      </c>
      <c r="E340" s="2" t="s">
        <v>198</v>
      </c>
      <c r="F340" s="2" t="s">
        <v>97</v>
      </c>
      <c r="G340" s="2" t="s">
        <v>138</v>
      </c>
      <c r="H340" s="2" t="s">
        <v>498</v>
      </c>
      <c r="I340" s="2" t="s">
        <v>499</v>
      </c>
      <c r="J340" s="2" t="s">
        <v>1106</v>
      </c>
      <c r="K340" s="2" t="s">
        <v>1222</v>
      </c>
      <c r="L340" s="2" t="s">
        <v>250</v>
      </c>
      <c r="M340" s="2" t="s">
        <v>1108</v>
      </c>
      <c r="N340" s="16">
        <v>2.75E-2</v>
      </c>
      <c r="O340" s="17">
        <f>N340*'Financial Inputs'!$B$3</f>
        <v>2750000</v>
      </c>
      <c r="P340" s="18">
        <f>IF(I340="L",'Financial Inputs'!$B$4,IF(I340="M",'Financial Inputs'!$B$5,'Financial Inputs'!$B$6))</f>
        <v>0.7</v>
      </c>
      <c r="Q340" s="17">
        <f>O340*P340</f>
        <v>1924999.9999999998</v>
      </c>
      <c r="R340" s="16">
        <f>'Financial Inputs'!$B$7</f>
        <v>0.35</v>
      </c>
      <c r="S340" s="17">
        <f>Q340*(1-R340)</f>
        <v>1251250</v>
      </c>
      <c r="T340" s="18">
        <f>S340/'Financial Inputs'!$B$3</f>
        <v>1.2512499999999999E-2</v>
      </c>
      <c r="U340" s="9" t="s">
        <v>52</v>
      </c>
      <c r="V340" s="3" t="s">
        <v>53</v>
      </c>
    </row>
    <row r="341" spans="1:22">
      <c r="A341" s="2" t="s">
        <v>1223</v>
      </c>
      <c r="B341" s="2" t="s">
        <v>1224</v>
      </c>
      <c r="C341" s="2" t="s">
        <v>1105</v>
      </c>
      <c r="D341" s="2" t="s">
        <v>72</v>
      </c>
      <c r="E341" s="2" t="s">
        <v>148</v>
      </c>
      <c r="F341" s="2" t="s">
        <v>104</v>
      </c>
      <c r="G341" s="2" t="s">
        <v>143</v>
      </c>
      <c r="H341" s="2" t="s">
        <v>498</v>
      </c>
      <c r="I341" s="2" t="s">
        <v>499</v>
      </c>
      <c r="J341" s="2" t="s">
        <v>1106</v>
      </c>
      <c r="K341" s="2" t="s">
        <v>1225</v>
      </c>
      <c r="L341" s="2" t="s">
        <v>254</v>
      </c>
      <c r="M341" s="2" t="s">
        <v>1108</v>
      </c>
      <c r="N341" s="16">
        <v>3.0000000000000009E-2</v>
      </c>
      <c r="O341" s="17">
        <f>N341*'Financial Inputs'!$B$3</f>
        <v>3000000.0000000009</v>
      </c>
      <c r="P341" s="18">
        <f>IF(I341="L",'Financial Inputs'!$B$4,IF(I341="M",'Financial Inputs'!$B$5,'Financial Inputs'!$B$6))</f>
        <v>0.7</v>
      </c>
      <c r="Q341" s="17">
        <f>O341*P341</f>
        <v>2100000.0000000005</v>
      </c>
      <c r="R341" s="16">
        <f>'Financial Inputs'!$B$7</f>
        <v>0.35</v>
      </c>
      <c r="S341" s="17">
        <f>Q341*(1-R341)</f>
        <v>1365000.0000000005</v>
      </c>
      <c r="T341" s="18">
        <f>S341/'Financial Inputs'!$B$3</f>
        <v>1.3650000000000004E-2</v>
      </c>
      <c r="U341" s="9" t="s">
        <v>52</v>
      </c>
      <c r="V341" s="3" t="s">
        <v>53</v>
      </c>
    </row>
    <row r="342" spans="1:22">
      <c r="A342" s="2" t="s">
        <v>1226</v>
      </c>
      <c r="B342" s="2" t="s">
        <v>1227</v>
      </c>
      <c r="C342" s="2" t="s">
        <v>1105</v>
      </c>
      <c r="D342" s="2" t="s">
        <v>133</v>
      </c>
      <c r="E342" s="2" t="s">
        <v>109</v>
      </c>
      <c r="F342" s="2" t="s">
        <v>82</v>
      </c>
      <c r="G342" s="2" t="s">
        <v>56</v>
      </c>
      <c r="H342" s="2" t="s">
        <v>498</v>
      </c>
      <c r="I342" s="2" t="s">
        <v>499</v>
      </c>
      <c r="J342" s="2" t="s">
        <v>1106</v>
      </c>
      <c r="K342" s="2" t="s">
        <v>1228</v>
      </c>
      <c r="L342" s="2" t="s">
        <v>258</v>
      </c>
      <c r="M342" s="2" t="s">
        <v>1108</v>
      </c>
      <c r="N342" s="16">
        <v>0.02</v>
      </c>
      <c r="O342" s="17">
        <f>N342*'Financial Inputs'!$B$3</f>
        <v>2000000</v>
      </c>
      <c r="P342" s="18">
        <f>IF(I342="L",'Financial Inputs'!$B$4,IF(I342="M",'Financial Inputs'!$B$5,'Financial Inputs'!$B$6))</f>
        <v>0.7</v>
      </c>
      <c r="Q342" s="17">
        <f>O342*P342</f>
        <v>1400000</v>
      </c>
      <c r="R342" s="16">
        <f>'Financial Inputs'!$B$7</f>
        <v>0.35</v>
      </c>
      <c r="S342" s="17">
        <f>Q342*(1-R342)</f>
        <v>910000</v>
      </c>
      <c r="T342" s="18">
        <f>S342/'Financial Inputs'!$B$3</f>
        <v>9.1000000000000004E-3</v>
      </c>
      <c r="U342" s="9" t="s">
        <v>52</v>
      </c>
      <c r="V342" s="3" t="s">
        <v>53</v>
      </c>
    </row>
    <row r="343" spans="1:22">
      <c r="A343" s="2" t="s">
        <v>1229</v>
      </c>
      <c r="B343" s="2" t="s">
        <v>1230</v>
      </c>
      <c r="C343" s="2" t="s">
        <v>1105</v>
      </c>
      <c r="D343" s="2" t="s">
        <v>88</v>
      </c>
      <c r="E343" s="2" t="s">
        <v>116</v>
      </c>
      <c r="F343" s="2" t="s">
        <v>44</v>
      </c>
      <c r="G343" s="2" t="s">
        <v>138</v>
      </c>
      <c r="H343" s="2" t="s">
        <v>498</v>
      </c>
      <c r="I343" s="2" t="s">
        <v>499</v>
      </c>
      <c r="J343" s="2" t="s">
        <v>1106</v>
      </c>
      <c r="K343" s="2" t="s">
        <v>1231</v>
      </c>
      <c r="L343" s="2" t="s">
        <v>262</v>
      </c>
      <c r="M343" s="2" t="s">
        <v>1108</v>
      </c>
      <c r="N343" s="16">
        <v>2.2499999999999999E-2</v>
      </c>
      <c r="O343" s="17">
        <f>N343*'Financial Inputs'!$B$3</f>
        <v>2250000</v>
      </c>
      <c r="P343" s="18">
        <f>IF(I343="L",'Financial Inputs'!$B$4,IF(I343="M",'Financial Inputs'!$B$5,'Financial Inputs'!$B$6))</f>
        <v>0.7</v>
      </c>
      <c r="Q343" s="17">
        <f>O343*P343</f>
        <v>1575000</v>
      </c>
      <c r="R343" s="16">
        <f>'Financial Inputs'!$B$7</f>
        <v>0.35</v>
      </c>
      <c r="S343" s="17">
        <f>Q343*(1-R343)</f>
        <v>1023750</v>
      </c>
      <c r="T343" s="18">
        <f>S343/'Financial Inputs'!$B$3</f>
        <v>1.02375E-2</v>
      </c>
      <c r="U343" s="9" t="s">
        <v>52</v>
      </c>
      <c r="V343" s="3" t="s">
        <v>53</v>
      </c>
    </row>
    <row r="344" spans="1:22">
      <c r="A344" s="2" t="s">
        <v>1232</v>
      </c>
      <c r="B344" s="2" t="s">
        <v>1233</v>
      </c>
      <c r="C344" s="2" t="s">
        <v>1105</v>
      </c>
      <c r="D344" s="2" t="s">
        <v>95</v>
      </c>
      <c r="E344" s="2" t="s">
        <v>215</v>
      </c>
      <c r="F344" s="2" t="s">
        <v>58</v>
      </c>
      <c r="G344" s="2" t="s">
        <v>143</v>
      </c>
      <c r="H344" s="2" t="s">
        <v>498</v>
      </c>
      <c r="I344" s="2" t="s">
        <v>499</v>
      </c>
      <c r="J344" s="2" t="s">
        <v>1106</v>
      </c>
      <c r="K344" s="2" t="s">
        <v>1234</v>
      </c>
      <c r="L344" s="2" t="s">
        <v>266</v>
      </c>
      <c r="M344" s="2" t="s">
        <v>1108</v>
      </c>
      <c r="N344" s="16">
        <v>2.5000000000000001E-2</v>
      </c>
      <c r="O344" s="17">
        <f>N344*'Financial Inputs'!$B$3</f>
        <v>2500000</v>
      </c>
      <c r="P344" s="18">
        <f>IF(I344="L",'Financial Inputs'!$B$4,IF(I344="M",'Financial Inputs'!$B$5,'Financial Inputs'!$B$6))</f>
        <v>0.7</v>
      </c>
      <c r="Q344" s="17">
        <f>O344*P344</f>
        <v>1750000</v>
      </c>
      <c r="R344" s="16">
        <f>'Financial Inputs'!$B$7</f>
        <v>0.35</v>
      </c>
      <c r="S344" s="17">
        <f>Q344*(1-R344)</f>
        <v>1137500</v>
      </c>
      <c r="T344" s="18">
        <f>S344/'Financial Inputs'!$B$3</f>
        <v>1.1375E-2</v>
      </c>
      <c r="U344" s="9" t="s">
        <v>52</v>
      </c>
      <c r="V344" s="3" t="s">
        <v>53</v>
      </c>
    </row>
    <row r="345" spans="1:22">
      <c r="A345" s="2" t="s">
        <v>1235</v>
      </c>
      <c r="B345" s="2" t="s">
        <v>1236</v>
      </c>
      <c r="C345" s="2" t="s">
        <v>1105</v>
      </c>
      <c r="D345" s="2" t="s">
        <v>102</v>
      </c>
      <c r="E345" s="2" t="s">
        <v>220</v>
      </c>
      <c r="F345" s="2" t="s">
        <v>66</v>
      </c>
      <c r="G345" s="2" t="s">
        <v>162</v>
      </c>
      <c r="H345" s="2" t="s">
        <v>498</v>
      </c>
      <c r="I345" s="2" t="s">
        <v>499</v>
      </c>
      <c r="J345" s="2" t="s">
        <v>1106</v>
      </c>
      <c r="K345" s="2" t="s">
        <v>1237</v>
      </c>
      <c r="L345" s="2" t="s">
        <v>270</v>
      </c>
      <c r="M345" s="2" t="s">
        <v>1108</v>
      </c>
      <c r="N345" s="16">
        <v>2.75E-2</v>
      </c>
      <c r="O345" s="17">
        <f>N345*'Financial Inputs'!$B$3</f>
        <v>2750000</v>
      </c>
      <c r="P345" s="18">
        <f>IF(I345="L",'Financial Inputs'!$B$4,IF(I345="M",'Financial Inputs'!$B$5,'Financial Inputs'!$B$6))</f>
        <v>0.7</v>
      </c>
      <c r="Q345" s="17">
        <f>O345*P345</f>
        <v>1924999.9999999998</v>
      </c>
      <c r="R345" s="16">
        <f>'Financial Inputs'!$B$7</f>
        <v>0.35</v>
      </c>
      <c r="S345" s="17">
        <f>Q345*(1-R345)</f>
        <v>1251250</v>
      </c>
      <c r="T345" s="18">
        <f>S345/'Financial Inputs'!$B$3</f>
        <v>1.2512499999999999E-2</v>
      </c>
      <c r="U345" s="9" t="s">
        <v>52</v>
      </c>
      <c r="V345" s="3" t="s">
        <v>53</v>
      </c>
    </row>
    <row r="346" spans="1:22">
      <c r="A346" s="2" t="s">
        <v>1238</v>
      </c>
      <c r="B346" s="2" t="s">
        <v>1239</v>
      </c>
      <c r="C346" s="2" t="s">
        <v>1105</v>
      </c>
      <c r="D346" s="2" t="s">
        <v>42</v>
      </c>
      <c r="E346" s="2" t="s">
        <v>171</v>
      </c>
      <c r="F346" s="2" t="s">
        <v>74</v>
      </c>
      <c r="G346" s="2" t="s">
        <v>45</v>
      </c>
      <c r="H346" s="2" t="s">
        <v>498</v>
      </c>
      <c r="I346" s="2" t="s">
        <v>499</v>
      </c>
      <c r="J346" s="2" t="s">
        <v>1106</v>
      </c>
      <c r="K346" s="2" t="s">
        <v>1240</v>
      </c>
      <c r="L346" s="2" t="s">
        <v>274</v>
      </c>
      <c r="M346" s="2" t="s">
        <v>1108</v>
      </c>
      <c r="N346" s="16">
        <v>3.0000000000000009E-2</v>
      </c>
      <c r="O346" s="17">
        <f>N346*'Financial Inputs'!$B$3</f>
        <v>3000000.0000000009</v>
      </c>
      <c r="P346" s="18">
        <f>IF(I346="L",'Financial Inputs'!$B$4,IF(I346="M",'Financial Inputs'!$B$5,'Financial Inputs'!$B$6))</f>
        <v>0.7</v>
      </c>
      <c r="Q346" s="17">
        <f>O346*P346</f>
        <v>2100000.0000000005</v>
      </c>
      <c r="R346" s="16">
        <f>'Financial Inputs'!$B$7</f>
        <v>0.35</v>
      </c>
      <c r="S346" s="17">
        <f>Q346*(1-R346)</f>
        <v>1365000.0000000005</v>
      </c>
      <c r="T346" s="18">
        <f>S346/'Financial Inputs'!$B$3</f>
        <v>1.3650000000000004E-2</v>
      </c>
      <c r="U346" s="9" t="s">
        <v>52</v>
      </c>
      <c r="V346" s="3" t="s">
        <v>53</v>
      </c>
    </row>
    <row r="347" spans="1:22">
      <c r="A347" s="2" t="s">
        <v>1241</v>
      </c>
      <c r="B347" s="2" t="s">
        <v>1242</v>
      </c>
      <c r="C347" s="2" t="s">
        <v>1105</v>
      </c>
      <c r="D347" s="2" t="s">
        <v>72</v>
      </c>
      <c r="E347" s="2" t="s">
        <v>57</v>
      </c>
      <c r="F347" s="2" t="s">
        <v>117</v>
      </c>
      <c r="G347" s="2" t="s">
        <v>143</v>
      </c>
      <c r="H347" s="2" t="s">
        <v>498</v>
      </c>
      <c r="I347" s="2" t="s">
        <v>499</v>
      </c>
      <c r="J347" s="2" t="s">
        <v>1106</v>
      </c>
      <c r="K347" s="2" t="s">
        <v>1243</v>
      </c>
      <c r="L347" s="2" t="s">
        <v>278</v>
      </c>
      <c r="M347" s="2" t="s">
        <v>1108</v>
      </c>
      <c r="N347" s="16">
        <v>0.02</v>
      </c>
      <c r="O347" s="17">
        <f>N347*'Financial Inputs'!$B$3</f>
        <v>2000000</v>
      </c>
      <c r="P347" s="18">
        <f>IF(I347="L",'Financial Inputs'!$B$4,IF(I347="M",'Financial Inputs'!$B$5,'Financial Inputs'!$B$6))</f>
        <v>0.7</v>
      </c>
      <c r="Q347" s="17">
        <f>O347*P347</f>
        <v>1400000</v>
      </c>
      <c r="R347" s="16">
        <f>'Financial Inputs'!$B$7</f>
        <v>0.35</v>
      </c>
      <c r="S347" s="17">
        <f>Q347*(1-R347)</f>
        <v>910000</v>
      </c>
      <c r="T347" s="18">
        <f>S347/'Financial Inputs'!$B$3</f>
        <v>9.1000000000000004E-3</v>
      </c>
      <c r="U347" s="9" t="s">
        <v>52</v>
      </c>
      <c r="V347" s="3" t="s">
        <v>53</v>
      </c>
    </row>
    <row r="348" spans="1:22">
      <c r="A348" s="2" t="s">
        <v>1244</v>
      </c>
      <c r="B348" s="2" t="s">
        <v>1245</v>
      </c>
      <c r="C348" s="2" t="s">
        <v>1105</v>
      </c>
      <c r="D348" s="2" t="s">
        <v>80</v>
      </c>
      <c r="E348" s="2" t="s">
        <v>65</v>
      </c>
      <c r="F348" s="2" t="s">
        <v>90</v>
      </c>
      <c r="G348" s="2" t="s">
        <v>162</v>
      </c>
      <c r="H348" s="2" t="s">
        <v>498</v>
      </c>
      <c r="I348" s="2" t="s">
        <v>499</v>
      </c>
      <c r="J348" s="2" t="s">
        <v>1106</v>
      </c>
      <c r="K348" s="2" t="s">
        <v>1246</v>
      </c>
      <c r="L348" s="2" t="s">
        <v>282</v>
      </c>
      <c r="M348" s="2" t="s">
        <v>1108</v>
      </c>
      <c r="N348" s="16">
        <v>2.2499999999999999E-2</v>
      </c>
      <c r="O348" s="17">
        <f>N348*'Financial Inputs'!$B$3</f>
        <v>2250000</v>
      </c>
      <c r="P348" s="18">
        <f>IF(I348="L",'Financial Inputs'!$B$4,IF(I348="M",'Financial Inputs'!$B$5,'Financial Inputs'!$B$6))</f>
        <v>0.7</v>
      </c>
      <c r="Q348" s="17">
        <f>O348*P348</f>
        <v>1575000</v>
      </c>
      <c r="R348" s="16">
        <f>'Financial Inputs'!$B$7</f>
        <v>0.35</v>
      </c>
      <c r="S348" s="17">
        <f>Q348*(1-R348)</f>
        <v>1023750</v>
      </c>
      <c r="T348" s="18">
        <f>S348/'Financial Inputs'!$B$3</f>
        <v>1.02375E-2</v>
      </c>
      <c r="U348" s="9" t="s">
        <v>52</v>
      </c>
      <c r="V348" s="3" t="s">
        <v>53</v>
      </c>
    </row>
    <row r="349" spans="1:22">
      <c r="A349" s="2" t="s">
        <v>1247</v>
      </c>
      <c r="B349" s="2" t="s">
        <v>1248</v>
      </c>
      <c r="C349" s="2" t="s">
        <v>1105</v>
      </c>
      <c r="D349" s="2" t="s">
        <v>127</v>
      </c>
      <c r="E349" s="2" t="s">
        <v>73</v>
      </c>
      <c r="F349" s="2" t="s">
        <v>97</v>
      </c>
      <c r="G349" s="2" t="s">
        <v>45</v>
      </c>
      <c r="H349" s="2" t="s">
        <v>498</v>
      </c>
      <c r="I349" s="2" t="s">
        <v>499</v>
      </c>
      <c r="J349" s="2" t="s">
        <v>1106</v>
      </c>
      <c r="K349" s="2" t="s">
        <v>1249</v>
      </c>
      <c r="L349" s="2" t="s">
        <v>286</v>
      </c>
      <c r="M349" s="2" t="s">
        <v>1108</v>
      </c>
      <c r="N349" s="16">
        <v>2.5000000000000001E-2</v>
      </c>
      <c r="O349" s="17">
        <f>N349*'Financial Inputs'!$B$3</f>
        <v>2500000</v>
      </c>
      <c r="P349" s="18">
        <f>IF(I349="L",'Financial Inputs'!$B$4,IF(I349="M",'Financial Inputs'!$B$5,'Financial Inputs'!$B$6))</f>
        <v>0.7</v>
      </c>
      <c r="Q349" s="17">
        <f>O349*P349</f>
        <v>1750000</v>
      </c>
      <c r="R349" s="16">
        <f>'Financial Inputs'!$B$7</f>
        <v>0.35</v>
      </c>
      <c r="S349" s="17">
        <f>Q349*(1-R349)</f>
        <v>1137500</v>
      </c>
      <c r="T349" s="18">
        <f>S349/'Financial Inputs'!$B$3</f>
        <v>1.1375E-2</v>
      </c>
      <c r="U349" s="9" t="s">
        <v>52</v>
      </c>
      <c r="V349" s="3" t="s">
        <v>53</v>
      </c>
    </row>
    <row r="350" spans="1:22">
      <c r="A350" s="2" t="s">
        <v>1250</v>
      </c>
      <c r="B350" s="2" t="s">
        <v>1251</v>
      </c>
      <c r="C350" s="2" t="s">
        <v>1105</v>
      </c>
      <c r="D350" s="2" t="s">
        <v>133</v>
      </c>
      <c r="E350" s="2" t="s">
        <v>81</v>
      </c>
      <c r="F350" s="2" t="s">
        <v>104</v>
      </c>
      <c r="G350" s="2" t="s">
        <v>59</v>
      </c>
      <c r="H350" s="2" t="s">
        <v>498</v>
      </c>
      <c r="I350" s="2" t="s">
        <v>499</v>
      </c>
      <c r="J350" s="2" t="s">
        <v>1106</v>
      </c>
      <c r="K350" s="2" t="s">
        <v>1252</v>
      </c>
      <c r="L350" s="2" t="s">
        <v>290</v>
      </c>
      <c r="M350" s="2" t="s">
        <v>1108</v>
      </c>
      <c r="N350" s="16">
        <v>2.75E-2</v>
      </c>
      <c r="O350" s="17">
        <f>N350*'Financial Inputs'!$B$3</f>
        <v>2750000</v>
      </c>
      <c r="P350" s="18">
        <f>IF(I350="L",'Financial Inputs'!$B$4,IF(I350="M",'Financial Inputs'!$B$5,'Financial Inputs'!$B$6))</f>
        <v>0.7</v>
      </c>
      <c r="Q350" s="17">
        <f>O350*P350</f>
        <v>1924999.9999999998</v>
      </c>
      <c r="R350" s="16">
        <f>'Financial Inputs'!$B$7</f>
        <v>0.35</v>
      </c>
      <c r="S350" s="17">
        <f>Q350*(1-R350)</f>
        <v>1251250</v>
      </c>
      <c r="T350" s="18">
        <f>S350/'Financial Inputs'!$B$3</f>
        <v>1.2512499999999999E-2</v>
      </c>
      <c r="U350" s="9" t="s">
        <v>52</v>
      </c>
      <c r="V350" s="3" t="s">
        <v>53</v>
      </c>
    </row>
    <row r="351" spans="1:22">
      <c r="A351" s="2" t="s">
        <v>1253</v>
      </c>
      <c r="B351" s="2" t="s">
        <v>1254</v>
      </c>
      <c r="C351" s="2" t="s">
        <v>1105</v>
      </c>
      <c r="D351" s="2" t="s">
        <v>88</v>
      </c>
      <c r="E351" s="2" t="s">
        <v>193</v>
      </c>
      <c r="F351" s="2" t="s">
        <v>110</v>
      </c>
      <c r="G351" s="2" t="s">
        <v>67</v>
      </c>
      <c r="H351" s="2" t="s">
        <v>498</v>
      </c>
      <c r="I351" s="2" t="s">
        <v>499</v>
      </c>
      <c r="J351" s="2" t="s">
        <v>1106</v>
      </c>
      <c r="K351" s="2" t="s">
        <v>1255</v>
      </c>
      <c r="L351" s="2" t="s">
        <v>294</v>
      </c>
      <c r="M351" s="2" t="s">
        <v>1108</v>
      </c>
      <c r="N351" s="16">
        <v>3.0000000000000009E-2</v>
      </c>
      <c r="O351" s="17">
        <f>N351*'Financial Inputs'!$B$3</f>
        <v>3000000.0000000009</v>
      </c>
      <c r="P351" s="18">
        <f>IF(I351="L",'Financial Inputs'!$B$4,IF(I351="M",'Financial Inputs'!$B$5,'Financial Inputs'!$B$6))</f>
        <v>0.7</v>
      </c>
      <c r="Q351" s="17">
        <f>O351*P351</f>
        <v>2100000.0000000005</v>
      </c>
      <c r="R351" s="16">
        <f>'Financial Inputs'!$B$7</f>
        <v>0.35</v>
      </c>
      <c r="S351" s="17">
        <f>Q351*(1-R351)</f>
        <v>1365000.0000000005</v>
      </c>
      <c r="T351" s="18">
        <f>S351/'Financial Inputs'!$B$3</f>
        <v>1.3650000000000004E-2</v>
      </c>
      <c r="U351" s="9" t="s">
        <v>52</v>
      </c>
      <c r="V351" s="3" t="s">
        <v>53</v>
      </c>
    </row>
    <row r="352" spans="1:22">
      <c r="A352" s="2" t="s">
        <v>1256</v>
      </c>
      <c r="B352" s="2" t="s">
        <v>1257</v>
      </c>
      <c r="C352" s="2" t="s">
        <v>1105</v>
      </c>
      <c r="D352" s="2" t="s">
        <v>42</v>
      </c>
      <c r="E352" s="2" t="s">
        <v>96</v>
      </c>
      <c r="F352" s="2" t="s">
        <v>44</v>
      </c>
      <c r="G352" s="2" t="s">
        <v>45</v>
      </c>
      <c r="H352" s="2" t="s">
        <v>498</v>
      </c>
      <c r="I352" s="2" t="s">
        <v>499</v>
      </c>
      <c r="J352" s="2" t="s">
        <v>1106</v>
      </c>
      <c r="K352" s="2" t="s">
        <v>1258</v>
      </c>
      <c r="L352" s="2" t="s">
        <v>298</v>
      </c>
      <c r="M352" s="2" t="s">
        <v>1108</v>
      </c>
      <c r="N352" s="16">
        <v>0.02</v>
      </c>
      <c r="O352" s="17">
        <f>N352*'Financial Inputs'!$B$3</f>
        <v>2000000</v>
      </c>
      <c r="P352" s="18">
        <f>IF(I352="L",'Financial Inputs'!$B$4,IF(I352="M",'Financial Inputs'!$B$5,'Financial Inputs'!$B$6))</f>
        <v>0.7</v>
      </c>
      <c r="Q352" s="17">
        <f>O352*P352</f>
        <v>1400000</v>
      </c>
      <c r="R352" s="16">
        <f>'Financial Inputs'!$B$7</f>
        <v>0.35</v>
      </c>
      <c r="S352" s="17">
        <f>Q352*(1-R352)</f>
        <v>910000</v>
      </c>
      <c r="T352" s="18">
        <f>S352/'Financial Inputs'!$B$3</f>
        <v>9.1000000000000004E-3</v>
      </c>
      <c r="U352" s="9" t="s">
        <v>52</v>
      </c>
      <c r="V352" s="3" t="s">
        <v>53</v>
      </c>
    </row>
    <row r="353" spans="1:22">
      <c r="A353" s="2" t="s">
        <v>1259</v>
      </c>
      <c r="B353" s="2" t="s">
        <v>1260</v>
      </c>
      <c r="C353" s="2" t="s">
        <v>1105</v>
      </c>
      <c r="D353" s="2" t="s">
        <v>56</v>
      </c>
      <c r="E353" s="2" t="s">
        <v>103</v>
      </c>
      <c r="F353" s="2" t="s">
        <v>58</v>
      </c>
      <c r="G353" s="2" t="s">
        <v>59</v>
      </c>
      <c r="H353" s="2" t="s">
        <v>498</v>
      </c>
      <c r="I353" s="2" t="s">
        <v>499</v>
      </c>
      <c r="J353" s="2" t="s">
        <v>1106</v>
      </c>
      <c r="K353" s="2" t="s">
        <v>1261</v>
      </c>
      <c r="L353" s="2" t="s">
        <v>302</v>
      </c>
      <c r="M353" s="2" t="s">
        <v>1108</v>
      </c>
      <c r="N353" s="16">
        <v>2.2499999999999999E-2</v>
      </c>
      <c r="O353" s="17">
        <f>N353*'Financial Inputs'!$B$3</f>
        <v>2250000</v>
      </c>
      <c r="P353" s="18">
        <f>IF(I353="L",'Financial Inputs'!$B$4,IF(I353="M",'Financial Inputs'!$B$5,'Financial Inputs'!$B$6))</f>
        <v>0.7</v>
      </c>
      <c r="Q353" s="17">
        <f>O353*P353</f>
        <v>1575000</v>
      </c>
      <c r="R353" s="16">
        <f>'Financial Inputs'!$B$7</f>
        <v>0.35</v>
      </c>
      <c r="S353" s="17">
        <f>Q353*(1-R353)</f>
        <v>1023750</v>
      </c>
      <c r="T353" s="18">
        <f>S353/'Financial Inputs'!$B$3</f>
        <v>1.02375E-2</v>
      </c>
      <c r="U353" s="9" t="s">
        <v>52</v>
      </c>
      <c r="V353" s="3" t="s">
        <v>53</v>
      </c>
    </row>
    <row r="354" spans="1:22">
      <c r="A354" s="2" t="s">
        <v>1262</v>
      </c>
      <c r="B354" s="2" t="s">
        <v>1263</v>
      </c>
      <c r="C354" s="2" t="s">
        <v>1105</v>
      </c>
      <c r="D354" s="2" t="s">
        <v>64</v>
      </c>
      <c r="E354" s="2" t="s">
        <v>109</v>
      </c>
      <c r="F354" s="2" t="s">
        <v>66</v>
      </c>
      <c r="G354" s="2" t="s">
        <v>67</v>
      </c>
      <c r="H354" s="2" t="s">
        <v>498</v>
      </c>
      <c r="I354" s="2" t="s">
        <v>499</v>
      </c>
      <c r="J354" s="2" t="s">
        <v>1106</v>
      </c>
      <c r="K354" s="2" t="s">
        <v>1264</v>
      </c>
      <c r="L354" s="2" t="s">
        <v>306</v>
      </c>
      <c r="M354" s="2" t="s">
        <v>1108</v>
      </c>
      <c r="N354" s="16">
        <v>2.5000000000000001E-2</v>
      </c>
      <c r="O354" s="17">
        <f>N354*'Financial Inputs'!$B$3</f>
        <v>2500000</v>
      </c>
      <c r="P354" s="18">
        <f>IF(I354="L",'Financial Inputs'!$B$4,IF(I354="M",'Financial Inputs'!$B$5,'Financial Inputs'!$B$6))</f>
        <v>0.7</v>
      </c>
      <c r="Q354" s="17">
        <f>O354*P354</f>
        <v>1750000</v>
      </c>
      <c r="R354" s="16">
        <f>'Financial Inputs'!$B$7</f>
        <v>0.35</v>
      </c>
      <c r="S354" s="17">
        <f>Q354*(1-R354)</f>
        <v>1137500</v>
      </c>
      <c r="T354" s="18">
        <f>S354/'Financial Inputs'!$B$3</f>
        <v>1.1375E-2</v>
      </c>
      <c r="U354" s="9" t="s">
        <v>52</v>
      </c>
      <c r="V354" s="3" t="s">
        <v>53</v>
      </c>
    </row>
    <row r="355" spans="1:22">
      <c r="A355" s="2" t="s">
        <v>1265</v>
      </c>
      <c r="B355" s="2" t="s">
        <v>1266</v>
      </c>
      <c r="C355" s="2" t="s">
        <v>1105</v>
      </c>
      <c r="D355" s="2" t="s">
        <v>72</v>
      </c>
      <c r="E355" s="2" t="s">
        <v>116</v>
      </c>
      <c r="F355" s="2" t="s">
        <v>74</v>
      </c>
      <c r="G355" s="2" t="s">
        <v>75</v>
      </c>
      <c r="H355" s="2" t="s">
        <v>498</v>
      </c>
      <c r="I355" s="2" t="s">
        <v>499</v>
      </c>
      <c r="J355" s="2" t="s">
        <v>1106</v>
      </c>
      <c r="K355" s="2" t="s">
        <v>1267</v>
      </c>
      <c r="L355" s="2" t="s">
        <v>310</v>
      </c>
      <c r="M355" s="2" t="s">
        <v>1108</v>
      </c>
      <c r="N355" s="16">
        <v>2.75E-2</v>
      </c>
      <c r="O355" s="17">
        <f>N355*'Financial Inputs'!$B$3</f>
        <v>2750000</v>
      </c>
      <c r="P355" s="18">
        <f>IF(I355="L",'Financial Inputs'!$B$4,IF(I355="M",'Financial Inputs'!$B$5,'Financial Inputs'!$B$6))</f>
        <v>0.7</v>
      </c>
      <c r="Q355" s="17">
        <f>O355*P355</f>
        <v>1924999.9999999998</v>
      </c>
      <c r="R355" s="16">
        <f>'Financial Inputs'!$B$7</f>
        <v>0.35</v>
      </c>
      <c r="S355" s="17">
        <f>Q355*(1-R355)</f>
        <v>1251250</v>
      </c>
      <c r="T355" s="18">
        <f>S355/'Financial Inputs'!$B$3</f>
        <v>1.2512499999999999E-2</v>
      </c>
      <c r="U355" s="9" t="s">
        <v>52</v>
      </c>
      <c r="V355" s="3" t="s">
        <v>53</v>
      </c>
    </row>
    <row r="356" spans="1:22">
      <c r="A356" s="2" t="s">
        <v>1268</v>
      </c>
      <c r="B356" s="2" t="s">
        <v>1269</v>
      </c>
      <c r="C356" s="2" t="s">
        <v>1105</v>
      </c>
      <c r="D356" s="2" t="s">
        <v>80</v>
      </c>
      <c r="E356" s="2" t="s">
        <v>215</v>
      </c>
      <c r="F356" s="2" t="s">
        <v>82</v>
      </c>
      <c r="G356" s="2" t="s">
        <v>83</v>
      </c>
      <c r="H356" s="2" t="s">
        <v>498</v>
      </c>
      <c r="I356" s="2" t="s">
        <v>499</v>
      </c>
      <c r="J356" s="2" t="s">
        <v>1106</v>
      </c>
      <c r="K356" s="2" t="s">
        <v>1270</v>
      </c>
      <c r="L356" s="2" t="s">
        <v>314</v>
      </c>
      <c r="M356" s="2" t="s">
        <v>1108</v>
      </c>
      <c r="N356" s="16">
        <v>3.0000000000000009E-2</v>
      </c>
      <c r="O356" s="17">
        <f>N356*'Financial Inputs'!$B$3</f>
        <v>3000000.0000000009</v>
      </c>
      <c r="P356" s="18">
        <f>IF(I356="L",'Financial Inputs'!$B$4,IF(I356="M",'Financial Inputs'!$B$5,'Financial Inputs'!$B$6))</f>
        <v>0.7</v>
      </c>
      <c r="Q356" s="17">
        <f>O356*P356</f>
        <v>2100000.0000000005</v>
      </c>
      <c r="R356" s="16">
        <f>'Financial Inputs'!$B$7</f>
        <v>0.35</v>
      </c>
      <c r="S356" s="17">
        <f>Q356*(1-R356)</f>
        <v>1365000.0000000005</v>
      </c>
      <c r="T356" s="18">
        <f>S356/'Financial Inputs'!$B$3</f>
        <v>1.3650000000000004E-2</v>
      </c>
      <c r="U356" s="9" t="s">
        <v>52</v>
      </c>
      <c r="V356" s="3" t="s">
        <v>53</v>
      </c>
    </row>
    <row r="357" spans="1:22">
      <c r="A357" s="2" t="s">
        <v>1271</v>
      </c>
      <c r="B357" s="2" t="s">
        <v>1272</v>
      </c>
      <c r="C357" s="2" t="s">
        <v>1105</v>
      </c>
      <c r="D357" s="2" t="s">
        <v>88</v>
      </c>
      <c r="E357" s="2" t="s">
        <v>128</v>
      </c>
      <c r="F357" s="2" t="s">
        <v>90</v>
      </c>
      <c r="G357" s="2" t="s">
        <v>67</v>
      </c>
      <c r="H357" s="2" t="s">
        <v>498</v>
      </c>
      <c r="I357" s="2" t="s">
        <v>499</v>
      </c>
      <c r="J357" s="2" t="s">
        <v>1106</v>
      </c>
      <c r="K357" s="2" t="s">
        <v>1273</v>
      </c>
      <c r="L357" s="2" t="s">
        <v>318</v>
      </c>
      <c r="M357" s="2" t="s">
        <v>1108</v>
      </c>
      <c r="N357" s="16">
        <v>0.02</v>
      </c>
      <c r="O357" s="17">
        <f>N357*'Financial Inputs'!$B$3</f>
        <v>2000000</v>
      </c>
      <c r="P357" s="18">
        <f>IF(I357="L",'Financial Inputs'!$B$4,IF(I357="M",'Financial Inputs'!$B$5,'Financial Inputs'!$B$6))</f>
        <v>0.7</v>
      </c>
      <c r="Q357" s="17">
        <f>O357*P357</f>
        <v>1400000</v>
      </c>
      <c r="R357" s="16">
        <f>'Financial Inputs'!$B$7</f>
        <v>0.35</v>
      </c>
      <c r="S357" s="17">
        <f>Q357*(1-R357)</f>
        <v>910000</v>
      </c>
      <c r="T357" s="18">
        <f>S357/'Financial Inputs'!$B$3</f>
        <v>9.1000000000000004E-3</v>
      </c>
      <c r="U357" s="9" t="s">
        <v>52</v>
      </c>
      <c r="V357" s="3" t="s">
        <v>53</v>
      </c>
    </row>
    <row r="358" spans="1:22">
      <c r="A358" s="2" t="s">
        <v>1274</v>
      </c>
      <c r="B358" s="2" t="s">
        <v>1275</v>
      </c>
      <c r="C358" s="2" t="s">
        <v>1105</v>
      </c>
      <c r="D358" s="2" t="s">
        <v>95</v>
      </c>
      <c r="E358" s="2" t="s">
        <v>43</v>
      </c>
      <c r="F358" s="2" t="s">
        <v>97</v>
      </c>
      <c r="G358" s="2" t="s">
        <v>75</v>
      </c>
      <c r="H358" s="2" t="s">
        <v>498</v>
      </c>
      <c r="I358" s="2" t="s">
        <v>499</v>
      </c>
      <c r="J358" s="2" t="s">
        <v>1106</v>
      </c>
      <c r="K358" s="2" t="s">
        <v>1276</v>
      </c>
      <c r="L358" s="2" t="s">
        <v>322</v>
      </c>
      <c r="M358" s="2" t="s">
        <v>1108</v>
      </c>
      <c r="N358" s="16">
        <v>2.2499999999999999E-2</v>
      </c>
      <c r="O358" s="17">
        <f>N358*'Financial Inputs'!$B$3</f>
        <v>2250000</v>
      </c>
      <c r="P358" s="18">
        <f>IF(I358="L",'Financial Inputs'!$B$4,IF(I358="M",'Financial Inputs'!$B$5,'Financial Inputs'!$B$6))</f>
        <v>0.7</v>
      </c>
      <c r="Q358" s="17">
        <f>O358*P358</f>
        <v>1575000</v>
      </c>
      <c r="R358" s="16">
        <f>'Financial Inputs'!$B$7</f>
        <v>0.35</v>
      </c>
      <c r="S358" s="17">
        <f>Q358*(1-R358)</f>
        <v>1023750</v>
      </c>
      <c r="T358" s="18">
        <f>S358/'Financial Inputs'!$B$3</f>
        <v>1.02375E-2</v>
      </c>
      <c r="U358" s="9" t="s">
        <v>52</v>
      </c>
      <c r="V358" s="3" t="s">
        <v>53</v>
      </c>
    </row>
    <row r="359" spans="1:22">
      <c r="A359" s="2" t="s">
        <v>1277</v>
      </c>
      <c r="B359" s="2" t="s">
        <v>1278</v>
      </c>
      <c r="C359" s="2" t="s">
        <v>1105</v>
      </c>
      <c r="D359" s="2" t="s">
        <v>102</v>
      </c>
      <c r="E359" s="2" t="s">
        <v>57</v>
      </c>
      <c r="F359" s="2" t="s">
        <v>104</v>
      </c>
      <c r="G359" s="2" t="s">
        <v>83</v>
      </c>
      <c r="H359" s="2" t="s">
        <v>498</v>
      </c>
      <c r="I359" s="2" t="s">
        <v>499</v>
      </c>
      <c r="J359" s="2" t="s">
        <v>1106</v>
      </c>
      <c r="K359" s="2" t="s">
        <v>1279</v>
      </c>
      <c r="L359" s="2" t="s">
        <v>326</v>
      </c>
      <c r="M359" s="2" t="s">
        <v>1108</v>
      </c>
      <c r="N359" s="16">
        <v>2.5000000000000001E-2</v>
      </c>
      <c r="O359" s="17">
        <f>N359*'Financial Inputs'!$B$3</f>
        <v>2500000</v>
      </c>
      <c r="P359" s="18">
        <f>IF(I359="L",'Financial Inputs'!$B$4,IF(I359="M",'Financial Inputs'!$B$5,'Financial Inputs'!$B$6))</f>
        <v>0.7</v>
      </c>
      <c r="Q359" s="17">
        <f>O359*P359</f>
        <v>1750000</v>
      </c>
      <c r="R359" s="16">
        <f>'Financial Inputs'!$B$7</f>
        <v>0.35</v>
      </c>
      <c r="S359" s="17">
        <f>Q359*(1-R359)</f>
        <v>1137500</v>
      </c>
      <c r="T359" s="18">
        <f>S359/'Financial Inputs'!$B$3</f>
        <v>1.1375E-2</v>
      </c>
      <c r="U359" s="9" t="s">
        <v>52</v>
      </c>
      <c r="V359" s="3" t="s">
        <v>53</v>
      </c>
    </row>
    <row r="360" spans="1:22">
      <c r="A360" s="2" t="s">
        <v>1280</v>
      </c>
      <c r="B360" s="2" t="s">
        <v>1281</v>
      </c>
      <c r="C360" s="2" t="s">
        <v>1105</v>
      </c>
      <c r="D360" s="2" t="s">
        <v>42</v>
      </c>
      <c r="E360" s="2" t="s">
        <v>65</v>
      </c>
      <c r="F360" s="2" t="s">
        <v>110</v>
      </c>
      <c r="G360" s="2" t="s">
        <v>111</v>
      </c>
      <c r="H360" s="2" t="s">
        <v>498</v>
      </c>
      <c r="I360" s="2" t="s">
        <v>499</v>
      </c>
      <c r="J360" s="2" t="s">
        <v>1106</v>
      </c>
      <c r="K360" s="2" t="s">
        <v>1282</v>
      </c>
      <c r="L360" s="2" t="s">
        <v>330</v>
      </c>
      <c r="M360" s="2" t="s">
        <v>1108</v>
      </c>
      <c r="N360" s="16">
        <v>2.75E-2</v>
      </c>
      <c r="O360" s="17">
        <f>N360*'Financial Inputs'!$B$3</f>
        <v>2750000</v>
      </c>
      <c r="P360" s="18">
        <f>IF(I360="L",'Financial Inputs'!$B$4,IF(I360="M",'Financial Inputs'!$B$5,'Financial Inputs'!$B$6))</f>
        <v>0.7</v>
      </c>
      <c r="Q360" s="17">
        <f>O360*P360</f>
        <v>1924999.9999999998</v>
      </c>
      <c r="R360" s="16">
        <f>'Financial Inputs'!$B$7</f>
        <v>0.35</v>
      </c>
      <c r="S360" s="17">
        <f>Q360*(1-R360)</f>
        <v>1251250</v>
      </c>
      <c r="T360" s="18">
        <f>S360/'Financial Inputs'!$B$3</f>
        <v>1.2512499999999999E-2</v>
      </c>
      <c r="U360" s="9" t="s">
        <v>52</v>
      </c>
      <c r="V360" s="3" t="s">
        <v>53</v>
      </c>
    </row>
    <row r="361" spans="1:22">
      <c r="A361" s="2" t="s">
        <v>1283</v>
      </c>
      <c r="B361" s="2" t="s">
        <v>1284</v>
      </c>
      <c r="C361" s="2" t="s">
        <v>1105</v>
      </c>
      <c r="D361" s="2" t="s">
        <v>56</v>
      </c>
      <c r="E361" s="2" t="s">
        <v>73</v>
      </c>
      <c r="F361" s="2" t="s">
        <v>117</v>
      </c>
      <c r="G361" s="2" t="s">
        <v>56</v>
      </c>
      <c r="H361" s="2" t="s">
        <v>498</v>
      </c>
      <c r="I361" s="2" t="s">
        <v>499</v>
      </c>
      <c r="J361" s="2" t="s">
        <v>1106</v>
      </c>
      <c r="K361" s="2" t="s">
        <v>1285</v>
      </c>
      <c r="L361" s="2" t="s">
        <v>334</v>
      </c>
      <c r="M361" s="2" t="s">
        <v>1108</v>
      </c>
      <c r="N361" s="16">
        <v>3.0000000000000009E-2</v>
      </c>
      <c r="O361" s="17">
        <f>N361*'Financial Inputs'!$B$3</f>
        <v>3000000.0000000009</v>
      </c>
      <c r="P361" s="18">
        <f>IF(I361="L",'Financial Inputs'!$B$4,IF(I361="M",'Financial Inputs'!$B$5,'Financial Inputs'!$B$6))</f>
        <v>0.7</v>
      </c>
      <c r="Q361" s="17">
        <f>O361*P361</f>
        <v>2100000.0000000005</v>
      </c>
      <c r="R361" s="16">
        <f>'Financial Inputs'!$B$7</f>
        <v>0.35</v>
      </c>
      <c r="S361" s="17">
        <f>Q361*(1-R361)</f>
        <v>1365000.0000000005</v>
      </c>
      <c r="T361" s="18">
        <f>S361/'Financial Inputs'!$B$3</f>
        <v>1.3650000000000004E-2</v>
      </c>
      <c r="U361" s="9" t="s">
        <v>52</v>
      </c>
      <c r="V361" s="3" t="s">
        <v>53</v>
      </c>
    </row>
    <row r="362" spans="1:22">
      <c r="A362" s="2" t="s">
        <v>1286</v>
      </c>
      <c r="B362" s="2" t="s">
        <v>1287</v>
      </c>
      <c r="C362" s="2" t="s">
        <v>1105</v>
      </c>
      <c r="D362" s="2" t="s">
        <v>80</v>
      </c>
      <c r="E362" s="2" t="s">
        <v>153</v>
      </c>
      <c r="F362" s="2" t="s">
        <v>58</v>
      </c>
      <c r="G362" s="2" t="s">
        <v>83</v>
      </c>
      <c r="H362" s="2" t="s">
        <v>498</v>
      </c>
      <c r="I362" s="2" t="s">
        <v>499</v>
      </c>
      <c r="J362" s="2" t="s">
        <v>1106</v>
      </c>
      <c r="K362" s="2" t="s">
        <v>1288</v>
      </c>
      <c r="L362" s="2" t="s">
        <v>338</v>
      </c>
      <c r="M362" s="2" t="s">
        <v>1108</v>
      </c>
      <c r="N362" s="16">
        <v>0.02</v>
      </c>
      <c r="O362" s="17">
        <f>N362*'Financial Inputs'!$B$3</f>
        <v>2000000</v>
      </c>
      <c r="P362" s="18">
        <f>IF(I362="L",'Financial Inputs'!$B$4,IF(I362="M",'Financial Inputs'!$B$5,'Financial Inputs'!$B$6))</f>
        <v>0.7</v>
      </c>
      <c r="Q362" s="17">
        <f>O362*P362</f>
        <v>1400000</v>
      </c>
      <c r="R362" s="16">
        <f>'Financial Inputs'!$B$7</f>
        <v>0.35</v>
      </c>
      <c r="S362" s="17">
        <f>Q362*(1-R362)</f>
        <v>910000</v>
      </c>
      <c r="T362" s="18">
        <f>S362/'Financial Inputs'!$B$3</f>
        <v>9.1000000000000004E-3</v>
      </c>
      <c r="U362" s="9" t="s">
        <v>52</v>
      </c>
      <c r="V362" s="3" t="s">
        <v>53</v>
      </c>
    </row>
    <row r="363" spans="1:22">
      <c r="A363" s="2" t="s">
        <v>1289</v>
      </c>
      <c r="B363" s="2" t="s">
        <v>1290</v>
      </c>
      <c r="C363" s="2" t="s">
        <v>1105</v>
      </c>
      <c r="D363" s="2" t="s">
        <v>127</v>
      </c>
      <c r="E363" s="2" t="s">
        <v>89</v>
      </c>
      <c r="F363" s="2" t="s">
        <v>66</v>
      </c>
      <c r="G363" s="2" t="s">
        <v>111</v>
      </c>
      <c r="H363" s="2" t="s">
        <v>498</v>
      </c>
      <c r="I363" s="2" t="s">
        <v>499</v>
      </c>
      <c r="J363" s="2" t="s">
        <v>1106</v>
      </c>
      <c r="K363" s="2" t="s">
        <v>1291</v>
      </c>
      <c r="L363" s="2" t="s">
        <v>342</v>
      </c>
      <c r="M363" s="2" t="s">
        <v>1108</v>
      </c>
      <c r="N363" s="16">
        <v>2.2499999999999999E-2</v>
      </c>
      <c r="O363" s="17">
        <f>N363*'Financial Inputs'!$B$3</f>
        <v>2250000</v>
      </c>
      <c r="P363" s="18">
        <f>IF(I363="L",'Financial Inputs'!$B$4,IF(I363="M",'Financial Inputs'!$B$5,'Financial Inputs'!$B$6))</f>
        <v>0.7</v>
      </c>
      <c r="Q363" s="17">
        <f>O363*P363</f>
        <v>1575000</v>
      </c>
      <c r="R363" s="16">
        <f>'Financial Inputs'!$B$7</f>
        <v>0.35</v>
      </c>
      <c r="S363" s="17">
        <f>Q363*(1-R363)</f>
        <v>1023750</v>
      </c>
      <c r="T363" s="18">
        <f>S363/'Financial Inputs'!$B$3</f>
        <v>1.02375E-2</v>
      </c>
      <c r="U363" s="9" t="s">
        <v>52</v>
      </c>
      <c r="V363" s="3" t="s">
        <v>53</v>
      </c>
    </row>
    <row r="364" spans="1:22">
      <c r="A364" s="2" t="s">
        <v>1292</v>
      </c>
      <c r="B364" s="2" t="s">
        <v>1293</v>
      </c>
      <c r="C364" s="2" t="s">
        <v>1105</v>
      </c>
      <c r="D364" s="2" t="s">
        <v>133</v>
      </c>
      <c r="E364" s="2" t="s">
        <v>96</v>
      </c>
      <c r="F364" s="2" t="s">
        <v>74</v>
      </c>
      <c r="G364" s="2" t="s">
        <v>56</v>
      </c>
      <c r="H364" s="2" t="s">
        <v>498</v>
      </c>
      <c r="I364" s="2" t="s">
        <v>499</v>
      </c>
      <c r="J364" s="2" t="s">
        <v>1106</v>
      </c>
      <c r="K364" s="2" t="s">
        <v>1294</v>
      </c>
      <c r="L364" s="2" t="s">
        <v>346</v>
      </c>
      <c r="M364" s="2" t="s">
        <v>1108</v>
      </c>
      <c r="N364" s="16">
        <v>2.5000000000000001E-2</v>
      </c>
      <c r="O364" s="17">
        <f>N364*'Financial Inputs'!$B$3</f>
        <v>2500000</v>
      </c>
      <c r="P364" s="18">
        <f>IF(I364="L",'Financial Inputs'!$B$4,IF(I364="M",'Financial Inputs'!$B$5,'Financial Inputs'!$B$6))</f>
        <v>0.7</v>
      </c>
      <c r="Q364" s="17">
        <f>O364*P364</f>
        <v>1750000</v>
      </c>
      <c r="R364" s="16">
        <f>'Financial Inputs'!$B$7</f>
        <v>0.35</v>
      </c>
      <c r="S364" s="17">
        <f>Q364*(1-R364)</f>
        <v>1137500</v>
      </c>
      <c r="T364" s="18">
        <f>S364/'Financial Inputs'!$B$3</f>
        <v>1.1375E-2</v>
      </c>
      <c r="U364" s="9" t="s">
        <v>52</v>
      </c>
      <c r="V364" s="3" t="s">
        <v>53</v>
      </c>
    </row>
    <row r="365" spans="1:22">
      <c r="A365" s="2" t="s">
        <v>1295</v>
      </c>
      <c r="B365" s="2" t="s">
        <v>1296</v>
      </c>
      <c r="C365" s="2" t="s">
        <v>1105</v>
      </c>
      <c r="D365" s="2" t="s">
        <v>88</v>
      </c>
      <c r="E365" s="2" t="s">
        <v>103</v>
      </c>
      <c r="F365" s="2" t="s">
        <v>82</v>
      </c>
      <c r="G365" s="2" t="s">
        <v>138</v>
      </c>
      <c r="H365" s="2" t="s">
        <v>498</v>
      </c>
      <c r="I365" s="2" t="s">
        <v>499</v>
      </c>
      <c r="J365" s="2" t="s">
        <v>1106</v>
      </c>
      <c r="K365" s="2" t="s">
        <v>1297</v>
      </c>
      <c r="L365" s="2" t="s">
        <v>350</v>
      </c>
      <c r="M365" s="2" t="s">
        <v>1108</v>
      </c>
      <c r="N365" s="16">
        <v>2.75E-2</v>
      </c>
      <c r="O365" s="17">
        <f>N365*'Financial Inputs'!$B$3</f>
        <v>2750000</v>
      </c>
      <c r="P365" s="18">
        <f>IF(I365="L",'Financial Inputs'!$B$4,IF(I365="M",'Financial Inputs'!$B$5,'Financial Inputs'!$B$6))</f>
        <v>0.7</v>
      </c>
      <c r="Q365" s="17">
        <f>O365*P365</f>
        <v>1924999.9999999998</v>
      </c>
      <c r="R365" s="16">
        <f>'Financial Inputs'!$B$7</f>
        <v>0.35</v>
      </c>
      <c r="S365" s="17">
        <f>Q365*(1-R365)</f>
        <v>1251250</v>
      </c>
      <c r="T365" s="18">
        <f>S365/'Financial Inputs'!$B$3</f>
        <v>1.2512499999999999E-2</v>
      </c>
      <c r="U365" s="9" t="s">
        <v>52</v>
      </c>
      <c r="V365" s="3" t="s">
        <v>53</v>
      </c>
    </row>
    <row r="366" spans="1:22">
      <c r="A366" s="2" t="s">
        <v>1298</v>
      </c>
      <c r="B366" s="2" t="s">
        <v>1299</v>
      </c>
      <c r="C366" s="2" t="s">
        <v>1105</v>
      </c>
      <c r="D366" s="2" t="s">
        <v>95</v>
      </c>
      <c r="E366" s="2" t="s">
        <v>109</v>
      </c>
      <c r="F366" s="2" t="s">
        <v>44</v>
      </c>
      <c r="G366" s="2" t="s">
        <v>143</v>
      </c>
      <c r="H366" s="2" t="s">
        <v>498</v>
      </c>
      <c r="I366" s="2" t="s">
        <v>499</v>
      </c>
      <c r="J366" s="2" t="s">
        <v>1106</v>
      </c>
      <c r="K366" s="2" t="s">
        <v>1300</v>
      </c>
      <c r="L366" s="2" t="s">
        <v>354</v>
      </c>
      <c r="M366" s="2" t="s">
        <v>1108</v>
      </c>
      <c r="N366" s="16">
        <v>3.0000000000000009E-2</v>
      </c>
      <c r="O366" s="17">
        <f>N366*'Financial Inputs'!$B$3</f>
        <v>3000000.0000000009</v>
      </c>
      <c r="P366" s="18">
        <f>IF(I366="L",'Financial Inputs'!$B$4,IF(I366="M",'Financial Inputs'!$B$5,'Financial Inputs'!$B$6))</f>
        <v>0.7</v>
      </c>
      <c r="Q366" s="17">
        <f>O366*P366</f>
        <v>2100000.0000000005</v>
      </c>
      <c r="R366" s="16">
        <f>'Financial Inputs'!$B$7</f>
        <v>0.35</v>
      </c>
      <c r="S366" s="17">
        <f>Q366*(1-R366)</f>
        <v>1365000.0000000005</v>
      </c>
      <c r="T366" s="18">
        <f>S366/'Financial Inputs'!$B$3</f>
        <v>1.3650000000000004E-2</v>
      </c>
      <c r="U366" s="9" t="s">
        <v>52</v>
      </c>
      <c r="V366" s="3" t="s">
        <v>53</v>
      </c>
    </row>
    <row r="367" spans="1:22">
      <c r="A367" s="2" t="s">
        <v>1301</v>
      </c>
      <c r="B367" s="2" t="s">
        <v>1302</v>
      </c>
      <c r="C367" s="2" t="s">
        <v>1105</v>
      </c>
      <c r="D367" s="2" t="s">
        <v>56</v>
      </c>
      <c r="E367" s="2" t="s">
        <v>176</v>
      </c>
      <c r="F367" s="2" t="s">
        <v>97</v>
      </c>
      <c r="G367" s="2" t="s">
        <v>56</v>
      </c>
      <c r="H367" s="2" t="s">
        <v>498</v>
      </c>
      <c r="I367" s="2" t="s">
        <v>499</v>
      </c>
      <c r="J367" s="2" t="s">
        <v>1106</v>
      </c>
      <c r="K367" s="2" t="s">
        <v>1303</v>
      </c>
      <c r="L367" s="2" t="s">
        <v>358</v>
      </c>
      <c r="M367" s="2" t="s">
        <v>1108</v>
      </c>
      <c r="N367" s="16">
        <v>0.02</v>
      </c>
      <c r="O367" s="17">
        <f>N367*'Financial Inputs'!$B$3</f>
        <v>2000000</v>
      </c>
      <c r="P367" s="18">
        <f>IF(I367="L",'Financial Inputs'!$B$4,IF(I367="M",'Financial Inputs'!$B$5,'Financial Inputs'!$B$6))</f>
        <v>0.7</v>
      </c>
      <c r="Q367" s="17">
        <f>O367*P367</f>
        <v>1400000</v>
      </c>
      <c r="R367" s="16">
        <f>'Financial Inputs'!$B$7</f>
        <v>0.35</v>
      </c>
      <c r="S367" s="17">
        <f>Q367*(1-R367)</f>
        <v>910000</v>
      </c>
      <c r="T367" s="18">
        <f>S367/'Financial Inputs'!$B$3</f>
        <v>9.1000000000000004E-3</v>
      </c>
      <c r="U367" s="9" t="s">
        <v>52</v>
      </c>
      <c r="V367" s="3" t="s">
        <v>53</v>
      </c>
    </row>
    <row r="368" spans="1:22">
      <c r="A368" s="2" t="s">
        <v>1304</v>
      </c>
      <c r="B368" s="2" t="s">
        <v>1305</v>
      </c>
      <c r="C368" s="2" t="s">
        <v>1105</v>
      </c>
      <c r="D368" s="2" t="s">
        <v>64</v>
      </c>
      <c r="E368" s="2" t="s">
        <v>122</v>
      </c>
      <c r="F368" s="2" t="s">
        <v>104</v>
      </c>
      <c r="G368" s="2" t="s">
        <v>138</v>
      </c>
      <c r="H368" s="2" t="s">
        <v>498</v>
      </c>
      <c r="I368" s="2" t="s">
        <v>499</v>
      </c>
      <c r="J368" s="2" t="s">
        <v>1106</v>
      </c>
      <c r="K368" s="2" t="s">
        <v>1306</v>
      </c>
      <c r="L368" s="2" t="s">
        <v>362</v>
      </c>
      <c r="M368" s="2" t="s">
        <v>1108</v>
      </c>
      <c r="N368" s="16">
        <v>2.2499999999999999E-2</v>
      </c>
      <c r="O368" s="17">
        <f>N368*'Financial Inputs'!$B$3</f>
        <v>2250000</v>
      </c>
      <c r="P368" s="18">
        <f>IF(I368="L",'Financial Inputs'!$B$4,IF(I368="M",'Financial Inputs'!$B$5,'Financial Inputs'!$B$6))</f>
        <v>0.7</v>
      </c>
      <c r="Q368" s="17">
        <f>O368*P368</f>
        <v>1575000</v>
      </c>
      <c r="R368" s="16">
        <f>'Financial Inputs'!$B$7</f>
        <v>0.35</v>
      </c>
      <c r="S368" s="17">
        <f>Q368*(1-R368)</f>
        <v>1023750</v>
      </c>
      <c r="T368" s="18">
        <f>S368/'Financial Inputs'!$B$3</f>
        <v>1.02375E-2</v>
      </c>
      <c r="U368" s="9" t="s">
        <v>52</v>
      </c>
      <c r="V368" s="3" t="s">
        <v>53</v>
      </c>
    </row>
    <row r="369" spans="1:22">
      <c r="A369" s="2" t="s">
        <v>1307</v>
      </c>
      <c r="B369" s="2" t="s">
        <v>1308</v>
      </c>
      <c r="C369" s="2" t="s">
        <v>1105</v>
      </c>
      <c r="D369" s="2" t="s">
        <v>72</v>
      </c>
      <c r="E369" s="2" t="s">
        <v>128</v>
      </c>
      <c r="F369" s="2" t="s">
        <v>110</v>
      </c>
      <c r="G369" s="2" t="s">
        <v>143</v>
      </c>
      <c r="H369" s="2" t="s">
        <v>498</v>
      </c>
      <c r="I369" s="2" t="s">
        <v>499</v>
      </c>
      <c r="J369" s="2" t="s">
        <v>1106</v>
      </c>
      <c r="K369" s="2" t="s">
        <v>1309</v>
      </c>
      <c r="L369" s="2" t="s">
        <v>366</v>
      </c>
      <c r="M369" s="2" t="s">
        <v>1108</v>
      </c>
      <c r="N369" s="16">
        <v>2.5000000000000001E-2</v>
      </c>
      <c r="O369" s="17">
        <f>N369*'Financial Inputs'!$B$3</f>
        <v>2500000</v>
      </c>
      <c r="P369" s="18">
        <f>IF(I369="L",'Financial Inputs'!$B$4,IF(I369="M",'Financial Inputs'!$B$5,'Financial Inputs'!$B$6))</f>
        <v>0.7</v>
      </c>
      <c r="Q369" s="17">
        <f>O369*P369</f>
        <v>1750000</v>
      </c>
      <c r="R369" s="16">
        <f>'Financial Inputs'!$B$7</f>
        <v>0.35</v>
      </c>
      <c r="S369" s="17">
        <f>Q369*(1-R369)</f>
        <v>1137500</v>
      </c>
      <c r="T369" s="18">
        <f>S369/'Financial Inputs'!$B$3</f>
        <v>1.1375E-2</v>
      </c>
      <c r="U369" s="9" t="s">
        <v>52</v>
      </c>
      <c r="V369" s="3" t="s">
        <v>53</v>
      </c>
    </row>
    <row r="370" spans="1:22">
      <c r="A370" s="2" t="s">
        <v>1310</v>
      </c>
      <c r="B370" s="2" t="s">
        <v>1311</v>
      </c>
      <c r="C370" s="2" t="s">
        <v>1105</v>
      </c>
      <c r="D370" s="2" t="s">
        <v>80</v>
      </c>
      <c r="E370" s="2" t="s">
        <v>43</v>
      </c>
      <c r="F370" s="2" t="s">
        <v>117</v>
      </c>
      <c r="G370" s="2" t="s">
        <v>162</v>
      </c>
      <c r="H370" s="2" t="s">
        <v>498</v>
      </c>
      <c r="I370" s="2" t="s">
        <v>499</v>
      </c>
      <c r="J370" s="2" t="s">
        <v>1106</v>
      </c>
      <c r="K370" s="2" t="s">
        <v>1312</v>
      </c>
      <c r="L370" s="2" t="s">
        <v>370</v>
      </c>
      <c r="M370" s="2" t="s">
        <v>1108</v>
      </c>
      <c r="N370" s="16">
        <v>2.75E-2</v>
      </c>
      <c r="O370" s="17">
        <f>N370*'Financial Inputs'!$B$3</f>
        <v>2750000</v>
      </c>
      <c r="P370" s="18">
        <f>IF(I370="L",'Financial Inputs'!$B$4,IF(I370="M",'Financial Inputs'!$B$5,'Financial Inputs'!$B$6))</f>
        <v>0.7</v>
      </c>
      <c r="Q370" s="17">
        <f>O370*P370</f>
        <v>1924999.9999999998</v>
      </c>
      <c r="R370" s="16">
        <f>'Financial Inputs'!$B$7</f>
        <v>0.35</v>
      </c>
      <c r="S370" s="17">
        <f>Q370*(1-R370)</f>
        <v>1251250</v>
      </c>
      <c r="T370" s="18">
        <f>S370/'Financial Inputs'!$B$3</f>
        <v>1.2512499999999999E-2</v>
      </c>
      <c r="U370" s="9" t="s">
        <v>52</v>
      </c>
      <c r="V370" s="3" t="s">
        <v>53</v>
      </c>
    </row>
    <row r="371" spans="1:22">
      <c r="A371" s="2" t="s">
        <v>1313</v>
      </c>
      <c r="B371" s="2" t="s">
        <v>1314</v>
      </c>
      <c r="C371" s="2" t="s">
        <v>1105</v>
      </c>
      <c r="D371" s="2" t="s">
        <v>127</v>
      </c>
      <c r="E371" s="2" t="s">
        <v>57</v>
      </c>
      <c r="F371" s="2" t="s">
        <v>90</v>
      </c>
      <c r="G371" s="2" t="s">
        <v>45</v>
      </c>
      <c r="H371" s="2" t="s">
        <v>498</v>
      </c>
      <c r="I371" s="2" t="s">
        <v>499</v>
      </c>
      <c r="J371" s="2" t="s">
        <v>1106</v>
      </c>
      <c r="K371" s="2" t="s">
        <v>1315</v>
      </c>
      <c r="L371" s="2" t="s">
        <v>374</v>
      </c>
      <c r="M371" s="2" t="s">
        <v>1108</v>
      </c>
      <c r="N371" s="16">
        <v>3.0000000000000009E-2</v>
      </c>
      <c r="O371" s="17">
        <f>N371*'Financial Inputs'!$B$3</f>
        <v>3000000.0000000009</v>
      </c>
      <c r="P371" s="18">
        <f>IF(I371="L",'Financial Inputs'!$B$4,IF(I371="M",'Financial Inputs'!$B$5,'Financial Inputs'!$B$6))</f>
        <v>0.7</v>
      </c>
      <c r="Q371" s="17">
        <f>O371*P371</f>
        <v>2100000.0000000005</v>
      </c>
      <c r="R371" s="16">
        <f>'Financial Inputs'!$B$7</f>
        <v>0.35</v>
      </c>
      <c r="S371" s="17">
        <f>Q371*(1-R371)</f>
        <v>1365000.0000000005</v>
      </c>
      <c r="T371" s="18">
        <f>S371/'Financial Inputs'!$B$3</f>
        <v>1.3650000000000004E-2</v>
      </c>
      <c r="U371" s="9" t="s">
        <v>52</v>
      </c>
      <c r="V371" s="3" t="s">
        <v>53</v>
      </c>
    </row>
    <row r="372" spans="1:22">
      <c r="A372" s="2" t="s">
        <v>1316</v>
      </c>
      <c r="B372" s="2" t="s">
        <v>1317</v>
      </c>
      <c r="C372" s="2" t="s">
        <v>1105</v>
      </c>
      <c r="D372" s="2" t="s">
        <v>95</v>
      </c>
      <c r="E372" s="2" t="s">
        <v>198</v>
      </c>
      <c r="F372" s="2" t="s">
        <v>66</v>
      </c>
      <c r="G372" s="2" t="s">
        <v>143</v>
      </c>
      <c r="H372" s="2" t="s">
        <v>498</v>
      </c>
      <c r="I372" s="2" t="s">
        <v>499</v>
      </c>
      <c r="J372" s="2" t="s">
        <v>1106</v>
      </c>
      <c r="K372" s="2" t="s">
        <v>1318</v>
      </c>
      <c r="L372" s="2" t="s">
        <v>378</v>
      </c>
      <c r="M372" s="2" t="s">
        <v>1108</v>
      </c>
      <c r="N372" s="16">
        <v>0.02</v>
      </c>
      <c r="O372" s="17">
        <f>N372*'Financial Inputs'!$B$3</f>
        <v>2000000</v>
      </c>
      <c r="P372" s="18">
        <f>IF(I372="L",'Financial Inputs'!$B$4,IF(I372="M",'Financial Inputs'!$B$5,'Financial Inputs'!$B$6))</f>
        <v>0.7</v>
      </c>
      <c r="Q372" s="17">
        <f>O372*P372</f>
        <v>1400000</v>
      </c>
      <c r="R372" s="16">
        <f>'Financial Inputs'!$B$7</f>
        <v>0.35</v>
      </c>
      <c r="S372" s="17">
        <f>Q372*(1-R372)</f>
        <v>910000</v>
      </c>
      <c r="T372" s="18">
        <f>S372/'Financial Inputs'!$B$3</f>
        <v>9.1000000000000004E-3</v>
      </c>
      <c r="U372" s="9" t="s">
        <v>52</v>
      </c>
      <c r="V372" s="3" t="s">
        <v>53</v>
      </c>
    </row>
    <row r="373" spans="1:22">
      <c r="A373" s="2" t="s">
        <v>1319</v>
      </c>
      <c r="B373" s="2" t="s">
        <v>1320</v>
      </c>
      <c r="C373" s="2" t="s">
        <v>1105</v>
      </c>
      <c r="D373" s="2" t="s">
        <v>102</v>
      </c>
      <c r="E373" s="2" t="s">
        <v>148</v>
      </c>
      <c r="F373" s="2" t="s">
        <v>74</v>
      </c>
      <c r="G373" s="2" t="s">
        <v>162</v>
      </c>
      <c r="H373" s="2" t="s">
        <v>498</v>
      </c>
      <c r="I373" s="2" t="s">
        <v>499</v>
      </c>
      <c r="J373" s="2" t="s">
        <v>1106</v>
      </c>
      <c r="K373" s="2" t="s">
        <v>1321</v>
      </c>
      <c r="L373" s="2" t="s">
        <v>382</v>
      </c>
      <c r="M373" s="2" t="s">
        <v>1108</v>
      </c>
      <c r="N373" s="16">
        <v>2.2499999999999999E-2</v>
      </c>
      <c r="O373" s="17">
        <f>N373*'Financial Inputs'!$B$3</f>
        <v>2250000</v>
      </c>
      <c r="P373" s="18">
        <f>IF(I373="L",'Financial Inputs'!$B$4,IF(I373="M",'Financial Inputs'!$B$5,'Financial Inputs'!$B$6))</f>
        <v>0.7</v>
      </c>
      <c r="Q373" s="17">
        <f>O373*P373</f>
        <v>1575000</v>
      </c>
      <c r="R373" s="16">
        <f>'Financial Inputs'!$B$7</f>
        <v>0.35</v>
      </c>
      <c r="S373" s="17">
        <f>Q373*(1-R373)</f>
        <v>1023750</v>
      </c>
      <c r="T373" s="18">
        <f>S373/'Financial Inputs'!$B$3</f>
        <v>1.02375E-2</v>
      </c>
      <c r="U373" s="9" t="s">
        <v>52</v>
      </c>
      <c r="V373" s="3" t="s">
        <v>53</v>
      </c>
    </row>
    <row r="374" spans="1:22">
      <c r="A374" s="2" t="s">
        <v>1322</v>
      </c>
      <c r="B374" s="2" t="s">
        <v>1323</v>
      </c>
      <c r="C374" s="2" t="s">
        <v>1105</v>
      </c>
      <c r="D374" s="2" t="s">
        <v>42</v>
      </c>
      <c r="E374" s="2" t="s">
        <v>153</v>
      </c>
      <c r="F374" s="2" t="s">
        <v>82</v>
      </c>
      <c r="G374" s="2" t="s">
        <v>45</v>
      </c>
      <c r="H374" s="2" t="s">
        <v>498</v>
      </c>
      <c r="I374" s="2" t="s">
        <v>499</v>
      </c>
      <c r="J374" s="2" t="s">
        <v>1106</v>
      </c>
      <c r="K374" s="2" t="s">
        <v>1324</v>
      </c>
      <c r="L374" s="2" t="s">
        <v>386</v>
      </c>
      <c r="M374" s="2" t="s">
        <v>1108</v>
      </c>
      <c r="N374" s="16">
        <v>2.5000000000000001E-2</v>
      </c>
      <c r="O374" s="17">
        <f>N374*'Financial Inputs'!$B$3</f>
        <v>2500000</v>
      </c>
      <c r="P374" s="18">
        <f>IF(I374="L",'Financial Inputs'!$B$4,IF(I374="M",'Financial Inputs'!$B$5,'Financial Inputs'!$B$6))</f>
        <v>0.7</v>
      </c>
      <c r="Q374" s="17">
        <f>O374*P374</f>
        <v>1750000</v>
      </c>
      <c r="R374" s="16">
        <f>'Financial Inputs'!$B$7</f>
        <v>0.35</v>
      </c>
      <c r="S374" s="17">
        <f>Q374*(1-R374)</f>
        <v>1137500</v>
      </c>
      <c r="T374" s="18">
        <f>S374/'Financial Inputs'!$B$3</f>
        <v>1.1375E-2</v>
      </c>
      <c r="U374" s="9" t="s">
        <v>52</v>
      </c>
      <c r="V374" s="3" t="s">
        <v>53</v>
      </c>
    </row>
    <row r="375" spans="1:22">
      <c r="A375" s="2" t="s">
        <v>1325</v>
      </c>
      <c r="B375" s="2" t="s">
        <v>1326</v>
      </c>
      <c r="C375" s="2" t="s">
        <v>1105</v>
      </c>
      <c r="D375" s="2" t="s">
        <v>56</v>
      </c>
      <c r="E375" s="2" t="s">
        <v>89</v>
      </c>
      <c r="F375" s="2" t="s">
        <v>44</v>
      </c>
      <c r="G375" s="2" t="s">
        <v>59</v>
      </c>
      <c r="H375" s="2" t="s">
        <v>498</v>
      </c>
      <c r="I375" s="2" t="s">
        <v>499</v>
      </c>
      <c r="J375" s="2" t="s">
        <v>1106</v>
      </c>
      <c r="K375" s="2" t="s">
        <v>1327</v>
      </c>
      <c r="L375" s="2" t="s">
        <v>390</v>
      </c>
      <c r="M375" s="2" t="s">
        <v>1108</v>
      </c>
      <c r="N375" s="16">
        <v>2.75E-2</v>
      </c>
      <c r="O375" s="17">
        <f>N375*'Financial Inputs'!$B$3</f>
        <v>2750000</v>
      </c>
      <c r="P375" s="18">
        <f>IF(I375="L",'Financial Inputs'!$B$4,IF(I375="M",'Financial Inputs'!$B$5,'Financial Inputs'!$B$6))</f>
        <v>0.7</v>
      </c>
      <c r="Q375" s="17">
        <f>O375*P375</f>
        <v>1924999.9999999998</v>
      </c>
      <c r="R375" s="16">
        <f>'Financial Inputs'!$B$7</f>
        <v>0.35</v>
      </c>
      <c r="S375" s="17">
        <f>Q375*(1-R375)</f>
        <v>1251250</v>
      </c>
      <c r="T375" s="18">
        <f>S375/'Financial Inputs'!$B$3</f>
        <v>1.2512499999999999E-2</v>
      </c>
      <c r="U375" s="9" t="s">
        <v>52</v>
      </c>
      <c r="V375" s="3" t="s">
        <v>53</v>
      </c>
    </row>
    <row r="376" spans="1:22">
      <c r="A376" s="2" t="s">
        <v>1328</v>
      </c>
      <c r="B376" s="2" t="s">
        <v>1329</v>
      </c>
      <c r="C376" s="2" t="s">
        <v>1105</v>
      </c>
      <c r="D376" s="2" t="s">
        <v>64</v>
      </c>
      <c r="E376" s="2" t="s">
        <v>96</v>
      </c>
      <c r="F376" s="2" t="s">
        <v>58</v>
      </c>
      <c r="G376" s="2" t="s">
        <v>67</v>
      </c>
      <c r="H376" s="2" t="s">
        <v>498</v>
      </c>
      <c r="I376" s="2" t="s">
        <v>499</v>
      </c>
      <c r="J376" s="2" t="s">
        <v>1106</v>
      </c>
      <c r="K376" s="2" t="s">
        <v>1330</v>
      </c>
      <c r="L376" s="2" t="s">
        <v>394</v>
      </c>
      <c r="M376" s="2" t="s">
        <v>1108</v>
      </c>
      <c r="N376" s="16">
        <v>3.0000000000000009E-2</v>
      </c>
      <c r="O376" s="17">
        <f>N376*'Financial Inputs'!$B$3</f>
        <v>3000000.0000000009</v>
      </c>
      <c r="P376" s="18">
        <f>IF(I376="L",'Financial Inputs'!$B$4,IF(I376="M",'Financial Inputs'!$B$5,'Financial Inputs'!$B$6))</f>
        <v>0.7</v>
      </c>
      <c r="Q376" s="17">
        <f>O376*P376</f>
        <v>2100000.0000000005</v>
      </c>
      <c r="R376" s="16">
        <f>'Financial Inputs'!$B$7</f>
        <v>0.35</v>
      </c>
      <c r="S376" s="17">
        <f>Q376*(1-R376)</f>
        <v>1365000.0000000005</v>
      </c>
      <c r="T376" s="18">
        <f>S376/'Financial Inputs'!$B$3</f>
        <v>1.3650000000000004E-2</v>
      </c>
      <c r="U376" s="9" t="s">
        <v>52</v>
      </c>
      <c r="V376" s="3" t="s">
        <v>53</v>
      </c>
    </row>
    <row r="377" spans="1:22">
      <c r="A377" s="2" t="s">
        <v>1331</v>
      </c>
      <c r="B377" s="2" t="s">
        <v>1332</v>
      </c>
      <c r="C377" s="2" t="s">
        <v>1105</v>
      </c>
      <c r="D377" s="2" t="s">
        <v>127</v>
      </c>
      <c r="E377" s="2" t="s">
        <v>220</v>
      </c>
      <c r="F377" s="2" t="s">
        <v>104</v>
      </c>
      <c r="G377" s="2" t="s">
        <v>45</v>
      </c>
      <c r="H377" s="2" t="s">
        <v>498</v>
      </c>
      <c r="I377" s="2" t="s">
        <v>499</v>
      </c>
      <c r="J377" s="2" t="s">
        <v>1106</v>
      </c>
      <c r="K377" s="2" t="s">
        <v>1333</v>
      </c>
      <c r="L377" s="2" t="s">
        <v>398</v>
      </c>
      <c r="M377" s="2" t="s">
        <v>1108</v>
      </c>
      <c r="N377" s="16">
        <v>0.02</v>
      </c>
      <c r="O377" s="17">
        <f>N377*'Financial Inputs'!$B$3</f>
        <v>2000000</v>
      </c>
      <c r="P377" s="18">
        <f>IF(I377="L",'Financial Inputs'!$B$4,IF(I377="M",'Financial Inputs'!$B$5,'Financial Inputs'!$B$6))</f>
        <v>0.7</v>
      </c>
      <c r="Q377" s="17">
        <f>O377*P377</f>
        <v>1400000</v>
      </c>
      <c r="R377" s="16">
        <f>'Financial Inputs'!$B$7</f>
        <v>0.35</v>
      </c>
      <c r="S377" s="17">
        <f>Q377*(1-R377)</f>
        <v>910000</v>
      </c>
      <c r="T377" s="18">
        <f>S377/'Financial Inputs'!$B$3</f>
        <v>9.1000000000000004E-3</v>
      </c>
      <c r="U377" s="9" t="s">
        <v>52</v>
      </c>
      <c r="V377" s="3" t="s">
        <v>53</v>
      </c>
    </row>
    <row r="378" spans="1:22">
      <c r="A378" s="2" t="s">
        <v>1334</v>
      </c>
      <c r="B378" s="2" t="s">
        <v>1335</v>
      </c>
      <c r="C378" s="2" t="s">
        <v>1105</v>
      </c>
      <c r="D378" s="2" t="s">
        <v>133</v>
      </c>
      <c r="E378" s="2" t="s">
        <v>171</v>
      </c>
      <c r="F378" s="2" t="s">
        <v>110</v>
      </c>
      <c r="G378" s="2" t="s">
        <v>59</v>
      </c>
      <c r="H378" s="2" t="s">
        <v>498</v>
      </c>
      <c r="I378" s="2" t="s">
        <v>499</v>
      </c>
      <c r="J378" s="2" t="s">
        <v>1106</v>
      </c>
      <c r="K378" s="2" t="s">
        <v>1336</v>
      </c>
      <c r="L378" s="2" t="s">
        <v>402</v>
      </c>
      <c r="M378" s="2" t="s">
        <v>1108</v>
      </c>
      <c r="N378" s="16">
        <v>2.2499999999999999E-2</v>
      </c>
      <c r="O378" s="17">
        <f>N378*'Financial Inputs'!$B$3</f>
        <v>2250000</v>
      </c>
      <c r="P378" s="18">
        <f>IF(I378="L",'Financial Inputs'!$B$4,IF(I378="M",'Financial Inputs'!$B$5,'Financial Inputs'!$B$6))</f>
        <v>0.7</v>
      </c>
      <c r="Q378" s="17">
        <f>O378*P378</f>
        <v>1575000</v>
      </c>
      <c r="R378" s="16">
        <f>'Financial Inputs'!$B$7</f>
        <v>0.35</v>
      </c>
      <c r="S378" s="17">
        <f>Q378*(1-R378)</f>
        <v>1023750</v>
      </c>
      <c r="T378" s="18">
        <f>S378/'Financial Inputs'!$B$3</f>
        <v>1.02375E-2</v>
      </c>
      <c r="U378" s="9" t="s">
        <v>52</v>
      </c>
      <c r="V378" s="3" t="s">
        <v>53</v>
      </c>
    </row>
    <row r="379" spans="1:22">
      <c r="A379" s="2" t="s">
        <v>1337</v>
      </c>
      <c r="B379" s="2" t="s">
        <v>1338</v>
      </c>
      <c r="C379" s="2" t="s">
        <v>1105</v>
      </c>
      <c r="D379" s="2" t="s">
        <v>88</v>
      </c>
      <c r="E379" s="2" t="s">
        <v>176</v>
      </c>
      <c r="F379" s="2" t="s">
        <v>117</v>
      </c>
      <c r="G379" s="2" t="s">
        <v>67</v>
      </c>
      <c r="H379" s="2" t="s">
        <v>498</v>
      </c>
      <c r="I379" s="2" t="s">
        <v>499</v>
      </c>
      <c r="J379" s="2" t="s">
        <v>1106</v>
      </c>
      <c r="K379" s="2" t="s">
        <v>1339</v>
      </c>
      <c r="L379" s="2" t="s">
        <v>406</v>
      </c>
      <c r="M379" s="2" t="s">
        <v>1108</v>
      </c>
      <c r="N379" s="16">
        <v>2.5000000000000001E-2</v>
      </c>
      <c r="O379" s="17">
        <f>N379*'Financial Inputs'!$B$3</f>
        <v>2500000</v>
      </c>
      <c r="P379" s="18">
        <f>IF(I379="L",'Financial Inputs'!$B$4,IF(I379="M",'Financial Inputs'!$B$5,'Financial Inputs'!$B$6))</f>
        <v>0.7</v>
      </c>
      <c r="Q379" s="17">
        <f>O379*P379</f>
        <v>1750000</v>
      </c>
      <c r="R379" s="16">
        <f>'Financial Inputs'!$B$7</f>
        <v>0.35</v>
      </c>
      <c r="S379" s="17">
        <f>Q379*(1-R379)</f>
        <v>1137500</v>
      </c>
      <c r="T379" s="18">
        <f>S379/'Financial Inputs'!$B$3</f>
        <v>1.1375E-2</v>
      </c>
      <c r="U379" s="9" t="s">
        <v>52</v>
      </c>
      <c r="V379" s="3" t="s">
        <v>53</v>
      </c>
    </row>
    <row r="380" spans="1:22">
      <c r="A380" s="2" t="s">
        <v>1340</v>
      </c>
      <c r="B380" s="2" t="s">
        <v>1341</v>
      </c>
      <c r="C380" s="2" t="s">
        <v>1105</v>
      </c>
      <c r="D380" s="2" t="s">
        <v>95</v>
      </c>
      <c r="E380" s="2" t="s">
        <v>122</v>
      </c>
      <c r="F380" s="2" t="s">
        <v>90</v>
      </c>
      <c r="G380" s="2" t="s">
        <v>75</v>
      </c>
      <c r="H380" s="2" t="s">
        <v>498</v>
      </c>
      <c r="I380" s="2" t="s">
        <v>499</v>
      </c>
      <c r="J380" s="2" t="s">
        <v>1106</v>
      </c>
      <c r="K380" s="2" t="s">
        <v>1342</v>
      </c>
      <c r="L380" s="2" t="s">
        <v>410</v>
      </c>
      <c r="M380" s="2" t="s">
        <v>1108</v>
      </c>
      <c r="N380" s="16">
        <v>2.75E-2</v>
      </c>
      <c r="O380" s="17">
        <f>N380*'Financial Inputs'!$B$3</f>
        <v>2750000</v>
      </c>
      <c r="P380" s="18">
        <f>IF(I380="L",'Financial Inputs'!$B$4,IF(I380="M",'Financial Inputs'!$B$5,'Financial Inputs'!$B$6))</f>
        <v>0.7</v>
      </c>
      <c r="Q380" s="17">
        <f>O380*P380</f>
        <v>1924999.9999999998</v>
      </c>
      <c r="R380" s="16">
        <f>'Financial Inputs'!$B$7</f>
        <v>0.35</v>
      </c>
      <c r="S380" s="17">
        <f>Q380*(1-R380)</f>
        <v>1251250</v>
      </c>
      <c r="T380" s="18">
        <f>S380/'Financial Inputs'!$B$3</f>
        <v>1.2512499999999999E-2</v>
      </c>
      <c r="U380" s="9" t="s">
        <v>52</v>
      </c>
      <c r="V380" s="3" t="s">
        <v>53</v>
      </c>
    </row>
    <row r="381" spans="1:22">
      <c r="A381" s="2" t="s">
        <v>1343</v>
      </c>
      <c r="B381" s="2" t="s">
        <v>1344</v>
      </c>
      <c r="C381" s="2" t="s">
        <v>1105</v>
      </c>
      <c r="D381" s="2" t="s">
        <v>102</v>
      </c>
      <c r="E381" s="2" t="s">
        <v>128</v>
      </c>
      <c r="F381" s="2" t="s">
        <v>97</v>
      </c>
      <c r="G381" s="2" t="s">
        <v>83</v>
      </c>
      <c r="H381" s="2" t="s">
        <v>498</v>
      </c>
      <c r="I381" s="2" t="s">
        <v>499</v>
      </c>
      <c r="J381" s="2" t="s">
        <v>1106</v>
      </c>
      <c r="K381" s="2" t="s">
        <v>1345</v>
      </c>
      <c r="L381" s="2" t="s">
        <v>414</v>
      </c>
      <c r="M381" s="2" t="s">
        <v>1108</v>
      </c>
      <c r="N381" s="16">
        <v>3.0000000000000009E-2</v>
      </c>
      <c r="O381" s="17">
        <f>N381*'Financial Inputs'!$B$3</f>
        <v>3000000.0000000009</v>
      </c>
      <c r="P381" s="18">
        <f>IF(I381="L",'Financial Inputs'!$B$4,IF(I381="M",'Financial Inputs'!$B$5,'Financial Inputs'!$B$6))</f>
        <v>0.7</v>
      </c>
      <c r="Q381" s="17">
        <f>O381*P381</f>
        <v>2100000.0000000005</v>
      </c>
      <c r="R381" s="16">
        <f>'Financial Inputs'!$B$7</f>
        <v>0.35</v>
      </c>
      <c r="S381" s="17">
        <f>Q381*(1-R381)</f>
        <v>1365000.0000000005</v>
      </c>
      <c r="T381" s="18">
        <f>S381/'Financial Inputs'!$B$3</f>
        <v>1.3650000000000004E-2</v>
      </c>
      <c r="U381" s="9" t="s">
        <v>52</v>
      </c>
      <c r="V381" s="3" t="s">
        <v>53</v>
      </c>
    </row>
    <row r="382" spans="1:22">
      <c r="A382" s="2" t="s">
        <v>1346</v>
      </c>
      <c r="B382" s="2" t="s">
        <v>1347</v>
      </c>
      <c r="C382" s="2" t="s">
        <v>1105</v>
      </c>
      <c r="D382" s="2" t="s">
        <v>64</v>
      </c>
      <c r="E382" s="2" t="s">
        <v>81</v>
      </c>
      <c r="F382" s="2" t="s">
        <v>74</v>
      </c>
      <c r="G382" s="2" t="s">
        <v>67</v>
      </c>
      <c r="H382" s="2" t="s">
        <v>498</v>
      </c>
      <c r="I382" s="2" t="s">
        <v>499</v>
      </c>
      <c r="J382" s="2" t="s">
        <v>1106</v>
      </c>
      <c r="K382" s="2" t="s">
        <v>1348</v>
      </c>
      <c r="L382" s="2" t="s">
        <v>418</v>
      </c>
      <c r="M382" s="2" t="s">
        <v>1108</v>
      </c>
      <c r="N382" s="16">
        <v>0.02</v>
      </c>
      <c r="O382" s="17">
        <f>N382*'Financial Inputs'!$B$3</f>
        <v>2000000</v>
      </c>
      <c r="P382" s="18">
        <f>IF(I382="L",'Financial Inputs'!$B$4,IF(I382="M",'Financial Inputs'!$B$5,'Financial Inputs'!$B$6))</f>
        <v>0.7</v>
      </c>
      <c r="Q382" s="17">
        <f>O382*P382</f>
        <v>1400000</v>
      </c>
      <c r="R382" s="16">
        <f>'Financial Inputs'!$B$7</f>
        <v>0.35</v>
      </c>
      <c r="S382" s="17">
        <f>Q382*(1-R382)</f>
        <v>910000</v>
      </c>
      <c r="T382" s="18">
        <f>S382/'Financial Inputs'!$B$3</f>
        <v>9.1000000000000004E-3</v>
      </c>
      <c r="U382" s="9" t="s">
        <v>52</v>
      </c>
      <c r="V382" s="3" t="s">
        <v>53</v>
      </c>
    </row>
    <row r="383" spans="1:22">
      <c r="A383" s="2" t="s">
        <v>1349</v>
      </c>
      <c r="B383" s="2" t="s">
        <v>1350</v>
      </c>
      <c r="C383" s="2" t="s">
        <v>1105</v>
      </c>
      <c r="D383" s="2" t="s">
        <v>72</v>
      </c>
      <c r="E383" s="2" t="s">
        <v>193</v>
      </c>
      <c r="F383" s="2" t="s">
        <v>82</v>
      </c>
      <c r="G383" s="2" t="s">
        <v>75</v>
      </c>
      <c r="H383" s="2" t="s">
        <v>498</v>
      </c>
      <c r="I383" s="2" t="s">
        <v>499</v>
      </c>
      <c r="J383" s="2" t="s">
        <v>1106</v>
      </c>
      <c r="K383" s="2" t="s">
        <v>1351</v>
      </c>
      <c r="L383" s="2" t="s">
        <v>422</v>
      </c>
      <c r="M383" s="2" t="s">
        <v>1108</v>
      </c>
      <c r="N383" s="16">
        <v>2.2499999999999999E-2</v>
      </c>
      <c r="O383" s="17">
        <f>N383*'Financial Inputs'!$B$3</f>
        <v>2250000</v>
      </c>
      <c r="P383" s="18">
        <f>IF(I383="L",'Financial Inputs'!$B$4,IF(I383="M",'Financial Inputs'!$B$5,'Financial Inputs'!$B$6))</f>
        <v>0.7</v>
      </c>
      <c r="Q383" s="17">
        <f>O383*P383</f>
        <v>1575000</v>
      </c>
      <c r="R383" s="16">
        <f>'Financial Inputs'!$B$7</f>
        <v>0.35</v>
      </c>
      <c r="S383" s="17">
        <f>Q383*(1-R383)</f>
        <v>1023750</v>
      </c>
      <c r="T383" s="18">
        <f>S383/'Financial Inputs'!$B$3</f>
        <v>1.02375E-2</v>
      </c>
      <c r="U383" s="9" t="s">
        <v>52</v>
      </c>
      <c r="V383" s="3" t="s">
        <v>53</v>
      </c>
    </row>
    <row r="384" spans="1:22">
      <c r="A384" s="2" t="s">
        <v>1352</v>
      </c>
      <c r="B384" s="2" t="s">
        <v>1353</v>
      </c>
      <c r="C384" s="2" t="s">
        <v>1105</v>
      </c>
      <c r="D384" s="2" t="s">
        <v>80</v>
      </c>
      <c r="E384" s="2" t="s">
        <v>198</v>
      </c>
      <c r="F384" s="2" t="s">
        <v>44</v>
      </c>
      <c r="G384" s="2" t="s">
        <v>83</v>
      </c>
      <c r="H384" s="2" t="s">
        <v>498</v>
      </c>
      <c r="I384" s="2" t="s">
        <v>499</v>
      </c>
      <c r="J384" s="2" t="s">
        <v>1106</v>
      </c>
      <c r="K384" s="2" t="s">
        <v>1354</v>
      </c>
      <c r="L384" s="2" t="s">
        <v>426</v>
      </c>
      <c r="M384" s="2" t="s">
        <v>1108</v>
      </c>
      <c r="N384" s="16">
        <v>2.5000000000000001E-2</v>
      </c>
      <c r="O384" s="17">
        <f>N384*'Financial Inputs'!$B$3</f>
        <v>2500000</v>
      </c>
      <c r="P384" s="18">
        <f>IF(I384="L",'Financial Inputs'!$B$4,IF(I384="M",'Financial Inputs'!$B$5,'Financial Inputs'!$B$6))</f>
        <v>0.7</v>
      </c>
      <c r="Q384" s="17">
        <f>O384*P384</f>
        <v>1750000</v>
      </c>
      <c r="R384" s="16">
        <f>'Financial Inputs'!$B$7</f>
        <v>0.35</v>
      </c>
      <c r="S384" s="17">
        <f>Q384*(1-R384)</f>
        <v>1137500</v>
      </c>
      <c r="T384" s="18">
        <f>S384/'Financial Inputs'!$B$3</f>
        <v>1.1375E-2</v>
      </c>
      <c r="U384" s="9" t="s">
        <v>52</v>
      </c>
      <c r="V384" s="3" t="s">
        <v>53</v>
      </c>
    </row>
    <row r="385" spans="1:22">
      <c r="A385" s="2" t="s">
        <v>1355</v>
      </c>
      <c r="B385" s="2" t="s">
        <v>1356</v>
      </c>
      <c r="C385" s="2" t="s">
        <v>1105</v>
      </c>
      <c r="D385" s="2" t="s">
        <v>127</v>
      </c>
      <c r="E385" s="2" t="s">
        <v>148</v>
      </c>
      <c r="F385" s="2" t="s">
        <v>58</v>
      </c>
      <c r="G385" s="2" t="s">
        <v>111</v>
      </c>
      <c r="H385" s="2" t="s">
        <v>498</v>
      </c>
      <c r="I385" s="2" t="s">
        <v>499</v>
      </c>
      <c r="J385" s="2" t="s">
        <v>1106</v>
      </c>
      <c r="K385" s="2" t="s">
        <v>1357</v>
      </c>
      <c r="L385" s="2" t="s">
        <v>430</v>
      </c>
      <c r="M385" s="2" t="s">
        <v>1108</v>
      </c>
      <c r="N385" s="16">
        <v>2.75E-2</v>
      </c>
      <c r="O385" s="17">
        <f>N385*'Financial Inputs'!$B$3</f>
        <v>2750000</v>
      </c>
      <c r="P385" s="18">
        <f>IF(I385="L",'Financial Inputs'!$B$4,IF(I385="M",'Financial Inputs'!$B$5,'Financial Inputs'!$B$6))</f>
        <v>0.7</v>
      </c>
      <c r="Q385" s="17">
        <f>O385*P385</f>
        <v>1924999.9999999998</v>
      </c>
      <c r="R385" s="16">
        <f>'Financial Inputs'!$B$7</f>
        <v>0.35</v>
      </c>
      <c r="S385" s="17">
        <f>Q385*(1-R385)</f>
        <v>1251250</v>
      </c>
      <c r="T385" s="18">
        <f>S385/'Financial Inputs'!$B$3</f>
        <v>1.2512499999999999E-2</v>
      </c>
      <c r="U385" s="9" t="s">
        <v>52</v>
      </c>
      <c r="V385" s="3" t="s">
        <v>53</v>
      </c>
    </row>
    <row r="386" spans="1:22">
      <c r="A386" s="2" t="s">
        <v>1358</v>
      </c>
      <c r="B386" s="2" t="s">
        <v>1359</v>
      </c>
      <c r="C386" s="2" t="s">
        <v>1105</v>
      </c>
      <c r="D386" s="2" t="s">
        <v>133</v>
      </c>
      <c r="E386" s="2" t="s">
        <v>153</v>
      </c>
      <c r="F386" s="2" t="s">
        <v>66</v>
      </c>
      <c r="G386" s="2" t="s">
        <v>56</v>
      </c>
      <c r="H386" s="2" t="s">
        <v>498</v>
      </c>
      <c r="I386" s="2" t="s">
        <v>499</v>
      </c>
      <c r="J386" s="2" t="s">
        <v>1106</v>
      </c>
      <c r="K386" s="2" t="s">
        <v>1360</v>
      </c>
      <c r="L386" s="2" t="s">
        <v>434</v>
      </c>
      <c r="M386" s="2" t="s">
        <v>1108</v>
      </c>
      <c r="N386" s="16">
        <v>3.0000000000000009E-2</v>
      </c>
      <c r="O386" s="17">
        <f>N386*'Financial Inputs'!$B$3</f>
        <v>3000000.0000000009</v>
      </c>
      <c r="P386" s="18">
        <f>IF(I386="L",'Financial Inputs'!$B$4,IF(I386="M",'Financial Inputs'!$B$5,'Financial Inputs'!$B$6))</f>
        <v>0.7</v>
      </c>
      <c r="Q386" s="17">
        <f>O386*P386</f>
        <v>2100000.0000000005</v>
      </c>
      <c r="R386" s="16">
        <f>'Financial Inputs'!$B$7</f>
        <v>0.35</v>
      </c>
      <c r="S386" s="17">
        <f>Q386*(1-R386)</f>
        <v>1365000.0000000005</v>
      </c>
      <c r="T386" s="18">
        <f>S386/'Financial Inputs'!$B$3</f>
        <v>1.3650000000000004E-2</v>
      </c>
      <c r="U386" s="9" t="s">
        <v>52</v>
      </c>
      <c r="V386" s="3" t="s">
        <v>53</v>
      </c>
    </row>
    <row r="387" spans="1:22">
      <c r="A387" s="2" t="s">
        <v>1361</v>
      </c>
      <c r="B387" s="2" t="s">
        <v>1362</v>
      </c>
      <c r="C387" s="2" t="s">
        <v>1105</v>
      </c>
      <c r="D387" s="2" t="s">
        <v>102</v>
      </c>
      <c r="E387" s="2" t="s">
        <v>116</v>
      </c>
      <c r="F387" s="2" t="s">
        <v>110</v>
      </c>
      <c r="G387" s="2" t="s">
        <v>83</v>
      </c>
      <c r="H387" s="2" t="s">
        <v>498</v>
      </c>
      <c r="I387" s="2" t="s">
        <v>499</v>
      </c>
      <c r="J387" s="2" t="s">
        <v>1106</v>
      </c>
      <c r="K387" s="2" t="s">
        <v>1363</v>
      </c>
      <c r="L387" s="2" t="s">
        <v>438</v>
      </c>
      <c r="M387" s="2" t="s">
        <v>1108</v>
      </c>
      <c r="N387" s="16">
        <v>0.02</v>
      </c>
      <c r="O387" s="17">
        <f>N387*'Financial Inputs'!$B$3</f>
        <v>2000000</v>
      </c>
      <c r="P387" s="18">
        <f>IF(I387="L",'Financial Inputs'!$B$4,IF(I387="M",'Financial Inputs'!$B$5,'Financial Inputs'!$B$6))</f>
        <v>0.7</v>
      </c>
      <c r="Q387" s="17">
        <f>O387*P387</f>
        <v>1400000</v>
      </c>
      <c r="R387" s="16">
        <f>'Financial Inputs'!$B$7</f>
        <v>0.35</v>
      </c>
      <c r="S387" s="17">
        <f>Q387*(1-R387)</f>
        <v>910000</v>
      </c>
      <c r="T387" s="18">
        <f>S387/'Financial Inputs'!$B$3</f>
        <v>9.1000000000000004E-3</v>
      </c>
      <c r="U387" s="9" t="s">
        <v>52</v>
      </c>
      <c r="V387" s="3" t="s">
        <v>53</v>
      </c>
    </row>
    <row r="388" spans="1:22">
      <c r="A388" s="2" t="s">
        <v>1364</v>
      </c>
      <c r="B388" s="2" t="s">
        <v>1365</v>
      </c>
      <c r="C388" s="2" t="s">
        <v>1105</v>
      </c>
      <c r="D388" s="2" t="s">
        <v>42</v>
      </c>
      <c r="E388" s="2" t="s">
        <v>215</v>
      </c>
      <c r="F388" s="2" t="s">
        <v>117</v>
      </c>
      <c r="G388" s="2" t="s">
        <v>111</v>
      </c>
      <c r="H388" s="2" t="s">
        <v>498</v>
      </c>
      <c r="I388" s="2" t="s">
        <v>499</v>
      </c>
      <c r="J388" s="2" t="s">
        <v>1106</v>
      </c>
      <c r="K388" s="2" t="s">
        <v>1366</v>
      </c>
      <c r="L388" s="2" t="s">
        <v>442</v>
      </c>
      <c r="M388" s="2" t="s">
        <v>1108</v>
      </c>
      <c r="N388" s="16">
        <v>2.2499999999999999E-2</v>
      </c>
      <c r="O388" s="17">
        <f>N388*'Financial Inputs'!$B$3</f>
        <v>2250000</v>
      </c>
      <c r="P388" s="18">
        <f>IF(I388="L",'Financial Inputs'!$B$4,IF(I388="M",'Financial Inputs'!$B$5,'Financial Inputs'!$B$6))</f>
        <v>0.7</v>
      </c>
      <c r="Q388" s="17">
        <f>O388*P388</f>
        <v>1575000</v>
      </c>
      <c r="R388" s="16">
        <f>'Financial Inputs'!$B$7</f>
        <v>0.35</v>
      </c>
      <c r="S388" s="17">
        <f>Q388*(1-R388)</f>
        <v>1023750</v>
      </c>
      <c r="T388" s="18">
        <f>S388/'Financial Inputs'!$B$3</f>
        <v>1.02375E-2</v>
      </c>
      <c r="U388" s="9" t="s">
        <v>52</v>
      </c>
      <c r="V388" s="3" t="s">
        <v>53</v>
      </c>
    </row>
    <row r="389" spans="1:22">
      <c r="A389" s="2" t="s">
        <v>1367</v>
      </c>
      <c r="B389" s="2" t="s">
        <v>1368</v>
      </c>
      <c r="C389" s="2" t="s">
        <v>1105</v>
      </c>
      <c r="D389" s="2" t="s">
        <v>56</v>
      </c>
      <c r="E389" s="2" t="s">
        <v>220</v>
      </c>
      <c r="F389" s="2" t="s">
        <v>90</v>
      </c>
      <c r="G389" s="2" t="s">
        <v>56</v>
      </c>
      <c r="H389" s="2" t="s">
        <v>498</v>
      </c>
      <c r="I389" s="2" t="s">
        <v>499</v>
      </c>
      <c r="J389" s="2" t="s">
        <v>1106</v>
      </c>
      <c r="K389" s="2" t="s">
        <v>1369</v>
      </c>
      <c r="L389" s="2" t="s">
        <v>446</v>
      </c>
      <c r="M389" s="2" t="s">
        <v>1108</v>
      </c>
      <c r="N389" s="16">
        <v>2.5000000000000001E-2</v>
      </c>
      <c r="O389" s="17">
        <f>N389*'Financial Inputs'!$B$3</f>
        <v>2500000</v>
      </c>
      <c r="P389" s="18">
        <f>IF(I389="L",'Financial Inputs'!$B$4,IF(I389="M",'Financial Inputs'!$B$5,'Financial Inputs'!$B$6))</f>
        <v>0.7</v>
      </c>
      <c r="Q389" s="17">
        <f>O389*P389</f>
        <v>1750000</v>
      </c>
      <c r="R389" s="16">
        <f>'Financial Inputs'!$B$7</f>
        <v>0.35</v>
      </c>
      <c r="S389" s="17">
        <f>Q389*(1-R389)</f>
        <v>1137500</v>
      </c>
      <c r="T389" s="18">
        <f>S389/'Financial Inputs'!$B$3</f>
        <v>1.1375E-2</v>
      </c>
      <c r="U389" s="9" t="s">
        <v>52</v>
      </c>
      <c r="V389" s="3" t="s">
        <v>53</v>
      </c>
    </row>
    <row r="390" spans="1:22">
      <c r="A390" s="2" t="s">
        <v>1370</v>
      </c>
      <c r="B390" s="2" t="s">
        <v>1371</v>
      </c>
      <c r="C390" s="2" t="s">
        <v>1105</v>
      </c>
      <c r="D390" s="2" t="s">
        <v>64</v>
      </c>
      <c r="E390" s="2" t="s">
        <v>171</v>
      </c>
      <c r="F390" s="2" t="s">
        <v>97</v>
      </c>
      <c r="G390" s="2" t="s">
        <v>138</v>
      </c>
      <c r="H390" s="2" t="s">
        <v>498</v>
      </c>
      <c r="I390" s="2" t="s">
        <v>499</v>
      </c>
      <c r="J390" s="2" t="s">
        <v>1106</v>
      </c>
      <c r="K390" s="2" t="s">
        <v>1372</v>
      </c>
      <c r="L390" s="2" t="s">
        <v>450</v>
      </c>
      <c r="M390" s="2" t="s">
        <v>1108</v>
      </c>
      <c r="N390" s="16">
        <v>2.75E-2</v>
      </c>
      <c r="O390" s="17">
        <f>N390*'Financial Inputs'!$B$3</f>
        <v>2750000</v>
      </c>
      <c r="P390" s="18">
        <f>IF(I390="L",'Financial Inputs'!$B$4,IF(I390="M",'Financial Inputs'!$B$5,'Financial Inputs'!$B$6))</f>
        <v>0.7</v>
      </c>
      <c r="Q390" s="17">
        <f>O390*P390</f>
        <v>1924999.9999999998</v>
      </c>
      <c r="R390" s="16">
        <f>'Financial Inputs'!$B$7</f>
        <v>0.35</v>
      </c>
      <c r="S390" s="17">
        <f>Q390*(1-R390)</f>
        <v>1251250</v>
      </c>
      <c r="T390" s="18">
        <f>S390/'Financial Inputs'!$B$3</f>
        <v>1.2512499999999999E-2</v>
      </c>
      <c r="U390" s="9" t="s">
        <v>52</v>
      </c>
      <c r="V390" s="3" t="s">
        <v>53</v>
      </c>
    </row>
    <row r="391" spans="1:22">
      <c r="A391" s="2" t="s">
        <v>1373</v>
      </c>
      <c r="B391" s="2" t="s">
        <v>1374</v>
      </c>
      <c r="C391" s="2" t="s">
        <v>1105</v>
      </c>
      <c r="D391" s="2" t="s">
        <v>72</v>
      </c>
      <c r="E391" s="2" t="s">
        <v>176</v>
      </c>
      <c r="F391" s="2" t="s">
        <v>104</v>
      </c>
      <c r="G391" s="2" t="s">
        <v>143</v>
      </c>
      <c r="H391" s="2" t="s">
        <v>498</v>
      </c>
      <c r="I391" s="2" t="s">
        <v>499</v>
      </c>
      <c r="J391" s="2" t="s">
        <v>1106</v>
      </c>
      <c r="K391" s="2" t="s">
        <v>1375</v>
      </c>
      <c r="L391" s="2" t="s">
        <v>454</v>
      </c>
      <c r="M391" s="2" t="s">
        <v>1108</v>
      </c>
      <c r="N391" s="16">
        <v>3.0000000000000009E-2</v>
      </c>
      <c r="O391" s="17">
        <f>N391*'Financial Inputs'!$B$3</f>
        <v>3000000.0000000009</v>
      </c>
      <c r="P391" s="18">
        <f>IF(I391="L",'Financial Inputs'!$B$4,IF(I391="M",'Financial Inputs'!$B$5,'Financial Inputs'!$B$6))</f>
        <v>0.7</v>
      </c>
      <c r="Q391" s="17">
        <f>O391*P391</f>
        <v>2100000.0000000005</v>
      </c>
      <c r="R391" s="16">
        <f>'Financial Inputs'!$B$7</f>
        <v>0.35</v>
      </c>
      <c r="S391" s="17">
        <f>Q391*(1-R391)</f>
        <v>1365000.0000000005</v>
      </c>
      <c r="T391" s="18">
        <f>S391/'Financial Inputs'!$B$3</f>
        <v>1.3650000000000004E-2</v>
      </c>
      <c r="U391" s="9" t="s">
        <v>52</v>
      </c>
      <c r="V391" s="3" t="s">
        <v>53</v>
      </c>
    </row>
    <row r="392" spans="1:22">
      <c r="A392" s="2" t="s">
        <v>1376</v>
      </c>
      <c r="B392" s="2" t="s">
        <v>1377</v>
      </c>
      <c r="C392" s="2" t="s">
        <v>1105</v>
      </c>
      <c r="D392" s="2" t="s">
        <v>133</v>
      </c>
      <c r="E392" s="2" t="s">
        <v>65</v>
      </c>
      <c r="F392" s="2" t="s">
        <v>82</v>
      </c>
      <c r="G392" s="2" t="s">
        <v>56</v>
      </c>
      <c r="H392" s="2" t="s">
        <v>498</v>
      </c>
      <c r="I392" s="2" t="s">
        <v>499</v>
      </c>
      <c r="J392" s="2" t="s">
        <v>1106</v>
      </c>
      <c r="K392" s="2" t="s">
        <v>1378</v>
      </c>
      <c r="L392" s="2" t="s">
        <v>458</v>
      </c>
      <c r="M392" s="2" t="s">
        <v>1108</v>
      </c>
      <c r="N392" s="16">
        <v>0.02</v>
      </c>
      <c r="O392" s="17">
        <f>N392*'Financial Inputs'!$B$3</f>
        <v>2000000</v>
      </c>
      <c r="P392" s="18">
        <f>IF(I392="L",'Financial Inputs'!$B$4,IF(I392="M",'Financial Inputs'!$B$5,'Financial Inputs'!$B$6))</f>
        <v>0.7</v>
      </c>
      <c r="Q392" s="17">
        <f>O392*P392</f>
        <v>1400000</v>
      </c>
      <c r="R392" s="16">
        <f>'Financial Inputs'!$B$7</f>
        <v>0.35</v>
      </c>
      <c r="S392" s="17">
        <f>Q392*(1-R392)</f>
        <v>910000</v>
      </c>
      <c r="T392" s="18">
        <f>S392/'Financial Inputs'!$B$3</f>
        <v>9.1000000000000004E-3</v>
      </c>
      <c r="U392" s="9" t="s">
        <v>52</v>
      </c>
      <c r="V392" s="3" t="s">
        <v>53</v>
      </c>
    </row>
    <row r="393" spans="1:22">
      <c r="A393" s="2" t="s">
        <v>1379</v>
      </c>
      <c r="B393" s="2" t="s">
        <v>1380</v>
      </c>
      <c r="C393" s="2" t="s">
        <v>1105</v>
      </c>
      <c r="D393" s="2" t="s">
        <v>88</v>
      </c>
      <c r="E393" s="2" t="s">
        <v>73</v>
      </c>
      <c r="F393" s="2" t="s">
        <v>44</v>
      </c>
      <c r="G393" s="2" t="s">
        <v>138</v>
      </c>
      <c r="H393" s="2" t="s">
        <v>498</v>
      </c>
      <c r="I393" s="2" t="s">
        <v>499</v>
      </c>
      <c r="J393" s="2" t="s">
        <v>1106</v>
      </c>
      <c r="K393" s="2" t="s">
        <v>1381</v>
      </c>
      <c r="L393" s="2" t="s">
        <v>462</v>
      </c>
      <c r="M393" s="2" t="s">
        <v>1108</v>
      </c>
      <c r="N393" s="16">
        <v>2.2499999999999999E-2</v>
      </c>
      <c r="O393" s="17">
        <f>N393*'Financial Inputs'!$B$3</f>
        <v>2250000</v>
      </c>
      <c r="P393" s="18">
        <f>IF(I393="L",'Financial Inputs'!$B$4,IF(I393="M",'Financial Inputs'!$B$5,'Financial Inputs'!$B$6))</f>
        <v>0.7</v>
      </c>
      <c r="Q393" s="17">
        <f>O393*P393</f>
        <v>1575000</v>
      </c>
      <c r="R393" s="16">
        <f>'Financial Inputs'!$B$7</f>
        <v>0.35</v>
      </c>
      <c r="S393" s="17">
        <f>Q393*(1-R393)</f>
        <v>1023750</v>
      </c>
      <c r="T393" s="18">
        <f>S393/'Financial Inputs'!$B$3</f>
        <v>1.02375E-2</v>
      </c>
      <c r="U393" s="9" t="s">
        <v>52</v>
      </c>
      <c r="V393" s="3" t="s">
        <v>53</v>
      </c>
    </row>
    <row r="394" spans="1:22">
      <c r="A394" s="2" t="s">
        <v>1382</v>
      </c>
      <c r="B394" s="2" t="s">
        <v>1383</v>
      </c>
      <c r="C394" s="2" t="s">
        <v>1105</v>
      </c>
      <c r="D394" s="2" t="s">
        <v>95</v>
      </c>
      <c r="E394" s="2" t="s">
        <v>81</v>
      </c>
      <c r="F394" s="2" t="s">
        <v>58</v>
      </c>
      <c r="G394" s="2" t="s">
        <v>143</v>
      </c>
      <c r="H394" s="2" t="s">
        <v>498</v>
      </c>
      <c r="I394" s="2" t="s">
        <v>499</v>
      </c>
      <c r="J394" s="2" t="s">
        <v>1106</v>
      </c>
      <c r="K394" s="2" t="s">
        <v>1384</v>
      </c>
      <c r="L394" s="2" t="s">
        <v>466</v>
      </c>
      <c r="M394" s="2" t="s">
        <v>1108</v>
      </c>
      <c r="N394" s="16">
        <v>2.5000000000000001E-2</v>
      </c>
      <c r="O394" s="17">
        <f>N394*'Financial Inputs'!$B$3</f>
        <v>2500000</v>
      </c>
      <c r="P394" s="18">
        <f>IF(I394="L",'Financial Inputs'!$B$4,IF(I394="M",'Financial Inputs'!$B$5,'Financial Inputs'!$B$6))</f>
        <v>0.7</v>
      </c>
      <c r="Q394" s="17">
        <f>O394*P394</f>
        <v>1750000</v>
      </c>
      <c r="R394" s="16">
        <f>'Financial Inputs'!$B$7</f>
        <v>0.35</v>
      </c>
      <c r="S394" s="17">
        <f>Q394*(1-R394)</f>
        <v>1137500</v>
      </c>
      <c r="T394" s="18">
        <f>S394/'Financial Inputs'!$B$3</f>
        <v>1.1375E-2</v>
      </c>
      <c r="U394" s="9" t="s">
        <v>52</v>
      </c>
      <c r="V394" s="3" t="s">
        <v>53</v>
      </c>
    </row>
    <row r="395" spans="1:22">
      <c r="A395" s="2" t="s">
        <v>1385</v>
      </c>
      <c r="B395" s="2" t="s">
        <v>1386</v>
      </c>
      <c r="C395" s="2" t="s">
        <v>1105</v>
      </c>
      <c r="D395" s="2" t="s">
        <v>102</v>
      </c>
      <c r="E395" s="2" t="s">
        <v>193</v>
      </c>
      <c r="F395" s="2" t="s">
        <v>66</v>
      </c>
      <c r="G395" s="2" t="s">
        <v>162</v>
      </c>
      <c r="H395" s="2" t="s">
        <v>498</v>
      </c>
      <c r="I395" s="2" t="s">
        <v>499</v>
      </c>
      <c r="J395" s="2" t="s">
        <v>1106</v>
      </c>
      <c r="K395" s="2" t="s">
        <v>1387</v>
      </c>
      <c r="L395" s="2" t="s">
        <v>470</v>
      </c>
      <c r="M395" s="2" t="s">
        <v>1108</v>
      </c>
      <c r="N395" s="16">
        <v>2.75E-2</v>
      </c>
      <c r="O395" s="17">
        <f>N395*'Financial Inputs'!$B$3</f>
        <v>2750000</v>
      </c>
      <c r="P395" s="18">
        <f>IF(I395="L",'Financial Inputs'!$B$4,IF(I395="M",'Financial Inputs'!$B$5,'Financial Inputs'!$B$6))</f>
        <v>0.7</v>
      </c>
      <c r="Q395" s="17">
        <f>O395*P395</f>
        <v>1924999.9999999998</v>
      </c>
      <c r="R395" s="16">
        <f>'Financial Inputs'!$B$7</f>
        <v>0.35</v>
      </c>
      <c r="S395" s="17">
        <f>Q395*(1-R395)</f>
        <v>1251250</v>
      </c>
      <c r="T395" s="18">
        <f>S395/'Financial Inputs'!$B$3</f>
        <v>1.2512499999999999E-2</v>
      </c>
      <c r="U395" s="9" t="s">
        <v>52</v>
      </c>
      <c r="V395" s="3" t="s">
        <v>53</v>
      </c>
    </row>
    <row r="396" spans="1:22">
      <c r="A396" s="2" t="s">
        <v>1388</v>
      </c>
      <c r="B396" s="2" t="s">
        <v>1389</v>
      </c>
      <c r="C396" s="2" t="s">
        <v>1105</v>
      </c>
      <c r="D396" s="2" t="s">
        <v>42</v>
      </c>
      <c r="E396" s="2" t="s">
        <v>198</v>
      </c>
      <c r="F396" s="2" t="s">
        <v>74</v>
      </c>
      <c r="G396" s="2" t="s">
        <v>45</v>
      </c>
      <c r="H396" s="2" t="s">
        <v>498</v>
      </c>
      <c r="I396" s="2" t="s">
        <v>499</v>
      </c>
      <c r="J396" s="2" t="s">
        <v>1106</v>
      </c>
      <c r="K396" s="2" t="s">
        <v>1390</v>
      </c>
      <c r="L396" s="2" t="s">
        <v>474</v>
      </c>
      <c r="M396" s="2" t="s">
        <v>1108</v>
      </c>
      <c r="N396" s="16">
        <v>3.0000000000000009E-2</v>
      </c>
      <c r="O396" s="17">
        <f>N396*'Financial Inputs'!$B$3</f>
        <v>3000000.0000000009</v>
      </c>
      <c r="P396" s="18">
        <f>IF(I396="L",'Financial Inputs'!$B$4,IF(I396="M",'Financial Inputs'!$B$5,'Financial Inputs'!$B$6))</f>
        <v>0.7</v>
      </c>
      <c r="Q396" s="17">
        <f>O396*P396</f>
        <v>2100000.0000000005</v>
      </c>
      <c r="R396" s="16">
        <f>'Financial Inputs'!$B$7</f>
        <v>0.35</v>
      </c>
      <c r="S396" s="17">
        <f>Q396*(1-R396)</f>
        <v>1365000.0000000005</v>
      </c>
      <c r="T396" s="18">
        <f>S396/'Financial Inputs'!$B$3</f>
        <v>1.3650000000000004E-2</v>
      </c>
      <c r="U396" s="9" t="s">
        <v>52</v>
      </c>
      <c r="V396" s="3" t="s">
        <v>53</v>
      </c>
    </row>
    <row r="397" spans="1:22">
      <c r="A397" s="2" t="s">
        <v>1391</v>
      </c>
      <c r="B397" s="2" t="s">
        <v>1392</v>
      </c>
      <c r="C397" s="2" t="s">
        <v>1105</v>
      </c>
      <c r="D397" s="2" t="s">
        <v>72</v>
      </c>
      <c r="E397" s="2" t="s">
        <v>103</v>
      </c>
      <c r="F397" s="2" t="s">
        <v>117</v>
      </c>
      <c r="G397" s="2" t="s">
        <v>143</v>
      </c>
      <c r="H397" s="2" t="s">
        <v>498</v>
      </c>
      <c r="I397" s="2" t="s">
        <v>499</v>
      </c>
      <c r="J397" s="2" t="s">
        <v>1106</v>
      </c>
      <c r="K397" s="2" t="s">
        <v>1393</v>
      </c>
      <c r="L397" s="2" t="s">
        <v>478</v>
      </c>
      <c r="M397" s="2" t="s">
        <v>1108</v>
      </c>
      <c r="N397" s="16">
        <v>0.02</v>
      </c>
      <c r="O397" s="17">
        <f>N397*'Financial Inputs'!$B$3</f>
        <v>2000000</v>
      </c>
      <c r="P397" s="18">
        <f>IF(I397="L",'Financial Inputs'!$B$4,IF(I397="M",'Financial Inputs'!$B$5,'Financial Inputs'!$B$6))</f>
        <v>0.7</v>
      </c>
      <c r="Q397" s="17">
        <f>O397*P397</f>
        <v>1400000</v>
      </c>
      <c r="R397" s="16">
        <f>'Financial Inputs'!$B$7</f>
        <v>0.35</v>
      </c>
      <c r="S397" s="17">
        <f>Q397*(1-R397)</f>
        <v>910000</v>
      </c>
      <c r="T397" s="18">
        <f>S397/'Financial Inputs'!$B$3</f>
        <v>9.1000000000000004E-3</v>
      </c>
      <c r="U397" s="9" t="s">
        <v>52</v>
      </c>
      <c r="V397" s="3" t="s">
        <v>53</v>
      </c>
    </row>
    <row r="398" spans="1:22">
      <c r="A398" s="2" t="s">
        <v>1394</v>
      </c>
      <c r="B398" s="2" t="s">
        <v>1395</v>
      </c>
      <c r="C398" s="2" t="s">
        <v>1105</v>
      </c>
      <c r="D398" s="2" t="s">
        <v>80</v>
      </c>
      <c r="E398" s="2" t="s">
        <v>109</v>
      </c>
      <c r="F398" s="2" t="s">
        <v>90</v>
      </c>
      <c r="G398" s="2" t="s">
        <v>162</v>
      </c>
      <c r="H398" s="2" t="s">
        <v>498</v>
      </c>
      <c r="I398" s="2" t="s">
        <v>499</v>
      </c>
      <c r="J398" s="2" t="s">
        <v>1106</v>
      </c>
      <c r="K398" s="2" t="s">
        <v>1396</v>
      </c>
      <c r="L398" s="2" t="s">
        <v>482</v>
      </c>
      <c r="M398" s="2" t="s">
        <v>1108</v>
      </c>
      <c r="N398" s="16">
        <v>2.2499999999999999E-2</v>
      </c>
      <c r="O398" s="17">
        <f>N398*'Financial Inputs'!$B$3</f>
        <v>2250000</v>
      </c>
      <c r="P398" s="18">
        <f>IF(I398="L",'Financial Inputs'!$B$4,IF(I398="M",'Financial Inputs'!$B$5,'Financial Inputs'!$B$6))</f>
        <v>0.7</v>
      </c>
      <c r="Q398" s="17">
        <f>O398*P398</f>
        <v>1575000</v>
      </c>
      <c r="R398" s="16">
        <f>'Financial Inputs'!$B$7</f>
        <v>0.35</v>
      </c>
      <c r="S398" s="17">
        <f>Q398*(1-R398)</f>
        <v>1023750</v>
      </c>
      <c r="T398" s="18">
        <f>S398/'Financial Inputs'!$B$3</f>
        <v>1.02375E-2</v>
      </c>
      <c r="U398" s="9" t="s">
        <v>52</v>
      </c>
      <c r="V398" s="3" t="s">
        <v>53</v>
      </c>
    </row>
    <row r="399" spans="1:22">
      <c r="A399" s="2" t="s">
        <v>1397</v>
      </c>
      <c r="B399" s="2" t="s">
        <v>1398</v>
      </c>
      <c r="C399" s="2" t="s">
        <v>1105</v>
      </c>
      <c r="D399" s="2" t="s">
        <v>127</v>
      </c>
      <c r="E399" s="2" t="s">
        <v>116</v>
      </c>
      <c r="F399" s="2" t="s">
        <v>97</v>
      </c>
      <c r="G399" s="2" t="s">
        <v>45</v>
      </c>
      <c r="H399" s="2" t="s">
        <v>498</v>
      </c>
      <c r="I399" s="2" t="s">
        <v>499</v>
      </c>
      <c r="J399" s="2" t="s">
        <v>1106</v>
      </c>
      <c r="K399" s="2" t="s">
        <v>1399</v>
      </c>
      <c r="L399" s="2" t="s">
        <v>486</v>
      </c>
      <c r="M399" s="2" t="s">
        <v>1108</v>
      </c>
      <c r="N399" s="16">
        <v>2.5000000000000001E-2</v>
      </c>
      <c r="O399" s="17">
        <f>N399*'Financial Inputs'!$B$3</f>
        <v>2500000</v>
      </c>
      <c r="P399" s="18">
        <f>IF(I399="L",'Financial Inputs'!$B$4,IF(I399="M",'Financial Inputs'!$B$5,'Financial Inputs'!$B$6))</f>
        <v>0.7</v>
      </c>
      <c r="Q399" s="17">
        <f>O399*P399</f>
        <v>1750000</v>
      </c>
      <c r="R399" s="16">
        <f>'Financial Inputs'!$B$7</f>
        <v>0.35</v>
      </c>
      <c r="S399" s="17">
        <f>Q399*(1-R399)</f>
        <v>1137500</v>
      </c>
      <c r="T399" s="18">
        <f>S399/'Financial Inputs'!$B$3</f>
        <v>1.1375E-2</v>
      </c>
      <c r="U399" s="9" t="s">
        <v>52</v>
      </c>
      <c r="V399" s="3" t="s">
        <v>53</v>
      </c>
    </row>
    <row r="400" spans="1:22">
      <c r="A400" s="2" t="s">
        <v>1400</v>
      </c>
      <c r="B400" s="2" t="s">
        <v>1401</v>
      </c>
      <c r="C400" s="2" t="s">
        <v>1105</v>
      </c>
      <c r="D400" s="2" t="s">
        <v>133</v>
      </c>
      <c r="E400" s="2" t="s">
        <v>215</v>
      </c>
      <c r="F400" s="2" t="s">
        <v>104</v>
      </c>
      <c r="G400" s="2" t="s">
        <v>59</v>
      </c>
      <c r="H400" s="2" t="s">
        <v>498</v>
      </c>
      <c r="I400" s="2" t="s">
        <v>499</v>
      </c>
      <c r="J400" s="2" t="s">
        <v>1106</v>
      </c>
      <c r="K400" s="2" t="s">
        <v>1402</v>
      </c>
      <c r="L400" s="2" t="s">
        <v>490</v>
      </c>
      <c r="M400" s="2" t="s">
        <v>1108</v>
      </c>
      <c r="N400" s="16">
        <v>2.75E-2</v>
      </c>
      <c r="O400" s="17">
        <f>N400*'Financial Inputs'!$B$3</f>
        <v>2750000</v>
      </c>
      <c r="P400" s="18">
        <f>IF(I400="L",'Financial Inputs'!$B$4,IF(I400="M",'Financial Inputs'!$B$5,'Financial Inputs'!$B$6))</f>
        <v>0.7</v>
      </c>
      <c r="Q400" s="17">
        <f>O400*P400</f>
        <v>1924999.9999999998</v>
      </c>
      <c r="R400" s="16">
        <f>'Financial Inputs'!$B$7</f>
        <v>0.35</v>
      </c>
      <c r="S400" s="17">
        <f>Q400*(1-R400)</f>
        <v>1251250</v>
      </c>
      <c r="T400" s="18">
        <f>S400/'Financial Inputs'!$B$3</f>
        <v>1.2512499999999999E-2</v>
      </c>
      <c r="U400" s="9" t="s">
        <v>52</v>
      </c>
      <c r="V400" s="3" t="s">
        <v>53</v>
      </c>
    </row>
    <row r="401" spans="1:22">
      <c r="A401" s="2" t="s">
        <v>1403</v>
      </c>
      <c r="B401" s="2" t="s">
        <v>1404</v>
      </c>
      <c r="C401" s="2" t="s">
        <v>1105</v>
      </c>
      <c r="D401" s="2" t="s">
        <v>88</v>
      </c>
      <c r="E401" s="2" t="s">
        <v>220</v>
      </c>
      <c r="F401" s="2" t="s">
        <v>110</v>
      </c>
      <c r="G401" s="2" t="s">
        <v>67</v>
      </c>
      <c r="H401" s="2" t="s">
        <v>498</v>
      </c>
      <c r="I401" s="2" t="s">
        <v>499</v>
      </c>
      <c r="J401" s="2" t="s">
        <v>1106</v>
      </c>
      <c r="K401" s="2" t="s">
        <v>1405</v>
      </c>
      <c r="L401" s="2" t="s">
        <v>494</v>
      </c>
      <c r="M401" s="2" t="s">
        <v>1108</v>
      </c>
      <c r="N401" s="16">
        <v>3.0000000000000009E-2</v>
      </c>
      <c r="O401" s="17">
        <f>N401*'Financial Inputs'!$B$3</f>
        <v>3000000.0000000009</v>
      </c>
      <c r="P401" s="18">
        <f>IF(I401="L",'Financial Inputs'!$B$4,IF(I401="M",'Financial Inputs'!$B$5,'Financial Inputs'!$B$6))</f>
        <v>0.7</v>
      </c>
      <c r="Q401" s="17">
        <f>O401*P401</f>
        <v>2100000.0000000005</v>
      </c>
      <c r="R401" s="16">
        <f>'Financial Inputs'!$B$7</f>
        <v>0.35</v>
      </c>
      <c r="S401" s="17">
        <f>Q401*(1-R401)</f>
        <v>1365000.0000000005</v>
      </c>
      <c r="T401" s="18">
        <f>S401/'Financial Inputs'!$B$3</f>
        <v>1.3650000000000004E-2</v>
      </c>
      <c r="U401" s="9" t="s">
        <v>52</v>
      </c>
      <c r="V401" s="3" t="s">
        <v>53</v>
      </c>
    </row>
    <row r="402" spans="1:22">
      <c r="A402" s="2" t="s">
        <v>1406</v>
      </c>
      <c r="B402" s="2" t="s">
        <v>1407</v>
      </c>
      <c r="C402" s="2" t="s">
        <v>1408</v>
      </c>
      <c r="D402" s="2" t="s">
        <v>42</v>
      </c>
      <c r="E402" s="2" t="s">
        <v>43</v>
      </c>
      <c r="F402" s="2" t="s">
        <v>44</v>
      </c>
      <c r="G402" s="2" t="s">
        <v>45</v>
      </c>
      <c r="H402" s="2" t="s">
        <v>498</v>
      </c>
      <c r="I402" s="2" t="s">
        <v>47</v>
      </c>
      <c r="J402" s="2" t="s">
        <v>1409</v>
      </c>
      <c r="K402" s="2" t="s">
        <v>1410</v>
      </c>
      <c r="L402" s="2" t="s">
        <v>50</v>
      </c>
      <c r="M402" s="2" t="s">
        <v>1411</v>
      </c>
      <c r="N402" s="16">
        <v>1.44E-2</v>
      </c>
      <c r="O402" s="17">
        <f>N402*'Financial Inputs'!$B$3</f>
        <v>1440000</v>
      </c>
      <c r="P402" s="18">
        <f>IF(I402="L",'Financial Inputs'!$B$4,IF(I402="M",'Financial Inputs'!$B$5,'Financial Inputs'!$B$6))</f>
        <v>0.4</v>
      </c>
      <c r="Q402" s="17">
        <f>O402*P402</f>
        <v>576000</v>
      </c>
      <c r="R402" s="16">
        <f>'Financial Inputs'!$B$7</f>
        <v>0.35</v>
      </c>
      <c r="S402" s="17">
        <f>Q402*(1-R402)</f>
        <v>374400</v>
      </c>
      <c r="T402" s="18">
        <f>S402/'Financial Inputs'!$B$3</f>
        <v>3.7439999999999999E-3</v>
      </c>
      <c r="U402" s="9" t="s">
        <v>52</v>
      </c>
      <c r="V402" s="3" t="s">
        <v>53</v>
      </c>
    </row>
    <row r="403" spans="1:22">
      <c r="A403" s="2" t="s">
        <v>1412</v>
      </c>
      <c r="B403" s="2" t="s">
        <v>1413</v>
      </c>
      <c r="C403" s="2" t="s">
        <v>1408</v>
      </c>
      <c r="D403" s="2" t="s">
        <v>56</v>
      </c>
      <c r="E403" s="2" t="s">
        <v>57</v>
      </c>
      <c r="F403" s="2" t="s">
        <v>58</v>
      </c>
      <c r="G403" s="2" t="s">
        <v>59</v>
      </c>
      <c r="H403" s="2" t="s">
        <v>498</v>
      </c>
      <c r="I403" s="2" t="s">
        <v>47</v>
      </c>
      <c r="J403" s="2" t="s">
        <v>1409</v>
      </c>
      <c r="K403" s="2" t="s">
        <v>1414</v>
      </c>
      <c r="L403" s="2" t="s">
        <v>61</v>
      </c>
      <c r="M403" s="2" t="s">
        <v>1411</v>
      </c>
      <c r="N403" s="16">
        <v>1.6199999999999999E-2</v>
      </c>
      <c r="O403" s="17">
        <f>N403*'Financial Inputs'!$B$3</f>
        <v>1620000</v>
      </c>
      <c r="P403" s="18">
        <f>IF(I403="L",'Financial Inputs'!$B$4,IF(I403="M",'Financial Inputs'!$B$5,'Financial Inputs'!$B$6))</f>
        <v>0.4</v>
      </c>
      <c r="Q403" s="17">
        <f>O403*P403</f>
        <v>648000</v>
      </c>
      <c r="R403" s="16">
        <f>'Financial Inputs'!$B$7</f>
        <v>0.35</v>
      </c>
      <c r="S403" s="17">
        <f>Q403*(1-R403)</f>
        <v>421200</v>
      </c>
      <c r="T403" s="18">
        <f>S403/'Financial Inputs'!$B$3</f>
        <v>4.2119999999999996E-3</v>
      </c>
      <c r="U403" s="9" t="s">
        <v>52</v>
      </c>
      <c r="V403" s="3" t="s">
        <v>53</v>
      </c>
    </row>
    <row r="404" spans="1:22">
      <c r="A404" s="2" t="s">
        <v>1415</v>
      </c>
      <c r="B404" s="2" t="s">
        <v>1416</v>
      </c>
      <c r="C404" s="2" t="s">
        <v>1408</v>
      </c>
      <c r="D404" s="2" t="s">
        <v>64</v>
      </c>
      <c r="E404" s="2" t="s">
        <v>65</v>
      </c>
      <c r="F404" s="2" t="s">
        <v>66</v>
      </c>
      <c r="G404" s="2" t="s">
        <v>67</v>
      </c>
      <c r="H404" s="2" t="s">
        <v>498</v>
      </c>
      <c r="I404" s="2" t="s">
        <v>47</v>
      </c>
      <c r="J404" s="2" t="s">
        <v>1409</v>
      </c>
      <c r="K404" s="2" t="s">
        <v>1417</v>
      </c>
      <c r="L404" s="2" t="s">
        <v>69</v>
      </c>
      <c r="M404" s="2" t="s">
        <v>1411</v>
      </c>
      <c r="N404" s="16">
        <v>1.7999999999999999E-2</v>
      </c>
      <c r="O404" s="17">
        <f>N404*'Financial Inputs'!$B$3</f>
        <v>1799999.9999999998</v>
      </c>
      <c r="P404" s="18">
        <f>IF(I404="L",'Financial Inputs'!$B$4,IF(I404="M",'Financial Inputs'!$B$5,'Financial Inputs'!$B$6))</f>
        <v>0.4</v>
      </c>
      <c r="Q404" s="17">
        <f>O404*P404</f>
        <v>720000</v>
      </c>
      <c r="R404" s="16">
        <f>'Financial Inputs'!$B$7</f>
        <v>0.35</v>
      </c>
      <c r="S404" s="17">
        <f>Q404*(1-R404)</f>
        <v>468000</v>
      </c>
      <c r="T404" s="18">
        <f>S404/'Financial Inputs'!$B$3</f>
        <v>4.6800000000000001E-3</v>
      </c>
      <c r="U404" s="9" t="s">
        <v>52</v>
      </c>
      <c r="V404" s="3" t="s">
        <v>53</v>
      </c>
    </row>
    <row r="405" spans="1:22">
      <c r="A405" s="2" t="s">
        <v>1418</v>
      </c>
      <c r="B405" s="2" t="s">
        <v>1419</v>
      </c>
      <c r="C405" s="2" t="s">
        <v>1408</v>
      </c>
      <c r="D405" s="2" t="s">
        <v>72</v>
      </c>
      <c r="E405" s="2" t="s">
        <v>73</v>
      </c>
      <c r="F405" s="2" t="s">
        <v>74</v>
      </c>
      <c r="G405" s="2" t="s">
        <v>75</v>
      </c>
      <c r="H405" s="2" t="s">
        <v>498</v>
      </c>
      <c r="I405" s="2" t="s">
        <v>47</v>
      </c>
      <c r="J405" s="2" t="s">
        <v>1409</v>
      </c>
      <c r="K405" s="2" t="s">
        <v>1420</v>
      </c>
      <c r="L405" s="2" t="s">
        <v>77</v>
      </c>
      <c r="M405" s="2" t="s">
        <v>1411</v>
      </c>
      <c r="N405" s="16">
        <v>1.9800000000000002E-2</v>
      </c>
      <c r="O405" s="17">
        <f>N405*'Financial Inputs'!$B$3</f>
        <v>1980000.0000000002</v>
      </c>
      <c r="P405" s="18">
        <f>IF(I405="L",'Financial Inputs'!$B$4,IF(I405="M",'Financial Inputs'!$B$5,'Financial Inputs'!$B$6))</f>
        <v>0.4</v>
      </c>
      <c r="Q405" s="17">
        <f>O405*P405</f>
        <v>792000.00000000012</v>
      </c>
      <c r="R405" s="16">
        <f>'Financial Inputs'!$B$7</f>
        <v>0.35</v>
      </c>
      <c r="S405" s="17">
        <f>Q405*(1-R405)</f>
        <v>514800.00000000012</v>
      </c>
      <c r="T405" s="18">
        <f>S405/'Financial Inputs'!$B$3</f>
        <v>5.1480000000000015E-3</v>
      </c>
      <c r="U405" s="9" t="s">
        <v>52</v>
      </c>
      <c r="V405" s="3" t="s">
        <v>53</v>
      </c>
    </row>
    <row r="406" spans="1:22">
      <c r="A406" s="2" t="s">
        <v>1421</v>
      </c>
      <c r="B406" s="2" t="s">
        <v>1422</v>
      </c>
      <c r="C406" s="2" t="s">
        <v>1408</v>
      </c>
      <c r="D406" s="2" t="s">
        <v>80</v>
      </c>
      <c r="E406" s="2" t="s">
        <v>81</v>
      </c>
      <c r="F406" s="2" t="s">
        <v>82</v>
      </c>
      <c r="G406" s="2" t="s">
        <v>83</v>
      </c>
      <c r="H406" s="2" t="s">
        <v>498</v>
      </c>
      <c r="I406" s="2" t="s">
        <v>47</v>
      </c>
      <c r="J406" s="2" t="s">
        <v>1409</v>
      </c>
      <c r="K406" s="2" t="s">
        <v>1423</v>
      </c>
      <c r="L406" s="2" t="s">
        <v>85</v>
      </c>
      <c r="M406" s="2" t="s">
        <v>1411</v>
      </c>
      <c r="N406" s="16">
        <v>2.1600000000000001E-2</v>
      </c>
      <c r="O406" s="17">
        <f>N406*'Financial Inputs'!$B$3</f>
        <v>2160000</v>
      </c>
      <c r="P406" s="18">
        <f>IF(I406="L",'Financial Inputs'!$B$4,IF(I406="M",'Financial Inputs'!$B$5,'Financial Inputs'!$B$6))</f>
        <v>0.4</v>
      </c>
      <c r="Q406" s="17">
        <f>O406*P406</f>
        <v>864000</v>
      </c>
      <c r="R406" s="16">
        <f>'Financial Inputs'!$B$7</f>
        <v>0.35</v>
      </c>
      <c r="S406" s="17">
        <f>Q406*(1-R406)</f>
        <v>561600</v>
      </c>
      <c r="T406" s="18">
        <f>S406/'Financial Inputs'!$B$3</f>
        <v>5.6160000000000003E-3</v>
      </c>
      <c r="U406" s="9" t="s">
        <v>52</v>
      </c>
      <c r="V406" s="3" t="s">
        <v>53</v>
      </c>
    </row>
    <row r="407" spans="1:22">
      <c r="A407" s="2" t="s">
        <v>1424</v>
      </c>
      <c r="B407" s="2" t="s">
        <v>1425</v>
      </c>
      <c r="C407" s="2" t="s">
        <v>1408</v>
      </c>
      <c r="D407" s="2" t="s">
        <v>88</v>
      </c>
      <c r="E407" s="2" t="s">
        <v>89</v>
      </c>
      <c r="F407" s="2" t="s">
        <v>90</v>
      </c>
      <c r="G407" s="2" t="s">
        <v>67</v>
      </c>
      <c r="H407" s="2" t="s">
        <v>498</v>
      </c>
      <c r="I407" s="2" t="s">
        <v>47</v>
      </c>
      <c r="J407" s="2" t="s">
        <v>1409</v>
      </c>
      <c r="K407" s="2" t="s">
        <v>1426</v>
      </c>
      <c r="L407" s="2" t="s">
        <v>92</v>
      </c>
      <c r="M407" s="2" t="s">
        <v>1411</v>
      </c>
      <c r="N407" s="16">
        <v>1.44E-2</v>
      </c>
      <c r="O407" s="17">
        <f>N407*'Financial Inputs'!$B$3</f>
        <v>1440000</v>
      </c>
      <c r="P407" s="18">
        <f>IF(I407="L",'Financial Inputs'!$B$4,IF(I407="M",'Financial Inputs'!$B$5,'Financial Inputs'!$B$6))</f>
        <v>0.4</v>
      </c>
      <c r="Q407" s="17">
        <f>O407*P407</f>
        <v>576000</v>
      </c>
      <c r="R407" s="16">
        <f>'Financial Inputs'!$B$7</f>
        <v>0.35</v>
      </c>
      <c r="S407" s="17">
        <f>Q407*(1-R407)</f>
        <v>374400</v>
      </c>
      <c r="T407" s="18">
        <f>S407/'Financial Inputs'!$B$3</f>
        <v>3.7439999999999999E-3</v>
      </c>
      <c r="U407" s="9" t="s">
        <v>52</v>
      </c>
      <c r="V407" s="3" t="s">
        <v>53</v>
      </c>
    </row>
    <row r="408" spans="1:22">
      <c r="A408" s="2" t="s">
        <v>1427</v>
      </c>
      <c r="B408" s="2" t="s">
        <v>1428</v>
      </c>
      <c r="C408" s="2" t="s">
        <v>1408</v>
      </c>
      <c r="D408" s="2" t="s">
        <v>95</v>
      </c>
      <c r="E408" s="2" t="s">
        <v>96</v>
      </c>
      <c r="F408" s="2" t="s">
        <v>97</v>
      </c>
      <c r="G408" s="2" t="s">
        <v>75</v>
      </c>
      <c r="H408" s="2" t="s">
        <v>498</v>
      </c>
      <c r="I408" s="2" t="s">
        <v>47</v>
      </c>
      <c r="J408" s="2" t="s">
        <v>1409</v>
      </c>
      <c r="K408" s="2" t="s">
        <v>1429</v>
      </c>
      <c r="L408" s="2" t="s">
        <v>99</v>
      </c>
      <c r="M408" s="2" t="s">
        <v>1411</v>
      </c>
      <c r="N408" s="16">
        <v>1.6199999999999999E-2</v>
      </c>
      <c r="O408" s="17">
        <f>N408*'Financial Inputs'!$B$3</f>
        <v>1620000</v>
      </c>
      <c r="P408" s="18">
        <f>IF(I408="L",'Financial Inputs'!$B$4,IF(I408="M",'Financial Inputs'!$B$5,'Financial Inputs'!$B$6))</f>
        <v>0.4</v>
      </c>
      <c r="Q408" s="17">
        <f>O408*P408</f>
        <v>648000</v>
      </c>
      <c r="R408" s="16">
        <f>'Financial Inputs'!$B$7</f>
        <v>0.35</v>
      </c>
      <c r="S408" s="17">
        <f>Q408*(1-R408)</f>
        <v>421200</v>
      </c>
      <c r="T408" s="18">
        <f>S408/'Financial Inputs'!$B$3</f>
        <v>4.2119999999999996E-3</v>
      </c>
      <c r="U408" s="9" t="s">
        <v>52</v>
      </c>
      <c r="V408" s="3" t="s">
        <v>53</v>
      </c>
    </row>
    <row r="409" spans="1:22">
      <c r="A409" s="2" t="s">
        <v>1430</v>
      </c>
      <c r="B409" s="2" t="s">
        <v>1431</v>
      </c>
      <c r="C409" s="2" t="s">
        <v>1408</v>
      </c>
      <c r="D409" s="2" t="s">
        <v>102</v>
      </c>
      <c r="E409" s="2" t="s">
        <v>103</v>
      </c>
      <c r="F409" s="2" t="s">
        <v>104</v>
      </c>
      <c r="G409" s="2" t="s">
        <v>83</v>
      </c>
      <c r="H409" s="2" t="s">
        <v>498</v>
      </c>
      <c r="I409" s="2" t="s">
        <v>47</v>
      </c>
      <c r="J409" s="2" t="s">
        <v>1409</v>
      </c>
      <c r="K409" s="2" t="s">
        <v>1432</v>
      </c>
      <c r="L409" s="2" t="s">
        <v>106</v>
      </c>
      <c r="M409" s="2" t="s">
        <v>1411</v>
      </c>
      <c r="N409" s="16">
        <v>1.7999999999999999E-2</v>
      </c>
      <c r="O409" s="17">
        <f>N409*'Financial Inputs'!$B$3</f>
        <v>1799999.9999999998</v>
      </c>
      <c r="P409" s="18">
        <f>IF(I409="L",'Financial Inputs'!$B$4,IF(I409="M",'Financial Inputs'!$B$5,'Financial Inputs'!$B$6))</f>
        <v>0.4</v>
      </c>
      <c r="Q409" s="17">
        <f>O409*P409</f>
        <v>720000</v>
      </c>
      <c r="R409" s="16">
        <f>'Financial Inputs'!$B$7</f>
        <v>0.35</v>
      </c>
      <c r="S409" s="17">
        <f>Q409*(1-R409)</f>
        <v>468000</v>
      </c>
      <c r="T409" s="18">
        <f>S409/'Financial Inputs'!$B$3</f>
        <v>4.6800000000000001E-3</v>
      </c>
      <c r="U409" s="9" t="s">
        <v>52</v>
      </c>
      <c r="V409" s="3" t="s">
        <v>53</v>
      </c>
    </row>
    <row r="410" spans="1:22">
      <c r="A410" s="2" t="s">
        <v>1433</v>
      </c>
      <c r="B410" s="2" t="s">
        <v>1434</v>
      </c>
      <c r="C410" s="2" t="s">
        <v>1408</v>
      </c>
      <c r="D410" s="2" t="s">
        <v>42</v>
      </c>
      <c r="E410" s="2" t="s">
        <v>109</v>
      </c>
      <c r="F410" s="2" t="s">
        <v>110</v>
      </c>
      <c r="G410" s="2" t="s">
        <v>111</v>
      </c>
      <c r="H410" s="2" t="s">
        <v>498</v>
      </c>
      <c r="I410" s="2" t="s">
        <v>47</v>
      </c>
      <c r="J410" s="2" t="s">
        <v>1409</v>
      </c>
      <c r="K410" s="2" t="s">
        <v>1435</v>
      </c>
      <c r="L410" s="2" t="s">
        <v>113</v>
      </c>
      <c r="M410" s="2" t="s">
        <v>1411</v>
      </c>
      <c r="N410" s="16">
        <v>1.9800000000000002E-2</v>
      </c>
      <c r="O410" s="17">
        <f>N410*'Financial Inputs'!$B$3</f>
        <v>1980000.0000000002</v>
      </c>
      <c r="P410" s="18">
        <f>IF(I410="L",'Financial Inputs'!$B$4,IF(I410="M",'Financial Inputs'!$B$5,'Financial Inputs'!$B$6))</f>
        <v>0.4</v>
      </c>
      <c r="Q410" s="17">
        <f>O410*P410</f>
        <v>792000.00000000012</v>
      </c>
      <c r="R410" s="16">
        <f>'Financial Inputs'!$B$7</f>
        <v>0.35</v>
      </c>
      <c r="S410" s="17">
        <f>Q410*(1-R410)</f>
        <v>514800.00000000012</v>
      </c>
      <c r="T410" s="18">
        <f>S410/'Financial Inputs'!$B$3</f>
        <v>5.1480000000000015E-3</v>
      </c>
      <c r="U410" s="9" t="s">
        <v>52</v>
      </c>
      <c r="V410" s="3" t="s">
        <v>53</v>
      </c>
    </row>
    <row r="411" spans="1:22">
      <c r="A411" s="2" t="s">
        <v>1436</v>
      </c>
      <c r="B411" s="2" t="s">
        <v>1437</v>
      </c>
      <c r="C411" s="2" t="s">
        <v>1408</v>
      </c>
      <c r="D411" s="2" t="s">
        <v>56</v>
      </c>
      <c r="E411" s="2" t="s">
        <v>116</v>
      </c>
      <c r="F411" s="2" t="s">
        <v>117</v>
      </c>
      <c r="G411" s="2" t="s">
        <v>56</v>
      </c>
      <c r="H411" s="2" t="s">
        <v>498</v>
      </c>
      <c r="I411" s="2" t="s">
        <v>47</v>
      </c>
      <c r="J411" s="2" t="s">
        <v>1409</v>
      </c>
      <c r="K411" s="2" t="s">
        <v>1438</v>
      </c>
      <c r="L411" s="2" t="s">
        <v>119</v>
      </c>
      <c r="M411" s="2" t="s">
        <v>1411</v>
      </c>
      <c r="N411" s="16">
        <v>2.1600000000000001E-2</v>
      </c>
      <c r="O411" s="17">
        <f>N411*'Financial Inputs'!$B$3</f>
        <v>2160000</v>
      </c>
      <c r="P411" s="18">
        <f>IF(I411="L",'Financial Inputs'!$B$4,IF(I411="M",'Financial Inputs'!$B$5,'Financial Inputs'!$B$6))</f>
        <v>0.4</v>
      </c>
      <c r="Q411" s="17">
        <f>O411*P411</f>
        <v>864000</v>
      </c>
      <c r="R411" s="16">
        <f>'Financial Inputs'!$B$7</f>
        <v>0.35</v>
      </c>
      <c r="S411" s="17">
        <f>Q411*(1-R411)</f>
        <v>561600</v>
      </c>
      <c r="T411" s="18">
        <f>S411/'Financial Inputs'!$B$3</f>
        <v>5.6160000000000003E-3</v>
      </c>
      <c r="U411" s="9" t="s">
        <v>52</v>
      </c>
      <c r="V411" s="3" t="s">
        <v>53</v>
      </c>
    </row>
    <row r="412" spans="1:22">
      <c r="A412" s="2" t="s">
        <v>1439</v>
      </c>
      <c r="B412" s="2" t="s">
        <v>1440</v>
      </c>
      <c r="C412" s="2" t="s">
        <v>1408</v>
      </c>
      <c r="D412" s="2" t="s">
        <v>80</v>
      </c>
      <c r="E412" s="2" t="s">
        <v>122</v>
      </c>
      <c r="F412" s="2" t="s">
        <v>58</v>
      </c>
      <c r="G412" s="2" t="s">
        <v>83</v>
      </c>
      <c r="H412" s="2" t="s">
        <v>498</v>
      </c>
      <c r="I412" s="2" t="s">
        <v>47</v>
      </c>
      <c r="J412" s="2" t="s">
        <v>1409</v>
      </c>
      <c r="K412" s="2" t="s">
        <v>1441</v>
      </c>
      <c r="L412" s="2" t="s">
        <v>124</v>
      </c>
      <c r="M412" s="2" t="s">
        <v>1411</v>
      </c>
      <c r="N412" s="16">
        <v>1.44E-2</v>
      </c>
      <c r="O412" s="17">
        <f>N412*'Financial Inputs'!$B$3</f>
        <v>1440000</v>
      </c>
      <c r="P412" s="18">
        <f>IF(I412="L",'Financial Inputs'!$B$4,IF(I412="M",'Financial Inputs'!$B$5,'Financial Inputs'!$B$6))</f>
        <v>0.4</v>
      </c>
      <c r="Q412" s="17">
        <f>O412*P412</f>
        <v>576000</v>
      </c>
      <c r="R412" s="16">
        <f>'Financial Inputs'!$B$7</f>
        <v>0.35</v>
      </c>
      <c r="S412" s="17">
        <f>Q412*(1-R412)</f>
        <v>374400</v>
      </c>
      <c r="T412" s="18">
        <f>S412/'Financial Inputs'!$B$3</f>
        <v>3.7439999999999999E-3</v>
      </c>
      <c r="U412" s="9" t="s">
        <v>52</v>
      </c>
      <c r="V412" s="3" t="s">
        <v>53</v>
      </c>
    </row>
    <row r="413" spans="1:22">
      <c r="A413" s="2" t="s">
        <v>1442</v>
      </c>
      <c r="B413" s="2" t="s">
        <v>1443</v>
      </c>
      <c r="C413" s="2" t="s">
        <v>1408</v>
      </c>
      <c r="D413" s="2" t="s">
        <v>127</v>
      </c>
      <c r="E413" s="2" t="s">
        <v>128</v>
      </c>
      <c r="F413" s="2" t="s">
        <v>66</v>
      </c>
      <c r="G413" s="2" t="s">
        <v>111</v>
      </c>
      <c r="H413" s="2" t="s">
        <v>498</v>
      </c>
      <c r="I413" s="2" t="s">
        <v>47</v>
      </c>
      <c r="J413" s="2" t="s">
        <v>1409</v>
      </c>
      <c r="K413" s="2" t="s">
        <v>1444</v>
      </c>
      <c r="L413" s="2" t="s">
        <v>130</v>
      </c>
      <c r="M413" s="2" t="s">
        <v>1411</v>
      </c>
      <c r="N413" s="16">
        <v>1.6199999999999999E-2</v>
      </c>
      <c r="O413" s="17">
        <f>N413*'Financial Inputs'!$B$3</f>
        <v>1620000</v>
      </c>
      <c r="P413" s="18">
        <f>IF(I413="L",'Financial Inputs'!$B$4,IF(I413="M",'Financial Inputs'!$B$5,'Financial Inputs'!$B$6))</f>
        <v>0.4</v>
      </c>
      <c r="Q413" s="17">
        <f>O413*P413</f>
        <v>648000</v>
      </c>
      <c r="R413" s="16">
        <f>'Financial Inputs'!$B$7</f>
        <v>0.35</v>
      </c>
      <c r="S413" s="17">
        <f>Q413*(1-R413)</f>
        <v>421200</v>
      </c>
      <c r="T413" s="18">
        <f>S413/'Financial Inputs'!$B$3</f>
        <v>4.2119999999999996E-3</v>
      </c>
      <c r="U413" s="9" t="s">
        <v>52</v>
      </c>
      <c r="V413" s="3" t="s">
        <v>53</v>
      </c>
    </row>
    <row r="414" spans="1:22">
      <c r="A414" s="2" t="s">
        <v>1445</v>
      </c>
      <c r="B414" s="2" t="s">
        <v>1446</v>
      </c>
      <c r="C414" s="2" t="s">
        <v>1408</v>
      </c>
      <c r="D414" s="2" t="s">
        <v>133</v>
      </c>
      <c r="E414" s="2" t="s">
        <v>43</v>
      </c>
      <c r="F414" s="2" t="s">
        <v>74</v>
      </c>
      <c r="G414" s="2" t="s">
        <v>56</v>
      </c>
      <c r="H414" s="2" t="s">
        <v>498</v>
      </c>
      <c r="I414" s="2" t="s">
        <v>47</v>
      </c>
      <c r="J414" s="2" t="s">
        <v>1409</v>
      </c>
      <c r="K414" s="2" t="s">
        <v>1447</v>
      </c>
      <c r="L414" s="2" t="s">
        <v>135</v>
      </c>
      <c r="M414" s="2" t="s">
        <v>1411</v>
      </c>
      <c r="N414" s="16">
        <v>1.7999999999999999E-2</v>
      </c>
      <c r="O414" s="17">
        <f>N414*'Financial Inputs'!$B$3</f>
        <v>1799999.9999999998</v>
      </c>
      <c r="P414" s="18">
        <f>IF(I414="L",'Financial Inputs'!$B$4,IF(I414="M",'Financial Inputs'!$B$5,'Financial Inputs'!$B$6))</f>
        <v>0.4</v>
      </c>
      <c r="Q414" s="17">
        <f>O414*P414</f>
        <v>720000</v>
      </c>
      <c r="R414" s="16">
        <f>'Financial Inputs'!$B$7</f>
        <v>0.35</v>
      </c>
      <c r="S414" s="17">
        <f>Q414*(1-R414)</f>
        <v>468000</v>
      </c>
      <c r="T414" s="18">
        <f>S414/'Financial Inputs'!$B$3</f>
        <v>4.6800000000000001E-3</v>
      </c>
      <c r="U414" s="9" t="s">
        <v>52</v>
      </c>
      <c r="V414" s="3" t="s">
        <v>53</v>
      </c>
    </row>
    <row r="415" spans="1:22">
      <c r="A415" s="2" t="s">
        <v>1448</v>
      </c>
      <c r="B415" s="2" t="s">
        <v>1449</v>
      </c>
      <c r="C415" s="2" t="s">
        <v>1408</v>
      </c>
      <c r="D415" s="2" t="s">
        <v>88</v>
      </c>
      <c r="E415" s="2" t="s">
        <v>57</v>
      </c>
      <c r="F415" s="2" t="s">
        <v>82</v>
      </c>
      <c r="G415" s="2" t="s">
        <v>138</v>
      </c>
      <c r="H415" s="2" t="s">
        <v>498</v>
      </c>
      <c r="I415" s="2" t="s">
        <v>47</v>
      </c>
      <c r="J415" s="2" t="s">
        <v>1409</v>
      </c>
      <c r="K415" s="2" t="s">
        <v>1450</v>
      </c>
      <c r="L415" s="2" t="s">
        <v>140</v>
      </c>
      <c r="M415" s="2" t="s">
        <v>1411</v>
      </c>
      <c r="N415" s="16">
        <v>1.9800000000000002E-2</v>
      </c>
      <c r="O415" s="17">
        <f>N415*'Financial Inputs'!$B$3</f>
        <v>1980000.0000000002</v>
      </c>
      <c r="P415" s="18">
        <f>IF(I415="L",'Financial Inputs'!$B$4,IF(I415="M",'Financial Inputs'!$B$5,'Financial Inputs'!$B$6))</f>
        <v>0.4</v>
      </c>
      <c r="Q415" s="17">
        <f>O415*P415</f>
        <v>792000.00000000012</v>
      </c>
      <c r="R415" s="16">
        <f>'Financial Inputs'!$B$7</f>
        <v>0.35</v>
      </c>
      <c r="S415" s="17">
        <f>Q415*(1-R415)</f>
        <v>514800.00000000012</v>
      </c>
      <c r="T415" s="18">
        <f>S415/'Financial Inputs'!$B$3</f>
        <v>5.1480000000000015E-3</v>
      </c>
      <c r="U415" s="9" t="s">
        <v>52</v>
      </c>
      <c r="V415" s="3" t="s">
        <v>53</v>
      </c>
    </row>
    <row r="416" spans="1:22">
      <c r="A416" s="2" t="s">
        <v>1451</v>
      </c>
      <c r="B416" s="2" t="s">
        <v>1452</v>
      </c>
      <c r="C416" s="2" t="s">
        <v>1408</v>
      </c>
      <c r="D416" s="2" t="s">
        <v>95</v>
      </c>
      <c r="E416" s="2" t="s">
        <v>65</v>
      </c>
      <c r="F416" s="2" t="s">
        <v>44</v>
      </c>
      <c r="G416" s="2" t="s">
        <v>143</v>
      </c>
      <c r="H416" s="2" t="s">
        <v>498</v>
      </c>
      <c r="I416" s="2" t="s">
        <v>47</v>
      </c>
      <c r="J416" s="2" t="s">
        <v>1409</v>
      </c>
      <c r="K416" s="2" t="s">
        <v>1453</v>
      </c>
      <c r="L416" s="2" t="s">
        <v>145</v>
      </c>
      <c r="M416" s="2" t="s">
        <v>1411</v>
      </c>
      <c r="N416" s="16">
        <v>2.1600000000000001E-2</v>
      </c>
      <c r="O416" s="17">
        <f>N416*'Financial Inputs'!$B$3</f>
        <v>2160000</v>
      </c>
      <c r="P416" s="18">
        <f>IF(I416="L",'Financial Inputs'!$B$4,IF(I416="M",'Financial Inputs'!$B$5,'Financial Inputs'!$B$6))</f>
        <v>0.4</v>
      </c>
      <c r="Q416" s="17">
        <f>O416*P416</f>
        <v>864000</v>
      </c>
      <c r="R416" s="16">
        <f>'Financial Inputs'!$B$7</f>
        <v>0.35</v>
      </c>
      <c r="S416" s="17">
        <f>Q416*(1-R416)</f>
        <v>561600</v>
      </c>
      <c r="T416" s="18">
        <f>S416/'Financial Inputs'!$B$3</f>
        <v>5.6160000000000003E-3</v>
      </c>
      <c r="U416" s="9" t="s">
        <v>52</v>
      </c>
      <c r="V416" s="3" t="s">
        <v>53</v>
      </c>
    </row>
    <row r="417" spans="1:22">
      <c r="A417" s="2" t="s">
        <v>1454</v>
      </c>
      <c r="B417" s="2" t="s">
        <v>1455</v>
      </c>
      <c r="C417" s="2" t="s">
        <v>1408</v>
      </c>
      <c r="D417" s="2" t="s">
        <v>56</v>
      </c>
      <c r="E417" s="2" t="s">
        <v>148</v>
      </c>
      <c r="F417" s="2" t="s">
        <v>97</v>
      </c>
      <c r="G417" s="2" t="s">
        <v>56</v>
      </c>
      <c r="H417" s="2" t="s">
        <v>498</v>
      </c>
      <c r="I417" s="2" t="s">
        <v>47</v>
      </c>
      <c r="J417" s="2" t="s">
        <v>1409</v>
      </c>
      <c r="K417" s="2" t="s">
        <v>1456</v>
      </c>
      <c r="L417" s="2" t="s">
        <v>150</v>
      </c>
      <c r="M417" s="2" t="s">
        <v>1411</v>
      </c>
      <c r="N417" s="16">
        <v>1.44E-2</v>
      </c>
      <c r="O417" s="17">
        <f>N417*'Financial Inputs'!$B$3</f>
        <v>1440000</v>
      </c>
      <c r="P417" s="18">
        <f>IF(I417="L",'Financial Inputs'!$B$4,IF(I417="M",'Financial Inputs'!$B$5,'Financial Inputs'!$B$6))</f>
        <v>0.4</v>
      </c>
      <c r="Q417" s="17">
        <f>O417*P417</f>
        <v>576000</v>
      </c>
      <c r="R417" s="16">
        <f>'Financial Inputs'!$B$7</f>
        <v>0.35</v>
      </c>
      <c r="S417" s="17">
        <f>Q417*(1-R417)</f>
        <v>374400</v>
      </c>
      <c r="T417" s="18">
        <f>S417/'Financial Inputs'!$B$3</f>
        <v>3.7439999999999999E-3</v>
      </c>
      <c r="U417" s="9" t="s">
        <v>52</v>
      </c>
      <c r="V417" s="3" t="s">
        <v>53</v>
      </c>
    </row>
    <row r="418" spans="1:22">
      <c r="A418" s="2" t="s">
        <v>1457</v>
      </c>
      <c r="B418" s="2" t="s">
        <v>1458</v>
      </c>
      <c r="C418" s="2" t="s">
        <v>1408</v>
      </c>
      <c r="D418" s="2" t="s">
        <v>64</v>
      </c>
      <c r="E418" s="2" t="s">
        <v>153</v>
      </c>
      <c r="F418" s="2" t="s">
        <v>104</v>
      </c>
      <c r="G418" s="2" t="s">
        <v>138</v>
      </c>
      <c r="H418" s="2" t="s">
        <v>498</v>
      </c>
      <c r="I418" s="2" t="s">
        <v>47</v>
      </c>
      <c r="J418" s="2" t="s">
        <v>1409</v>
      </c>
      <c r="K418" s="2" t="s">
        <v>1459</v>
      </c>
      <c r="L418" s="2" t="s">
        <v>155</v>
      </c>
      <c r="M418" s="2" t="s">
        <v>1411</v>
      </c>
      <c r="N418" s="16">
        <v>1.6199999999999999E-2</v>
      </c>
      <c r="O418" s="17">
        <f>N418*'Financial Inputs'!$B$3</f>
        <v>1620000</v>
      </c>
      <c r="P418" s="18">
        <f>IF(I418="L",'Financial Inputs'!$B$4,IF(I418="M",'Financial Inputs'!$B$5,'Financial Inputs'!$B$6))</f>
        <v>0.4</v>
      </c>
      <c r="Q418" s="17">
        <f>O418*P418</f>
        <v>648000</v>
      </c>
      <c r="R418" s="16">
        <f>'Financial Inputs'!$B$7</f>
        <v>0.35</v>
      </c>
      <c r="S418" s="17">
        <f>Q418*(1-R418)</f>
        <v>421200</v>
      </c>
      <c r="T418" s="18">
        <f>S418/'Financial Inputs'!$B$3</f>
        <v>4.2119999999999996E-3</v>
      </c>
      <c r="U418" s="9" t="s">
        <v>52</v>
      </c>
      <c r="V418" s="3" t="s">
        <v>53</v>
      </c>
    </row>
    <row r="419" spans="1:22">
      <c r="A419" s="2" t="s">
        <v>1460</v>
      </c>
      <c r="B419" s="2" t="s">
        <v>1461</v>
      </c>
      <c r="C419" s="2" t="s">
        <v>1408</v>
      </c>
      <c r="D419" s="2" t="s">
        <v>72</v>
      </c>
      <c r="E419" s="2" t="s">
        <v>89</v>
      </c>
      <c r="F419" s="2" t="s">
        <v>110</v>
      </c>
      <c r="G419" s="2" t="s">
        <v>143</v>
      </c>
      <c r="H419" s="2" t="s">
        <v>498</v>
      </c>
      <c r="I419" s="2" t="s">
        <v>47</v>
      </c>
      <c r="J419" s="2" t="s">
        <v>1409</v>
      </c>
      <c r="K419" s="2" t="s">
        <v>1462</v>
      </c>
      <c r="L419" s="2" t="s">
        <v>159</v>
      </c>
      <c r="M419" s="2" t="s">
        <v>1411</v>
      </c>
      <c r="N419" s="16">
        <v>1.7999999999999999E-2</v>
      </c>
      <c r="O419" s="17">
        <f>N419*'Financial Inputs'!$B$3</f>
        <v>1799999.9999999998</v>
      </c>
      <c r="P419" s="18">
        <f>IF(I419="L",'Financial Inputs'!$B$4,IF(I419="M",'Financial Inputs'!$B$5,'Financial Inputs'!$B$6))</f>
        <v>0.4</v>
      </c>
      <c r="Q419" s="17">
        <f>O419*P419</f>
        <v>720000</v>
      </c>
      <c r="R419" s="16">
        <f>'Financial Inputs'!$B$7</f>
        <v>0.35</v>
      </c>
      <c r="S419" s="17">
        <f>Q419*(1-R419)</f>
        <v>468000</v>
      </c>
      <c r="T419" s="18">
        <f>S419/'Financial Inputs'!$B$3</f>
        <v>4.6800000000000001E-3</v>
      </c>
      <c r="U419" s="9" t="s">
        <v>52</v>
      </c>
      <c r="V419" s="3" t="s">
        <v>53</v>
      </c>
    </row>
    <row r="420" spans="1:22">
      <c r="A420" s="2" t="s">
        <v>1463</v>
      </c>
      <c r="B420" s="2" t="s">
        <v>1464</v>
      </c>
      <c r="C420" s="2" t="s">
        <v>1408</v>
      </c>
      <c r="D420" s="2" t="s">
        <v>80</v>
      </c>
      <c r="E420" s="2" t="s">
        <v>96</v>
      </c>
      <c r="F420" s="2" t="s">
        <v>117</v>
      </c>
      <c r="G420" s="2" t="s">
        <v>162</v>
      </c>
      <c r="H420" s="2" t="s">
        <v>498</v>
      </c>
      <c r="I420" s="2" t="s">
        <v>47</v>
      </c>
      <c r="J420" s="2" t="s">
        <v>1409</v>
      </c>
      <c r="K420" s="2" t="s">
        <v>1465</v>
      </c>
      <c r="L420" s="2" t="s">
        <v>164</v>
      </c>
      <c r="M420" s="2" t="s">
        <v>1411</v>
      </c>
      <c r="N420" s="16">
        <v>1.9800000000000002E-2</v>
      </c>
      <c r="O420" s="17">
        <f>N420*'Financial Inputs'!$B$3</f>
        <v>1980000.0000000002</v>
      </c>
      <c r="P420" s="18">
        <f>IF(I420="L",'Financial Inputs'!$B$4,IF(I420="M",'Financial Inputs'!$B$5,'Financial Inputs'!$B$6))</f>
        <v>0.4</v>
      </c>
      <c r="Q420" s="17">
        <f>O420*P420</f>
        <v>792000.00000000012</v>
      </c>
      <c r="R420" s="16">
        <f>'Financial Inputs'!$B$7</f>
        <v>0.35</v>
      </c>
      <c r="S420" s="17">
        <f>Q420*(1-R420)</f>
        <v>514800.00000000012</v>
      </c>
      <c r="T420" s="18">
        <f>S420/'Financial Inputs'!$B$3</f>
        <v>5.1480000000000015E-3</v>
      </c>
      <c r="U420" s="9" t="s">
        <v>52</v>
      </c>
      <c r="V420" s="3" t="s">
        <v>53</v>
      </c>
    </row>
    <row r="421" spans="1:22">
      <c r="A421" s="2" t="s">
        <v>1466</v>
      </c>
      <c r="B421" s="2" t="s">
        <v>1467</v>
      </c>
      <c r="C421" s="2" t="s">
        <v>1408</v>
      </c>
      <c r="D421" s="2" t="s">
        <v>127</v>
      </c>
      <c r="E421" s="2" t="s">
        <v>103</v>
      </c>
      <c r="F421" s="2" t="s">
        <v>90</v>
      </c>
      <c r="G421" s="2" t="s">
        <v>45</v>
      </c>
      <c r="H421" s="2" t="s">
        <v>498</v>
      </c>
      <c r="I421" s="2" t="s">
        <v>47</v>
      </c>
      <c r="J421" s="2" t="s">
        <v>1409</v>
      </c>
      <c r="K421" s="2" t="s">
        <v>1468</v>
      </c>
      <c r="L421" s="2" t="s">
        <v>168</v>
      </c>
      <c r="M421" s="2" t="s">
        <v>1411</v>
      </c>
      <c r="N421" s="16">
        <v>2.1600000000000001E-2</v>
      </c>
      <c r="O421" s="17">
        <f>N421*'Financial Inputs'!$B$3</f>
        <v>2160000</v>
      </c>
      <c r="P421" s="18">
        <f>IF(I421="L",'Financial Inputs'!$B$4,IF(I421="M",'Financial Inputs'!$B$5,'Financial Inputs'!$B$6))</f>
        <v>0.4</v>
      </c>
      <c r="Q421" s="17">
        <f>O421*P421</f>
        <v>864000</v>
      </c>
      <c r="R421" s="16">
        <f>'Financial Inputs'!$B$7</f>
        <v>0.35</v>
      </c>
      <c r="S421" s="17">
        <f>Q421*(1-R421)</f>
        <v>561600</v>
      </c>
      <c r="T421" s="18">
        <f>S421/'Financial Inputs'!$B$3</f>
        <v>5.6160000000000003E-3</v>
      </c>
      <c r="U421" s="9" t="s">
        <v>52</v>
      </c>
      <c r="V421" s="3" t="s">
        <v>53</v>
      </c>
    </row>
    <row r="422" spans="1:22">
      <c r="A422" s="2" t="s">
        <v>1469</v>
      </c>
      <c r="B422" s="2" t="s">
        <v>1470</v>
      </c>
      <c r="C422" s="2" t="s">
        <v>1408</v>
      </c>
      <c r="D422" s="2" t="s">
        <v>95</v>
      </c>
      <c r="E422" s="2" t="s">
        <v>171</v>
      </c>
      <c r="F422" s="2" t="s">
        <v>66</v>
      </c>
      <c r="G422" s="2" t="s">
        <v>143</v>
      </c>
      <c r="H422" s="2" t="s">
        <v>498</v>
      </c>
      <c r="I422" s="2" t="s">
        <v>47</v>
      </c>
      <c r="J422" s="2" t="s">
        <v>1409</v>
      </c>
      <c r="K422" s="2" t="s">
        <v>1471</v>
      </c>
      <c r="L422" s="2" t="s">
        <v>173</v>
      </c>
      <c r="M422" s="2" t="s">
        <v>1411</v>
      </c>
      <c r="N422" s="16">
        <v>1.44E-2</v>
      </c>
      <c r="O422" s="17">
        <f>N422*'Financial Inputs'!$B$3</f>
        <v>1440000</v>
      </c>
      <c r="P422" s="18">
        <f>IF(I422="L",'Financial Inputs'!$B$4,IF(I422="M",'Financial Inputs'!$B$5,'Financial Inputs'!$B$6))</f>
        <v>0.4</v>
      </c>
      <c r="Q422" s="17">
        <f>O422*P422</f>
        <v>576000</v>
      </c>
      <c r="R422" s="16">
        <f>'Financial Inputs'!$B$7</f>
        <v>0.35</v>
      </c>
      <c r="S422" s="17">
        <f>Q422*(1-R422)</f>
        <v>374400</v>
      </c>
      <c r="T422" s="18">
        <f>S422/'Financial Inputs'!$B$3</f>
        <v>3.7439999999999999E-3</v>
      </c>
      <c r="U422" s="9" t="s">
        <v>52</v>
      </c>
      <c r="V422" s="3" t="s">
        <v>53</v>
      </c>
    </row>
    <row r="423" spans="1:22">
      <c r="A423" s="2" t="s">
        <v>1472</v>
      </c>
      <c r="B423" s="2" t="s">
        <v>1473</v>
      </c>
      <c r="C423" s="2" t="s">
        <v>1408</v>
      </c>
      <c r="D423" s="2" t="s">
        <v>102</v>
      </c>
      <c r="E423" s="2" t="s">
        <v>176</v>
      </c>
      <c r="F423" s="2" t="s">
        <v>74</v>
      </c>
      <c r="G423" s="2" t="s">
        <v>162</v>
      </c>
      <c r="H423" s="2" t="s">
        <v>498</v>
      </c>
      <c r="I423" s="2" t="s">
        <v>47</v>
      </c>
      <c r="J423" s="2" t="s">
        <v>1409</v>
      </c>
      <c r="K423" s="2" t="s">
        <v>1474</v>
      </c>
      <c r="L423" s="2" t="s">
        <v>178</v>
      </c>
      <c r="M423" s="2" t="s">
        <v>1411</v>
      </c>
      <c r="N423" s="16">
        <v>1.6199999999999999E-2</v>
      </c>
      <c r="O423" s="17">
        <f>N423*'Financial Inputs'!$B$3</f>
        <v>1620000</v>
      </c>
      <c r="P423" s="18">
        <f>IF(I423="L",'Financial Inputs'!$B$4,IF(I423="M",'Financial Inputs'!$B$5,'Financial Inputs'!$B$6))</f>
        <v>0.4</v>
      </c>
      <c r="Q423" s="17">
        <f>O423*P423</f>
        <v>648000</v>
      </c>
      <c r="R423" s="16">
        <f>'Financial Inputs'!$B$7</f>
        <v>0.35</v>
      </c>
      <c r="S423" s="17">
        <f>Q423*(1-R423)</f>
        <v>421200</v>
      </c>
      <c r="T423" s="18">
        <f>S423/'Financial Inputs'!$B$3</f>
        <v>4.2119999999999996E-3</v>
      </c>
      <c r="U423" s="9" t="s">
        <v>52</v>
      </c>
      <c r="V423" s="3" t="s">
        <v>53</v>
      </c>
    </row>
    <row r="424" spans="1:22">
      <c r="A424" s="2" t="s">
        <v>1475</v>
      </c>
      <c r="B424" s="2" t="s">
        <v>1476</v>
      </c>
      <c r="C424" s="2" t="s">
        <v>1408</v>
      </c>
      <c r="D424" s="2" t="s">
        <v>42</v>
      </c>
      <c r="E424" s="2" t="s">
        <v>122</v>
      </c>
      <c r="F424" s="2" t="s">
        <v>82</v>
      </c>
      <c r="G424" s="2" t="s">
        <v>45</v>
      </c>
      <c r="H424" s="2" t="s">
        <v>498</v>
      </c>
      <c r="I424" s="2" t="s">
        <v>47</v>
      </c>
      <c r="J424" s="2" t="s">
        <v>1409</v>
      </c>
      <c r="K424" s="2" t="s">
        <v>1477</v>
      </c>
      <c r="L424" s="2" t="s">
        <v>182</v>
      </c>
      <c r="M424" s="2" t="s">
        <v>1411</v>
      </c>
      <c r="N424" s="16">
        <v>1.7999999999999999E-2</v>
      </c>
      <c r="O424" s="17">
        <f>N424*'Financial Inputs'!$B$3</f>
        <v>1799999.9999999998</v>
      </c>
      <c r="P424" s="18">
        <f>IF(I424="L",'Financial Inputs'!$B$4,IF(I424="M",'Financial Inputs'!$B$5,'Financial Inputs'!$B$6))</f>
        <v>0.4</v>
      </c>
      <c r="Q424" s="17">
        <f>O424*P424</f>
        <v>720000</v>
      </c>
      <c r="R424" s="16">
        <f>'Financial Inputs'!$B$7</f>
        <v>0.35</v>
      </c>
      <c r="S424" s="17">
        <f>Q424*(1-R424)</f>
        <v>468000</v>
      </c>
      <c r="T424" s="18">
        <f>S424/'Financial Inputs'!$B$3</f>
        <v>4.6800000000000001E-3</v>
      </c>
      <c r="U424" s="9" t="s">
        <v>52</v>
      </c>
      <c r="V424" s="3" t="s">
        <v>53</v>
      </c>
    </row>
    <row r="425" spans="1:22">
      <c r="A425" s="2" t="s">
        <v>1478</v>
      </c>
      <c r="B425" s="2" t="s">
        <v>1479</v>
      </c>
      <c r="C425" s="2" t="s">
        <v>1408</v>
      </c>
      <c r="D425" s="2" t="s">
        <v>56</v>
      </c>
      <c r="E425" s="2" t="s">
        <v>128</v>
      </c>
      <c r="F425" s="2" t="s">
        <v>44</v>
      </c>
      <c r="G425" s="2" t="s">
        <v>59</v>
      </c>
      <c r="H425" s="2" t="s">
        <v>498</v>
      </c>
      <c r="I425" s="2" t="s">
        <v>47</v>
      </c>
      <c r="J425" s="2" t="s">
        <v>1409</v>
      </c>
      <c r="K425" s="2" t="s">
        <v>1480</v>
      </c>
      <c r="L425" s="2" t="s">
        <v>186</v>
      </c>
      <c r="M425" s="2" t="s">
        <v>1411</v>
      </c>
      <c r="N425" s="16">
        <v>1.9800000000000002E-2</v>
      </c>
      <c r="O425" s="17">
        <f>N425*'Financial Inputs'!$B$3</f>
        <v>1980000.0000000002</v>
      </c>
      <c r="P425" s="18">
        <f>IF(I425="L",'Financial Inputs'!$B$4,IF(I425="M",'Financial Inputs'!$B$5,'Financial Inputs'!$B$6))</f>
        <v>0.4</v>
      </c>
      <c r="Q425" s="17">
        <f>O425*P425</f>
        <v>792000.00000000012</v>
      </c>
      <c r="R425" s="16">
        <f>'Financial Inputs'!$B$7</f>
        <v>0.35</v>
      </c>
      <c r="S425" s="17">
        <f>Q425*(1-R425)</f>
        <v>514800.00000000012</v>
      </c>
      <c r="T425" s="18">
        <f>S425/'Financial Inputs'!$B$3</f>
        <v>5.1480000000000015E-3</v>
      </c>
      <c r="U425" s="9" t="s">
        <v>52</v>
      </c>
      <c r="V425" s="3" t="s">
        <v>53</v>
      </c>
    </row>
    <row r="426" spans="1:22">
      <c r="A426" s="2" t="s">
        <v>1481</v>
      </c>
      <c r="B426" s="2" t="s">
        <v>1482</v>
      </c>
      <c r="C426" s="2" t="s">
        <v>1408</v>
      </c>
      <c r="D426" s="2" t="s">
        <v>64</v>
      </c>
      <c r="E426" s="2" t="s">
        <v>43</v>
      </c>
      <c r="F426" s="2" t="s">
        <v>58</v>
      </c>
      <c r="G426" s="2" t="s">
        <v>67</v>
      </c>
      <c r="H426" s="2" t="s">
        <v>498</v>
      </c>
      <c r="I426" s="2" t="s">
        <v>47</v>
      </c>
      <c r="J426" s="2" t="s">
        <v>1409</v>
      </c>
      <c r="K426" s="2" t="s">
        <v>1483</v>
      </c>
      <c r="L426" s="2" t="s">
        <v>190</v>
      </c>
      <c r="M426" s="2" t="s">
        <v>1411</v>
      </c>
      <c r="N426" s="16">
        <v>2.1600000000000001E-2</v>
      </c>
      <c r="O426" s="17">
        <f>N426*'Financial Inputs'!$B$3</f>
        <v>2160000</v>
      </c>
      <c r="P426" s="18">
        <f>IF(I426="L",'Financial Inputs'!$B$4,IF(I426="M",'Financial Inputs'!$B$5,'Financial Inputs'!$B$6))</f>
        <v>0.4</v>
      </c>
      <c r="Q426" s="17">
        <f>O426*P426</f>
        <v>864000</v>
      </c>
      <c r="R426" s="16">
        <f>'Financial Inputs'!$B$7</f>
        <v>0.35</v>
      </c>
      <c r="S426" s="17">
        <f>Q426*(1-R426)</f>
        <v>561600</v>
      </c>
      <c r="T426" s="18">
        <f>S426/'Financial Inputs'!$B$3</f>
        <v>5.6160000000000003E-3</v>
      </c>
      <c r="U426" s="9" t="s">
        <v>52</v>
      </c>
      <c r="V426" s="3" t="s">
        <v>53</v>
      </c>
    </row>
    <row r="427" spans="1:22">
      <c r="A427" s="2" t="s">
        <v>1484</v>
      </c>
      <c r="B427" s="2" t="s">
        <v>1485</v>
      </c>
      <c r="C427" s="2" t="s">
        <v>1408</v>
      </c>
      <c r="D427" s="2" t="s">
        <v>127</v>
      </c>
      <c r="E427" s="2" t="s">
        <v>193</v>
      </c>
      <c r="F427" s="2" t="s">
        <v>104</v>
      </c>
      <c r="G427" s="2" t="s">
        <v>45</v>
      </c>
      <c r="H427" s="2" t="s">
        <v>498</v>
      </c>
      <c r="I427" s="2" t="s">
        <v>47</v>
      </c>
      <c r="J427" s="2" t="s">
        <v>1409</v>
      </c>
      <c r="K427" s="2" t="s">
        <v>1486</v>
      </c>
      <c r="L427" s="2" t="s">
        <v>195</v>
      </c>
      <c r="M427" s="2" t="s">
        <v>1411</v>
      </c>
      <c r="N427" s="16">
        <v>1.44E-2</v>
      </c>
      <c r="O427" s="17">
        <f>N427*'Financial Inputs'!$B$3</f>
        <v>1440000</v>
      </c>
      <c r="P427" s="18">
        <f>IF(I427="L",'Financial Inputs'!$B$4,IF(I427="M",'Financial Inputs'!$B$5,'Financial Inputs'!$B$6))</f>
        <v>0.4</v>
      </c>
      <c r="Q427" s="17">
        <f>O427*P427</f>
        <v>576000</v>
      </c>
      <c r="R427" s="16">
        <f>'Financial Inputs'!$B$7</f>
        <v>0.35</v>
      </c>
      <c r="S427" s="17">
        <f>Q427*(1-R427)</f>
        <v>374400</v>
      </c>
      <c r="T427" s="18">
        <f>S427/'Financial Inputs'!$B$3</f>
        <v>3.7439999999999999E-3</v>
      </c>
      <c r="U427" s="9" t="s">
        <v>52</v>
      </c>
      <c r="V427" s="3" t="s">
        <v>53</v>
      </c>
    </row>
    <row r="428" spans="1:22">
      <c r="A428" s="2" t="s">
        <v>1487</v>
      </c>
      <c r="B428" s="2" t="s">
        <v>1488</v>
      </c>
      <c r="C428" s="2" t="s">
        <v>1408</v>
      </c>
      <c r="D428" s="2" t="s">
        <v>133</v>
      </c>
      <c r="E428" s="2" t="s">
        <v>198</v>
      </c>
      <c r="F428" s="2" t="s">
        <v>110</v>
      </c>
      <c r="G428" s="2" t="s">
        <v>59</v>
      </c>
      <c r="H428" s="2" t="s">
        <v>498</v>
      </c>
      <c r="I428" s="2" t="s">
        <v>47</v>
      </c>
      <c r="J428" s="2" t="s">
        <v>1409</v>
      </c>
      <c r="K428" s="2" t="s">
        <v>1489</v>
      </c>
      <c r="L428" s="2" t="s">
        <v>200</v>
      </c>
      <c r="M428" s="2" t="s">
        <v>1411</v>
      </c>
      <c r="N428" s="16">
        <v>1.6199999999999999E-2</v>
      </c>
      <c r="O428" s="17">
        <f>N428*'Financial Inputs'!$B$3</f>
        <v>1620000</v>
      </c>
      <c r="P428" s="18">
        <f>IF(I428="L",'Financial Inputs'!$B$4,IF(I428="M",'Financial Inputs'!$B$5,'Financial Inputs'!$B$6))</f>
        <v>0.4</v>
      </c>
      <c r="Q428" s="17">
        <f>O428*P428</f>
        <v>648000</v>
      </c>
      <c r="R428" s="16">
        <f>'Financial Inputs'!$B$7</f>
        <v>0.35</v>
      </c>
      <c r="S428" s="17">
        <f>Q428*(1-R428)</f>
        <v>421200</v>
      </c>
      <c r="T428" s="18">
        <f>S428/'Financial Inputs'!$B$3</f>
        <v>4.2119999999999996E-3</v>
      </c>
      <c r="U428" s="9" t="s">
        <v>52</v>
      </c>
      <c r="V428" s="3" t="s">
        <v>53</v>
      </c>
    </row>
    <row r="429" spans="1:22">
      <c r="A429" s="2" t="s">
        <v>1490</v>
      </c>
      <c r="B429" s="2" t="s">
        <v>1491</v>
      </c>
      <c r="C429" s="2" t="s">
        <v>1408</v>
      </c>
      <c r="D429" s="2" t="s">
        <v>88</v>
      </c>
      <c r="E429" s="2" t="s">
        <v>148</v>
      </c>
      <c r="F429" s="2" t="s">
        <v>117</v>
      </c>
      <c r="G429" s="2" t="s">
        <v>67</v>
      </c>
      <c r="H429" s="2" t="s">
        <v>498</v>
      </c>
      <c r="I429" s="2" t="s">
        <v>47</v>
      </c>
      <c r="J429" s="2" t="s">
        <v>1409</v>
      </c>
      <c r="K429" s="2" t="s">
        <v>1492</v>
      </c>
      <c r="L429" s="2" t="s">
        <v>204</v>
      </c>
      <c r="M429" s="2" t="s">
        <v>1411</v>
      </c>
      <c r="N429" s="16">
        <v>1.7999999999999999E-2</v>
      </c>
      <c r="O429" s="17">
        <f>N429*'Financial Inputs'!$B$3</f>
        <v>1799999.9999999998</v>
      </c>
      <c r="P429" s="18">
        <f>IF(I429="L",'Financial Inputs'!$B$4,IF(I429="M",'Financial Inputs'!$B$5,'Financial Inputs'!$B$6))</f>
        <v>0.4</v>
      </c>
      <c r="Q429" s="17">
        <f>O429*P429</f>
        <v>720000</v>
      </c>
      <c r="R429" s="16">
        <f>'Financial Inputs'!$B$7</f>
        <v>0.35</v>
      </c>
      <c r="S429" s="17">
        <f>Q429*(1-R429)</f>
        <v>468000</v>
      </c>
      <c r="T429" s="18">
        <f>S429/'Financial Inputs'!$B$3</f>
        <v>4.6800000000000001E-3</v>
      </c>
      <c r="U429" s="9" t="s">
        <v>52</v>
      </c>
      <c r="V429" s="3" t="s">
        <v>53</v>
      </c>
    </row>
    <row r="430" spans="1:22">
      <c r="A430" s="2" t="s">
        <v>1493</v>
      </c>
      <c r="B430" s="2" t="s">
        <v>1494</v>
      </c>
      <c r="C430" s="2" t="s">
        <v>1408</v>
      </c>
      <c r="D430" s="2" t="s">
        <v>95</v>
      </c>
      <c r="E430" s="2" t="s">
        <v>153</v>
      </c>
      <c r="F430" s="2" t="s">
        <v>90</v>
      </c>
      <c r="G430" s="2" t="s">
        <v>75</v>
      </c>
      <c r="H430" s="2" t="s">
        <v>498</v>
      </c>
      <c r="I430" s="2" t="s">
        <v>47</v>
      </c>
      <c r="J430" s="2" t="s">
        <v>1409</v>
      </c>
      <c r="K430" s="2" t="s">
        <v>1495</v>
      </c>
      <c r="L430" s="2" t="s">
        <v>208</v>
      </c>
      <c r="M430" s="2" t="s">
        <v>1411</v>
      </c>
      <c r="N430" s="16">
        <v>1.9800000000000002E-2</v>
      </c>
      <c r="O430" s="17">
        <f>N430*'Financial Inputs'!$B$3</f>
        <v>1980000.0000000002</v>
      </c>
      <c r="P430" s="18">
        <f>IF(I430="L",'Financial Inputs'!$B$4,IF(I430="M",'Financial Inputs'!$B$5,'Financial Inputs'!$B$6))</f>
        <v>0.4</v>
      </c>
      <c r="Q430" s="17">
        <f>O430*P430</f>
        <v>792000.00000000012</v>
      </c>
      <c r="R430" s="16">
        <f>'Financial Inputs'!$B$7</f>
        <v>0.35</v>
      </c>
      <c r="S430" s="17">
        <f>Q430*(1-R430)</f>
        <v>514800.00000000012</v>
      </c>
      <c r="T430" s="18">
        <f>S430/'Financial Inputs'!$B$3</f>
        <v>5.1480000000000015E-3</v>
      </c>
      <c r="U430" s="9" t="s">
        <v>52</v>
      </c>
      <c r="V430" s="3" t="s">
        <v>53</v>
      </c>
    </row>
    <row r="431" spans="1:22">
      <c r="A431" s="2" t="s">
        <v>1496</v>
      </c>
      <c r="B431" s="2" t="s">
        <v>1497</v>
      </c>
      <c r="C431" s="2" t="s">
        <v>1408</v>
      </c>
      <c r="D431" s="2" t="s">
        <v>102</v>
      </c>
      <c r="E431" s="2" t="s">
        <v>89</v>
      </c>
      <c r="F431" s="2" t="s">
        <v>97</v>
      </c>
      <c r="G431" s="2" t="s">
        <v>83</v>
      </c>
      <c r="H431" s="2" t="s">
        <v>498</v>
      </c>
      <c r="I431" s="2" t="s">
        <v>47</v>
      </c>
      <c r="J431" s="2" t="s">
        <v>1409</v>
      </c>
      <c r="K431" s="2" t="s">
        <v>1498</v>
      </c>
      <c r="L431" s="2" t="s">
        <v>212</v>
      </c>
      <c r="M431" s="2" t="s">
        <v>1411</v>
      </c>
      <c r="N431" s="16">
        <v>2.1600000000000001E-2</v>
      </c>
      <c r="O431" s="17">
        <f>N431*'Financial Inputs'!$B$3</f>
        <v>2160000</v>
      </c>
      <c r="P431" s="18">
        <f>IF(I431="L",'Financial Inputs'!$B$4,IF(I431="M",'Financial Inputs'!$B$5,'Financial Inputs'!$B$6))</f>
        <v>0.4</v>
      </c>
      <c r="Q431" s="17">
        <f>O431*P431</f>
        <v>864000</v>
      </c>
      <c r="R431" s="16">
        <f>'Financial Inputs'!$B$7</f>
        <v>0.35</v>
      </c>
      <c r="S431" s="17">
        <f>Q431*(1-R431)</f>
        <v>561600</v>
      </c>
      <c r="T431" s="18">
        <f>S431/'Financial Inputs'!$B$3</f>
        <v>5.6160000000000003E-3</v>
      </c>
      <c r="U431" s="9" t="s">
        <v>52</v>
      </c>
      <c r="V431" s="3" t="s">
        <v>53</v>
      </c>
    </row>
    <row r="432" spans="1:22">
      <c r="A432" s="2" t="s">
        <v>1499</v>
      </c>
      <c r="B432" s="2" t="s">
        <v>1500</v>
      </c>
      <c r="C432" s="2" t="s">
        <v>1408</v>
      </c>
      <c r="D432" s="2" t="s">
        <v>64</v>
      </c>
      <c r="E432" s="2" t="s">
        <v>215</v>
      </c>
      <c r="F432" s="2" t="s">
        <v>74</v>
      </c>
      <c r="G432" s="2" t="s">
        <v>67</v>
      </c>
      <c r="H432" s="2" t="s">
        <v>498</v>
      </c>
      <c r="I432" s="2" t="s">
        <v>47</v>
      </c>
      <c r="J432" s="2" t="s">
        <v>1409</v>
      </c>
      <c r="K432" s="2" t="s">
        <v>1501</v>
      </c>
      <c r="L432" s="2" t="s">
        <v>217</v>
      </c>
      <c r="M432" s="2" t="s">
        <v>1411</v>
      </c>
      <c r="N432" s="16">
        <v>1.44E-2</v>
      </c>
      <c r="O432" s="17">
        <f>N432*'Financial Inputs'!$B$3</f>
        <v>1440000</v>
      </c>
      <c r="P432" s="18">
        <f>IF(I432="L",'Financial Inputs'!$B$4,IF(I432="M",'Financial Inputs'!$B$5,'Financial Inputs'!$B$6))</f>
        <v>0.4</v>
      </c>
      <c r="Q432" s="17">
        <f>O432*P432</f>
        <v>576000</v>
      </c>
      <c r="R432" s="16">
        <f>'Financial Inputs'!$B$7</f>
        <v>0.35</v>
      </c>
      <c r="S432" s="17">
        <f>Q432*(1-R432)</f>
        <v>374400</v>
      </c>
      <c r="T432" s="18">
        <f>S432/'Financial Inputs'!$B$3</f>
        <v>3.7439999999999999E-3</v>
      </c>
      <c r="U432" s="9" t="s">
        <v>52</v>
      </c>
      <c r="V432" s="3" t="s">
        <v>53</v>
      </c>
    </row>
    <row r="433" spans="1:22">
      <c r="A433" s="2" t="s">
        <v>1502</v>
      </c>
      <c r="B433" s="2" t="s">
        <v>1503</v>
      </c>
      <c r="C433" s="2" t="s">
        <v>1408</v>
      </c>
      <c r="D433" s="2" t="s">
        <v>72</v>
      </c>
      <c r="E433" s="2" t="s">
        <v>220</v>
      </c>
      <c r="F433" s="2" t="s">
        <v>82</v>
      </c>
      <c r="G433" s="2" t="s">
        <v>75</v>
      </c>
      <c r="H433" s="2" t="s">
        <v>498</v>
      </c>
      <c r="I433" s="2" t="s">
        <v>47</v>
      </c>
      <c r="J433" s="2" t="s">
        <v>1409</v>
      </c>
      <c r="K433" s="2" t="s">
        <v>1504</v>
      </c>
      <c r="L433" s="2" t="s">
        <v>222</v>
      </c>
      <c r="M433" s="2" t="s">
        <v>1411</v>
      </c>
      <c r="N433" s="16">
        <v>1.6199999999999999E-2</v>
      </c>
      <c r="O433" s="17">
        <f>N433*'Financial Inputs'!$B$3</f>
        <v>1620000</v>
      </c>
      <c r="P433" s="18">
        <f>IF(I433="L",'Financial Inputs'!$B$4,IF(I433="M",'Financial Inputs'!$B$5,'Financial Inputs'!$B$6))</f>
        <v>0.4</v>
      </c>
      <c r="Q433" s="17">
        <f>O433*P433</f>
        <v>648000</v>
      </c>
      <c r="R433" s="16">
        <f>'Financial Inputs'!$B$7</f>
        <v>0.35</v>
      </c>
      <c r="S433" s="17">
        <f>Q433*(1-R433)</f>
        <v>421200</v>
      </c>
      <c r="T433" s="18">
        <f>S433/'Financial Inputs'!$B$3</f>
        <v>4.2119999999999996E-3</v>
      </c>
      <c r="U433" s="9" t="s">
        <v>52</v>
      </c>
      <c r="V433" s="3" t="s">
        <v>53</v>
      </c>
    </row>
    <row r="434" spans="1:22">
      <c r="A434" s="2" t="s">
        <v>1505</v>
      </c>
      <c r="B434" s="2" t="s">
        <v>1506</v>
      </c>
      <c r="C434" s="2" t="s">
        <v>1408</v>
      </c>
      <c r="D434" s="2" t="s">
        <v>80</v>
      </c>
      <c r="E434" s="2" t="s">
        <v>171</v>
      </c>
      <c r="F434" s="2" t="s">
        <v>44</v>
      </c>
      <c r="G434" s="2" t="s">
        <v>83</v>
      </c>
      <c r="H434" s="2" t="s">
        <v>498</v>
      </c>
      <c r="I434" s="2" t="s">
        <v>47</v>
      </c>
      <c r="J434" s="2" t="s">
        <v>1409</v>
      </c>
      <c r="K434" s="2" t="s">
        <v>1507</v>
      </c>
      <c r="L434" s="2" t="s">
        <v>226</v>
      </c>
      <c r="M434" s="2" t="s">
        <v>1411</v>
      </c>
      <c r="N434" s="16">
        <v>1.7999999999999999E-2</v>
      </c>
      <c r="O434" s="17">
        <f>N434*'Financial Inputs'!$B$3</f>
        <v>1799999.9999999998</v>
      </c>
      <c r="P434" s="18">
        <f>IF(I434="L",'Financial Inputs'!$B$4,IF(I434="M",'Financial Inputs'!$B$5,'Financial Inputs'!$B$6))</f>
        <v>0.4</v>
      </c>
      <c r="Q434" s="17">
        <f>O434*P434</f>
        <v>720000</v>
      </c>
      <c r="R434" s="16">
        <f>'Financial Inputs'!$B$7</f>
        <v>0.35</v>
      </c>
      <c r="S434" s="17">
        <f>Q434*(1-R434)</f>
        <v>468000</v>
      </c>
      <c r="T434" s="18">
        <f>S434/'Financial Inputs'!$B$3</f>
        <v>4.6800000000000001E-3</v>
      </c>
      <c r="U434" s="9" t="s">
        <v>52</v>
      </c>
      <c r="V434" s="3" t="s">
        <v>53</v>
      </c>
    </row>
    <row r="435" spans="1:22">
      <c r="A435" s="2" t="s">
        <v>1508</v>
      </c>
      <c r="B435" s="2" t="s">
        <v>1509</v>
      </c>
      <c r="C435" s="2" t="s">
        <v>1408</v>
      </c>
      <c r="D435" s="2" t="s">
        <v>127</v>
      </c>
      <c r="E435" s="2" t="s">
        <v>176</v>
      </c>
      <c r="F435" s="2" t="s">
        <v>58</v>
      </c>
      <c r="G435" s="2" t="s">
        <v>111</v>
      </c>
      <c r="H435" s="2" t="s">
        <v>498</v>
      </c>
      <c r="I435" s="2" t="s">
        <v>47</v>
      </c>
      <c r="J435" s="2" t="s">
        <v>1409</v>
      </c>
      <c r="K435" s="2" t="s">
        <v>1510</v>
      </c>
      <c r="L435" s="2" t="s">
        <v>230</v>
      </c>
      <c r="M435" s="2" t="s">
        <v>1411</v>
      </c>
      <c r="N435" s="16">
        <v>1.9800000000000002E-2</v>
      </c>
      <c r="O435" s="17">
        <f>N435*'Financial Inputs'!$B$3</f>
        <v>1980000.0000000002</v>
      </c>
      <c r="P435" s="18">
        <f>IF(I435="L",'Financial Inputs'!$B$4,IF(I435="M",'Financial Inputs'!$B$5,'Financial Inputs'!$B$6))</f>
        <v>0.4</v>
      </c>
      <c r="Q435" s="17">
        <f>O435*P435</f>
        <v>792000.00000000012</v>
      </c>
      <c r="R435" s="16">
        <f>'Financial Inputs'!$B$7</f>
        <v>0.35</v>
      </c>
      <c r="S435" s="17">
        <f>Q435*(1-R435)</f>
        <v>514800.00000000012</v>
      </c>
      <c r="T435" s="18">
        <f>S435/'Financial Inputs'!$B$3</f>
        <v>5.1480000000000015E-3</v>
      </c>
      <c r="U435" s="9" t="s">
        <v>52</v>
      </c>
      <c r="V435" s="3" t="s">
        <v>53</v>
      </c>
    </row>
    <row r="436" spans="1:22">
      <c r="A436" s="2" t="s">
        <v>1511</v>
      </c>
      <c r="B436" s="2" t="s">
        <v>1512</v>
      </c>
      <c r="C436" s="2" t="s">
        <v>1408</v>
      </c>
      <c r="D436" s="2" t="s">
        <v>133</v>
      </c>
      <c r="E436" s="2" t="s">
        <v>122</v>
      </c>
      <c r="F436" s="2" t="s">
        <v>66</v>
      </c>
      <c r="G436" s="2" t="s">
        <v>56</v>
      </c>
      <c r="H436" s="2" t="s">
        <v>498</v>
      </c>
      <c r="I436" s="2" t="s">
        <v>47</v>
      </c>
      <c r="J436" s="2" t="s">
        <v>1409</v>
      </c>
      <c r="K436" s="2" t="s">
        <v>1513</v>
      </c>
      <c r="L436" s="2" t="s">
        <v>234</v>
      </c>
      <c r="M436" s="2" t="s">
        <v>1411</v>
      </c>
      <c r="N436" s="16">
        <v>2.1600000000000001E-2</v>
      </c>
      <c r="O436" s="17">
        <f>N436*'Financial Inputs'!$B$3</f>
        <v>2160000</v>
      </c>
      <c r="P436" s="18">
        <f>IF(I436="L",'Financial Inputs'!$B$4,IF(I436="M",'Financial Inputs'!$B$5,'Financial Inputs'!$B$6))</f>
        <v>0.4</v>
      </c>
      <c r="Q436" s="17">
        <f>O436*P436</f>
        <v>864000</v>
      </c>
      <c r="R436" s="16">
        <f>'Financial Inputs'!$B$7</f>
        <v>0.35</v>
      </c>
      <c r="S436" s="17">
        <f>Q436*(1-R436)</f>
        <v>561600</v>
      </c>
      <c r="T436" s="18">
        <f>S436/'Financial Inputs'!$B$3</f>
        <v>5.6160000000000003E-3</v>
      </c>
      <c r="U436" s="9" t="s">
        <v>52</v>
      </c>
      <c r="V436" s="3" t="s">
        <v>53</v>
      </c>
    </row>
    <row r="437" spans="1:22">
      <c r="A437" s="2" t="s">
        <v>1514</v>
      </c>
      <c r="B437" s="2" t="s">
        <v>1515</v>
      </c>
      <c r="C437" s="2" t="s">
        <v>1408</v>
      </c>
      <c r="D437" s="2" t="s">
        <v>102</v>
      </c>
      <c r="E437" s="2" t="s">
        <v>73</v>
      </c>
      <c r="F437" s="2" t="s">
        <v>110</v>
      </c>
      <c r="G437" s="2" t="s">
        <v>83</v>
      </c>
      <c r="H437" s="2" t="s">
        <v>498</v>
      </c>
      <c r="I437" s="2" t="s">
        <v>47</v>
      </c>
      <c r="J437" s="2" t="s">
        <v>1409</v>
      </c>
      <c r="K437" s="2" t="s">
        <v>1516</v>
      </c>
      <c r="L437" s="2" t="s">
        <v>238</v>
      </c>
      <c r="M437" s="2" t="s">
        <v>1411</v>
      </c>
      <c r="N437" s="16">
        <v>1.44E-2</v>
      </c>
      <c r="O437" s="17">
        <f>N437*'Financial Inputs'!$B$3</f>
        <v>1440000</v>
      </c>
      <c r="P437" s="18">
        <f>IF(I437="L",'Financial Inputs'!$B$4,IF(I437="M",'Financial Inputs'!$B$5,'Financial Inputs'!$B$6))</f>
        <v>0.4</v>
      </c>
      <c r="Q437" s="17">
        <f>O437*P437</f>
        <v>576000</v>
      </c>
      <c r="R437" s="16">
        <f>'Financial Inputs'!$B$7</f>
        <v>0.35</v>
      </c>
      <c r="S437" s="17">
        <f>Q437*(1-R437)</f>
        <v>374400</v>
      </c>
      <c r="T437" s="18">
        <f>S437/'Financial Inputs'!$B$3</f>
        <v>3.7439999999999999E-3</v>
      </c>
      <c r="U437" s="9" t="s">
        <v>52</v>
      </c>
      <c r="V437" s="3" t="s">
        <v>53</v>
      </c>
    </row>
    <row r="438" spans="1:22">
      <c r="A438" s="2" t="s">
        <v>1517</v>
      </c>
      <c r="B438" s="2" t="s">
        <v>1518</v>
      </c>
      <c r="C438" s="2" t="s">
        <v>1408</v>
      </c>
      <c r="D438" s="2" t="s">
        <v>42</v>
      </c>
      <c r="E438" s="2" t="s">
        <v>81</v>
      </c>
      <c r="F438" s="2" t="s">
        <v>117</v>
      </c>
      <c r="G438" s="2" t="s">
        <v>111</v>
      </c>
      <c r="H438" s="2" t="s">
        <v>498</v>
      </c>
      <c r="I438" s="2" t="s">
        <v>47</v>
      </c>
      <c r="J438" s="2" t="s">
        <v>1409</v>
      </c>
      <c r="K438" s="2" t="s">
        <v>1519</v>
      </c>
      <c r="L438" s="2" t="s">
        <v>242</v>
      </c>
      <c r="M438" s="2" t="s">
        <v>1411</v>
      </c>
      <c r="N438" s="16">
        <v>1.6199999999999999E-2</v>
      </c>
      <c r="O438" s="17">
        <f>N438*'Financial Inputs'!$B$3</f>
        <v>1620000</v>
      </c>
      <c r="P438" s="18">
        <f>IF(I438="L",'Financial Inputs'!$B$4,IF(I438="M",'Financial Inputs'!$B$5,'Financial Inputs'!$B$6))</f>
        <v>0.4</v>
      </c>
      <c r="Q438" s="17">
        <f>O438*P438</f>
        <v>648000</v>
      </c>
      <c r="R438" s="16">
        <f>'Financial Inputs'!$B$7</f>
        <v>0.35</v>
      </c>
      <c r="S438" s="17">
        <f>Q438*(1-R438)</f>
        <v>421200</v>
      </c>
      <c r="T438" s="18">
        <f>S438/'Financial Inputs'!$B$3</f>
        <v>4.2119999999999996E-3</v>
      </c>
      <c r="U438" s="9" t="s">
        <v>52</v>
      </c>
      <c r="V438" s="3" t="s">
        <v>53</v>
      </c>
    </row>
    <row r="439" spans="1:22">
      <c r="A439" s="2" t="s">
        <v>1520</v>
      </c>
      <c r="B439" s="2" t="s">
        <v>1521</v>
      </c>
      <c r="C439" s="2" t="s">
        <v>1408</v>
      </c>
      <c r="D439" s="2" t="s">
        <v>56</v>
      </c>
      <c r="E439" s="2" t="s">
        <v>193</v>
      </c>
      <c r="F439" s="2" t="s">
        <v>90</v>
      </c>
      <c r="G439" s="2" t="s">
        <v>56</v>
      </c>
      <c r="H439" s="2" t="s">
        <v>498</v>
      </c>
      <c r="I439" s="2" t="s">
        <v>47</v>
      </c>
      <c r="J439" s="2" t="s">
        <v>1409</v>
      </c>
      <c r="K439" s="2" t="s">
        <v>1522</v>
      </c>
      <c r="L439" s="2" t="s">
        <v>246</v>
      </c>
      <c r="M439" s="2" t="s">
        <v>1411</v>
      </c>
      <c r="N439" s="16">
        <v>1.7999999999999999E-2</v>
      </c>
      <c r="O439" s="17">
        <f>N439*'Financial Inputs'!$B$3</f>
        <v>1799999.9999999998</v>
      </c>
      <c r="P439" s="18">
        <f>IF(I439="L",'Financial Inputs'!$B$4,IF(I439="M",'Financial Inputs'!$B$5,'Financial Inputs'!$B$6))</f>
        <v>0.4</v>
      </c>
      <c r="Q439" s="17">
        <f>O439*P439</f>
        <v>720000</v>
      </c>
      <c r="R439" s="16">
        <f>'Financial Inputs'!$B$7</f>
        <v>0.35</v>
      </c>
      <c r="S439" s="17">
        <f>Q439*(1-R439)</f>
        <v>468000</v>
      </c>
      <c r="T439" s="18">
        <f>S439/'Financial Inputs'!$B$3</f>
        <v>4.6800000000000001E-3</v>
      </c>
      <c r="U439" s="9" t="s">
        <v>52</v>
      </c>
      <c r="V439" s="3" t="s">
        <v>53</v>
      </c>
    </row>
    <row r="440" spans="1:22">
      <c r="A440" s="2" t="s">
        <v>1523</v>
      </c>
      <c r="B440" s="2" t="s">
        <v>1524</v>
      </c>
      <c r="C440" s="2" t="s">
        <v>1408</v>
      </c>
      <c r="D440" s="2" t="s">
        <v>64</v>
      </c>
      <c r="E440" s="2" t="s">
        <v>198</v>
      </c>
      <c r="F440" s="2" t="s">
        <v>97</v>
      </c>
      <c r="G440" s="2" t="s">
        <v>138</v>
      </c>
      <c r="H440" s="2" t="s">
        <v>498</v>
      </c>
      <c r="I440" s="2" t="s">
        <v>47</v>
      </c>
      <c r="J440" s="2" t="s">
        <v>1409</v>
      </c>
      <c r="K440" s="2" t="s">
        <v>1525</v>
      </c>
      <c r="L440" s="2" t="s">
        <v>250</v>
      </c>
      <c r="M440" s="2" t="s">
        <v>1411</v>
      </c>
      <c r="N440" s="16">
        <v>1.9800000000000002E-2</v>
      </c>
      <c r="O440" s="17">
        <f>N440*'Financial Inputs'!$B$3</f>
        <v>1980000.0000000002</v>
      </c>
      <c r="P440" s="18">
        <f>IF(I440="L",'Financial Inputs'!$B$4,IF(I440="M",'Financial Inputs'!$B$5,'Financial Inputs'!$B$6))</f>
        <v>0.4</v>
      </c>
      <c r="Q440" s="17">
        <f>O440*P440</f>
        <v>792000.00000000012</v>
      </c>
      <c r="R440" s="16">
        <f>'Financial Inputs'!$B$7</f>
        <v>0.35</v>
      </c>
      <c r="S440" s="17">
        <f>Q440*(1-R440)</f>
        <v>514800.00000000012</v>
      </c>
      <c r="T440" s="18">
        <f>S440/'Financial Inputs'!$B$3</f>
        <v>5.1480000000000015E-3</v>
      </c>
      <c r="U440" s="9" t="s">
        <v>52</v>
      </c>
      <c r="V440" s="3" t="s">
        <v>53</v>
      </c>
    </row>
    <row r="441" spans="1:22">
      <c r="A441" s="2" t="s">
        <v>1526</v>
      </c>
      <c r="B441" s="2" t="s">
        <v>1527</v>
      </c>
      <c r="C441" s="2" t="s">
        <v>1408</v>
      </c>
      <c r="D441" s="2" t="s">
        <v>72</v>
      </c>
      <c r="E441" s="2" t="s">
        <v>148</v>
      </c>
      <c r="F441" s="2" t="s">
        <v>104</v>
      </c>
      <c r="G441" s="2" t="s">
        <v>143</v>
      </c>
      <c r="H441" s="2" t="s">
        <v>498</v>
      </c>
      <c r="I441" s="2" t="s">
        <v>47</v>
      </c>
      <c r="J441" s="2" t="s">
        <v>1409</v>
      </c>
      <c r="K441" s="2" t="s">
        <v>1528</v>
      </c>
      <c r="L441" s="2" t="s">
        <v>254</v>
      </c>
      <c r="M441" s="2" t="s">
        <v>1411</v>
      </c>
      <c r="N441" s="16">
        <v>2.1600000000000001E-2</v>
      </c>
      <c r="O441" s="17">
        <f>N441*'Financial Inputs'!$B$3</f>
        <v>2160000</v>
      </c>
      <c r="P441" s="18">
        <f>IF(I441="L",'Financial Inputs'!$B$4,IF(I441="M",'Financial Inputs'!$B$5,'Financial Inputs'!$B$6))</f>
        <v>0.4</v>
      </c>
      <c r="Q441" s="17">
        <f>O441*P441</f>
        <v>864000</v>
      </c>
      <c r="R441" s="16">
        <f>'Financial Inputs'!$B$7</f>
        <v>0.35</v>
      </c>
      <c r="S441" s="17">
        <f>Q441*(1-R441)</f>
        <v>561600</v>
      </c>
      <c r="T441" s="18">
        <f>S441/'Financial Inputs'!$B$3</f>
        <v>5.6160000000000003E-3</v>
      </c>
      <c r="U441" s="9" t="s">
        <v>52</v>
      </c>
      <c r="V441" s="3" t="s">
        <v>53</v>
      </c>
    </row>
    <row r="442" spans="1:22">
      <c r="A442" s="2" t="s">
        <v>1529</v>
      </c>
      <c r="B442" s="2" t="s">
        <v>1530</v>
      </c>
      <c r="C442" s="2" t="s">
        <v>1408</v>
      </c>
      <c r="D442" s="2" t="s">
        <v>133</v>
      </c>
      <c r="E442" s="2" t="s">
        <v>109</v>
      </c>
      <c r="F442" s="2" t="s">
        <v>82</v>
      </c>
      <c r="G442" s="2" t="s">
        <v>56</v>
      </c>
      <c r="H442" s="2" t="s">
        <v>498</v>
      </c>
      <c r="I442" s="2" t="s">
        <v>47</v>
      </c>
      <c r="J442" s="2" t="s">
        <v>1409</v>
      </c>
      <c r="K442" s="2" t="s">
        <v>1531</v>
      </c>
      <c r="L442" s="2" t="s">
        <v>258</v>
      </c>
      <c r="M442" s="2" t="s">
        <v>1411</v>
      </c>
      <c r="N442" s="16">
        <v>1.44E-2</v>
      </c>
      <c r="O442" s="17">
        <f>N442*'Financial Inputs'!$B$3</f>
        <v>1440000</v>
      </c>
      <c r="P442" s="18">
        <f>IF(I442="L",'Financial Inputs'!$B$4,IF(I442="M",'Financial Inputs'!$B$5,'Financial Inputs'!$B$6))</f>
        <v>0.4</v>
      </c>
      <c r="Q442" s="17">
        <f>O442*P442</f>
        <v>576000</v>
      </c>
      <c r="R442" s="16">
        <f>'Financial Inputs'!$B$7</f>
        <v>0.35</v>
      </c>
      <c r="S442" s="17">
        <f>Q442*(1-R442)</f>
        <v>374400</v>
      </c>
      <c r="T442" s="18">
        <f>S442/'Financial Inputs'!$B$3</f>
        <v>3.7439999999999999E-3</v>
      </c>
      <c r="U442" s="9" t="s">
        <v>52</v>
      </c>
      <c r="V442" s="3" t="s">
        <v>53</v>
      </c>
    </row>
    <row r="443" spans="1:22">
      <c r="A443" s="2" t="s">
        <v>1532</v>
      </c>
      <c r="B443" s="2" t="s">
        <v>1533</v>
      </c>
      <c r="C443" s="2" t="s">
        <v>1408</v>
      </c>
      <c r="D443" s="2" t="s">
        <v>88</v>
      </c>
      <c r="E443" s="2" t="s">
        <v>116</v>
      </c>
      <c r="F443" s="2" t="s">
        <v>44</v>
      </c>
      <c r="G443" s="2" t="s">
        <v>138</v>
      </c>
      <c r="H443" s="2" t="s">
        <v>498</v>
      </c>
      <c r="I443" s="2" t="s">
        <v>47</v>
      </c>
      <c r="J443" s="2" t="s">
        <v>1409</v>
      </c>
      <c r="K443" s="2" t="s">
        <v>1534</v>
      </c>
      <c r="L443" s="2" t="s">
        <v>262</v>
      </c>
      <c r="M443" s="2" t="s">
        <v>1411</v>
      </c>
      <c r="N443" s="16">
        <v>1.6199999999999999E-2</v>
      </c>
      <c r="O443" s="17">
        <f>N443*'Financial Inputs'!$B$3</f>
        <v>1620000</v>
      </c>
      <c r="P443" s="18">
        <f>IF(I443="L",'Financial Inputs'!$B$4,IF(I443="M",'Financial Inputs'!$B$5,'Financial Inputs'!$B$6))</f>
        <v>0.4</v>
      </c>
      <c r="Q443" s="17">
        <f>O443*P443</f>
        <v>648000</v>
      </c>
      <c r="R443" s="16">
        <f>'Financial Inputs'!$B$7</f>
        <v>0.35</v>
      </c>
      <c r="S443" s="17">
        <f>Q443*(1-R443)</f>
        <v>421200</v>
      </c>
      <c r="T443" s="18">
        <f>S443/'Financial Inputs'!$B$3</f>
        <v>4.2119999999999996E-3</v>
      </c>
      <c r="U443" s="9" t="s">
        <v>52</v>
      </c>
      <c r="V443" s="3" t="s">
        <v>53</v>
      </c>
    </row>
    <row r="444" spans="1:22">
      <c r="A444" s="2" t="s">
        <v>1535</v>
      </c>
      <c r="B444" s="2" t="s">
        <v>1536</v>
      </c>
      <c r="C444" s="2" t="s">
        <v>1408</v>
      </c>
      <c r="D444" s="2" t="s">
        <v>95</v>
      </c>
      <c r="E444" s="2" t="s">
        <v>215</v>
      </c>
      <c r="F444" s="2" t="s">
        <v>58</v>
      </c>
      <c r="G444" s="2" t="s">
        <v>143</v>
      </c>
      <c r="H444" s="2" t="s">
        <v>498</v>
      </c>
      <c r="I444" s="2" t="s">
        <v>47</v>
      </c>
      <c r="J444" s="2" t="s">
        <v>1409</v>
      </c>
      <c r="K444" s="2" t="s">
        <v>1537</v>
      </c>
      <c r="L444" s="2" t="s">
        <v>266</v>
      </c>
      <c r="M444" s="2" t="s">
        <v>1411</v>
      </c>
      <c r="N444" s="16">
        <v>1.7999999999999999E-2</v>
      </c>
      <c r="O444" s="17">
        <f>N444*'Financial Inputs'!$B$3</f>
        <v>1799999.9999999998</v>
      </c>
      <c r="P444" s="18">
        <f>IF(I444="L",'Financial Inputs'!$B$4,IF(I444="M",'Financial Inputs'!$B$5,'Financial Inputs'!$B$6))</f>
        <v>0.4</v>
      </c>
      <c r="Q444" s="17">
        <f>O444*P444</f>
        <v>720000</v>
      </c>
      <c r="R444" s="16">
        <f>'Financial Inputs'!$B$7</f>
        <v>0.35</v>
      </c>
      <c r="S444" s="17">
        <f>Q444*(1-R444)</f>
        <v>468000</v>
      </c>
      <c r="T444" s="18">
        <f>S444/'Financial Inputs'!$B$3</f>
        <v>4.6800000000000001E-3</v>
      </c>
      <c r="U444" s="9" t="s">
        <v>52</v>
      </c>
      <c r="V444" s="3" t="s">
        <v>53</v>
      </c>
    </row>
    <row r="445" spans="1:22">
      <c r="A445" s="2" t="s">
        <v>1538</v>
      </c>
      <c r="B445" s="2" t="s">
        <v>1539</v>
      </c>
      <c r="C445" s="2" t="s">
        <v>1408</v>
      </c>
      <c r="D445" s="2" t="s">
        <v>102</v>
      </c>
      <c r="E445" s="2" t="s">
        <v>220</v>
      </c>
      <c r="F445" s="2" t="s">
        <v>66</v>
      </c>
      <c r="G445" s="2" t="s">
        <v>162</v>
      </c>
      <c r="H445" s="2" t="s">
        <v>498</v>
      </c>
      <c r="I445" s="2" t="s">
        <v>47</v>
      </c>
      <c r="J445" s="2" t="s">
        <v>1409</v>
      </c>
      <c r="K445" s="2" t="s">
        <v>1540</v>
      </c>
      <c r="L445" s="2" t="s">
        <v>270</v>
      </c>
      <c r="M445" s="2" t="s">
        <v>1411</v>
      </c>
      <c r="N445" s="16">
        <v>1.9800000000000002E-2</v>
      </c>
      <c r="O445" s="17">
        <f>N445*'Financial Inputs'!$B$3</f>
        <v>1980000.0000000002</v>
      </c>
      <c r="P445" s="18">
        <f>IF(I445="L",'Financial Inputs'!$B$4,IF(I445="M",'Financial Inputs'!$B$5,'Financial Inputs'!$B$6))</f>
        <v>0.4</v>
      </c>
      <c r="Q445" s="17">
        <f>O445*P445</f>
        <v>792000.00000000012</v>
      </c>
      <c r="R445" s="16">
        <f>'Financial Inputs'!$B$7</f>
        <v>0.35</v>
      </c>
      <c r="S445" s="17">
        <f>Q445*(1-R445)</f>
        <v>514800.00000000012</v>
      </c>
      <c r="T445" s="18">
        <f>S445/'Financial Inputs'!$B$3</f>
        <v>5.1480000000000015E-3</v>
      </c>
      <c r="U445" s="9" t="s">
        <v>52</v>
      </c>
      <c r="V445" s="3" t="s">
        <v>53</v>
      </c>
    </row>
    <row r="446" spans="1:22">
      <c r="A446" s="2" t="s">
        <v>1541</v>
      </c>
      <c r="B446" s="2" t="s">
        <v>1542</v>
      </c>
      <c r="C446" s="2" t="s">
        <v>1408</v>
      </c>
      <c r="D446" s="2" t="s">
        <v>42</v>
      </c>
      <c r="E446" s="2" t="s">
        <v>171</v>
      </c>
      <c r="F446" s="2" t="s">
        <v>74</v>
      </c>
      <c r="G446" s="2" t="s">
        <v>45</v>
      </c>
      <c r="H446" s="2" t="s">
        <v>498</v>
      </c>
      <c r="I446" s="2" t="s">
        <v>47</v>
      </c>
      <c r="J446" s="2" t="s">
        <v>1409</v>
      </c>
      <c r="K446" s="2" t="s">
        <v>1543</v>
      </c>
      <c r="L446" s="2" t="s">
        <v>274</v>
      </c>
      <c r="M446" s="2" t="s">
        <v>1411</v>
      </c>
      <c r="N446" s="16">
        <v>2.1600000000000001E-2</v>
      </c>
      <c r="O446" s="17">
        <f>N446*'Financial Inputs'!$B$3</f>
        <v>2160000</v>
      </c>
      <c r="P446" s="18">
        <f>IF(I446="L",'Financial Inputs'!$B$4,IF(I446="M",'Financial Inputs'!$B$5,'Financial Inputs'!$B$6))</f>
        <v>0.4</v>
      </c>
      <c r="Q446" s="17">
        <f>O446*P446</f>
        <v>864000</v>
      </c>
      <c r="R446" s="16">
        <f>'Financial Inputs'!$B$7</f>
        <v>0.35</v>
      </c>
      <c r="S446" s="17">
        <f>Q446*(1-R446)</f>
        <v>561600</v>
      </c>
      <c r="T446" s="18">
        <f>S446/'Financial Inputs'!$B$3</f>
        <v>5.6160000000000003E-3</v>
      </c>
      <c r="U446" s="9" t="s">
        <v>52</v>
      </c>
      <c r="V446" s="3" t="s">
        <v>53</v>
      </c>
    </row>
    <row r="447" spans="1:22">
      <c r="A447" s="2" t="s">
        <v>1544</v>
      </c>
      <c r="B447" s="2" t="s">
        <v>1545</v>
      </c>
      <c r="C447" s="2" t="s">
        <v>1408</v>
      </c>
      <c r="D447" s="2" t="s">
        <v>72</v>
      </c>
      <c r="E447" s="2" t="s">
        <v>57</v>
      </c>
      <c r="F447" s="2" t="s">
        <v>117</v>
      </c>
      <c r="G447" s="2" t="s">
        <v>143</v>
      </c>
      <c r="H447" s="2" t="s">
        <v>498</v>
      </c>
      <c r="I447" s="2" t="s">
        <v>47</v>
      </c>
      <c r="J447" s="2" t="s">
        <v>1409</v>
      </c>
      <c r="K447" s="2" t="s">
        <v>1546</v>
      </c>
      <c r="L447" s="2" t="s">
        <v>278</v>
      </c>
      <c r="M447" s="2" t="s">
        <v>1411</v>
      </c>
      <c r="N447" s="16">
        <v>1.44E-2</v>
      </c>
      <c r="O447" s="17">
        <f>N447*'Financial Inputs'!$B$3</f>
        <v>1440000</v>
      </c>
      <c r="P447" s="18">
        <f>IF(I447="L",'Financial Inputs'!$B$4,IF(I447="M",'Financial Inputs'!$B$5,'Financial Inputs'!$B$6))</f>
        <v>0.4</v>
      </c>
      <c r="Q447" s="17">
        <f>O447*P447</f>
        <v>576000</v>
      </c>
      <c r="R447" s="16">
        <f>'Financial Inputs'!$B$7</f>
        <v>0.35</v>
      </c>
      <c r="S447" s="17">
        <f>Q447*(1-R447)</f>
        <v>374400</v>
      </c>
      <c r="T447" s="18">
        <f>S447/'Financial Inputs'!$B$3</f>
        <v>3.7439999999999999E-3</v>
      </c>
      <c r="U447" s="9" t="s">
        <v>52</v>
      </c>
      <c r="V447" s="3" t="s">
        <v>53</v>
      </c>
    </row>
    <row r="448" spans="1:22">
      <c r="A448" s="2" t="s">
        <v>1547</v>
      </c>
      <c r="B448" s="2" t="s">
        <v>1548</v>
      </c>
      <c r="C448" s="2" t="s">
        <v>1408</v>
      </c>
      <c r="D448" s="2" t="s">
        <v>80</v>
      </c>
      <c r="E448" s="2" t="s">
        <v>65</v>
      </c>
      <c r="F448" s="2" t="s">
        <v>90</v>
      </c>
      <c r="G448" s="2" t="s">
        <v>162</v>
      </c>
      <c r="H448" s="2" t="s">
        <v>498</v>
      </c>
      <c r="I448" s="2" t="s">
        <v>47</v>
      </c>
      <c r="J448" s="2" t="s">
        <v>1409</v>
      </c>
      <c r="K448" s="2" t="s">
        <v>1549</v>
      </c>
      <c r="L448" s="2" t="s">
        <v>282</v>
      </c>
      <c r="M448" s="2" t="s">
        <v>1411</v>
      </c>
      <c r="N448" s="16">
        <v>1.6199999999999999E-2</v>
      </c>
      <c r="O448" s="17">
        <f>N448*'Financial Inputs'!$B$3</f>
        <v>1620000</v>
      </c>
      <c r="P448" s="18">
        <f>IF(I448="L",'Financial Inputs'!$B$4,IF(I448="M",'Financial Inputs'!$B$5,'Financial Inputs'!$B$6))</f>
        <v>0.4</v>
      </c>
      <c r="Q448" s="17">
        <f>O448*P448</f>
        <v>648000</v>
      </c>
      <c r="R448" s="16">
        <f>'Financial Inputs'!$B$7</f>
        <v>0.35</v>
      </c>
      <c r="S448" s="17">
        <f>Q448*(1-R448)</f>
        <v>421200</v>
      </c>
      <c r="T448" s="18">
        <f>S448/'Financial Inputs'!$B$3</f>
        <v>4.2119999999999996E-3</v>
      </c>
      <c r="U448" s="9" t="s">
        <v>52</v>
      </c>
      <c r="V448" s="3" t="s">
        <v>53</v>
      </c>
    </row>
    <row r="449" spans="1:22">
      <c r="A449" s="2" t="s">
        <v>1550</v>
      </c>
      <c r="B449" s="2" t="s">
        <v>1551</v>
      </c>
      <c r="C449" s="2" t="s">
        <v>1408</v>
      </c>
      <c r="D449" s="2" t="s">
        <v>127</v>
      </c>
      <c r="E449" s="2" t="s">
        <v>73</v>
      </c>
      <c r="F449" s="2" t="s">
        <v>97</v>
      </c>
      <c r="G449" s="2" t="s">
        <v>45</v>
      </c>
      <c r="H449" s="2" t="s">
        <v>498</v>
      </c>
      <c r="I449" s="2" t="s">
        <v>47</v>
      </c>
      <c r="J449" s="2" t="s">
        <v>1409</v>
      </c>
      <c r="K449" s="2" t="s">
        <v>1552</v>
      </c>
      <c r="L449" s="2" t="s">
        <v>286</v>
      </c>
      <c r="M449" s="2" t="s">
        <v>1411</v>
      </c>
      <c r="N449" s="16">
        <v>1.7999999999999999E-2</v>
      </c>
      <c r="O449" s="17">
        <f>N449*'Financial Inputs'!$B$3</f>
        <v>1799999.9999999998</v>
      </c>
      <c r="P449" s="18">
        <f>IF(I449="L",'Financial Inputs'!$B$4,IF(I449="M",'Financial Inputs'!$B$5,'Financial Inputs'!$B$6))</f>
        <v>0.4</v>
      </c>
      <c r="Q449" s="17">
        <f>O449*P449</f>
        <v>720000</v>
      </c>
      <c r="R449" s="16">
        <f>'Financial Inputs'!$B$7</f>
        <v>0.35</v>
      </c>
      <c r="S449" s="17">
        <f>Q449*(1-R449)</f>
        <v>468000</v>
      </c>
      <c r="T449" s="18">
        <f>S449/'Financial Inputs'!$B$3</f>
        <v>4.6800000000000001E-3</v>
      </c>
      <c r="U449" s="9" t="s">
        <v>52</v>
      </c>
      <c r="V449" s="3" t="s">
        <v>53</v>
      </c>
    </row>
    <row r="450" spans="1:22">
      <c r="A450" s="2" t="s">
        <v>1553</v>
      </c>
      <c r="B450" s="2" t="s">
        <v>1554</v>
      </c>
      <c r="C450" s="2" t="s">
        <v>1408</v>
      </c>
      <c r="D450" s="2" t="s">
        <v>133</v>
      </c>
      <c r="E450" s="2" t="s">
        <v>81</v>
      </c>
      <c r="F450" s="2" t="s">
        <v>104</v>
      </c>
      <c r="G450" s="2" t="s">
        <v>59</v>
      </c>
      <c r="H450" s="2" t="s">
        <v>498</v>
      </c>
      <c r="I450" s="2" t="s">
        <v>47</v>
      </c>
      <c r="J450" s="2" t="s">
        <v>1409</v>
      </c>
      <c r="K450" s="2" t="s">
        <v>1555</v>
      </c>
      <c r="L450" s="2" t="s">
        <v>290</v>
      </c>
      <c r="M450" s="2" t="s">
        <v>1411</v>
      </c>
      <c r="N450" s="16">
        <v>1.9800000000000002E-2</v>
      </c>
      <c r="O450" s="17">
        <f>N450*'Financial Inputs'!$B$3</f>
        <v>1980000.0000000002</v>
      </c>
      <c r="P450" s="18">
        <f>IF(I450="L",'Financial Inputs'!$B$4,IF(I450="M",'Financial Inputs'!$B$5,'Financial Inputs'!$B$6))</f>
        <v>0.4</v>
      </c>
      <c r="Q450" s="17">
        <f>O450*P450</f>
        <v>792000.00000000012</v>
      </c>
      <c r="R450" s="16">
        <f>'Financial Inputs'!$B$7</f>
        <v>0.35</v>
      </c>
      <c r="S450" s="17">
        <f>Q450*(1-R450)</f>
        <v>514800.00000000012</v>
      </c>
      <c r="T450" s="18">
        <f>S450/'Financial Inputs'!$B$3</f>
        <v>5.1480000000000015E-3</v>
      </c>
      <c r="U450" s="9" t="s">
        <v>52</v>
      </c>
      <c r="V450" s="3" t="s">
        <v>53</v>
      </c>
    </row>
    <row r="451" spans="1:22">
      <c r="A451" s="2" t="s">
        <v>1556</v>
      </c>
      <c r="B451" s="2" t="s">
        <v>1557</v>
      </c>
      <c r="C451" s="2" t="s">
        <v>1408</v>
      </c>
      <c r="D451" s="2" t="s">
        <v>88</v>
      </c>
      <c r="E451" s="2" t="s">
        <v>193</v>
      </c>
      <c r="F451" s="2" t="s">
        <v>110</v>
      </c>
      <c r="G451" s="2" t="s">
        <v>67</v>
      </c>
      <c r="H451" s="2" t="s">
        <v>498</v>
      </c>
      <c r="I451" s="2" t="s">
        <v>47</v>
      </c>
      <c r="J451" s="2" t="s">
        <v>1409</v>
      </c>
      <c r="K451" s="2" t="s">
        <v>1558</v>
      </c>
      <c r="L451" s="2" t="s">
        <v>294</v>
      </c>
      <c r="M451" s="2" t="s">
        <v>1411</v>
      </c>
      <c r="N451" s="16">
        <v>2.1600000000000001E-2</v>
      </c>
      <c r="O451" s="17">
        <f>N451*'Financial Inputs'!$B$3</f>
        <v>2160000</v>
      </c>
      <c r="P451" s="18">
        <f>IF(I451="L",'Financial Inputs'!$B$4,IF(I451="M",'Financial Inputs'!$B$5,'Financial Inputs'!$B$6))</f>
        <v>0.4</v>
      </c>
      <c r="Q451" s="17">
        <f>O451*P451</f>
        <v>864000</v>
      </c>
      <c r="R451" s="16">
        <f>'Financial Inputs'!$B$7</f>
        <v>0.35</v>
      </c>
      <c r="S451" s="17">
        <f>Q451*(1-R451)</f>
        <v>561600</v>
      </c>
      <c r="T451" s="18">
        <f>S451/'Financial Inputs'!$B$3</f>
        <v>5.6160000000000003E-3</v>
      </c>
      <c r="U451" s="9" t="s">
        <v>52</v>
      </c>
      <c r="V451" s="3" t="s">
        <v>53</v>
      </c>
    </row>
    <row r="452" spans="1:22">
      <c r="A452" s="2" t="s">
        <v>1559</v>
      </c>
      <c r="B452" s="2" t="s">
        <v>1560</v>
      </c>
      <c r="C452" s="2" t="s">
        <v>1408</v>
      </c>
      <c r="D452" s="2" t="s">
        <v>42</v>
      </c>
      <c r="E452" s="2" t="s">
        <v>96</v>
      </c>
      <c r="F452" s="2" t="s">
        <v>44</v>
      </c>
      <c r="G452" s="2" t="s">
        <v>45</v>
      </c>
      <c r="H452" s="2" t="s">
        <v>498</v>
      </c>
      <c r="I452" s="2" t="s">
        <v>47</v>
      </c>
      <c r="J452" s="2" t="s">
        <v>1409</v>
      </c>
      <c r="K452" s="2" t="s">
        <v>1561</v>
      </c>
      <c r="L452" s="2" t="s">
        <v>298</v>
      </c>
      <c r="M452" s="2" t="s">
        <v>1411</v>
      </c>
      <c r="N452" s="16">
        <v>1.44E-2</v>
      </c>
      <c r="O452" s="17">
        <f>N452*'Financial Inputs'!$B$3</f>
        <v>1440000</v>
      </c>
      <c r="P452" s="18">
        <f>IF(I452="L",'Financial Inputs'!$B$4,IF(I452="M",'Financial Inputs'!$B$5,'Financial Inputs'!$B$6))</f>
        <v>0.4</v>
      </c>
      <c r="Q452" s="17">
        <f>O452*P452</f>
        <v>576000</v>
      </c>
      <c r="R452" s="16">
        <f>'Financial Inputs'!$B$7</f>
        <v>0.35</v>
      </c>
      <c r="S452" s="17">
        <f>Q452*(1-R452)</f>
        <v>374400</v>
      </c>
      <c r="T452" s="18">
        <f>S452/'Financial Inputs'!$B$3</f>
        <v>3.7439999999999999E-3</v>
      </c>
      <c r="U452" s="9" t="s">
        <v>52</v>
      </c>
      <c r="V452" s="3" t="s">
        <v>53</v>
      </c>
    </row>
    <row r="453" spans="1:22">
      <c r="A453" s="2" t="s">
        <v>1562</v>
      </c>
      <c r="B453" s="2" t="s">
        <v>1563</v>
      </c>
      <c r="C453" s="2" t="s">
        <v>1408</v>
      </c>
      <c r="D453" s="2" t="s">
        <v>56</v>
      </c>
      <c r="E453" s="2" t="s">
        <v>103</v>
      </c>
      <c r="F453" s="2" t="s">
        <v>58</v>
      </c>
      <c r="G453" s="2" t="s">
        <v>59</v>
      </c>
      <c r="H453" s="2" t="s">
        <v>498</v>
      </c>
      <c r="I453" s="2" t="s">
        <v>47</v>
      </c>
      <c r="J453" s="2" t="s">
        <v>1409</v>
      </c>
      <c r="K453" s="2" t="s">
        <v>1564</v>
      </c>
      <c r="L453" s="2" t="s">
        <v>302</v>
      </c>
      <c r="M453" s="2" t="s">
        <v>1411</v>
      </c>
      <c r="N453" s="16">
        <v>1.6199999999999999E-2</v>
      </c>
      <c r="O453" s="17">
        <f>N453*'Financial Inputs'!$B$3</f>
        <v>1620000</v>
      </c>
      <c r="P453" s="18">
        <f>IF(I453="L",'Financial Inputs'!$B$4,IF(I453="M",'Financial Inputs'!$B$5,'Financial Inputs'!$B$6))</f>
        <v>0.4</v>
      </c>
      <c r="Q453" s="17">
        <f>O453*P453</f>
        <v>648000</v>
      </c>
      <c r="R453" s="16">
        <f>'Financial Inputs'!$B$7</f>
        <v>0.35</v>
      </c>
      <c r="S453" s="17">
        <f>Q453*(1-R453)</f>
        <v>421200</v>
      </c>
      <c r="T453" s="18">
        <f>S453/'Financial Inputs'!$B$3</f>
        <v>4.2119999999999996E-3</v>
      </c>
      <c r="U453" s="9" t="s">
        <v>52</v>
      </c>
      <c r="V453" s="3" t="s">
        <v>53</v>
      </c>
    </row>
    <row r="454" spans="1:22">
      <c r="A454" s="2" t="s">
        <v>1565</v>
      </c>
      <c r="B454" s="2" t="s">
        <v>1566</v>
      </c>
      <c r="C454" s="2" t="s">
        <v>1408</v>
      </c>
      <c r="D454" s="2" t="s">
        <v>64</v>
      </c>
      <c r="E454" s="2" t="s">
        <v>109</v>
      </c>
      <c r="F454" s="2" t="s">
        <v>66</v>
      </c>
      <c r="G454" s="2" t="s">
        <v>67</v>
      </c>
      <c r="H454" s="2" t="s">
        <v>498</v>
      </c>
      <c r="I454" s="2" t="s">
        <v>47</v>
      </c>
      <c r="J454" s="2" t="s">
        <v>1409</v>
      </c>
      <c r="K454" s="2" t="s">
        <v>1567</v>
      </c>
      <c r="L454" s="2" t="s">
        <v>306</v>
      </c>
      <c r="M454" s="2" t="s">
        <v>1411</v>
      </c>
      <c r="N454" s="16">
        <v>1.7999999999999999E-2</v>
      </c>
      <c r="O454" s="17">
        <f>N454*'Financial Inputs'!$B$3</f>
        <v>1799999.9999999998</v>
      </c>
      <c r="P454" s="18">
        <f>IF(I454="L",'Financial Inputs'!$B$4,IF(I454="M",'Financial Inputs'!$B$5,'Financial Inputs'!$B$6))</f>
        <v>0.4</v>
      </c>
      <c r="Q454" s="17">
        <f>O454*P454</f>
        <v>720000</v>
      </c>
      <c r="R454" s="16">
        <f>'Financial Inputs'!$B$7</f>
        <v>0.35</v>
      </c>
      <c r="S454" s="17">
        <f>Q454*(1-R454)</f>
        <v>468000</v>
      </c>
      <c r="T454" s="18">
        <f>S454/'Financial Inputs'!$B$3</f>
        <v>4.6800000000000001E-3</v>
      </c>
      <c r="U454" s="9" t="s">
        <v>52</v>
      </c>
      <c r="V454" s="3" t="s">
        <v>53</v>
      </c>
    </row>
    <row r="455" spans="1:22">
      <c r="A455" s="2" t="s">
        <v>1568</v>
      </c>
      <c r="B455" s="2" t="s">
        <v>1569</v>
      </c>
      <c r="C455" s="2" t="s">
        <v>1408</v>
      </c>
      <c r="D455" s="2" t="s">
        <v>72</v>
      </c>
      <c r="E455" s="2" t="s">
        <v>116</v>
      </c>
      <c r="F455" s="2" t="s">
        <v>74</v>
      </c>
      <c r="G455" s="2" t="s">
        <v>75</v>
      </c>
      <c r="H455" s="2" t="s">
        <v>498</v>
      </c>
      <c r="I455" s="2" t="s">
        <v>47</v>
      </c>
      <c r="J455" s="2" t="s">
        <v>1409</v>
      </c>
      <c r="K455" s="2" t="s">
        <v>1570</v>
      </c>
      <c r="L455" s="2" t="s">
        <v>310</v>
      </c>
      <c r="M455" s="2" t="s">
        <v>1411</v>
      </c>
      <c r="N455" s="16">
        <v>1.9800000000000002E-2</v>
      </c>
      <c r="O455" s="17">
        <f>N455*'Financial Inputs'!$B$3</f>
        <v>1980000.0000000002</v>
      </c>
      <c r="P455" s="18">
        <f>IF(I455="L",'Financial Inputs'!$B$4,IF(I455="M",'Financial Inputs'!$B$5,'Financial Inputs'!$B$6))</f>
        <v>0.4</v>
      </c>
      <c r="Q455" s="17">
        <f>O455*P455</f>
        <v>792000.00000000012</v>
      </c>
      <c r="R455" s="16">
        <f>'Financial Inputs'!$B$7</f>
        <v>0.35</v>
      </c>
      <c r="S455" s="17">
        <f>Q455*(1-R455)</f>
        <v>514800.00000000012</v>
      </c>
      <c r="T455" s="18">
        <f>S455/'Financial Inputs'!$B$3</f>
        <v>5.1480000000000015E-3</v>
      </c>
      <c r="U455" s="9" t="s">
        <v>52</v>
      </c>
      <c r="V455" s="3" t="s">
        <v>53</v>
      </c>
    </row>
    <row r="456" spans="1:22">
      <c r="A456" s="2" t="s">
        <v>1571</v>
      </c>
      <c r="B456" s="2" t="s">
        <v>1572</v>
      </c>
      <c r="C456" s="2" t="s">
        <v>1408</v>
      </c>
      <c r="D456" s="2" t="s">
        <v>80</v>
      </c>
      <c r="E456" s="2" t="s">
        <v>215</v>
      </c>
      <c r="F456" s="2" t="s">
        <v>82</v>
      </c>
      <c r="G456" s="2" t="s">
        <v>83</v>
      </c>
      <c r="H456" s="2" t="s">
        <v>498</v>
      </c>
      <c r="I456" s="2" t="s">
        <v>47</v>
      </c>
      <c r="J456" s="2" t="s">
        <v>1409</v>
      </c>
      <c r="K456" s="2" t="s">
        <v>1573</v>
      </c>
      <c r="L456" s="2" t="s">
        <v>314</v>
      </c>
      <c r="M456" s="2" t="s">
        <v>1411</v>
      </c>
      <c r="N456" s="16">
        <v>2.1600000000000001E-2</v>
      </c>
      <c r="O456" s="17">
        <f>N456*'Financial Inputs'!$B$3</f>
        <v>2160000</v>
      </c>
      <c r="P456" s="18">
        <f>IF(I456="L",'Financial Inputs'!$B$4,IF(I456="M",'Financial Inputs'!$B$5,'Financial Inputs'!$B$6))</f>
        <v>0.4</v>
      </c>
      <c r="Q456" s="17">
        <f>O456*P456</f>
        <v>864000</v>
      </c>
      <c r="R456" s="16">
        <f>'Financial Inputs'!$B$7</f>
        <v>0.35</v>
      </c>
      <c r="S456" s="17">
        <f>Q456*(1-R456)</f>
        <v>561600</v>
      </c>
      <c r="T456" s="18">
        <f>S456/'Financial Inputs'!$B$3</f>
        <v>5.6160000000000003E-3</v>
      </c>
      <c r="U456" s="9" t="s">
        <v>52</v>
      </c>
      <c r="V456" s="3" t="s">
        <v>53</v>
      </c>
    </row>
    <row r="457" spans="1:22">
      <c r="A457" s="2" t="s">
        <v>1574</v>
      </c>
      <c r="B457" s="2" t="s">
        <v>1575</v>
      </c>
      <c r="C457" s="2" t="s">
        <v>1408</v>
      </c>
      <c r="D457" s="2" t="s">
        <v>88</v>
      </c>
      <c r="E457" s="2" t="s">
        <v>128</v>
      </c>
      <c r="F457" s="2" t="s">
        <v>90</v>
      </c>
      <c r="G457" s="2" t="s">
        <v>67</v>
      </c>
      <c r="H457" s="2" t="s">
        <v>498</v>
      </c>
      <c r="I457" s="2" t="s">
        <v>47</v>
      </c>
      <c r="J457" s="2" t="s">
        <v>1409</v>
      </c>
      <c r="K457" s="2" t="s">
        <v>1576</v>
      </c>
      <c r="L457" s="2" t="s">
        <v>318</v>
      </c>
      <c r="M457" s="2" t="s">
        <v>1411</v>
      </c>
      <c r="N457" s="16">
        <v>1.44E-2</v>
      </c>
      <c r="O457" s="17">
        <f>N457*'Financial Inputs'!$B$3</f>
        <v>1440000</v>
      </c>
      <c r="P457" s="18">
        <f>IF(I457="L",'Financial Inputs'!$B$4,IF(I457="M",'Financial Inputs'!$B$5,'Financial Inputs'!$B$6))</f>
        <v>0.4</v>
      </c>
      <c r="Q457" s="17">
        <f>O457*P457</f>
        <v>576000</v>
      </c>
      <c r="R457" s="16">
        <f>'Financial Inputs'!$B$7</f>
        <v>0.35</v>
      </c>
      <c r="S457" s="17">
        <f>Q457*(1-R457)</f>
        <v>374400</v>
      </c>
      <c r="T457" s="18">
        <f>S457/'Financial Inputs'!$B$3</f>
        <v>3.7439999999999999E-3</v>
      </c>
      <c r="U457" s="9" t="s">
        <v>52</v>
      </c>
      <c r="V457" s="3" t="s">
        <v>53</v>
      </c>
    </row>
    <row r="458" spans="1:22">
      <c r="A458" s="2" t="s">
        <v>1577</v>
      </c>
      <c r="B458" s="2" t="s">
        <v>1578</v>
      </c>
      <c r="C458" s="2" t="s">
        <v>1408</v>
      </c>
      <c r="D458" s="2" t="s">
        <v>95</v>
      </c>
      <c r="E458" s="2" t="s">
        <v>43</v>
      </c>
      <c r="F458" s="2" t="s">
        <v>97</v>
      </c>
      <c r="G458" s="2" t="s">
        <v>75</v>
      </c>
      <c r="H458" s="2" t="s">
        <v>498</v>
      </c>
      <c r="I458" s="2" t="s">
        <v>47</v>
      </c>
      <c r="J458" s="2" t="s">
        <v>1409</v>
      </c>
      <c r="K458" s="2" t="s">
        <v>1579</v>
      </c>
      <c r="L458" s="2" t="s">
        <v>322</v>
      </c>
      <c r="M458" s="2" t="s">
        <v>1411</v>
      </c>
      <c r="N458" s="16">
        <v>1.6199999999999999E-2</v>
      </c>
      <c r="O458" s="17">
        <f>N458*'Financial Inputs'!$B$3</f>
        <v>1620000</v>
      </c>
      <c r="P458" s="18">
        <f>IF(I458="L",'Financial Inputs'!$B$4,IF(I458="M",'Financial Inputs'!$B$5,'Financial Inputs'!$B$6))</f>
        <v>0.4</v>
      </c>
      <c r="Q458" s="17">
        <f>O458*P458</f>
        <v>648000</v>
      </c>
      <c r="R458" s="16">
        <f>'Financial Inputs'!$B$7</f>
        <v>0.35</v>
      </c>
      <c r="S458" s="17">
        <f>Q458*(1-R458)</f>
        <v>421200</v>
      </c>
      <c r="T458" s="18">
        <f>S458/'Financial Inputs'!$B$3</f>
        <v>4.2119999999999996E-3</v>
      </c>
      <c r="U458" s="9" t="s">
        <v>52</v>
      </c>
      <c r="V458" s="3" t="s">
        <v>53</v>
      </c>
    </row>
    <row r="459" spans="1:22">
      <c r="A459" s="2" t="s">
        <v>1580</v>
      </c>
      <c r="B459" s="2" t="s">
        <v>1581</v>
      </c>
      <c r="C459" s="2" t="s">
        <v>1408</v>
      </c>
      <c r="D459" s="2" t="s">
        <v>102</v>
      </c>
      <c r="E459" s="2" t="s">
        <v>57</v>
      </c>
      <c r="F459" s="2" t="s">
        <v>104</v>
      </c>
      <c r="G459" s="2" t="s">
        <v>83</v>
      </c>
      <c r="H459" s="2" t="s">
        <v>498</v>
      </c>
      <c r="I459" s="2" t="s">
        <v>47</v>
      </c>
      <c r="J459" s="2" t="s">
        <v>1409</v>
      </c>
      <c r="K459" s="2" t="s">
        <v>1582</v>
      </c>
      <c r="L459" s="2" t="s">
        <v>326</v>
      </c>
      <c r="M459" s="2" t="s">
        <v>1411</v>
      </c>
      <c r="N459" s="16">
        <v>1.7999999999999999E-2</v>
      </c>
      <c r="O459" s="17">
        <f>N459*'Financial Inputs'!$B$3</f>
        <v>1799999.9999999998</v>
      </c>
      <c r="P459" s="18">
        <f>IF(I459="L",'Financial Inputs'!$B$4,IF(I459="M",'Financial Inputs'!$B$5,'Financial Inputs'!$B$6))</f>
        <v>0.4</v>
      </c>
      <c r="Q459" s="17">
        <f>O459*P459</f>
        <v>720000</v>
      </c>
      <c r="R459" s="16">
        <f>'Financial Inputs'!$B$7</f>
        <v>0.35</v>
      </c>
      <c r="S459" s="17">
        <f>Q459*(1-R459)</f>
        <v>468000</v>
      </c>
      <c r="T459" s="18">
        <f>S459/'Financial Inputs'!$B$3</f>
        <v>4.6800000000000001E-3</v>
      </c>
      <c r="U459" s="9" t="s">
        <v>52</v>
      </c>
      <c r="V459" s="3" t="s">
        <v>53</v>
      </c>
    </row>
    <row r="460" spans="1:22">
      <c r="A460" s="2" t="s">
        <v>1583</v>
      </c>
      <c r="B460" s="2" t="s">
        <v>1584</v>
      </c>
      <c r="C460" s="2" t="s">
        <v>1408</v>
      </c>
      <c r="D460" s="2" t="s">
        <v>42</v>
      </c>
      <c r="E460" s="2" t="s">
        <v>65</v>
      </c>
      <c r="F460" s="2" t="s">
        <v>110</v>
      </c>
      <c r="G460" s="2" t="s">
        <v>111</v>
      </c>
      <c r="H460" s="2" t="s">
        <v>498</v>
      </c>
      <c r="I460" s="2" t="s">
        <v>47</v>
      </c>
      <c r="J460" s="2" t="s">
        <v>1409</v>
      </c>
      <c r="K460" s="2" t="s">
        <v>1585</v>
      </c>
      <c r="L460" s="2" t="s">
        <v>330</v>
      </c>
      <c r="M460" s="2" t="s">
        <v>1411</v>
      </c>
      <c r="N460" s="16">
        <v>1.9800000000000002E-2</v>
      </c>
      <c r="O460" s="17">
        <f>N460*'Financial Inputs'!$B$3</f>
        <v>1980000.0000000002</v>
      </c>
      <c r="P460" s="18">
        <f>IF(I460="L",'Financial Inputs'!$B$4,IF(I460="M",'Financial Inputs'!$B$5,'Financial Inputs'!$B$6))</f>
        <v>0.4</v>
      </c>
      <c r="Q460" s="17">
        <f>O460*P460</f>
        <v>792000.00000000012</v>
      </c>
      <c r="R460" s="16">
        <f>'Financial Inputs'!$B$7</f>
        <v>0.35</v>
      </c>
      <c r="S460" s="17">
        <f>Q460*(1-R460)</f>
        <v>514800.00000000012</v>
      </c>
      <c r="T460" s="18">
        <f>S460/'Financial Inputs'!$B$3</f>
        <v>5.1480000000000015E-3</v>
      </c>
      <c r="U460" s="9" t="s">
        <v>52</v>
      </c>
      <c r="V460" s="3" t="s">
        <v>53</v>
      </c>
    </row>
    <row r="461" spans="1:22">
      <c r="A461" s="2" t="s">
        <v>1586</v>
      </c>
      <c r="B461" s="2" t="s">
        <v>1587</v>
      </c>
      <c r="C461" s="2" t="s">
        <v>1408</v>
      </c>
      <c r="D461" s="2" t="s">
        <v>56</v>
      </c>
      <c r="E461" s="2" t="s">
        <v>73</v>
      </c>
      <c r="F461" s="2" t="s">
        <v>117</v>
      </c>
      <c r="G461" s="2" t="s">
        <v>56</v>
      </c>
      <c r="H461" s="2" t="s">
        <v>498</v>
      </c>
      <c r="I461" s="2" t="s">
        <v>47</v>
      </c>
      <c r="J461" s="2" t="s">
        <v>1409</v>
      </c>
      <c r="K461" s="2" t="s">
        <v>1588</v>
      </c>
      <c r="L461" s="2" t="s">
        <v>334</v>
      </c>
      <c r="M461" s="2" t="s">
        <v>1411</v>
      </c>
      <c r="N461" s="16">
        <v>2.1600000000000001E-2</v>
      </c>
      <c r="O461" s="17">
        <f>N461*'Financial Inputs'!$B$3</f>
        <v>2160000</v>
      </c>
      <c r="P461" s="18">
        <f>IF(I461="L",'Financial Inputs'!$B$4,IF(I461="M",'Financial Inputs'!$B$5,'Financial Inputs'!$B$6))</f>
        <v>0.4</v>
      </c>
      <c r="Q461" s="17">
        <f>O461*P461</f>
        <v>864000</v>
      </c>
      <c r="R461" s="16">
        <f>'Financial Inputs'!$B$7</f>
        <v>0.35</v>
      </c>
      <c r="S461" s="17">
        <f>Q461*(1-R461)</f>
        <v>561600</v>
      </c>
      <c r="T461" s="18">
        <f>S461/'Financial Inputs'!$B$3</f>
        <v>5.6160000000000003E-3</v>
      </c>
      <c r="U461" s="9" t="s">
        <v>52</v>
      </c>
      <c r="V461" s="3" t="s">
        <v>53</v>
      </c>
    </row>
    <row r="462" spans="1:22">
      <c r="A462" s="2" t="s">
        <v>1589</v>
      </c>
      <c r="B462" s="2" t="s">
        <v>1590</v>
      </c>
      <c r="C462" s="2" t="s">
        <v>1408</v>
      </c>
      <c r="D462" s="2" t="s">
        <v>80</v>
      </c>
      <c r="E462" s="2" t="s">
        <v>153</v>
      </c>
      <c r="F462" s="2" t="s">
        <v>58</v>
      </c>
      <c r="G462" s="2" t="s">
        <v>83</v>
      </c>
      <c r="H462" s="2" t="s">
        <v>498</v>
      </c>
      <c r="I462" s="2" t="s">
        <v>47</v>
      </c>
      <c r="J462" s="2" t="s">
        <v>1409</v>
      </c>
      <c r="K462" s="2" t="s">
        <v>1591</v>
      </c>
      <c r="L462" s="2" t="s">
        <v>338</v>
      </c>
      <c r="M462" s="2" t="s">
        <v>1411</v>
      </c>
      <c r="N462" s="16">
        <v>1.44E-2</v>
      </c>
      <c r="O462" s="17">
        <f>N462*'Financial Inputs'!$B$3</f>
        <v>1440000</v>
      </c>
      <c r="P462" s="18">
        <f>IF(I462="L",'Financial Inputs'!$B$4,IF(I462="M",'Financial Inputs'!$B$5,'Financial Inputs'!$B$6))</f>
        <v>0.4</v>
      </c>
      <c r="Q462" s="17">
        <f>O462*P462</f>
        <v>576000</v>
      </c>
      <c r="R462" s="16">
        <f>'Financial Inputs'!$B$7</f>
        <v>0.35</v>
      </c>
      <c r="S462" s="17">
        <f>Q462*(1-R462)</f>
        <v>374400</v>
      </c>
      <c r="T462" s="18">
        <f>S462/'Financial Inputs'!$B$3</f>
        <v>3.7439999999999999E-3</v>
      </c>
      <c r="U462" s="9" t="s">
        <v>52</v>
      </c>
      <c r="V462" s="3" t="s">
        <v>53</v>
      </c>
    </row>
    <row r="463" spans="1:22">
      <c r="A463" s="2" t="s">
        <v>1592</v>
      </c>
      <c r="B463" s="2" t="s">
        <v>1593</v>
      </c>
      <c r="C463" s="2" t="s">
        <v>1408</v>
      </c>
      <c r="D463" s="2" t="s">
        <v>127</v>
      </c>
      <c r="E463" s="2" t="s">
        <v>89</v>
      </c>
      <c r="F463" s="2" t="s">
        <v>66</v>
      </c>
      <c r="G463" s="2" t="s">
        <v>111</v>
      </c>
      <c r="H463" s="2" t="s">
        <v>498</v>
      </c>
      <c r="I463" s="2" t="s">
        <v>47</v>
      </c>
      <c r="J463" s="2" t="s">
        <v>1409</v>
      </c>
      <c r="K463" s="2" t="s">
        <v>1594</v>
      </c>
      <c r="L463" s="2" t="s">
        <v>342</v>
      </c>
      <c r="M463" s="2" t="s">
        <v>1411</v>
      </c>
      <c r="N463" s="16">
        <v>1.6199999999999999E-2</v>
      </c>
      <c r="O463" s="17">
        <f>N463*'Financial Inputs'!$B$3</f>
        <v>1620000</v>
      </c>
      <c r="P463" s="18">
        <f>IF(I463="L",'Financial Inputs'!$B$4,IF(I463="M",'Financial Inputs'!$B$5,'Financial Inputs'!$B$6))</f>
        <v>0.4</v>
      </c>
      <c r="Q463" s="17">
        <f>O463*P463</f>
        <v>648000</v>
      </c>
      <c r="R463" s="16">
        <f>'Financial Inputs'!$B$7</f>
        <v>0.35</v>
      </c>
      <c r="S463" s="17">
        <f>Q463*(1-R463)</f>
        <v>421200</v>
      </c>
      <c r="T463" s="18">
        <f>S463/'Financial Inputs'!$B$3</f>
        <v>4.2119999999999996E-3</v>
      </c>
      <c r="U463" s="9" t="s">
        <v>52</v>
      </c>
      <c r="V463" s="3" t="s">
        <v>53</v>
      </c>
    </row>
    <row r="464" spans="1:22">
      <c r="A464" s="2" t="s">
        <v>1595</v>
      </c>
      <c r="B464" s="2" t="s">
        <v>1596</v>
      </c>
      <c r="C464" s="2" t="s">
        <v>1408</v>
      </c>
      <c r="D464" s="2" t="s">
        <v>133</v>
      </c>
      <c r="E464" s="2" t="s">
        <v>96</v>
      </c>
      <c r="F464" s="2" t="s">
        <v>74</v>
      </c>
      <c r="G464" s="2" t="s">
        <v>56</v>
      </c>
      <c r="H464" s="2" t="s">
        <v>498</v>
      </c>
      <c r="I464" s="2" t="s">
        <v>47</v>
      </c>
      <c r="J464" s="2" t="s">
        <v>1409</v>
      </c>
      <c r="K464" s="2" t="s">
        <v>1597</v>
      </c>
      <c r="L464" s="2" t="s">
        <v>346</v>
      </c>
      <c r="M464" s="2" t="s">
        <v>1411</v>
      </c>
      <c r="N464" s="16">
        <v>1.7999999999999999E-2</v>
      </c>
      <c r="O464" s="17">
        <f>N464*'Financial Inputs'!$B$3</f>
        <v>1799999.9999999998</v>
      </c>
      <c r="P464" s="18">
        <f>IF(I464="L",'Financial Inputs'!$B$4,IF(I464="M",'Financial Inputs'!$B$5,'Financial Inputs'!$B$6))</f>
        <v>0.4</v>
      </c>
      <c r="Q464" s="17">
        <f>O464*P464</f>
        <v>720000</v>
      </c>
      <c r="R464" s="16">
        <f>'Financial Inputs'!$B$7</f>
        <v>0.35</v>
      </c>
      <c r="S464" s="17">
        <f>Q464*(1-R464)</f>
        <v>468000</v>
      </c>
      <c r="T464" s="18">
        <f>S464/'Financial Inputs'!$B$3</f>
        <v>4.6800000000000001E-3</v>
      </c>
      <c r="U464" s="9" t="s">
        <v>52</v>
      </c>
      <c r="V464" s="3" t="s">
        <v>53</v>
      </c>
    </row>
    <row r="465" spans="1:22">
      <c r="A465" s="2" t="s">
        <v>1598</v>
      </c>
      <c r="B465" s="2" t="s">
        <v>1599</v>
      </c>
      <c r="C465" s="2" t="s">
        <v>1408</v>
      </c>
      <c r="D465" s="2" t="s">
        <v>88</v>
      </c>
      <c r="E465" s="2" t="s">
        <v>103</v>
      </c>
      <c r="F465" s="2" t="s">
        <v>82</v>
      </c>
      <c r="G465" s="2" t="s">
        <v>138</v>
      </c>
      <c r="H465" s="2" t="s">
        <v>498</v>
      </c>
      <c r="I465" s="2" t="s">
        <v>47</v>
      </c>
      <c r="J465" s="2" t="s">
        <v>1409</v>
      </c>
      <c r="K465" s="2" t="s">
        <v>1600</v>
      </c>
      <c r="L465" s="2" t="s">
        <v>350</v>
      </c>
      <c r="M465" s="2" t="s">
        <v>1411</v>
      </c>
      <c r="N465" s="16">
        <v>1.9800000000000002E-2</v>
      </c>
      <c r="O465" s="17">
        <f>N465*'Financial Inputs'!$B$3</f>
        <v>1980000.0000000002</v>
      </c>
      <c r="P465" s="18">
        <f>IF(I465="L",'Financial Inputs'!$B$4,IF(I465="M",'Financial Inputs'!$B$5,'Financial Inputs'!$B$6))</f>
        <v>0.4</v>
      </c>
      <c r="Q465" s="17">
        <f>O465*P465</f>
        <v>792000.00000000012</v>
      </c>
      <c r="R465" s="16">
        <f>'Financial Inputs'!$B$7</f>
        <v>0.35</v>
      </c>
      <c r="S465" s="17">
        <f>Q465*(1-R465)</f>
        <v>514800.00000000012</v>
      </c>
      <c r="T465" s="18">
        <f>S465/'Financial Inputs'!$B$3</f>
        <v>5.1480000000000015E-3</v>
      </c>
      <c r="U465" s="9" t="s">
        <v>52</v>
      </c>
      <c r="V465" s="3" t="s">
        <v>53</v>
      </c>
    </row>
    <row r="466" spans="1:22">
      <c r="A466" s="2" t="s">
        <v>1601</v>
      </c>
      <c r="B466" s="2" t="s">
        <v>1602</v>
      </c>
      <c r="C466" s="2" t="s">
        <v>1408</v>
      </c>
      <c r="D466" s="2" t="s">
        <v>95</v>
      </c>
      <c r="E466" s="2" t="s">
        <v>109</v>
      </c>
      <c r="F466" s="2" t="s">
        <v>44</v>
      </c>
      <c r="G466" s="2" t="s">
        <v>143</v>
      </c>
      <c r="H466" s="2" t="s">
        <v>498</v>
      </c>
      <c r="I466" s="2" t="s">
        <v>47</v>
      </c>
      <c r="J466" s="2" t="s">
        <v>1409</v>
      </c>
      <c r="K466" s="2" t="s">
        <v>1603</v>
      </c>
      <c r="L466" s="2" t="s">
        <v>354</v>
      </c>
      <c r="M466" s="2" t="s">
        <v>1411</v>
      </c>
      <c r="N466" s="16">
        <v>2.1600000000000001E-2</v>
      </c>
      <c r="O466" s="17">
        <f>N466*'Financial Inputs'!$B$3</f>
        <v>2160000</v>
      </c>
      <c r="P466" s="18">
        <f>IF(I466="L",'Financial Inputs'!$B$4,IF(I466="M",'Financial Inputs'!$B$5,'Financial Inputs'!$B$6))</f>
        <v>0.4</v>
      </c>
      <c r="Q466" s="17">
        <f>O466*P466</f>
        <v>864000</v>
      </c>
      <c r="R466" s="16">
        <f>'Financial Inputs'!$B$7</f>
        <v>0.35</v>
      </c>
      <c r="S466" s="17">
        <f>Q466*(1-R466)</f>
        <v>561600</v>
      </c>
      <c r="T466" s="18">
        <f>S466/'Financial Inputs'!$B$3</f>
        <v>5.6160000000000003E-3</v>
      </c>
      <c r="U466" s="9" t="s">
        <v>52</v>
      </c>
      <c r="V466" s="3" t="s">
        <v>53</v>
      </c>
    </row>
    <row r="467" spans="1:22">
      <c r="A467" s="2" t="s">
        <v>1604</v>
      </c>
      <c r="B467" s="2" t="s">
        <v>1605</v>
      </c>
      <c r="C467" s="2" t="s">
        <v>1408</v>
      </c>
      <c r="D467" s="2" t="s">
        <v>56</v>
      </c>
      <c r="E467" s="2" t="s">
        <v>176</v>
      </c>
      <c r="F467" s="2" t="s">
        <v>97</v>
      </c>
      <c r="G467" s="2" t="s">
        <v>56</v>
      </c>
      <c r="H467" s="2" t="s">
        <v>498</v>
      </c>
      <c r="I467" s="2" t="s">
        <v>47</v>
      </c>
      <c r="J467" s="2" t="s">
        <v>1409</v>
      </c>
      <c r="K467" s="2" t="s">
        <v>1606</v>
      </c>
      <c r="L467" s="2" t="s">
        <v>358</v>
      </c>
      <c r="M467" s="2" t="s">
        <v>1411</v>
      </c>
      <c r="N467" s="16">
        <v>1.44E-2</v>
      </c>
      <c r="O467" s="17">
        <f>N467*'Financial Inputs'!$B$3</f>
        <v>1440000</v>
      </c>
      <c r="P467" s="18">
        <f>IF(I467="L",'Financial Inputs'!$B$4,IF(I467="M",'Financial Inputs'!$B$5,'Financial Inputs'!$B$6))</f>
        <v>0.4</v>
      </c>
      <c r="Q467" s="17">
        <f>O467*P467</f>
        <v>576000</v>
      </c>
      <c r="R467" s="16">
        <f>'Financial Inputs'!$B$7</f>
        <v>0.35</v>
      </c>
      <c r="S467" s="17">
        <f>Q467*(1-R467)</f>
        <v>374400</v>
      </c>
      <c r="T467" s="18">
        <f>S467/'Financial Inputs'!$B$3</f>
        <v>3.7439999999999999E-3</v>
      </c>
      <c r="U467" s="9" t="s">
        <v>52</v>
      </c>
      <c r="V467" s="3" t="s">
        <v>53</v>
      </c>
    </row>
    <row r="468" spans="1:22">
      <c r="A468" s="2" t="s">
        <v>1607</v>
      </c>
      <c r="B468" s="2" t="s">
        <v>1608</v>
      </c>
      <c r="C468" s="2" t="s">
        <v>1408</v>
      </c>
      <c r="D468" s="2" t="s">
        <v>64</v>
      </c>
      <c r="E468" s="2" t="s">
        <v>122</v>
      </c>
      <c r="F468" s="2" t="s">
        <v>104</v>
      </c>
      <c r="G468" s="2" t="s">
        <v>138</v>
      </c>
      <c r="H468" s="2" t="s">
        <v>498</v>
      </c>
      <c r="I468" s="2" t="s">
        <v>47</v>
      </c>
      <c r="J468" s="2" t="s">
        <v>1409</v>
      </c>
      <c r="K468" s="2" t="s">
        <v>1609</v>
      </c>
      <c r="L468" s="2" t="s">
        <v>362</v>
      </c>
      <c r="M468" s="2" t="s">
        <v>1411</v>
      </c>
      <c r="N468" s="16">
        <v>1.6199999999999999E-2</v>
      </c>
      <c r="O468" s="17">
        <f>N468*'Financial Inputs'!$B$3</f>
        <v>1620000</v>
      </c>
      <c r="P468" s="18">
        <f>IF(I468="L",'Financial Inputs'!$B$4,IF(I468="M",'Financial Inputs'!$B$5,'Financial Inputs'!$B$6))</f>
        <v>0.4</v>
      </c>
      <c r="Q468" s="17">
        <f>O468*P468</f>
        <v>648000</v>
      </c>
      <c r="R468" s="16">
        <f>'Financial Inputs'!$B$7</f>
        <v>0.35</v>
      </c>
      <c r="S468" s="17">
        <f>Q468*(1-R468)</f>
        <v>421200</v>
      </c>
      <c r="T468" s="18">
        <f>S468/'Financial Inputs'!$B$3</f>
        <v>4.2119999999999996E-3</v>
      </c>
      <c r="U468" s="9" t="s">
        <v>52</v>
      </c>
      <c r="V468" s="3" t="s">
        <v>53</v>
      </c>
    </row>
    <row r="469" spans="1:22">
      <c r="A469" s="2" t="s">
        <v>1610</v>
      </c>
      <c r="B469" s="2" t="s">
        <v>1611</v>
      </c>
      <c r="C469" s="2" t="s">
        <v>1408</v>
      </c>
      <c r="D469" s="2" t="s">
        <v>72</v>
      </c>
      <c r="E469" s="2" t="s">
        <v>128</v>
      </c>
      <c r="F469" s="2" t="s">
        <v>110</v>
      </c>
      <c r="G469" s="2" t="s">
        <v>143</v>
      </c>
      <c r="H469" s="2" t="s">
        <v>498</v>
      </c>
      <c r="I469" s="2" t="s">
        <v>47</v>
      </c>
      <c r="J469" s="2" t="s">
        <v>1409</v>
      </c>
      <c r="K469" s="2" t="s">
        <v>1612</v>
      </c>
      <c r="L469" s="2" t="s">
        <v>366</v>
      </c>
      <c r="M469" s="2" t="s">
        <v>1411</v>
      </c>
      <c r="N469" s="16">
        <v>1.7999999999999999E-2</v>
      </c>
      <c r="O469" s="17">
        <f>N469*'Financial Inputs'!$B$3</f>
        <v>1799999.9999999998</v>
      </c>
      <c r="P469" s="18">
        <f>IF(I469="L",'Financial Inputs'!$B$4,IF(I469="M",'Financial Inputs'!$B$5,'Financial Inputs'!$B$6))</f>
        <v>0.4</v>
      </c>
      <c r="Q469" s="17">
        <f>O469*P469</f>
        <v>720000</v>
      </c>
      <c r="R469" s="16">
        <f>'Financial Inputs'!$B$7</f>
        <v>0.35</v>
      </c>
      <c r="S469" s="17">
        <f>Q469*(1-R469)</f>
        <v>468000</v>
      </c>
      <c r="T469" s="18">
        <f>S469/'Financial Inputs'!$B$3</f>
        <v>4.6800000000000001E-3</v>
      </c>
      <c r="U469" s="9" t="s">
        <v>52</v>
      </c>
      <c r="V469" s="3" t="s">
        <v>53</v>
      </c>
    </row>
    <row r="470" spans="1:22">
      <c r="A470" s="2" t="s">
        <v>1613</v>
      </c>
      <c r="B470" s="2" t="s">
        <v>1614</v>
      </c>
      <c r="C470" s="2" t="s">
        <v>1408</v>
      </c>
      <c r="D470" s="2" t="s">
        <v>80</v>
      </c>
      <c r="E470" s="2" t="s">
        <v>43</v>
      </c>
      <c r="F470" s="2" t="s">
        <v>117</v>
      </c>
      <c r="G470" s="2" t="s">
        <v>162</v>
      </c>
      <c r="H470" s="2" t="s">
        <v>498</v>
      </c>
      <c r="I470" s="2" t="s">
        <v>47</v>
      </c>
      <c r="J470" s="2" t="s">
        <v>1409</v>
      </c>
      <c r="K470" s="2" t="s">
        <v>1615</v>
      </c>
      <c r="L470" s="2" t="s">
        <v>370</v>
      </c>
      <c r="M470" s="2" t="s">
        <v>1411</v>
      </c>
      <c r="N470" s="16">
        <v>1.9800000000000002E-2</v>
      </c>
      <c r="O470" s="17">
        <f>N470*'Financial Inputs'!$B$3</f>
        <v>1980000.0000000002</v>
      </c>
      <c r="P470" s="18">
        <f>IF(I470="L",'Financial Inputs'!$B$4,IF(I470="M",'Financial Inputs'!$B$5,'Financial Inputs'!$B$6))</f>
        <v>0.4</v>
      </c>
      <c r="Q470" s="17">
        <f>O470*P470</f>
        <v>792000.00000000012</v>
      </c>
      <c r="R470" s="16">
        <f>'Financial Inputs'!$B$7</f>
        <v>0.35</v>
      </c>
      <c r="S470" s="17">
        <f>Q470*(1-R470)</f>
        <v>514800.00000000012</v>
      </c>
      <c r="T470" s="18">
        <f>S470/'Financial Inputs'!$B$3</f>
        <v>5.1480000000000015E-3</v>
      </c>
      <c r="U470" s="9" t="s">
        <v>52</v>
      </c>
      <c r="V470" s="3" t="s">
        <v>53</v>
      </c>
    </row>
    <row r="471" spans="1:22">
      <c r="A471" s="2" t="s">
        <v>1616</v>
      </c>
      <c r="B471" s="2" t="s">
        <v>1617</v>
      </c>
      <c r="C471" s="2" t="s">
        <v>1408</v>
      </c>
      <c r="D471" s="2" t="s">
        <v>127</v>
      </c>
      <c r="E471" s="2" t="s">
        <v>57</v>
      </c>
      <c r="F471" s="2" t="s">
        <v>90</v>
      </c>
      <c r="G471" s="2" t="s">
        <v>45</v>
      </c>
      <c r="H471" s="2" t="s">
        <v>498</v>
      </c>
      <c r="I471" s="2" t="s">
        <v>47</v>
      </c>
      <c r="J471" s="2" t="s">
        <v>1409</v>
      </c>
      <c r="K471" s="2" t="s">
        <v>1618</v>
      </c>
      <c r="L471" s="2" t="s">
        <v>374</v>
      </c>
      <c r="M471" s="2" t="s">
        <v>1411</v>
      </c>
      <c r="N471" s="16">
        <v>2.1600000000000001E-2</v>
      </c>
      <c r="O471" s="17">
        <f>N471*'Financial Inputs'!$B$3</f>
        <v>2160000</v>
      </c>
      <c r="P471" s="18">
        <f>IF(I471="L",'Financial Inputs'!$B$4,IF(I471="M",'Financial Inputs'!$B$5,'Financial Inputs'!$B$6))</f>
        <v>0.4</v>
      </c>
      <c r="Q471" s="17">
        <f>O471*P471</f>
        <v>864000</v>
      </c>
      <c r="R471" s="16">
        <f>'Financial Inputs'!$B$7</f>
        <v>0.35</v>
      </c>
      <c r="S471" s="17">
        <f>Q471*(1-R471)</f>
        <v>561600</v>
      </c>
      <c r="T471" s="18">
        <f>S471/'Financial Inputs'!$B$3</f>
        <v>5.6160000000000003E-3</v>
      </c>
      <c r="U471" s="9" t="s">
        <v>52</v>
      </c>
      <c r="V471" s="3" t="s">
        <v>53</v>
      </c>
    </row>
    <row r="472" spans="1:22">
      <c r="A472" s="2" t="s">
        <v>1619</v>
      </c>
      <c r="B472" s="2" t="s">
        <v>1620</v>
      </c>
      <c r="C472" s="2" t="s">
        <v>1408</v>
      </c>
      <c r="D472" s="2" t="s">
        <v>95</v>
      </c>
      <c r="E472" s="2" t="s">
        <v>198</v>
      </c>
      <c r="F472" s="2" t="s">
        <v>66</v>
      </c>
      <c r="G472" s="2" t="s">
        <v>143</v>
      </c>
      <c r="H472" s="2" t="s">
        <v>498</v>
      </c>
      <c r="I472" s="2" t="s">
        <v>47</v>
      </c>
      <c r="J472" s="2" t="s">
        <v>1409</v>
      </c>
      <c r="K472" s="2" t="s">
        <v>1621</v>
      </c>
      <c r="L472" s="2" t="s">
        <v>378</v>
      </c>
      <c r="M472" s="2" t="s">
        <v>1411</v>
      </c>
      <c r="N472" s="16">
        <v>1.44E-2</v>
      </c>
      <c r="O472" s="17">
        <f>N472*'Financial Inputs'!$B$3</f>
        <v>1440000</v>
      </c>
      <c r="P472" s="18">
        <f>IF(I472="L",'Financial Inputs'!$B$4,IF(I472="M",'Financial Inputs'!$B$5,'Financial Inputs'!$B$6))</f>
        <v>0.4</v>
      </c>
      <c r="Q472" s="17">
        <f>O472*P472</f>
        <v>576000</v>
      </c>
      <c r="R472" s="16">
        <f>'Financial Inputs'!$B$7</f>
        <v>0.35</v>
      </c>
      <c r="S472" s="17">
        <f>Q472*(1-R472)</f>
        <v>374400</v>
      </c>
      <c r="T472" s="18">
        <f>S472/'Financial Inputs'!$B$3</f>
        <v>3.7439999999999999E-3</v>
      </c>
      <c r="U472" s="9" t="s">
        <v>52</v>
      </c>
      <c r="V472" s="3" t="s">
        <v>53</v>
      </c>
    </row>
    <row r="473" spans="1:22">
      <c r="A473" s="2" t="s">
        <v>1622</v>
      </c>
      <c r="B473" s="2" t="s">
        <v>1623</v>
      </c>
      <c r="C473" s="2" t="s">
        <v>1408</v>
      </c>
      <c r="D473" s="2" t="s">
        <v>102</v>
      </c>
      <c r="E473" s="2" t="s">
        <v>148</v>
      </c>
      <c r="F473" s="2" t="s">
        <v>74</v>
      </c>
      <c r="G473" s="2" t="s">
        <v>162</v>
      </c>
      <c r="H473" s="2" t="s">
        <v>498</v>
      </c>
      <c r="I473" s="2" t="s">
        <v>47</v>
      </c>
      <c r="J473" s="2" t="s">
        <v>1409</v>
      </c>
      <c r="K473" s="2" t="s">
        <v>1624</v>
      </c>
      <c r="L473" s="2" t="s">
        <v>382</v>
      </c>
      <c r="M473" s="2" t="s">
        <v>1411</v>
      </c>
      <c r="N473" s="16">
        <v>1.6199999999999999E-2</v>
      </c>
      <c r="O473" s="17">
        <f>N473*'Financial Inputs'!$B$3</f>
        <v>1620000</v>
      </c>
      <c r="P473" s="18">
        <f>IF(I473="L",'Financial Inputs'!$B$4,IF(I473="M",'Financial Inputs'!$B$5,'Financial Inputs'!$B$6))</f>
        <v>0.4</v>
      </c>
      <c r="Q473" s="17">
        <f>O473*P473</f>
        <v>648000</v>
      </c>
      <c r="R473" s="16">
        <f>'Financial Inputs'!$B$7</f>
        <v>0.35</v>
      </c>
      <c r="S473" s="17">
        <f>Q473*(1-R473)</f>
        <v>421200</v>
      </c>
      <c r="T473" s="18">
        <f>S473/'Financial Inputs'!$B$3</f>
        <v>4.2119999999999996E-3</v>
      </c>
      <c r="U473" s="9" t="s">
        <v>52</v>
      </c>
      <c r="V473" s="3" t="s">
        <v>53</v>
      </c>
    </row>
    <row r="474" spans="1:22">
      <c r="A474" s="2" t="s">
        <v>1625</v>
      </c>
      <c r="B474" s="2" t="s">
        <v>1626</v>
      </c>
      <c r="C474" s="2" t="s">
        <v>1408</v>
      </c>
      <c r="D474" s="2" t="s">
        <v>42</v>
      </c>
      <c r="E474" s="2" t="s">
        <v>153</v>
      </c>
      <c r="F474" s="2" t="s">
        <v>82</v>
      </c>
      <c r="G474" s="2" t="s">
        <v>45</v>
      </c>
      <c r="H474" s="2" t="s">
        <v>498</v>
      </c>
      <c r="I474" s="2" t="s">
        <v>47</v>
      </c>
      <c r="J474" s="2" t="s">
        <v>1409</v>
      </c>
      <c r="K474" s="2" t="s">
        <v>1627</v>
      </c>
      <c r="L474" s="2" t="s">
        <v>386</v>
      </c>
      <c r="M474" s="2" t="s">
        <v>1411</v>
      </c>
      <c r="N474" s="16">
        <v>1.7999999999999999E-2</v>
      </c>
      <c r="O474" s="17">
        <f>N474*'Financial Inputs'!$B$3</f>
        <v>1799999.9999999998</v>
      </c>
      <c r="P474" s="18">
        <f>IF(I474="L",'Financial Inputs'!$B$4,IF(I474="M",'Financial Inputs'!$B$5,'Financial Inputs'!$B$6))</f>
        <v>0.4</v>
      </c>
      <c r="Q474" s="17">
        <f>O474*P474</f>
        <v>720000</v>
      </c>
      <c r="R474" s="16">
        <f>'Financial Inputs'!$B$7</f>
        <v>0.35</v>
      </c>
      <c r="S474" s="17">
        <f>Q474*(1-R474)</f>
        <v>468000</v>
      </c>
      <c r="T474" s="18">
        <f>S474/'Financial Inputs'!$B$3</f>
        <v>4.6800000000000001E-3</v>
      </c>
      <c r="U474" s="9" t="s">
        <v>52</v>
      </c>
      <c r="V474" s="3" t="s">
        <v>53</v>
      </c>
    </row>
    <row r="475" spans="1:22">
      <c r="A475" s="2" t="s">
        <v>1628</v>
      </c>
      <c r="B475" s="2" t="s">
        <v>1629</v>
      </c>
      <c r="C475" s="2" t="s">
        <v>1408</v>
      </c>
      <c r="D475" s="2" t="s">
        <v>56</v>
      </c>
      <c r="E475" s="2" t="s">
        <v>89</v>
      </c>
      <c r="F475" s="2" t="s">
        <v>44</v>
      </c>
      <c r="G475" s="2" t="s">
        <v>59</v>
      </c>
      <c r="H475" s="2" t="s">
        <v>498</v>
      </c>
      <c r="I475" s="2" t="s">
        <v>47</v>
      </c>
      <c r="J475" s="2" t="s">
        <v>1409</v>
      </c>
      <c r="K475" s="2" t="s">
        <v>1630</v>
      </c>
      <c r="L475" s="2" t="s">
        <v>390</v>
      </c>
      <c r="M475" s="2" t="s">
        <v>1411</v>
      </c>
      <c r="N475" s="16">
        <v>1.9800000000000002E-2</v>
      </c>
      <c r="O475" s="17">
        <f>N475*'Financial Inputs'!$B$3</f>
        <v>1980000.0000000002</v>
      </c>
      <c r="P475" s="18">
        <f>IF(I475="L",'Financial Inputs'!$B$4,IF(I475="M",'Financial Inputs'!$B$5,'Financial Inputs'!$B$6))</f>
        <v>0.4</v>
      </c>
      <c r="Q475" s="17">
        <f>O475*P475</f>
        <v>792000.00000000012</v>
      </c>
      <c r="R475" s="16">
        <f>'Financial Inputs'!$B$7</f>
        <v>0.35</v>
      </c>
      <c r="S475" s="17">
        <f>Q475*(1-R475)</f>
        <v>514800.00000000012</v>
      </c>
      <c r="T475" s="18">
        <f>S475/'Financial Inputs'!$B$3</f>
        <v>5.1480000000000015E-3</v>
      </c>
      <c r="U475" s="9" t="s">
        <v>52</v>
      </c>
      <c r="V475" s="3" t="s">
        <v>53</v>
      </c>
    </row>
    <row r="476" spans="1:22">
      <c r="A476" s="2" t="s">
        <v>1631</v>
      </c>
      <c r="B476" s="2" t="s">
        <v>1632</v>
      </c>
      <c r="C476" s="2" t="s">
        <v>1408</v>
      </c>
      <c r="D476" s="2" t="s">
        <v>64</v>
      </c>
      <c r="E476" s="2" t="s">
        <v>96</v>
      </c>
      <c r="F476" s="2" t="s">
        <v>58</v>
      </c>
      <c r="G476" s="2" t="s">
        <v>67</v>
      </c>
      <c r="H476" s="2" t="s">
        <v>498</v>
      </c>
      <c r="I476" s="2" t="s">
        <v>47</v>
      </c>
      <c r="J476" s="2" t="s">
        <v>1409</v>
      </c>
      <c r="K476" s="2" t="s">
        <v>1633</v>
      </c>
      <c r="L476" s="2" t="s">
        <v>394</v>
      </c>
      <c r="M476" s="2" t="s">
        <v>1411</v>
      </c>
      <c r="N476" s="16">
        <v>2.1600000000000001E-2</v>
      </c>
      <c r="O476" s="17">
        <f>N476*'Financial Inputs'!$B$3</f>
        <v>2160000</v>
      </c>
      <c r="P476" s="18">
        <f>IF(I476="L",'Financial Inputs'!$B$4,IF(I476="M",'Financial Inputs'!$B$5,'Financial Inputs'!$B$6))</f>
        <v>0.4</v>
      </c>
      <c r="Q476" s="17">
        <f>O476*P476</f>
        <v>864000</v>
      </c>
      <c r="R476" s="16">
        <f>'Financial Inputs'!$B$7</f>
        <v>0.35</v>
      </c>
      <c r="S476" s="17">
        <f>Q476*(1-R476)</f>
        <v>561600</v>
      </c>
      <c r="T476" s="18">
        <f>S476/'Financial Inputs'!$B$3</f>
        <v>5.6160000000000003E-3</v>
      </c>
      <c r="U476" s="9" t="s">
        <v>52</v>
      </c>
      <c r="V476" s="3" t="s">
        <v>53</v>
      </c>
    </row>
    <row r="477" spans="1:22">
      <c r="A477" s="2" t="s">
        <v>1634</v>
      </c>
      <c r="B477" s="2" t="s">
        <v>1635</v>
      </c>
      <c r="C477" s="2" t="s">
        <v>1408</v>
      </c>
      <c r="D477" s="2" t="s">
        <v>127</v>
      </c>
      <c r="E477" s="2" t="s">
        <v>220</v>
      </c>
      <c r="F477" s="2" t="s">
        <v>104</v>
      </c>
      <c r="G477" s="2" t="s">
        <v>45</v>
      </c>
      <c r="H477" s="2" t="s">
        <v>498</v>
      </c>
      <c r="I477" s="2" t="s">
        <v>47</v>
      </c>
      <c r="J477" s="2" t="s">
        <v>1409</v>
      </c>
      <c r="K477" s="2" t="s">
        <v>1636</v>
      </c>
      <c r="L477" s="2" t="s">
        <v>398</v>
      </c>
      <c r="M477" s="2" t="s">
        <v>1411</v>
      </c>
      <c r="N477" s="16">
        <v>1.44E-2</v>
      </c>
      <c r="O477" s="17">
        <f>N477*'Financial Inputs'!$B$3</f>
        <v>1440000</v>
      </c>
      <c r="P477" s="18">
        <f>IF(I477="L",'Financial Inputs'!$B$4,IF(I477="M",'Financial Inputs'!$B$5,'Financial Inputs'!$B$6))</f>
        <v>0.4</v>
      </c>
      <c r="Q477" s="17">
        <f>O477*P477</f>
        <v>576000</v>
      </c>
      <c r="R477" s="16">
        <f>'Financial Inputs'!$B$7</f>
        <v>0.35</v>
      </c>
      <c r="S477" s="17">
        <f>Q477*(1-R477)</f>
        <v>374400</v>
      </c>
      <c r="T477" s="18">
        <f>S477/'Financial Inputs'!$B$3</f>
        <v>3.7439999999999999E-3</v>
      </c>
      <c r="U477" s="9" t="s">
        <v>52</v>
      </c>
      <c r="V477" s="3" t="s">
        <v>53</v>
      </c>
    </row>
    <row r="478" spans="1:22">
      <c r="A478" s="2" t="s">
        <v>1637</v>
      </c>
      <c r="B478" s="2" t="s">
        <v>1638</v>
      </c>
      <c r="C478" s="2" t="s">
        <v>1408</v>
      </c>
      <c r="D478" s="2" t="s">
        <v>133</v>
      </c>
      <c r="E478" s="2" t="s">
        <v>171</v>
      </c>
      <c r="F478" s="2" t="s">
        <v>110</v>
      </c>
      <c r="G478" s="2" t="s">
        <v>59</v>
      </c>
      <c r="H478" s="2" t="s">
        <v>498</v>
      </c>
      <c r="I478" s="2" t="s">
        <v>47</v>
      </c>
      <c r="J478" s="2" t="s">
        <v>1409</v>
      </c>
      <c r="K478" s="2" t="s">
        <v>1639</v>
      </c>
      <c r="L478" s="2" t="s">
        <v>402</v>
      </c>
      <c r="M478" s="2" t="s">
        <v>1411</v>
      </c>
      <c r="N478" s="16">
        <v>1.6199999999999999E-2</v>
      </c>
      <c r="O478" s="17">
        <f>N478*'Financial Inputs'!$B$3</f>
        <v>1620000</v>
      </c>
      <c r="P478" s="18">
        <f>IF(I478="L",'Financial Inputs'!$B$4,IF(I478="M",'Financial Inputs'!$B$5,'Financial Inputs'!$B$6))</f>
        <v>0.4</v>
      </c>
      <c r="Q478" s="17">
        <f>O478*P478</f>
        <v>648000</v>
      </c>
      <c r="R478" s="16">
        <f>'Financial Inputs'!$B$7</f>
        <v>0.35</v>
      </c>
      <c r="S478" s="17">
        <f>Q478*(1-R478)</f>
        <v>421200</v>
      </c>
      <c r="T478" s="18">
        <f>S478/'Financial Inputs'!$B$3</f>
        <v>4.2119999999999996E-3</v>
      </c>
      <c r="U478" s="9" t="s">
        <v>52</v>
      </c>
      <c r="V478" s="3" t="s">
        <v>53</v>
      </c>
    </row>
    <row r="479" spans="1:22">
      <c r="A479" s="2" t="s">
        <v>1640</v>
      </c>
      <c r="B479" s="2" t="s">
        <v>1641</v>
      </c>
      <c r="C479" s="2" t="s">
        <v>1408</v>
      </c>
      <c r="D479" s="2" t="s">
        <v>88</v>
      </c>
      <c r="E479" s="2" t="s">
        <v>176</v>
      </c>
      <c r="F479" s="2" t="s">
        <v>117</v>
      </c>
      <c r="G479" s="2" t="s">
        <v>67</v>
      </c>
      <c r="H479" s="2" t="s">
        <v>498</v>
      </c>
      <c r="I479" s="2" t="s">
        <v>47</v>
      </c>
      <c r="J479" s="2" t="s">
        <v>1409</v>
      </c>
      <c r="K479" s="2" t="s">
        <v>1642</v>
      </c>
      <c r="L479" s="2" t="s">
        <v>406</v>
      </c>
      <c r="M479" s="2" t="s">
        <v>1411</v>
      </c>
      <c r="N479" s="16">
        <v>1.7999999999999999E-2</v>
      </c>
      <c r="O479" s="17">
        <f>N479*'Financial Inputs'!$B$3</f>
        <v>1799999.9999999998</v>
      </c>
      <c r="P479" s="18">
        <f>IF(I479="L",'Financial Inputs'!$B$4,IF(I479="M",'Financial Inputs'!$B$5,'Financial Inputs'!$B$6))</f>
        <v>0.4</v>
      </c>
      <c r="Q479" s="17">
        <f>O479*P479</f>
        <v>720000</v>
      </c>
      <c r="R479" s="16">
        <f>'Financial Inputs'!$B$7</f>
        <v>0.35</v>
      </c>
      <c r="S479" s="17">
        <f>Q479*(1-R479)</f>
        <v>468000</v>
      </c>
      <c r="T479" s="18">
        <f>S479/'Financial Inputs'!$B$3</f>
        <v>4.6800000000000001E-3</v>
      </c>
      <c r="U479" s="9" t="s">
        <v>52</v>
      </c>
      <c r="V479" s="3" t="s">
        <v>53</v>
      </c>
    </row>
    <row r="480" spans="1:22">
      <c r="A480" s="2" t="s">
        <v>1643</v>
      </c>
      <c r="B480" s="2" t="s">
        <v>1644</v>
      </c>
      <c r="C480" s="2" t="s">
        <v>1408</v>
      </c>
      <c r="D480" s="2" t="s">
        <v>95</v>
      </c>
      <c r="E480" s="2" t="s">
        <v>122</v>
      </c>
      <c r="F480" s="2" t="s">
        <v>90</v>
      </c>
      <c r="G480" s="2" t="s">
        <v>75</v>
      </c>
      <c r="H480" s="2" t="s">
        <v>498</v>
      </c>
      <c r="I480" s="2" t="s">
        <v>47</v>
      </c>
      <c r="J480" s="2" t="s">
        <v>1409</v>
      </c>
      <c r="K480" s="2" t="s">
        <v>1645</v>
      </c>
      <c r="L480" s="2" t="s">
        <v>410</v>
      </c>
      <c r="M480" s="2" t="s">
        <v>1411</v>
      </c>
      <c r="N480" s="16">
        <v>1.9800000000000002E-2</v>
      </c>
      <c r="O480" s="17">
        <f>N480*'Financial Inputs'!$B$3</f>
        <v>1980000.0000000002</v>
      </c>
      <c r="P480" s="18">
        <f>IF(I480="L",'Financial Inputs'!$B$4,IF(I480="M",'Financial Inputs'!$B$5,'Financial Inputs'!$B$6))</f>
        <v>0.4</v>
      </c>
      <c r="Q480" s="17">
        <f>O480*P480</f>
        <v>792000.00000000012</v>
      </c>
      <c r="R480" s="16">
        <f>'Financial Inputs'!$B$7</f>
        <v>0.35</v>
      </c>
      <c r="S480" s="17">
        <f>Q480*(1-R480)</f>
        <v>514800.00000000012</v>
      </c>
      <c r="T480" s="18">
        <f>S480/'Financial Inputs'!$B$3</f>
        <v>5.1480000000000015E-3</v>
      </c>
      <c r="U480" s="9" t="s">
        <v>52</v>
      </c>
      <c r="V480" s="3" t="s">
        <v>53</v>
      </c>
    </row>
    <row r="481" spans="1:22">
      <c r="A481" s="2" t="s">
        <v>1646</v>
      </c>
      <c r="B481" s="2" t="s">
        <v>1647</v>
      </c>
      <c r="C481" s="2" t="s">
        <v>1408</v>
      </c>
      <c r="D481" s="2" t="s">
        <v>102</v>
      </c>
      <c r="E481" s="2" t="s">
        <v>128</v>
      </c>
      <c r="F481" s="2" t="s">
        <v>97</v>
      </c>
      <c r="G481" s="2" t="s">
        <v>83</v>
      </c>
      <c r="H481" s="2" t="s">
        <v>498</v>
      </c>
      <c r="I481" s="2" t="s">
        <v>47</v>
      </c>
      <c r="J481" s="2" t="s">
        <v>1409</v>
      </c>
      <c r="K481" s="2" t="s">
        <v>1648</v>
      </c>
      <c r="L481" s="2" t="s">
        <v>414</v>
      </c>
      <c r="M481" s="2" t="s">
        <v>1411</v>
      </c>
      <c r="N481" s="16">
        <v>2.1600000000000001E-2</v>
      </c>
      <c r="O481" s="17">
        <f>N481*'Financial Inputs'!$B$3</f>
        <v>2160000</v>
      </c>
      <c r="P481" s="18">
        <f>IF(I481="L",'Financial Inputs'!$B$4,IF(I481="M",'Financial Inputs'!$B$5,'Financial Inputs'!$B$6))</f>
        <v>0.4</v>
      </c>
      <c r="Q481" s="17">
        <f>O481*P481</f>
        <v>864000</v>
      </c>
      <c r="R481" s="16">
        <f>'Financial Inputs'!$B$7</f>
        <v>0.35</v>
      </c>
      <c r="S481" s="17">
        <f>Q481*(1-R481)</f>
        <v>561600</v>
      </c>
      <c r="T481" s="18">
        <f>S481/'Financial Inputs'!$B$3</f>
        <v>5.6160000000000003E-3</v>
      </c>
      <c r="U481" s="9" t="s">
        <v>52</v>
      </c>
      <c r="V481" s="3" t="s">
        <v>53</v>
      </c>
    </row>
    <row r="482" spans="1:22">
      <c r="A482" s="2" t="s">
        <v>1649</v>
      </c>
      <c r="B482" s="2" t="s">
        <v>1650</v>
      </c>
      <c r="C482" s="2" t="s">
        <v>1408</v>
      </c>
      <c r="D482" s="2" t="s">
        <v>64</v>
      </c>
      <c r="E482" s="2" t="s">
        <v>81</v>
      </c>
      <c r="F482" s="2" t="s">
        <v>74</v>
      </c>
      <c r="G482" s="2" t="s">
        <v>67</v>
      </c>
      <c r="H482" s="2" t="s">
        <v>498</v>
      </c>
      <c r="I482" s="2" t="s">
        <v>47</v>
      </c>
      <c r="J482" s="2" t="s">
        <v>1409</v>
      </c>
      <c r="K482" s="2" t="s">
        <v>1651</v>
      </c>
      <c r="L482" s="2" t="s">
        <v>418</v>
      </c>
      <c r="M482" s="2" t="s">
        <v>1411</v>
      </c>
      <c r="N482" s="16">
        <v>1.44E-2</v>
      </c>
      <c r="O482" s="17">
        <f>N482*'Financial Inputs'!$B$3</f>
        <v>1440000</v>
      </c>
      <c r="P482" s="18">
        <f>IF(I482="L",'Financial Inputs'!$B$4,IF(I482="M",'Financial Inputs'!$B$5,'Financial Inputs'!$B$6))</f>
        <v>0.4</v>
      </c>
      <c r="Q482" s="17">
        <f>O482*P482</f>
        <v>576000</v>
      </c>
      <c r="R482" s="16">
        <f>'Financial Inputs'!$B$7</f>
        <v>0.35</v>
      </c>
      <c r="S482" s="17">
        <f>Q482*(1-R482)</f>
        <v>374400</v>
      </c>
      <c r="T482" s="18">
        <f>S482/'Financial Inputs'!$B$3</f>
        <v>3.7439999999999999E-3</v>
      </c>
      <c r="U482" s="9" t="s">
        <v>52</v>
      </c>
      <c r="V482" s="3" t="s">
        <v>53</v>
      </c>
    </row>
    <row r="483" spans="1:22">
      <c r="A483" s="2" t="s">
        <v>1652</v>
      </c>
      <c r="B483" s="2" t="s">
        <v>1653</v>
      </c>
      <c r="C483" s="2" t="s">
        <v>1408</v>
      </c>
      <c r="D483" s="2" t="s">
        <v>72</v>
      </c>
      <c r="E483" s="2" t="s">
        <v>193</v>
      </c>
      <c r="F483" s="2" t="s">
        <v>82</v>
      </c>
      <c r="G483" s="2" t="s">
        <v>75</v>
      </c>
      <c r="H483" s="2" t="s">
        <v>498</v>
      </c>
      <c r="I483" s="2" t="s">
        <v>47</v>
      </c>
      <c r="J483" s="2" t="s">
        <v>1409</v>
      </c>
      <c r="K483" s="2" t="s">
        <v>1654</v>
      </c>
      <c r="L483" s="2" t="s">
        <v>422</v>
      </c>
      <c r="M483" s="2" t="s">
        <v>1411</v>
      </c>
      <c r="N483" s="16">
        <v>1.6199999999999999E-2</v>
      </c>
      <c r="O483" s="17">
        <f>N483*'Financial Inputs'!$B$3</f>
        <v>1620000</v>
      </c>
      <c r="P483" s="18">
        <f>IF(I483="L",'Financial Inputs'!$B$4,IF(I483="M",'Financial Inputs'!$B$5,'Financial Inputs'!$B$6))</f>
        <v>0.4</v>
      </c>
      <c r="Q483" s="17">
        <f>O483*P483</f>
        <v>648000</v>
      </c>
      <c r="R483" s="16">
        <f>'Financial Inputs'!$B$7</f>
        <v>0.35</v>
      </c>
      <c r="S483" s="17">
        <f>Q483*(1-R483)</f>
        <v>421200</v>
      </c>
      <c r="T483" s="18">
        <f>S483/'Financial Inputs'!$B$3</f>
        <v>4.2119999999999996E-3</v>
      </c>
      <c r="U483" s="9" t="s">
        <v>52</v>
      </c>
      <c r="V483" s="3" t="s">
        <v>53</v>
      </c>
    </row>
    <row r="484" spans="1:22">
      <c r="A484" s="2" t="s">
        <v>1655</v>
      </c>
      <c r="B484" s="2" t="s">
        <v>1656</v>
      </c>
      <c r="C484" s="2" t="s">
        <v>1408</v>
      </c>
      <c r="D484" s="2" t="s">
        <v>80</v>
      </c>
      <c r="E484" s="2" t="s">
        <v>198</v>
      </c>
      <c r="F484" s="2" t="s">
        <v>44</v>
      </c>
      <c r="G484" s="2" t="s">
        <v>83</v>
      </c>
      <c r="H484" s="2" t="s">
        <v>498</v>
      </c>
      <c r="I484" s="2" t="s">
        <v>47</v>
      </c>
      <c r="J484" s="2" t="s">
        <v>1409</v>
      </c>
      <c r="K484" s="2" t="s">
        <v>1657</v>
      </c>
      <c r="L484" s="2" t="s">
        <v>426</v>
      </c>
      <c r="M484" s="2" t="s">
        <v>1411</v>
      </c>
      <c r="N484" s="16">
        <v>1.7999999999999999E-2</v>
      </c>
      <c r="O484" s="17">
        <f>N484*'Financial Inputs'!$B$3</f>
        <v>1799999.9999999998</v>
      </c>
      <c r="P484" s="18">
        <f>IF(I484="L",'Financial Inputs'!$B$4,IF(I484="M",'Financial Inputs'!$B$5,'Financial Inputs'!$B$6))</f>
        <v>0.4</v>
      </c>
      <c r="Q484" s="17">
        <f>O484*P484</f>
        <v>720000</v>
      </c>
      <c r="R484" s="16">
        <f>'Financial Inputs'!$B$7</f>
        <v>0.35</v>
      </c>
      <c r="S484" s="17">
        <f>Q484*(1-R484)</f>
        <v>468000</v>
      </c>
      <c r="T484" s="18">
        <f>S484/'Financial Inputs'!$B$3</f>
        <v>4.6800000000000001E-3</v>
      </c>
      <c r="U484" s="9" t="s">
        <v>52</v>
      </c>
      <c r="V484" s="3" t="s">
        <v>53</v>
      </c>
    </row>
    <row r="485" spans="1:22">
      <c r="A485" s="2" t="s">
        <v>1658</v>
      </c>
      <c r="B485" s="2" t="s">
        <v>1659</v>
      </c>
      <c r="C485" s="2" t="s">
        <v>1408</v>
      </c>
      <c r="D485" s="2" t="s">
        <v>127</v>
      </c>
      <c r="E485" s="2" t="s">
        <v>148</v>
      </c>
      <c r="F485" s="2" t="s">
        <v>58</v>
      </c>
      <c r="G485" s="2" t="s">
        <v>111</v>
      </c>
      <c r="H485" s="2" t="s">
        <v>498</v>
      </c>
      <c r="I485" s="2" t="s">
        <v>47</v>
      </c>
      <c r="J485" s="2" t="s">
        <v>1409</v>
      </c>
      <c r="K485" s="2" t="s">
        <v>1660</v>
      </c>
      <c r="L485" s="2" t="s">
        <v>430</v>
      </c>
      <c r="M485" s="2" t="s">
        <v>1411</v>
      </c>
      <c r="N485" s="16">
        <v>1.9800000000000002E-2</v>
      </c>
      <c r="O485" s="17">
        <f>N485*'Financial Inputs'!$B$3</f>
        <v>1980000.0000000002</v>
      </c>
      <c r="P485" s="18">
        <f>IF(I485="L",'Financial Inputs'!$B$4,IF(I485="M",'Financial Inputs'!$B$5,'Financial Inputs'!$B$6))</f>
        <v>0.4</v>
      </c>
      <c r="Q485" s="17">
        <f>O485*P485</f>
        <v>792000.00000000012</v>
      </c>
      <c r="R485" s="16">
        <f>'Financial Inputs'!$B$7</f>
        <v>0.35</v>
      </c>
      <c r="S485" s="17">
        <f>Q485*(1-R485)</f>
        <v>514800.00000000012</v>
      </c>
      <c r="T485" s="18">
        <f>S485/'Financial Inputs'!$B$3</f>
        <v>5.1480000000000015E-3</v>
      </c>
      <c r="U485" s="9" t="s">
        <v>52</v>
      </c>
      <c r="V485" s="3" t="s">
        <v>53</v>
      </c>
    </row>
    <row r="486" spans="1:22">
      <c r="A486" s="2" t="s">
        <v>1661</v>
      </c>
      <c r="B486" s="2" t="s">
        <v>1662</v>
      </c>
      <c r="C486" s="2" t="s">
        <v>1408</v>
      </c>
      <c r="D486" s="2" t="s">
        <v>133</v>
      </c>
      <c r="E486" s="2" t="s">
        <v>153</v>
      </c>
      <c r="F486" s="2" t="s">
        <v>66</v>
      </c>
      <c r="G486" s="2" t="s">
        <v>56</v>
      </c>
      <c r="H486" s="2" t="s">
        <v>498</v>
      </c>
      <c r="I486" s="2" t="s">
        <v>47</v>
      </c>
      <c r="J486" s="2" t="s">
        <v>1409</v>
      </c>
      <c r="K486" s="2" t="s">
        <v>1663</v>
      </c>
      <c r="L486" s="2" t="s">
        <v>434</v>
      </c>
      <c r="M486" s="2" t="s">
        <v>1411</v>
      </c>
      <c r="N486" s="16">
        <v>2.1600000000000001E-2</v>
      </c>
      <c r="O486" s="17">
        <f>N486*'Financial Inputs'!$B$3</f>
        <v>2160000</v>
      </c>
      <c r="P486" s="18">
        <f>IF(I486="L",'Financial Inputs'!$B$4,IF(I486="M",'Financial Inputs'!$B$5,'Financial Inputs'!$B$6))</f>
        <v>0.4</v>
      </c>
      <c r="Q486" s="17">
        <f>O486*P486</f>
        <v>864000</v>
      </c>
      <c r="R486" s="16">
        <f>'Financial Inputs'!$B$7</f>
        <v>0.35</v>
      </c>
      <c r="S486" s="17">
        <f>Q486*(1-R486)</f>
        <v>561600</v>
      </c>
      <c r="T486" s="18">
        <f>S486/'Financial Inputs'!$B$3</f>
        <v>5.6160000000000003E-3</v>
      </c>
      <c r="U486" s="9" t="s">
        <v>52</v>
      </c>
      <c r="V486" s="3" t="s">
        <v>53</v>
      </c>
    </row>
    <row r="487" spans="1:22">
      <c r="A487" s="2" t="s">
        <v>1664</v>
      </c>
      <c r="B487" s="2" t="s">
        <v>1665</v>
      </c>
      <c r="C487" s="2" t="s">
        <v>1408</v>
      </c>
      <c r="D487" s="2" t="s">
        <v>102</v>
      </c>
      <c r="E487" s="2" t="s">
        <v>116</v>
      </c>
      <c r="F487" s="2" t="s">
        <v>110</v>
      </c>
      <c r="G487" s="2" t="s">
        <v>83</v>
      </c>
      <c r="H487" s="2" t="s">
        <v>498</v>
      </c>
      <c r="I487" s="2" t="s">
        <v>47</v>
      </c>
      <c r="J487" s="2" t="s">
        <v>1409</v>
      </c>
      <c r="K487" s="2" t="s">
        <v>1666</v>
      </c>
      <c r="L487" s="2" t="s">
        <v>438</v>
      </c>
      <c r="M487" s="2" t="s">
        <v>1411</v>
      </c>
      <c r="N487" s="16">
        <v>1.44E-2</v>
      </c>
      <c r="O487" s="17">
        <f>N487*'Financial Inputs'!$B$3</f>
        <v>1440000</v>
      </c>
      <c r="P487" s="18">
        <f>IF(I487="L",'Financial Inputs'!$B$4,IF(I487="M",'Financial Inputs'!$B$5,'Financial Inputs'!$B$6))</f>
        <v>0.4</v>
      </c>
      <c r="Q487" s="17">
        <f>O487*P487</f>
        <v>576000</v>
      </c>
      <c r="R487" s="16">
        <f>'Financial Inputs'!$B$7</f>
        <v>0.35</v>
      </c>
      <c r="S487" s="17">
        <f>Q487*(1-R487)</f>
        <v>374400</v>
      </c>
      <c r="T487" s="18">
        <f>S487/'Financial Inputs'!$B$3</f>
        <v>3.7439999999999999E-3</v>
      </c>
      <c r="U487" s="9" t="s">
        <v>52</v>
      </c>
      <c r="V487" s="3" t="s">
        <v>53</v>
      </c>
    </row>
    <row r="488" spans="1:22">
      <c r="A488" s="2" t="s">
        <v>1667</v>
      </c>
      <c r="B488" s="2" t="s">
        <v>1668</v>
      </c>
      <c r="C488" s="2" t="s">
        <v>1408</v>
      </c>
      <c r="D488" s="2" t="s">
        <v>42</v>
      </c>
      <c r="E488" s="2" t="s">
        <v>215</v>
      </c>
      <c r="F488" s="2" t="s">
        <v>117</v>
      </c>
      <c r="G488" s="2" t="s">
        <v>111</v>
      </c>
      <c r="H488" s="2" t="s">
        <v>498</v>
      </c>
      <c r="I488" s="2" t="s">
        <v>47</v>
      </c>
      <c r="J488" s="2" t="s">
        <v>1409</v>
      </c>
      <c r="K488" s="2" t="s">
        <v>1669</v>
      </c>
      <c r="L488" s="2" t="s">
        <v>442</v>
      </c>
      <c r="M488" s="2" t="s">
        <v>1411</v>
      </c>
      <c r="N488" s="16">
        <v>1.6199999999999999E-2</v>
      </c>
      <c r="O488" s="17">
        <f>N488*'Financial Inputs'!$B$3</f>
        <v>1620000</v>
      </c>
      <c r="P488" s="18">
        <f>IF(I488="L",'Financial Inputs'!$B$4,IF(I488="M",'Financial Inputs'!$B$5,'Financial Inputs'!$B$6))</f>
        <v>0.4</v>
      </c>
      <c r="Q488" s="17">
        <f>O488*P488</f>
        <v>648000</v>
      </c>
      <c r="R488" s="16">
        <f>'Financial Inputs'!$B$7</f>
        <v>0.35</v>
      </c>
      <c r="S488" s="17">
        <f>Q488*(1-R488)</f>
        <v>421200</v>
      </c>
      <c r="T488" s="18">
        <f>S488/'Financial Inputs'!$B$3</f>
        <v>4.2119999999999996E-3</v>
      </c>
      <c r="U488" s="9" t="s">
        <v>52</v>
      </c>
      <c r="V488" s="3" t="s">
        <v>53</v>
      </c>
    </row>
    <row r="489" spans="1:22">
      <c r="A489" s="2" t="s">
        <v>1670</v>
      </c>
      <c r="B489" s="2" t="s">
        <v>1671</v>
      </c>
      <c r="C489" s="2" t="s">
        <v>1408</v>
      </c>
      <c r="D489" s="2" t="s">
        <v>56</v>
      </c>
      <c r="E489" s="2" t="s">
        <v>220</v>
      </c>
      <c r="F489" s="2" t="s">
        <v>90</v>
      </c>
      <c r="G489" s="2" t="s">
        <v>56</v>
      </c>
      <c r="H489" s="2" t="s">
        <v>498</v>
      </c>
      <c r="I489" s="2" t="s">
        <v>47</v>
      </c>
      <c r="J489" s="2" t="s">
        <v>1409</v>
      </c>
      <c r="K489" s="2" t="s">
        <v>1672</v>
      </c>
      <c r="L489" s="2" t="s">
        <v>446</v>
      </c>
      <c r="M489" s="2" t="s">
        <v>1411</v>
      </c>
      <c r="N489" s="16">
        <v>1.7999999999999999E-2</v>
      </c>
      <c r="O489" s="17">
        <f>N489*'Financial Inputs'!$B$3</f>
        <v>1799999.9999999998</v>
      </c>
      <c r="P489" s="18">
        <f>IF(I489="L",'Financial Inputs'!$B$4,IF(I489="M",'Financial Inputs'!$B$5,'Financial Inputs'!$B$6))</f>
        <v>0.4</v>
      </c>
      <c r="Q489" s="17">
        <f>O489*P489</f>
        <v>720000</v>
      </c>
      <c r="R489" s="16">
        <f>'Financial Inputs'!$B$7</f>
        <v>0.35</v>
      </c>
      <c r="S489" s="17">
        <f>Q489*(1-R489)</f>
        <v>468000</v>
      </c>
      <c r="T489" s="18">
        <f>S489/'Financial Inputs'!$B$3</f>
        <v>4.6800000000000001E-3</v>
      </c>
      <c r="U489" s="9" t="s">
        <v>52</v>
      </c>
      <c r="V489" s="3" t="s">
        <v>53</v>
      </c>
    </row>
    <row r="490" spans="1:22">
      <c r="A490" s="2" t="s">
        <v>1673</v>
      </c>
      <c r="B490" s="2" t="s">
        <v>1674</v>
      </c>
      <c r="C490" s="2" t="s">
        <v>1408</v>
      </c>
      <c r="D490" s="2" t="s">
        <v>64</v>
      </c>
      <c r="E490" s="2" t="s">
        <v>171</v>
      </c>
      <c r="F490" s="2" t="s">
        <v>97</v>
      </c>
      <c r="G490" s="2" t="s">
        <v>138</v>
      </c>
      <c r="H490" s="2" t="s">
        <v>498</v>
      </c>
      <c r="I490" s="2" t="s">
        <v>47</v>
      </c>
      <c r="J490" s="2" t="s">
        <v>1409</v>
      </c>
      <c r="K490" s="2" t="s">
        <v>1675</v>
      </c>
      <c r="L490" s="2" t="s">
        <v>450</v>
      </c>
      <c r="M490" s="2" t="s">
        <v>1411</v>
      </c>
      <c r="N490" s="16">
        <v>1.9800000000000002E-2</v>
      </c>
      <c r="O490" s="17">
        <f>N490*'Financial Inputs'!$B$3</f>
        <v>1980000.0000000002</v>
      </c>
      <c r="P490" s="18">
        <f>IF(I490="L",'Financial Inputs'!$B$4,IF(I490="M",'Financial Inputs'!$B$5,'Financial Inputs'!$B$6))</f>
        <v>0.4</v>
      </c>
      <c r="Q490" s="17">
        <f>O490*P490</f>
        <v>792000.00000000012</v>
      </c>
      <c r="R490" s="16">
        <f>'Financial Inputs'!$B$7</f>
        <v>0.35</v>
      </c>
      <c r="S490" s="17">
        <f>Q490*(1-R490)</f>
        <v>514800.00000000012</v>
      </c>
      <c r="T490" s="18">
        <f>S490/'Financial Inputs'!$B$3</f>
        <v>5.1480000000000015E-3</v>
      </c>
      <c r="U490" s="9" t="s">
        <v>52</v>
      </c>
      <c r="V490" s="3" t="s">
        <v>53</v>
      </c>
    </row>
    <row r="491" spans="1:22">
      <c r="A491" s="2" t="s">
        <v>1676</v>
      </c>
      <c r="B491" s="2" t="s">
        <v>1677</v>
      </c>
      <c r="C491" s="2" t="s">
        <v>1408</v>
      </c>
      <c r="D491" s="2" t="s">
        <v>72</v>
      </c>
      <c r="E491" s="2" t="s">
        <v>176</v>
      </c>
      <c r="F491" s="2" t="s">
        <v>104</v>
      </c>
      <c r="G491" s="2" t="s">
        <v>143</v>
      </c>
      <c r="H491" s="2" t="s">
        <v>498</v>
      </c>
      <c r="I491" s="2" t="s">
        <v>47</v>
      </c>
      <c r="J491" s="2" t="s">
        <v>1409</v>
      </c>
      <c r="K491" s="2" t="s">
        <v>1678</v>
      </c>
      <c r="L491" s="2" t="s">
        <v>454</v>
      </c>
      <c r="M491" s="2" t="s">
        <v>1411</v>
      </c>
      <c r="N491" s="16">
        <v>2.1600000000000001E-2</v>
      </c>
      <c r="O491" s="17">
        <f>N491*'Financial Inputs'!$B$3</f>
        <v>2160000</v>
      </c>
      <c r="P491" s="18">
        <f>IF(I491="L",'Financial Inputs'!$B$4,IF(I491="M",'Financial Inputs'!$B$5,'Financial Inputs'!$B$6))</f>
        <v>0.4</v>
      </c>
      <c r="Q491" s="17">
        <f>O491*P491</f>
        <v>864000</v>
      </c>
      <c r="R491" s="16">
        <f>'Financial Inputs'!$B$7</f>
        <v>0.35</v>
      </c>
      <c r="S491" s="17">
        <f>Q491*(1-R491)</f>
        <v>561600</v>
      </c>
      <c r="T491" s="18">
        <f>S491/'Financial Inputs'!$B$3</f>
        <v>5.6160000000000003E-3</v>
      </c>
      <c r="U491" s="9" t="s">
        <v>52</v>
      </c>
      <c r="V491" s="3" t="s">
        <v>53</v>
      </c>
    </row>
    <row r="492" spans="1:22">
      <c r="A492" s="2" t="s">
        <v>1679</v>
      </c>
      <c r="B492" s="2" t="s">
        <v>1680</v>
      </c>
      <c r="C492" s="2" t="s">
        <v>1408</v>
      </c>
      <c r="D492" s="2" t="s">
        <v>133</v>
      </c>
      <c r="E492" s="2" t="s">
        <v>65</v>
      </c>
      <c r="F492" s="2" t="s">
        <v>82</v>
      </c>
      <c r="G492" s="2" t="s">
        <v>56</v>
      </c>
      <c r="H492" s="2" t="s">
        <v>498</v>
      </c>
      <c r="I492" s="2" t="s">
        <v>47</v>
      </c>
      <c r="J492" s="2" t="s">
        <v>1409</v>
      </c>
      <c r="K492" s="2" t="s">
        <v>1681</v>
      </c>
      <c r="L492" s="2" t="s">
        <v>458</v>
      </c>
      <c r="M492" s="2" t="s">
        <v>1411</v>
      </c>
      <c r="N492" s="16">
        <v>1.44E-2</v>
      </c>
      <c r="O492" s="17">
        <f>N492*'Financial Inputs'!$B$3</f>
        <v>1440000</v>
      </c>
      <c r="P492" s="18">
        <f>IF(I492="L",'Financial Inputs'!$B$4,IF(I492="M",'Financial Inputs'!$B$5,'Financial Inputs'!$B$6))</f>
        <v>0.4</v>
      </c>
      <c r="Q492" s="17">
        <f>O492*P492</f>
        <v>576000</v>
      </c>
      <c r="R492" s="16">
        <f>'Financial Inputs'!$B$7</f>
        <v>0.35</v>
      </c>
      <c r="S492" s="17">
        <f>Q492*(1-R492)</f>
        <v>374400</v>
      </c>
      <c r="T492" s="18">
        <f>S492/'Financial Inputs'!$B$3</f>
        <v>3.7439999999999999E-3</v>
      </c>
      <c r="U492" s="9" t="s">
        <v>52</v>
      </c>
      <c r="V492" s="3" t="s">
        <v>53</v>
      </c>
    </row>
    <row r="493" spans="1:22">
      <c r="A493" s="2" t="s">
        <v>1682</v>
      </c>
      <c r="B493" s="2" t="s">
        <v>1683</v>
      </c>
      <c r="C493" s="2" t="s">
        <v>1408</v>
      </c>
      <c r="D493" s="2" t="s">
        <v>88</v>
      </c>
      <c r="E493" s="2" t="s">
        <v>73</v>
      </c>
      <c r="F493" s="2" t="s">
        <v>44</v>
      </c>
      <c r="G493" s="2" t="s">
        <v>138</v>
      </c>
      <c r="H493" s="2" t="s">
        <v>498</v>
      </c>
      <c r="I493" s="2" t="s">
        <v>47</v>
      </c>
      <c r="J493" s="2" t="s">
        <v>1409</v>
      </c>
      <c r="K493" s="2" t="s">
        <v>1684</v>
      </c>
      <c r="L493" s="2" t="s">
        <v>462</v>
      </c>
      <c r="M493" s="2" t="s">
        <v>1411</v>
      </c>
      <c r="N493" s="16">
        <v>1.6199999999999999E-2</v>
      </c>
      <c r="O493" s="17">
        <f>N493*'Financial Inputs'!$B$3</f>
        <v>1620000</v>
      </c>
      <c r="P493" s="18">
        <f>IF(I493="L",'Financial Inputs'!$B$4,IF(I493="M",'Financial Inputs'!$B$5,'Financial Inputs'!$B$6))</f>
        <v>0.4</v>
      </c>
      <c r="Q493" s="17">
        <f>O493*P493</f>
        <v>648000</v>
      </c>
      <c r="R493" s="16">
        <f>'Financial Inputs'!$B$7</f>
        <v>0.35</v>
      </c>
      <c r="S493" s="17">
        <f>Q493*(1-R493)</f>
        <v>421200</v>
      </c>
      <c r="T493" s="18">
        <f>S493/'Financial Inputs'!$B$3</f>
        <v>4.2119999999999996E-3</v>
      </c>
      <c r="U493" s="9" t="s">
        <v>52</v>
      </c>
      <c r="V493" s="3" t="s">
        <v>53</v>
      </c>
    </row>
    <row r="494" spans="1:22">
      <c r="A494" s="2" t="s">
        <v>1685</v>
      </c>
      <c r="B494" s="2" t="s">
        <v>1686</v>
      </c>
      <c r="C494" s="2" t="s">
        <v>1408</v>
      </c>
      <c r="D494" s="2" t="s">
        <v>95</v>
      </c>
      <c r="E494" s="2" t="s">
        <v>81</v>
      </c>
      <c r="F494" s="2" t="s">
        <v>58</v>
      </c>
      <c r="G494" s="2" t="s">
        <v>143</v>
      </c>
      <c r="H494" s="2" t="s">
        <v>498</v>
      </c>
      <c r="I494" s="2" t="s">
        <v>47</v>
      </c>
      <c r="J494" s="2" t="s">
        <v>1409</v>
      </c>
      <c r="K494" s="2" t="s">
        <v>1687</v>
      </c>
      <c r="L494" s="2" t="s">
        <v>466</v>
      </c>
      <c r="M494" s="2" t="s">
        <v>1411</v>
      </c>
      <c r="N494" s="16">
        <v>1.7999999999999999E-2</v>
      </c>
      <c r="O494" s="17">
        <f>N494*'Financial Inputs'!$B$3</f>
        <v>1799999.9999999998</v>
      </c>
      <c r="P494" s="18">
        <f>IF(I494="L",'Financial Inputs'!$B$4,IF(I494="M",'Financial Inputs'!$B$5,'Financial Inputs'!$B$6))</f>
        <v>0.4</v>
      </c>
      <c r="Q494" s="17">
        <f>O494*P494</f>
        <v>720000</v>
      </c>
      <c r="R494" s="16">
        <f>'Financial Inputs'!$B$7</f>
        <v>0.35</v>
      </c>
      <c r="S494" s="17">
        <f>Q494*(1-R494)</f>
        <v>468000</v>
      </c>
      <c r="T494" s="18">
        <f>S494/'Financial Inputs'!$B$3</f>
        <v>4.6800000000000001E-3</v>
      </c>
      <c r="U494" s="9" t="s">
        <v>52</v>
      </c>
      <c r="V494" s="3" t="s">
        <v>53</v>
      </c>
    </row>
    <row r="495" spans="1:22">
      <c r="A495" s="2" t="s">
        <v>1688</v>
      </c>
      <c r="B495" s="2" t="s">
        <v>1689</v>
      </c>
      <c r="C495" s="2" t="s">
        <v>1408</v>
      </c>
      <c r="D495" s="2" t="s">
        <v>102</v>
      </c>
      <c r="E495" s="2" t="s">
        <v>193</v>
      </c>
      <c r="F495" s="2" t="s">
        <v>66</v>
      </c>
      <c r="G495" s="2" t="s">
        <v>162</v>
      </c>
      <c r="H495" s="2" t="s">
        <v>498</v>
      </c>
      <c r="I495" s="2" t="s">
        <v>47</v>
      </c>
      <c r="J495" s="2" t="s">
        <v>1409</v>
      </c>
      <c r="K495" s="2" t="s">
        <v>1690</v>
      </c>
      <c r="L495" s="2" t="s">
        <v>470</v>
      </c>
      <c r="M495" s="2" t="s">
        <v>1411</v>
      </c>
      <c r="N495" s="16">
        <v>1.9800000000000002E-2</v>
      </c>
      <c r="O495" s="17">
        <f>N495*'Financial Inputs'!$B$3</f>
        <v>1980000.0000000002</v>
      </c>
      <c r="P495" s="18">
        <f>IF(I495="L",'Financial Inputs'!$B$4,IF(I495="M",'Financial Inputs'!$B$5,'Financial Inputs'!$B$6))</f>
        <v>0.4</v>
      </c>
      <c r="Q495" s="17">
        <f>O495*P495</f>
        <v>792000.00000000012</v>
      </c>
      <c r="R495" s="16">
        <f>'Financial Inputs'!$B$7</f>
        <v>0.35</v>
      </c>
      <c r="S495" s="17">
        <f>Q495*(1-R495)</f>
        <v>514800.00000000012</v>
      </c>
      <c r="T495" s="18">
        <f>S495/'Financial Inputs'!$B$3</f>
        <v>5.1480000000000015E-3</v>
      </c>
      <c r="U495" s="9" t="s">
        <v>52</v>
      </c>
      <c r="V495" s="3" t="s">
        <v>53</v>
      </c>
    </row>
    <row r="496" spans="1:22">
      <c r="A496" s="2" t="s">
        <v>1691</v>
      </c>
      <c r="B496" s="2" t="s">
        <v>1692</v>
      </c>
      <c r="C496" s="2" t="s">
        <v>1408</v>
      </c>
      <c r="D496" s="2" t="s">
        <v>42</v>
      </c>
      <c r="E496" s="2" t="s">
        <v>198</v>
      </c>
      <c r="F496" s="2" t="s">
        <v>74</v>
      </c>
      <c r="G496" s="2" t="s">
        <v>45</v>
      </c>
      <c r="H496" s="2" t="s">
        <v>498</v>
      </c>
      <c r="I496" s="2" t="s">
        <v>47</v>
      </c>
      <c r="J496" s="2" t="s">
        <v>1409</v>
      </c>
      <c r="K496" s="2" t="s">
        <v>1693</v>
      </c>
      <c r="L496" s="2" t="s">
        <v>474</v>
      </c>
      <c r="M496" s="2" t="s">
        <v>1411</v>
      </c>
      <c r="N496" s="16">
        <v>2.1600000000000001E-2</v>
      </c>
      <c r="O496" s="17">
        <f>N496*'Financial Inputs'!$B$3</f>
        <v>2160000</v>
      </c>
      <c r="P496" s="18">
        <f>IF(I496="L",'Financial Inputs'!$B$4,IF(I496="M",'Financial Inputs'!$B$5,'Financial Inputs'!$B$6))</f>
        <v>0.4</v>
      </c>
      <c r="Q496" s="17">
        <f>O496*P496</f>
        <v>864000</v>
      </c>
      <c r="R496" s="16">
        <f>'Financial Inputs'!$B$7</f>
        <v>0.35</v>
      </c>
      <c r="S496" s="17">
        <f>Q496*(1-R496)</f>
        <v>561600</v>
      </c>
      <c r="T496" s="18">
        <f>S496/'Financial Inputs'!$B$3</f>
        <v>5.6160000000000003E-3</v>
      </c>
      <c r="U496" s="9" t="s">
        <v>52</v>
      </c>
      <c r="V496" s="3" t="s">
        <v>53</v>
      </c>
    </row>
    <row r="497" spans="1:22">
      <c r="A497" s="2" t="s">
        <v>1694</v>
      </c>
      <c r="B497" s="2" t="s">
        <v>1695</v>
      </c>
      <c r="C497" s="2" t="s">
        <v>1408</v>
      </c>
      <c r="D497" s="2" t="s">
        <v>72</v>
      </c>
      <c r="E497" s="2" t="s">
        <v>103</v>
      </c>
      <c r="F497" s="2" t="s">
        <v>117</v>
      </c>
      <c r="G497" s="2" t="s">
        <v>143</v>
      </c>
      <c r="H497" s="2" t="s">
        <v>498</v>
      </c>
      <c r="I497" s="2" t="s">
        <v>47</v>
      </c>
      <c r="J497" s="2" t="s">
        <v>1409</v>
      </c>
      <c r="K497" s="2" t="s">
        <v>1696</v>
      </c>
      <c r="L497" s="2" t="s">
        <v>478</v>
      </c>
      <c r="M497" s="2" t="s">
        <v>1411</v>
      </c>
      <c r="N497" s="16">
        <v>1.44E-2</v>
      </c>
      <c r="O497" s="17">
        <f>N497*'Financial Inputs'!$B$3</f>
        <v>1440000</v>
      </c>
      <c r="P497" s="18">
        <f>IF(I497="L",'Financial Inputs'!$B$4,IF(I497="M",'Financial Inputs'!$B$5,'Financial Inputs'!$B$6))</f>
        <v>0.4</v>
      </c>
      <c r="Q497" s="17">
        <f>O497*P497</f>
        <v>576000</v>
      </c>
      <c r="R497" s="16">
        <f>'Financial Inputs'!$B$7</f>
        <v>0.35</v>
      </c>
      <c r="S497" s="17">
        <f>Q497*(1-R497)</f>
        <v>374400</v>
      </c>
      <c r="T497" s="18">
        <f>S497/'Financial Inputs'!$B$3</f>
        <v>3.7439999999999999E-3</v>
      </c>
      <c r="U497" s="9" t="s">
        <v>52</v>
      </c>
      <c r="V497" s="3" t="s">
        <v>53</v>
      </c>
    </row>
    <row r="498" spans="1:22">
      <c r="A498" s="2" t="s">
        <v>1697</v>
      </c>
      <c r="B498" s="2" t="s">
        <v>1698</v>
      </c>
      <c r="C498" s="2" t="s">
        <v>1408</v>
      </c>
      <c r="D498" s="2" t="s">
        <v>80</v>
      </c>
      <c r="E498" s="2" t="s">
        <v>109</v>
      </c>
      <c r="F498" s="2" t="s">
        <v>90</v>
      </c>
      <c r="G498" s="2" t="s">
        <v>162</v>
      </c>
      <c r="H498" s="2" t="s">
        <v>498</v>
      </c>
      <c r="I498" s="2" t="s">
        <v>47</v>
      </c>
      <c r="J498" s="2" t="s">
        <v>1409</v>
      </c>
      <c r="K498" s="2" t="s">
        <v>1699</v>
      </c>
      <c r="L498" s="2" t="s">
        <v>482</v>
      </c>
      <c r="M498" s="2" t="s">
        <v>1411</v>
      </c>
      <c r="N498" s="16">
        <v>1.6199999999999999E-2</v>
      </c>
      <c r="O498" s="17">
        <f>N498*'Financial Inputs'!$B$3</f>
        <v>1620000</v>
      </c>
      <c r="P498" s="18">
        <f>IF(I498="L",'Financial Inputs'!$B$4,IF(I498="M",'Financial Inputs'!$B$5,'Financial Inputs'!$B$6))</f>
        <v>0.4</v>
      </c>
      <c r="Q498" s="17">
        <f>O498*P498</f>
        <v>648000</v>
      </c>
      <c r="R498" s="16">
        <f>'Financial Inputs'!$B$7</f>
        <v>0.35</v>
      </c>
      <c r="S498" s="17">
        <f>Q498*(1-R498)</f>
        <v>421200</v>
      </c>
      <c r="T498" s="18">
        <f>S498/'Financial Inputs'!$B$3</f>
        <v>4.2119999999999996E-3</v>
      </c>
      <c r="U498" s="9" t="s">
        <v>52</v>
      </c>
      <c r="V498" s="3" t="s">
        <v>53</v>
      </c>
    </row>
    <row r="499" spans="1:22">
      <c r="A499" s="2" t="s">
        <v>1700</v>
      </c>
      <c r="B499" s="2" t="s">
        <v>1701</v>
      </c>
      <c r="C499" s="2" t="s">
        <v>1408</v>
      </c>
      <c r="D499" s="2" t="s">
        <v>127</v>
      </c>
      <c r="E499" s="2" t="s">
        <v>116</v>
      </c>
      <c r="F499" s="2" t="s">
        <v>97</v>
      </c>
      <c r="G499" s="2" t="s">
        <v>45</v>
      </c>
      <c r="H499" s="2" t="s">
        <v>498</v>
      </c>
      <c r="I499" s="2" t="s">
        <v>47</v>
      </c>
      <c r="J499" s="2" t="s">
        <v>1409</v>
      </c>
      <c r="K499" s="2" t="s">
        <v>1702</v>
      </c>
      <c r="L499" s="2" t="s">
        <v>486</v>
      </c>
      <c r="M499" s="2" t="s">
        <v>1411</v>
      </c>
      <c r="N499" s="16">
        <v>1.7999999999999999E-2</v>
      </c>
      <c r="O499" s="17">
        <f>N499*'Financial Inputs'!$B$3</f>
        <v>1799999.9999999998</v>
      </c>
      <c r="P499" s="18">
        <f>IF(I499="L",'Financial Inputs'!$B$4,IF(I499="M",'Financial Inputs'!$B$5,'Financial Inputs'!$B$6))</f>
        <v>0.4</v>
      </c>
      <c r="Q499" s="17">
        <f>O499*P499</f>
        <v>720000</v>
      </c>
      <c r="R499" s="16">
        <f>'Financial Inputs'!$B$7</f>
        <v>0.35</v>
      </c>
      <c r="S499" s="17">
        <f>Q499*(1-R499)</f>
        <v>468000</v>
      </c>
      <c r="T499" s="18">
        <f>S499/'Financial Inputs'!$B$3</f>
        <v>4.6800000000000001E-3</v>
      </c>
      <c r="U499" s="9" t="s">
        <v>52</v>
      </c>
      <c r="V499" s="3" t="s">
        <v>53</v>
      </c>
    </row>
    <row r="500" spans="1:22">
      <c r="A500" s="2" t="s">
        <v>1703</v>
      </c>
      <c r="B500" s="2" t="s">
        <v>1704</v>
      </c>
      <c r="C500" s="2" t="s">
        <v>1408</v>
      </c>
      <c r="D500" s="2" t="s">
        <v>133</v>
      </c>
      <c r="E500" s="2" t="s">
        <v>215</v>
      </c>
      <c r="F500" s="2" t="s">
        <v>104</v>
      </c>
      <c r="G500" s="2" t="s">
        <v>59</v>
      </c>
      <c r="H500" s="2" t="s">
        <v>498</v>
      </c>
      <c r="I500" s="2" t="s">
        <v>47</v>
      </c>
      <c r="J500" s="2" t="s">
        <v>1409</v>
      </c>
      <c r="K500" s="2" t="s">
        <v>1705</v>
      </c>
      <c r="L500" s="2" t="s">
        <v>490</v>
      </c>
      <c r="M500" s="2" t="s">
        <v>1411</v>
      </c>
      <c r="N500" s="16">
        <v>1.9800000000000002E-2</v>
      </c>
      <c r="O500" s="17">
        <f>N500*'Financial Inputs'!$B$3</f>
        <v>1980000.0000000002</v>
      </c>
      <c r="P500" s="18">
        <f>IF(I500="L",'Financial Inputs'!$B$4,IF(I500="M",'Financial Inputs'!$B$5,'Financial Inputs'!$B$6))</f>
        <v>0.4</v>
      </c>
      <c r="Q500" s="17">
        <f>O500*P500</f>
        <v>792000.00000000012</v>
      </c>
      <c r="R500" s="16">
        <f>'Financial Inputs'!$B$7</f>
        <v>0.35</v>
      </c>
      <c r="S500" s="17">
        <f>Q500*(1-R500)</f>
        <v>514800.00000000012</v>
      </c>
      <c r="T500" s="18">
        <f>S500/'Financial Inputs'!$B$3</f>
        <v>5.1480000000000015E-3</v>
      </c>
      <c r="U500" s="9" t="s">
        <v>52</v>
      </c>
      <c r="V500" s="3" t="s">
        <v>53</v>
      </c>
    </row>
    <row r="501" spans="1:22">
      <c r="A501" s="2" t="s">
        <v>1706</v>
      </c>
      <c r="B501" s="2" t="s">
        <v>1707</v>
      </c>
      <c r="C501" s="2" t="s">
        <v>1408</v>
      </c>
      <c r="D501" s="2" t="s">
        <v>88</v>
      </c>
      <c r="E501" s="2" t="s">
        <v>220</v>
      </c>
      <c r="F501" s="2" t="s">
        <v>110</v>
      </c>
      <c r="G501" s="2" t="s">
        <v>67</v>
      </c>
      <c r="H501" s="2" t="s">
        <v>498</v>
      </c>
      <c r="I501" s="2" t="s">
        <v>47</v>
      </c>
      <c r="J501" s="2" t="s">
        <v>1409</v>
      </c>
      <c r="K501" s="2" t="s">
        <v>1708</v>
      </c>
      <c r="L501" s="2" t="s">
        <v>494</v>
      </c>
      <c r="M501" s="2" t="s">
        <v>1411</v>
      </c>
      <c r="N501" s="16">
        <v>2.1600000000000001E-2</v>
      </c>
      <c r="O501" s="17">
        <f>N501*'Financial Inputs'!$B$3</f>
        <v>2160000</v>
      </c>
      <c r="P501" s="18">
        <f>IF(I501="L",'Financial Inputs'!$B$4,IF(I501="M",'Financial Inputs'!$B$5,'Financial Inputs'!$B$6))</f>
        <v>0.4</v>
      </c>
      <c r="Q501" s="17">
        <f>O501*P501</f>
        <v>864000</v>
      </c>
      <c r="R501" s="16">
        <f>'Financial Inputs'!$B$7</f>
        <v>0.35</v>
      </c>
      <c r="S501" s="17">
        <f>Q501*(1-R501)</f>
        <v>561600</v>
      </c>
      <c r="T501" s="18">
        <f>S501/'Financial Inputs'!$B$3</f>
        <v>5.6160000000000003E-3</v>
      </c>
      <c r="U501" s="9" t="s">
        <v>52</v>
      </c>
      <c r="V501" s="3" t="s">
        <v>53</v>
      </c>
    </row>
    <row r="502" spans="1:22">
      <c r="A502" s="2" t="s">
        <v>1709</v>
      </c>
      <c r="B502" s="2" t="s">
        <v>1710</v>
      </c>
      <c r="C502" s="2" t="s">
        <v>1711</v>
      </c>
      <c r="D502" s="2" t="s">
        <v>42</v>
      </c>
      <c r="E502" s="2" t="s">
        <v>43</v>
      </c>
      <c r="F502" s="2" t="s">
        <v>44</v>
      </c>
      <c r="G502" s="2" t="s">
        <v>45</v>
      </c>
      <c r="H502" s="2" t="s">
        <v>498</v>
      </c>
      <c r="I502" s="2" t="s">
        <v>47</v>
      </c>
      <c r="J502" s="2" t="s">
        <v>1712</v>
      </c>
      <c r="K502" s="2" t="s">
        <v>1713</v>
      </c>
      <c r="L502" s="2" t="s">
        <v>50</v>
      </c>
      <c r="M502" s="2" t="s">
        <v>1714</v>
      </c>
      <c r="N502" s="16">
        <v>1.44E-2</v>
      </c>
      <c r="O502" s="17">
        <f>N502*'Financial Inputs'!$B$3</f>
        <v>1440000</v>
      </c>
      <c r="P502" s="18">
        <f>IF(I502="L",'Financial Inputs'!$B$4,IF(I502="M",'Financial Inputs'!$B$5,'Financial Inputs'!$B$6))</f>
        <v>0.4</v>
      </c>
      <c r="Q502" s="17">
        <f>O502*P502</f>
        <v>576000</v>
      </c>
      <c r="R502" s="16">
        <f>'Financial Inputs'!$B$7</f>
        <v>0.35</v>
      </c>
      <c r="S502" s="17">
        <f>Q502*(1-R502)</f>
        <v>374400</v>
      </c>
      <c r="T502" s="18">
        <f>S502/'Financial Inputs'!$B$3</f>
        <v>3.7439999999999999E-3</v>
      </c>
      <c r="U502" s="9" t="s">
        <v>52</v>
      </c>
      <c r="V502" s="3" t="s">
        <v>53</v>
      </c>
    </row>
    <row r="503" spans="1:22">
      <c r="A503" s="2" t="s">
        <v>1715</v>
      </c>
      <c r="B503" s="2" t="s">
        <v>1716</v>
      </c>
      <c r="C503" s="2" t="s">
        <v>1711</v>
      </c>
      <c r="D503" s="2" t="s">
        <v>56</v>
      </c>
      <c r="E503" s="2" t="s">
        <v>57</v>
      </c>
      <c r="F503" s="2" t="s">
        <v>58</v>
      </c>
      <c r="G503" s="2" t="s">
        <v>59</v>
      </c>
      <c r="H503" s="2" t="s">
        <v>498</v>
      </c>
      <c r="I503" s="2" t="s">
        <v>47</v>
      </c>
      <c r="J503" s="2" t="s">
        <v>1712</v>
      </c>
      <c r="K503" s="2" t="s">
        <v>1717</v>
      </c>
      <c r="L503" s="2" t="s">
        <v>61</v>
      </c>
      <c r="M503" s="2" t="s">
        <v>1714</v>
      </c>
      <c r="N503" s="16">
        <v>1.6199999999999999E-2</v>
      </c>
      <c r="O503" s="17">
        <f>N503*'Financial Inputs'!$B$3</f>
        <v>1620000</v>
      </c>
      <c r="P503" s="18">
        <f>IF(I503="L",'Financial Inputs'!$B$4,IF(I503="M",'Financial Inputs'!$B$5,'Financial Inputs'!$B$6))</f>
        <v>0.4</v>
      </c>
      <c r="Q503" s="17">
        <f>O503*P503</f>
        <v>648000</v>
      </c>
      <c r="R503" s="16">
        <f>'Financial Inputs'!$B$7</f>
        <v>0.35</v>
      </c>
      <c r="S503" s="17">
        <f>Q503*(1-R503)</f>
        <v>421200</v>
      </c>
      <c r="T503" s="18">
        <f>S503/'Financial Inputs'!$B$3</f>
        <v>4.2119999999999996E-3</v>
      </c>
      <c r="U503" s="9" t="s">
        <v>52</v>
      </c>
      <c r="V503" s="3" t="s">
        <v>53</v>
      </c>
    </row>
    <row r="504" spans="1:22">
      <c r="A504" s="2" t="s">
        <v>1718</v>
      </c>
      <c r="B504" s="2" t="s">
        <v>1719</v>
      </c>
      <c r="C504" s="2" t="s">
        <v>1711</v>
      </c>
      <c r="D504" s="2" t="s">
        <v>64</v>
      </c>
      <c r="E504" s="2" t="s">
        <v>65</v>
      </c>
      <c r="F504" s="2" t="s">
        <v>66</v>
      </c>
      <c r="G504" s="2" t="s">
        <v>67</v>
      </c>
      <c r="H504" s="2" t="s">
        <v>498</v>
      </c>
      <c r="I504" s="2" t="s">
        <v>47</v>
      </c>
      <c r="J504" s="2" t="s">
        <v>1712</v>
      </c>
      <c r="K504" s="2" t="s">
        <v>1720</v>
      </c>
      <c r="L504" s="2" t="s">
        <v>69</v>
      </c>
      <c r="M504" s="2" t="s">
        <v>1714</v>
      </c>
      <c r="N504" s="16">
        <v>1.7999999999999999E-2</v>
      </c>
      <c r="O504" s="17">
        <f>N504*'Financial Inputs'!$B$3</f>
        <v>1799999.9999999998</v>
      </c>
      <c r="P504" s="18">
        <f>IF(I504="L",'Financial Inputs'!$B$4,IF(I504="M",'Financial Inputs'!$B$5,'Financial Inputs'!$B$6))</f>
        <v>0.4</v>
      </c>
      <c r="Q504" s="17">
        <f>O504*P504</f>
        <v>720000</v>
      </c>
      <c r="R504" s="16">
        <f>'Financial Inputs'!$B$7</f>
        <v>0.35</v>
      </c>
      <c r="S504" s="17">
        <f>Q504*(1-R504)</f>
        <v>468000</v>
      </c>
      <c r="T504" s="18">
        <f>S504/'Financial Inputs'!$B$3</f>
        <v>4.6800000000000001E-3</v>
      </c>
      <c r="U504" s="9" t="s">
        <v>52</v>
      </c>
      <c r="V504" s="3" t="s">
        <v>53</v>
      </c>
    </row>
    <row r="505" spans="1:22">
      <c r="A505" s="2" t="s">
        <v>1721</v>
      </c>
      <c r="B505" s="2" t="s">
        <v>1722</v>
      </c>
      <c r="C505" s="2" t="s">
        <v>1711</v>
      </c>
      <c r="D505" s="2" t="s">
        <v>72</v>
      </c>
      <c r="E505" s="2" t="s">
        <v>73</v>
      </c>
      <c r="F505" s="2" t="s">
        <v>74</v>
      </c>
      <c r="G505" s="2" t="s">
        <v>75</v>
      </c>
      <c r="H505" s="2" t="s">
        <v>498</v>
      </c>
      <c r="I505" s="2" t="s">
        <v>47</v>
      </c>
      <c r="J505" s="2" t="s">
        <v>1712</v>
      </c>
      <c r="K505" s="2" t="s">
        <v>1723</v>
      </c>
      <c r="L505" s="2" t="s">
        <v>77</v>
      </c>
      <c r="M505" s="2" t="s">
        <v>1714</v>
      </c>
      <c r="N505" s="16">
        <v>1.9800000000000002E-2</v>
      </c>
      <c r="O505" s="17">
        <f>N505*'Financial Inputs'!$B$3</f>
        <v>1980000.0000000002</v>
      </c>
      <c r="P505" s="18">
        <f>IF(I505="L",'Financial Inputs'!$B$4,IF(I505="M",'Financial Inputs'!$B$5,'Financial Inputs'!$B$6))</f>
        <v>0.4</v>
      </c>
      <c r="Q505" s="17">
        <f>O505*P505</f>
        <v>792000.00000000012</v>
      </c>
      <c r="R505" s="16">
        <f>'Financial Inputs'!$B$7</f>
        <v>0.35</v>
      </c>
      <c r="S505" s="17">
        <f>Q505*(1-R505)</f>
        <v>514800.00000000012</v>
      </c>
      <c r="T505" s="18">
        <f>S505/'Financial Inputs'!$B$3</f>
        <v>5.1480000000000015E-3</v>
      </c>
      <c r="U505" s="9" t="s">
        <v>52</v>
      </c>
      <c r="V505" s="3" t="s">
        <v>53</v>
      </c>
    </row>
    <row r="506" spans="1:22">
      <c r="A506" s="2" t="s">
        <v>1724</v>
      </c>
      <c r="B506" s="2" t="s">
        <v>1725</v>
      </c>
      <c r="C506" s="2" t="s">
        <v>1711</v>
      </c>
      <c r="D506" s="2" t="s">
        <v>80</v>
      </c>
      <c r="E506" s="2" t="s">
        <v>81</v>
      </c>
      <c r="F506" s="2" t="s">
        <v>82</v>
      </c>
      <c r="G506" s="2" t="s">
        <v>83</v>
      </c>
      <c r="H506" s="2" t="s">
        <v>498</v>
      </c>
      <c r="I506" s="2" t="s">
        <v>47</v>
      </c>
      <c r="J506" s="2" t="s">
        <v>1712</v>
      </c>
      <c r="K506" s="2" t="s">
        <v>1726</v>
      </c>
      <c r="L506" s="2" t="s">
        <v>85</v>
      </c>
      <c r="M506" s="2" t="s">
        <v>1714</v>
      </c>
      <c r="N506" s="16">
        <v>2.1600000000000001E-2</v>
      </c>
      <c r="O506" s="17">
        <f>N506*'Financial Inputs'!$B$3</f>
        <v>2160000</v>
      </c>
      <c r="P506" s="18">
        <f>IF(I506="L",'Financial Inputs'!$B$4,IF(I506="M",'Financial Inputs'!$B$5,'Financial Inputs'!$B$6))</f>
        <v>0.4</v>
      </c>
      <c r="Q506" s="17">
        <f>O506*P506</f>
        <v>864000</v>
      </c>
      <c r="R506" s="16">
        <f>'Financial Inputs'!$B$7</f>
        <v>0.35</v>
      </c>
      <c r="S506" s="17">
        <f>Q506*(1-R506)</f>
        <v>561600</v>
      </c>
      <c r="T506" s="18">
        <f>S506/'Financial Inputs'!$B$3</f>
        <v>5.6160000000000003E-3</v>
      </c>
      <c r="U506" s="9" t="s">
        <v>52</v>
      </c>
      <c r="V506" s="3" t="s">
        <v>53</v>
      </c>
    </row>
    <row r="507" spans="1:22">
      <c r="A507" s="2" t="s">
        <v>1727</v>
      </c>
      <c r="B507" s="2" t="s">
        <v>1728</v>
      </c>
      <c r="C507" s="2" t="s">
        <v>1711</v>
      </c>
      <c r="D507" s="2" t="s">
        <v>88</v>
      </c>
      <c r="E507" s="2" t="s">
        <v>89</v>
      </c>
      <c r="F507" s="2" t="s">
        <v>90</v>
      </c>
      <c r="G507" s="2" t="s">
        <v>67</v>
      </c>
      <c r="H507" s="2" t="s">
        <v>498</v>
      </c>
      <c r="I507" s="2" t="s">
        <v>47</v>
      </c>
      <c r="J507" s="2" t="s">
        <v>1712</v>
      </c>
      <c r="K507" s="2" t="s">
        <v>1729</v>
      </c>
      <c r="L507" s="2" t="s">
        <v>92</v>
      </c>
      <c r="M507" s="2" t="s">
        <v>1714</v>
      </c>
      <c r="N507" s="16">
        <v>1.44E-2</v>
      </c>
      <c r="O507" s="17">
        <f>N507*'Financial Inputs'!$B$3</f>
        <v>1440000</v>
      </c>
      <c r="P507" s="18">
        <f>IF(I507="L",'Financial Inputs'!$B$4,IF(I507="M",'Financial Inputs'!$B$5,'Financial Inputs'!$B$6))</f>
        <v>0.4</v>
      </c>
      <c r="Q507" s="17">
        <f>O507*P507</f>
        <v>576000</v>
      </c>
      <c r="R507" s="16">
        <f>'Financial Inputs'!$B$7</f>
        <v>0.35</v>
      </c>
      <c r="S507" s="17">
        <f>Q507*(1-R507)</f>
        <v>374400</v>
      </c>
      <c r="T507" s="18">
        <f>S507/'Financial Inputs'!$B$3</f>
        <v>3.7439999999999999E-3</v>
      </c>
      <c r="U507" s="9" t="s">
        <v>52</v>
      </c>
      <c r="V507" s="3" t="s">
        <v>53</v>
      </c>
    </row>
    <row r="508" spans="1:22">
      <c r="A508" s="2" t="s">
        <v>1730</v>
      </c>
      <c r="B508" s="2" t="s">
        <v>1731</v>
      </c>
      <c r="C508" s="2" t="s">
        <v>1711</v>
      </c>
      <c r="D508" s="2" t="s">
        <v>95</v>
      </c>
      <c r="E508" s="2" t="s">
        <v>96</v>
      </c>
      <c r="F508" s="2" t="s">
        <v>97</v>
      </c>
      <c r="G508" s="2" t="s">
        <v>75</v>
      </c>
      <c r="H508" s="2" t="s">
        <v>498</v>
      </c>
      <c r="I508" s="2" t="s">
        <v>47</v>
      </c>
      <c r="J508" s="2" t="s">
        <v>1712</v>
      </c>
      <c r="K508" s="2" t="s">
        <v>1732</v>
      </c>
      <c r="L508" s="2" t="s">
        <v>99</v>
      </c>
      <c r="M508" s="2" t="s">
        <v>1714</v>
      </c>
      <c r="N508" s="16">
        <v>1.6199999999999999E-2</v>
      </c>
      <c r="O508" s="17">
        <f>N508*'Financial Inputs'!$B$3</f>
        <v>1620000</v>
      </c>
      <c r="P508" s="18">
        <f>IF(I508="L",'Financial Inputs'!$B$4,IF(I508="M",'Financial Inputs'!$B$5,'Financial Inputs'!$B$6))</f>
        <v>0.4</v>
      </c>
      <c r="Q508" s="17">
        <f>O508*P508</f>
        <v>648000</v>
      </c>
      <c r="R508" s="16">
        <f>'Financial Inputs'!$B$7</f>
        <v>0.35</v>
      </c>
      <c r="S508" s="17">
        <f>Q508*(1-R508)</f>
        <v>421200</v>
      </c>
      <c r="T508" s="18">
        <f>S508/'Financial Inputs'!$B$3</f>
        <v>4.2119999999999996E-3</v>
      </c>
      <c r="U508" s="9" t="s">
        <v>52</v>
      </c>
      <c r="V508" s="3" t="s">
        <v>53</v>
      </c>
    </row>
    <row r="509" spans="1:22">
      <c r="A509" s="2" t="s">
        <v>1733</v>
      </c>
      <c r="B509" s="2" t="s">
        <v>1734</v>
      </c>
      <c r="C509" s="2" t="s">
        <v>1711</v>
      </c>
      <c r="D509" s="2" t="s">
        <v>102</v>
      </c>
      <c r="E509" s="2" t="s">
        <v>103</v>
      </c>
      <c r="F509" s="2" t="s">
        <v>104</v>
      </c>
      <c r="G509" s="2" t="s">
        <v>83</v>
      </c>
      <c r="H509" s="2" t="s">
        <v>498</v>
      </c>
      <c r="I509" s="2" t="s">
        <v>47</v>
      </c>
      <c r="J509" s="2" t="s">
        <v>1712</v>
      </c>
      <c r="K509" s="2" t="s">
        <v>1735</v>
      </c>
      <c r="L509" s="2" t="s">
        <v>106</v>
      </c>
      <c r="M509" s="2" t="s">
        <v>1714</v>
      </c>
      <c r="N509" s="16">
        <v>1.7999999999999999E-2</v>
      </c>
      <c r="O509" s="17">
        <f>N509*'Financial Inputs'!$B$3</f>
        <v>1799999.9999999998</v>
      </c>
      <c r="P509" s="18">
        <f>IF(I509="L",'Financial Inputs'!$B$4,IF(I509="M",'Financial Inputs'!$B$5,'Financial Inputs'!$B$6))</f>
        <v>0.4</v>
      </c>
      <c r="Q509" s="17">
        <f>O509*P509</f>
        <v>720000</v>
      </c>
      <c r="R509" s="16">
        <f>'Financial Inputs'!$B$7</f>
        <v>0.35</v>
      </c>
      <c r="S509" s="17">
        <f>Q509*(1-R509)</f>
        <v>468000</v>
      </c>
      <c r="T509" s="18">
        <f>S509/'Financial Inputs'!$B$3</f>
        <v>4.6800000000000001E-3</v>
      </c>
      <c r="U509" s="9" t="s">
        <v>52</v>
      </c>
      <c r="V509" s="3" t="s">
        <v>53</v>
      </c>
    </row>
    <row r="510" spans="1:22">
      <c r="A510" s="2" t="s">
        <v>1736</v>
      </c>
      <c r="B510" s="2" t="s">
        <v>1737</v>
      </c>
      <c r="C510" s="2" t="s">
        <v>1711</v>
      </c>
      <c r="D510" s="2" t="s">
        <v>42</v>
      </c>
      <c r="E510" s="2" t="s">
        <v>109</v>
      </c>
      <c r="F510" s="2" t="s">
        <v>110</v>
      </c>
      <c r="G510" s="2" t="s">
        <v>111</v>
      </c>
      <c r="H510" s="2" t="s">
        <v>498</v>
      </c>
      <c r="I510" s="2" t="s">
        <v>47</v>
      </c>
      <c r="J510" s="2" t="s">
        <v>1712</v>
      </c>
      <c r="K510" s="2" t="s">
        <v>1738</v>
      </c>
      <c r="L510" s="2" t="s">
        <v>113</v>
      </c>
      <c r="M510" s="2" t="s">
        <v>1714</v>
      </c>
      <c r="N510" s="16">
        <v>1.9800000000000002E-2</v>
      </c>
      <c r="O510" s="17">
        <f>N510*'Financial Inputs'!$B$3</f>
        <v>1980000.0000000002</v>
      </c>
      <c r="P510" s="18">
        <f>IF(I510="L",'Financial Inputs'!$B$4,IF(I510="M",'Financial Inputs'!$B$5,'Financial Inputs'!$B$6))</f>
        <v>0.4</v>
      </c>
      <c r="Q510" s="17">
        <f>O510*P510</f>
        <v>792000.00000000012</v>
      </c>
      <c r="R510" s="16">
        <f>'Financial Inputs'!$B$7</f>
        <v>0.35</v>
      </c>
      <c r="S510" s="17">
        <f>Q510*(1-R510)</f>
        <v>514800.00000000012</v>
      </c>
      <c r="T510" s="18">
        <f>S510/'Financial Inputs'!$B$3</f>
        <v>5.1480000000000015E-3</v>
      </c>
      <c r="U510" s="9" t="s">
        <v>52</v>
      </c>
      <c r="V510" s="3" t="s">
        <v>53</v>
      </c>
    </row>
    <row r="511" spans="1:22">
      <c r="A511" s="2" t="s">
        <v>1739</v>
      </c>
      <c r="B511" s="2" t="s">
        <v>1740</v>
      </c>
      <c r="C511" s="2" t="s">
        <v>1711</v>
      </c>
      <c r="D511" s="2" t="s">
        <v>56</v>
      </c>
      <c r="E511" s="2" t="s">
        <v>116</v>
      </c>
      <c r="F511" s="2" t="s">
        <v>117</v>
      </c>
      <c r="G511" s="2" t="s">
        <v>56</v>
      </c>
      <c r="H511" s="2" t="s">
        <v>498</v>
      </c>
      <c r="I511" s="2" t="s">
        <v>47</v>
      </c>
      <c r="J511" s="2" t="s">
        <v>1712</v>
      </c>
      <c r="K511" s="2" t="s">
        <v>1741</v>
      </c>
      <c r="L511" s="2" t="s">
        <v>119</v>
      </c>
      <c r="M511" s="2" t="s">
        <v>1714</v>
      </c>
      <c r="N511" s="16">
        <v>2.1600000000000001E-2</v>
      </c>
      <c r="O511" s="17">
        <f>N511*'Financial Inputs'!$B$3</f>
        <v>2160000</v>
      </c>
      <c r="P511" s="18">
        <f>IF(I511="L",'Financial Inputs'!$B$4,IF(I511="M",'Financial Inputs'!$B$5,'Financial Inputs'!$B$6))</f>
        <v>0.4</v>
      </c>
      <c r="Q511" s="17">
        <f>O511*P511</f>
        <v>864000</v>
      </c>
      <c r="R511" s="16">
        <f>'Financial Inputs'!$B$7</f>
        <v>0.35</v>
      </c>
      <c r="S511" s="17">
        <f>Q511*(1-R511)</f>
        <v>561600</v>
      </c>
      <c r="T511" s="18">
        <f>S511/'Financial Inputs'!$B$3</f>
        <v>5.6160000000000003E-3</v>
      </c>
      <c r="U511" s="9" t="s">
        <v>52</v>
      </c>
      <c r="V511" s="3" t="s">
        <v>53</v>
      </c>
    </row>
    <row r="512" spans="1:22">
      <c r="A512" s="2" t="s">
        <v>1742</v>
      </c>
      <c r="B512" s="2" t="s">
        <v>1743</v>
      </c>
      <c r="C512" s="2" t="s">
        <v>1711</v>
      </c>
      <c r="D512" s="2" t="s">
        <v>80</v>
      </c>
      <c r="E512" s="2" t="s">
        <v>122</v>
      </c>
      <c r="F512" s="2" t="s">
        <v>58</v>
      </c>
      <c r="G512" s="2" t="s">
        <v>83</v>
      </c>
      <c r="H512" s="2" t="s">
        <v>498</v>
      </c>
      <c r="I512" s="2" t="s">
        <v>47</v>
      </c>
      <c r="J512" s="2" t="s">
        <v>1712</v>
      </c>
      <c r="K512" s="2" t="s">
        <v>1744</v>
      </c>
      <c r="L512" s="2" t="s">
        <v>124</v>
      </c>
      <c r="M512" s="2" t="s">
        <v>1714</v>
      </c>
      <c r="N512" s="16">
        <v>1.44E-2</v>
      </c>
      <c r="O512" s="17">
        <f>N512*'Financial Inputs'!$B$3</f>
        <v>1440000</v>
      </c>
      <c r="P512" s="18">
        <f>IF(I512="L",'Financial Inputs'!$B$4,IF(I512="M",'Financial Inputs'!$B$5,'Financial Inputs'!$B$6))</f>
        <v>0.4</v>
      </c>
      <c r="Q512" s="17">
        <f>O512*P512</f>
        <v>576000</v>
      </c>
      <c r="R512" s="16">
        <f>'Financial Inputs'!$B$7</f>
        <v>0.35</v>
      </c>
      <c r="S512" s="17">
        <f>Q512*(1-R512)</f>
        <v>374400</v>
      </c>
      <c r="T512" s="18">
        <f>S512/'Financial Inputs'!$B$3</f>
        <v>3.7439999999999999E-3</v>
      </c>
      <c r="U512" s="9" t="s">
        <v>52</v>
      </c>
      <c r="V512" s="3" t="s">
        <v>53</v>
      </c>
    </row>
    <row r="513" spans="1:22">
      <c r="A513" s="2" t="s">
        <v>1745</v>
      </c>
      <c r="B513" s="2" t="s">
        <v>1746</v>
      </c>
      <c r="C513" s="2" t="s">
        <v>1711</v>
      </c>
      <c r="D513" s="2" t="s">
        <v>127</v>
      </c>
      <c r="E513" s="2" t="s">
        <v>128</v>
      </c>
      <c r="F513" s="2" t="s">
        <v>66</v>
      </c>
      <c r="G513" s="2" t="s">
        <v>111</v>
      </c>
      <c r="H513" s="2" t="s">
        <v>498</v>
      </c>
      <c r="I513" s="2" t="s">
        <v>47</v>
      </c>
      <c r="J513" s="2" t="s">
        <v>1712</v>
      </c>
      <c r="K513" s="2" t="s">
        <v>1747</v>
      </c>
      <c r="L513" s="2" t="s">
        <v>130</v>
      </c>
      <c r="M513" s="2" t="s">
        <v>1714</v>
      </c>
      <c r="N513" s="16">
        <v>1.6199999999999999E-2</v>
      </c>
      <c r="O513" s="17">
        <f>N513*'Financial Inputs'!$B$3</f>
        <v>1620000</v>
      </c>
      <c r="P513" s="18">
        <f>IF(I513="L",'Financial Inputs'!$B$4,IF(I513="M",'Financial Inputs'!$B$5,'Financial Inputs'!$B$6))</f>
        <v>0.4</v>
      </c>
      <c r="Q513" s="17">
        <f>O513*P513</f>
        <v>648000</v>
      </c>
      <c r="R513" s="16">
        <f>'Financial Inputs'!$B$7</f>
        <v>0.35</v>
      </c>
      <c r="S513" s="17">
        <f>Q513*(1-R513)</f>
        <v>421200</v>
      </c>
      <c r="T513" s="18">
        <f>S513/'Financial Inputs'!$B$3</f>
        <v>4.2119999999999996E-3</v>
      </c>
      <c r="U513" s="9" t="s">
        <v>52</v>
      </c>
      <c r="V513" s="3" t="s">
        <v>53</v>
      </c>
    </row>
    <row r="514" spans="1:22">
      <c r="A514" s="2" t="s">
        <v>1748</v>
      </c>
      <c r="B514" s="2" t="s">
        <v>1749</v>
      </c>
      <c r="C514" s="2" t="s">
        <v>1711</v>
      </c>
      <c r="D514" s="2" t="s">
        <v>133</v>
      </c>
      <c r="E514" s="2" t="s">
        <v>43</v>
      </c>
      <c r="F514" s="2" t="s">
        <v>74</v>
      </c>
      <c r="G514" s="2" t="s">
        <v>56</v>
      </c>
      <c r="H514" s="2" t="s">
        <v>498</v>
      </c>
      <c r="I514" s="2" t="s">
        <v>47</v>
      </c>
      <c r="J514" s="2" t="s">
        <v>1712</v>
      </c>
      <c r="K514" s="2" t="s">
        <v>1750</v>
      </c>
      <c r="L514" s="2" t="s">
        <v>135</v>
      </c>
      <c r="M514" s="2" t="s">
        <v>1714</v>
      </c>
      <c r="N514" s="16">
        <v>1.7999999999999999E-2</v>
      </c>
      <c r="O514" s="17">
        <f>N514*'Financial Inputs'!$B$3</f>
        <v>1799999.9999999998</v>
      </c>
      <c r="P514" s="18">
        <f>IF(I514="L",'Financial Inputs'!$B$4,IF(I514="M",'Financial Inputs'!$B$5,'Financial Inputs'!$B$6))</f>
        <v>0.4</v>
      </c>
      <c r="Q514" s="17">
        <f>O514*P514</f>
        <v>720000</v>
      </c>
      <c r="R514" s="16">
        <f>'Financial Inputs'!$B$7</f>
        <v>0.35</v>
      </c>
      <c r="S514" s="17">
        <f>Q514*(1-R514)</f>
        <v>468000</v>
      </c>
      <c r="T514" s="18">
        <f>S514/'Financial Inputs'!$B$3</f>
        <v>4.6800000000000001E-3</v>
      </c>
      <c r="U514" s="9" t="s">
        <v>52</v>
      </c>
      <c r="V514" s="3" t="s">
        <v>53</v>
      </c>
    </row>
    <row r="515" spans="1:22">
      <c r="A515" s="2" t="s">
        <v>1751</v>
      </c>
      <c r="B515" s="2" t="s">
        <v>1752</v>
      </c>
      <c r="C515" s="2" t="s">
        <v>1711</v>
      </c>
      <c r="D515" s="2" t="s">
        <v>88</v>
      </c>
      <c r="E515" s="2" t="s">
        <v>57</v>
      </c>
      <c r="F515" s="2" t="s">
        <v>82</v>
      </c>
      <c r="G515" s="2" t="s">
        <v>138</v>
      </c>
      <c r="H515" s="2" t="s">
        <v>498</v>
      </c>
      <c r="I515" s="2" t="s">
        <v>47</v>
      </c>
      <c r="J515" s="2" t="s">
        <v>1712</v>
      </c>
      <c r="K515" s="2" t="s">
        <v>1753</v>
      </c>
      <c r="L515" s="2" t="s">
        <v>140</v>
      </c>
      <c r="M515" s="2" t="s">
        <v>1714</v>
      </c>
      <c r="N515" s="16">
        <v>1.9800000000000002E-2</v>
      </c>
      <c r="O515" s="17">
        <f>N515*'Financial Inputs'!$B$3</f>
        <v>1980000.0000000002</v>
      </c>
      <c r="P515" s="18">
        <f>IF(I515="L",'Financial Inputs'!$B$4,IF(I515="M",'Financial Inputs'!$B$5,'Financial Inputs'!$B$6))</f>
        <v>0.4</v>
      </c>
      <c r="Q515" s="17">
        <f>O515*P515</f>
        <v>792000.00000000012</v>
      </c>
      <c r="R515" s="16">
        <f>'Financial Inputs'!$B$7</f>
        <v>0.35</v>
      </c>
      <c r="S515" s="17">
        <f>Q515*(1-R515)</f>
        <v>514800.00000000012</v>
      </c>
      <c r="T515" s="18">
        <f>S515/'Financial Inputs'!$B$3</f>
        <v>5.1480000000000015E-3</v>
      </c>
      <c r="U515" s="9" t="s">
        <v>52</v>
      </c>
      <c r="V515" s="3" t="s">
        <v>53</v>
      </c>
    </row>
    <row r="516" spans="1:22">
      <c r="A516" s="2" t="s">
        <v>1754</v>
      </c>
      <c r="B516" s="2" t="s">
        <v>1755</v>
      </c>
      <c r="C516" s="2" t="s">
        <v>1711</v>
      </c>
      <c r="D516" s="2" t="s">
        <v>95</v>
      </c>
      <c r="E516" s="2" t="s">
        <v>65</v>
      </c>
      <c r="F516" s="2" t="s">
        <v>44</v>
      </c>
      <c r="G516" s="2" t="s">
        <v>143</v>
      </c>
      <c r="H516" s="2" t="s">
        <v>498</v>
      </c>
      <c r="I516" s="2" t="s">
        <v>47</v>
      </c>
      <c r="J516" s="2" t="s">
        <v>1712</v>
      </c>
      <c r="K516" s="2" t="s">
        <v>1756</v>
      </c>
      <c r="L516" s="2" t="s">
        <v>145</v>
      </c>
      <c r="M516" s="2" t="s">
        <v>1714</v>
      </c>
      <c r="N516" s="16">
        <v>2.1600000000000001E-2</v>
      </c>
      <c r="O516" s="17">
        <f>N516*'Financial Inputs'!$B$3</f>
        <v>2160000</v>
      </c>
      <c r="P516" s="18">
        <f>IF(I516="L",'Financial Inputs'!$B$4,IF(I516="M",'Financial Inputs'!$B$5,'Financial Inputs'!$B$6))</f>
        <v>0.4</v>
      </c>
      <c r="Q516" s="17">
        <f>O516*P516</f>
        <v>864000</v>
      </c>
      <c r="R516" s="16">
        <f>'Financial Inputs'!$B$7</f>
        <v>0.35</v>
      </c>
      <c r="S516" s="17">
        <f>Q516*(1-R516)</f>
        <v>561600</v>
      </c>
      <c r="T516" s="18">
        <f>S516/'Financial Inputs'!$B$3</f>
        <v>5.6160000000000003E-3</v>
      </c>
      <c r="U516" s="9" t="s">
        <v>52</v>
      </c>
      <c r="V516" s="3" t="s">
        <v>53</v>
      </c>
    </row>
    <row r="517" spans="1:22">
      <c r="A517" s="2" t="s">
        <v>1757</v>
      </c>
      <c r="B517" s="2" t="s">
        <v>1758</v>
      </c>
      <c r="C517" s="2" t="s">
        <v>1711</v>
      </c>
      <c r="D517" s="2" t="s">
        <v>56</v>
      </c>
      <c r="E517" s="2" t="s">
        <v>148</v>
      </c>
      <c r="F517" s="2" t="s">
        <v>97</v>
      </c>
      <c r="G517" s="2" t="s">
        <v>56</v>
      </c>
      <c r="H517" s="2" t="s">
        <v>498</v>
      </c>
      <c r="I517" s="2" t="s">
        <v>47</v>
      </c>
      <c r="J517" s="2" t="s">
        <v>1712</v>
      </c>
      <c r="K517" s="2" t="s">
        <v>1759</v>
      </c>
      <c r="L517" s="2" t="s">
        <v>150</v>
      </c>
      <c r="M517" s="2" t="s">
        <v>1714</v>
      </c>
      <c r="N517" s="16">
        <v>1.44E-2</v>
      </c>
      <c r="O517" s="17">
        <f>N517*'Financial Inputs'!$B$3</f>
        <v>1440000</v>
      </c>
      <c r="P517" s="18">
        <f>IF(I517="L",'Financial Inputs'!$B$4,IF(I517="M",'Financial Inputs'!$B$5,'Financial Inputs'!$B$6))</f>
        <v>0.4</v>
      </c>
      <c r="Q517" s="17">
        <f>O517*P517</f>
        <v>576000</v>
      </c>
      <c r="R517" s="16">
        <f>'Financial Inputs'!$B$7</f>
        <v>0.35</v>
      </c>
      <c r="S517" s="17">
        <f>Q517*(1-R517)</f>
        <v>374400</v>
      </c>
      <c r="T517" s="18">
        <f>S517/'Financial Inputs'!$B$3</f>
        <v>3.7439999999999999E-3</v>
      </c>
      <c r="U517" s="9" t="s">
        <v>52</v>
      </c>
      <c r="V517" s="3" t="s">
        <v>53</v>
      </c>
    </row>
    <row r="518" spans="1:22">
      <c r="A518" s="2" t="s">
        <v>1760</v>
      </c>
      <c r="B518" s="2" t="s">
        <v>1761</v>
      </c>
      <c r="C518" s="2" t="s">
        <v>1711</v>
      </c>
      <c r="D518" s="2" t="s">
        <v>64</v>
      </c>
      <c r="E518" s="2" t="s">
        <v>153</v>
      </c>
      <c r="F518" s="2" t="s">
        <v>104</v>
      </c>
      <c r="G518" s="2" t="s">
        <v>138</v>
      </c>
      <c r="H518" s="2" t="s">
        <v>498</v>
      </c>
      <c r="I518" s="2" t="s">
        <v>47</v>
      </c>
      <c r="J518" s="2" t="s">
        <v>1712</v>
      </c>
      <c r="K518" s="2" t="s">
        <v>1762</v>
      </c>
      <c r="L518" s="2" t="s">
        <v>155</v>
      </c>
      <c r="M518" s="2" t="s">
        <v>1714</v>
      </c>
      <c r="N518" s="16">
        <v>1.6199999999999999E-2</v>
      </c>
      <c r="O518" s="17">
        <f>N518*'Financial Inputs'!$B$3</f>
        <v>1620000</v>
      </c>
      <c r="P518" s="18">
        <f>IF(I518="L",'Financial Inputs'!$B$4,IF(I518="M",'Financial Inputs'!$B$5,'Financial Inputs'!$B$6))</f>
        <v>0.4</v>
      </c>
      <c r="Q518" s="17">
        <f>O518*P518</f>
        <v>648000</v>
      </c>
      <c r="R518" s="16">
        <f>'Financial Inputs'!$B$7</f>
        <v>0.35</v>
      </c>
      <c r="S518" s="17">
        <f>Q518*(1-R518)</f>
        <v>421200</v>
      </c>
      <c r="T518" s="18">
        <f>S518/'Financial Inputs'!$B$3</f>
        <v>4.2119999999999996E-3</v>
      </c>
      <c r="U518" s="9" t="s">
        <v>52</v>
      </c>
      <c r="V518" s="3" t="s">
        <v>53</v>
      </c>
    </row>
    <row r="519" spans="1:22">
      <c r="A519" s="2" t="s">
        <v>1763</v>
      </c>
      <c r="B519" s="2" t="s">
        <v>1764</v>
      </c>
      <c r="C519" s="2" t="s">
        <v>1711</v>
      </c>
      <c r="D519" s="2" t="s">
        <v>72</v>
      </c>
      <c r="E519" s="2" t="s">
        <v>89</v>
      </c>
      <c r="F519" s="2" t="s">
        <v>110</v>
      </c>
      <c r="G519" s="2" t="s">
        <v>143</v>
      </c>
      <c r="H519" s="2" t="s">
        <v>498</v>
      </c>
      <c r="I519" s="2" t="s">
        <v>47</v>
      </c>
      <c r="J519" s="2" t="s">
        <v>1712</v>
      </c>
      <c r="K519" s="2" t="s">
        <v>1765</v>
      </c>
      <c r="L519" s="2" t="s">
        <v>159</v>
      </c>
      <c r="M519" s="2" t="s">
        <v>1714</v>
      </c>
      <c r="N519" s="16">
        <v>1.7999999999999999E-2</v>
      </c>
      <c r="O519" s="17">
        <f>N519*'Financial Inputs'!$B$3</f>
        <v>1799999.9999999998</v>
      </c>
      <c r="P519" s="18">
        <f>IF(I519="L",'Financial Inputs'!$B$4,IF(I519="M",'Financial Inputs'!$B$5,'Financial Inputs'!$B$6))</f>
        <v>0.4</v>
      </c>
      <c r="Q519" s="17">
        <f>O519*P519</f>
        <v>720000</v>
      </c>
      <c r="R519" s="16">
        <f>'Financial Inputs'!$B$7</f>
        <v>0.35</v>
      </c>
      <c r="S519" s="17">
        <f>Q519*(1-R519)</f>
        <v>468000</v>
      </c>
      <c r="T519" s="18">
        <f>S519/'Financial Inputs'!$B$3</f>
        <v>4.6800000000000001E-3</v>
      </c>
      <c r="U519" s="9" t="s">
        <v>52</v>
      </c>
      <c r="V519" s="3" t="s">
        <v>53</v>
      </c>
    </row>
    <row r="520" spans="1:22">
      <c r="A520" s="2" t="s">
        <v>1766</v>
      </c>
      <c r="B520" s="2" t="s">
        <v>1767</v>
      </c>
      <c r="C520" s="2" t="s">
        <v>1711</v>
      </c>
      <c r="D520" s="2" t="s">
        <v>80</v>
      </c>
      <c r="E520" s="2" t="s">
        <v>96</v>
      </c>
      <c r="F520" s="2" t="s">
        <v>117</v>
      </c>
      <c r="G520" s="2" t="s">
        <v>162</v>
      </c>
      <c r="H520" s="2" t="s">
        <v>498</v>
      </c>
      <c r="I520" s="2" t="s">
        <v>47</v>
      </c>
      <c r="J520" s="2" t="s">
        <v>1712</v>
      </c>
      <c r="K520" s="2" t="s">
        <v>1768</v>
      </c>
      <c r="L520" s="2" t="s">
        <v>164</v>
      </c>
      <c r="M520" s="2" t="s">
        <v>1714</v>
      </c>
      <c r="N520" s="16">
        <v>1.9800000000000002E-2</v>
      </c>
      <c r="O520" s="17">
        <f>N520*'Financial Inputs'!$B$3</f>
        <v>1980000.0000000002</v>
      </c>
      <c r="P520" s="18">
        <f>IF(I520="L",'Financial Inputs'!$B$4,IF(I520="M",'Financial Inputs'!$B$5,'Financial Inputs'!$B$6))</f>
        <v>0.4</v>
      </c>
      <c r="Q520" s="17">
        <f>O520*P520</f>
        <v>792000.00000000012</v>
      </c>
      <c r="R520" s="16">
        <f>'Financial Inputs'!$B$7</f>
        <v>0.35</v>
      </c>
      <c r="S520" s="17">
        <f>Q520*(1-R520)</f>
        <v>514800.00000000012</v>
      </c>
      <c r="T520" s="18">
        <f>S520/'Financial Inputs'!$B$3</f>
        <v>5.1480000000000015E-3</v>
      </c>
      <c r="U520" s="9" t="s">
        <v>52</v>
      </c>
      <c r="V520" s="3" t="s">
        <v>53</v>
      </c>
    </row>
    <row r="521" spans="1:22">
      <c r="A521" s="2" t="s">
        <v>1769</v>
      </c>
      <c r="B521" s="2" t="s">
        <v>1770</v>
      </c>
      <c r="C521" s="2" t="s">
        <v>1711</v>
      </c>
      <c r="D521" s="2" t="s">
        <v>127</v>
      </c>
      <c r="E521" s="2" t="s">
        <v>103</v>
      </c>
      <c r="F521" s="2" t="s">
        <v>90</v>
      </c>
      <c r="G521" s="2" t="s">
        <v>45</v>
      </c>
      <c r="H521" s="2" t="s">
        <v>498</v>
      </c>
      <c r="I521" s="2" t="s">
        <v>47</v>
      </c>
      <c r="J521" s="2" t="s">
        <v>1712</v>
      </c>
      <c r="K521" s="2" t="s">
        <v>1771</v>
      </c>
      <c r="L521" s="2" t="s">
        <v>168</v>
      </c>
      <c r="M521" s="2" t="s">
        <v>1714</v>
      </c>
      <c r="N521" s="16">
        <v>2.1600000000000001E-2</v>
      </c>
      <c r="O521" s="17">
        <f>N521*'Financial Inputs'!$B$3</f>
        <v>2160000</v>
      </c>
      <c r="P521" s="18">
        <f>IF(I521="L",'Financial Inputs'!$B$4,IF(I521="M",'Financial Inputs'!$B$5,'Financial Inputs'!$B$6))</f>
        <v>0.4</v>
      </c>
      <c r="Q521" s="17">
        <f>O521*P521</f>
        <v>864000</v>
      </c>
      <c r="R521" s="16">
        <f>'Financial Inputs'!$B$7</f>
        <v>0.35</v>
      </c>
      <c r="S521" s="17">
        <f>Q521*(1-R521)</f>
        <v>561600</v>
      </c>
      <c r="T521" s="18">
        <f>S521/'Financial Inputs'!$B$3</f>
        <v>5.6160000000000003E-3</v>
      </c>
      <c r="U521" s="9" t="s">
        <v>52</v>
      </c>
      <c r="V521" s="3" t="s">
        <v>53</v>
      </c>
    </row>
    <row r="522" spans="1:22">
      <c r="A522" s="2" t="s">
        <v>1772</v>
      </c>
      <c r="B522" s="2" t="s">
        <v>1773</v>
      </c>
      <c r="C522" s="2" t="s">
        <v>1711</v>
      </c>
      <c r="D522" s="2" t="s">
        <v>95</v>
      </c>
      <c r="E522" s="2" t="s">
        <v>171</v>
      </c>
      <c r="F522" s="2" t="s">
        <v>66</v>
      </c>
      <c r="G522" s="2" t="s">
        <v>143</v>
      </c>
      <c r="H522" s="2" t="s">
        <v>498</v>
      </c>
      <c r="I522" s="2" t="s">
        <v>47</v>
      </c>
      <c r="J522" s="2" t="s">
        <v>1712</v>
      </c>
      <c r="K522" s="2" t="s">
        <v>1774</v>
      </c>
      <c r="L522" s="2" t="s">
        <v>173</v>
      </c>
      <c r="M522" s="2" t="s">
        <v>1714</v>
      </c>
      <c r="N522" s="16">
        <v>1.44E-2</v>
      </c>
      <c r="O522" s="17">
        <f>N522*'Financial Inputs'!$B$3</f>
        <v>1440000</v>
      </c>
      <c r="P522" s="18">
        <f>IF(I522="L",'Financial Inputs'!$B$4,IF(I522="M",'Financial Inputs'!$B$5,'Financial Inputs'!$B$6))</f>
        <v>0.4</v>
      </c>
      <c r="Q522" s="17">
        <f>O522*P522</f>
        <v>576000</v>
      </c>
      <c r="R522" s="16">
        <f>'Financial Inputs'!$B$7</f>
        <v>0.35</v>
      </c>
      <c r="S522" s="17">
        <f>Q522*(1-R522)</f>
        <v>374400</v>
      </c>
      <c r="T522" s="18">
        <f>S522/'Financial Inputs'!$B$3</f>
        <v>3.7439999999999999E-3</v>
      </c>
      <c r="U522" s="9" t="s">
        <v>52</v>
      </c>
      <c r="V522" s="3" t="s">
        <v>53</v>
      </c>
    </row>
    <row r="523" spans="1:22">
      <c r="A523" s="2" t="s">
        <v>1775</v>
      </c>
      <c r="B523" s="2" t="s">
        <v>1776</v>
      </c>
      <c r="C523" s="2" t="s">
        <v>1711</v>
      </c>
      <c r="D523" s="2" t="s">
        <v>102</v>
      </c>
      <c r="E523" s="2" t="s">
        <v>176</v>
      </c>
      <c r="F523" s="2" t="s">
        <v>74</v>
      </c>
      <c r="G523" s="2" t="s">
        <v>162</v>
      </c>
      <c r="H523" s="2" t="s">
        <v>498</v>
      </c>
      <c r="I523" s="2" t="s">
        <v>47</v>
      </c>
      <c r="J523" s="2" t="s">
        <v>1712</v>
      </c>
      <c r="K523" s="2" t="s">
        <v>1777</v>
      </c>
      <c r="L523" s="2" t="s">
        <v>178</v>
      </c>
      <c r="M523" s="2" t="s">
        <v>1714</v>
      </c>
      <c r="N523" s="16">
        <v>1.6199999999999999E-2</v>
      </c>
      <c r="O523" s="17">
        <f>N523*'Financial Inputs'!$B$3</f>
        <v>1620000</v>
      </c>
      <c r="P523" s="18">
        <f>IF(I523="L",'Financial Inputs'!$B$4,IF(I523="M",'Financial Inputs'!$B$5,'Financial Inputs'!$B$6))</f>
        <v>0.4</v>
      </c>
      <c r="Q523" s="17">
        <f>O523*P523</f>
        <v>648000</v>
      </c>
      <c r="R523" s="16">
        <f>'Financial Inputs'!$B$7</f>
        <v>0.35</v>
      </c>
      <c r="S523" s="17">
        <f>Q523*(1-R523)</f>
        <v>421200</v>
      </c>
      <c r="T523" s="18">
        <f>S523/'Financial Inputs'!$B$3</f>
        <v>4.2119999999999996E-3</v>
      </c>
      <c r="U523" s="9" t="s">
        <v>52</v>
      </c>
      <c r="V523" s="3" t="s">
        <v>53</v>
      </c>
    </row>
    <row r="524" spans="1:22">
      <c r="A524" s="2" t="s">
        <v>1778</v>
      </c>
      <c r="B524" s="2" t="s">
        <v>1779</v>
      </c>
      <c r="C524" s="2" t="s">
        <v>1711</v>
      </c>
      <c r="D524" s="2" t="s">
        <v>42</v>
      </c>
      <c r="E524" s="2" t="s">
        <v>122</v>
      </c>
      <c r="F524" s="2" t="s">
        <v>82</v>
      </c>
      <c r="G524" s="2" t="s">
        <v>45</v>
      </c>
      <c r="H524" s="2" t="s">
        <v>498</v>
      </c>
      <c r="I524" s="2" t="s">
        <v>47</v>
      </c>
      <c r="J524" s="2" t="s">
        <v>1712</v>
      </c>
      <c r="K524" s="2" t="s">
        <v>1780</v>
      </c>
      <c r="L524" s="2" t="s">
        <v>182</v>
      </c>
      <c r="M524" s="2" t="s">
        <v>1714</v>
      </c>
      <c r="N524" s="16">
        <v>1.7999999999999999E-2</v>
      </c>
      <c r="O524" s="17">
        <f>N524*'Financial Inputs'!$B$3</f>
        <v>1799999.9999999998</v>
      </c>
      <c r="P524" s="18">
        <f>IF(I524="L",'Financial Inputs'!$B$4,IF(I524="M",'Financial Inputs'!$B$5,'Financial Inputs'!$B$6))</f>
        <v>0.4</v>
      </c>
      <c r="Q524" s="17">
        <f>O524*P524</f>
        <v>720000</v>
      </c>
      <c r="R524" s="16">
        <f>'Financial Inputs'!$B$7</f>
        <v>0.35</v>
      </c>
      <c r="S524" s="17">
        <f>Q524*(1-R524)</f>
        <v>468000</v>
      </c>
      <c r="T524" s="18">
        <f>S524/'Financial Inputs'!$B$3</f>
        <v>4.6800000000000001E-3</v>
      </c>
      <c r="U524" s="9" t="s">
        <v>52</v>
      </c>
      <c r="V524" s="3" t="s">
        <v>53</v>
      </c>
    </row>
    <row r="525" spans="1:22">
      <c r="A525" s="2" t="s">
        <v>1781</v>
      </c>
      <c r="B525" s="2" t="s">
        <v>1782</v>
      </c>
      <c r="C525" s="2" t="s">
        <v>1711</v>
      </c>
      <c r="D525" s="2" t="s">
        <v>56</v>
      </c>
      <c r="E525" s="2" t="s">
        <v>128</v>
      </c>
      <c r="F525" s="2" t="s">
        <v>44</v>
      </c>
      <c r="G525" s="2" t="s">
        <v>59</v>
      </c>
      <c r="H525" s="2" t="s">
        <v>498</v>
      </c>
      <c r="I525" s="2" t="s">
        <v>47</v>
      </c>
      <c r="J525" s="2" t="s">
        <v>1712</v>
      </c>
      <c r="K525" s="2" t="s">
        <v>1783</v>
      </c>
      <c r="L525" s="2" t="s">
        <v>186</v>
      </c>
      <c r="M525" s="2" t="s">
        <v>1714</v>
      </c>
      <c r="N525" s="16">
        <v>1.9800000000000002E-2</v>
      </c>
      <c r="O525" s="17">
        <f>N525*'Financial Inputs'!$B$3</f>
        <v>1980000.0000000002</v>
      </c>
      <c r="P525" s="18">
        <f>IF(I525="L",'Financial Inputs'!$B$4,IF(I525="M",'Financial Inputs'!$B$5,'Financial Inputs'!$B$6))</f>
        <v>0.4</v>
      </c>
      <c r="Q525" s="17">
        <f>O525*P525</f>
        <v>792000.00000000012</v>
      </c>
      <c r="R525" s="16">
        <f>'Financial Inputs'!$B$7</f>
        <v>0.35</v>
      </c>
      <c r="S525" s="17">
        <f>Q525*(1-R525)</f>
        <v>514800.00000000012</v>
      </c>
      <c r="T525" s="18">
        <f>S525/'Financial Inputs'!$B$3</f>
        <v>5.1480000000000015E-3</v>
      </c>
      <c r="U525" s="9" t="s">
        <v>52</v>
      </c>
      <c r="V525" s="3" t="s">
        <v>53</v>
      </c>
    </row>
    <row r="526" spans="1:22">
      <c r="A526" s="2" t="s">
        <v>1784</v>
      </c>
      <c r="B526" s="2" t="s">
        <v>1785</v>
      </c>
      <c r="C526" s="2" t="s">
        <v>1711</v>
      </c>
      <c r="D526" s="2" t="s">
        <v>64</v>
      </c>
      <c r="E526" s="2" t="s">
        <v>43</v>
      </c>
      <c r="F526" s="2" t="s">
        <v>58</v>
      </c>
      <c r="G526" s="2" t="s">
        <v>67</v>
      </c>
      <c r="H526" s="2" t="s">
        <v>498</v>
      </c>
      <c r="I526" s="2" t="s">
        <v>47</v>
      </c>
      <c r="J526" s="2" t="s">
        <v>1712</v>
      </c>
      <c r="K526" s="2" t="s">
        <v>1786</v>
      </c>
      <c r="L526" s="2" t="s">
        <v>190</v>
      </c>
      <c r="M526" s="2" t="s">
        <v>1714</v>
      </c>
      <c r="N526" s="16">
        <v>2.1600000000000001E-2</v>
      </c>
      <c r="O526" s="17">
        <f>N526*'Financial Inputs'!$B$3</f>
        <v>2160000</v>
      </c>
      <c r="P526" s="18">
        <f>IF(I526="L",'Financial Inputs'!$B$4,IF(I526="M",'Financial Inputs'!$B$5,'Financial Inputs'!$B$6))</f>
        <v>0.4</v>
      </c>
      <c r="Q526" s="17">
        <f>O526*P526</f>
        <v>864000</v>
      </c>
      <c r="R526" s="16">
        <f>'Financial Inputs'!$B$7</f>
        <v>0.35</v>
      </c>
      <c r="S526" s="17">
        <f>Q526*(1-R526)</f>
        <v>561600</v>
      </c>
      <c r="T526" s="18">
        <f>S526/'Financial Inputs'!$B$3</f>
        <v>5.6160000000000003E-3</v>
      </c>
      <c r="U526" s="9" t="s">
        <v>52</v>
      </c>
      <c r="V526" s="3" t="s">
        <v>53</v>
      </c>
    </row>
    <row r="527" spans="1:22">
      <c r="A527" s="2" t="s">
        <v>1787</v>
      </c>
      <c r="B527" s="2" t="s">
        <v>1788</v>
      </c>
      <c r="C527" s="2" t="s">
        <v>1711</v>
      </c>
      <c r="D527" s="2" t="s">
        <v>127</v>
      </c>
      <c r="E527" s="2" t="s">
        <v>193</v>
      </c>
      <c r="F527" s="2" t="s">
        <v>104</v>
      </c>
      <c r="G527" s="2" t="s">
        <v>45</v>
      </c>
      <c r="H527" s="2" t="s">
        <v>498</v>
      </c>
      <c r="I527" s="2" t="s">
        <v>47</v>
      </c>
      <c r="J527" s="2" t="s">
        <v>1712</v>
      </c>
      <c r="K527" s="2" t="s">
        <v>1789</v>
      </c>
      <c r="L527" s="2" t="s">
        <v>195</v>
      </c>
      <c r="M527" s="2" t="s">
        <v>1714</v>
      </c>
      <c r="N527" s="16">
        <v>1.44E-2</v>
      </c>
      <c r="O527" s="17">
        <f>N527*'Financial Inputs'!$B$3</f>
        <v>1440000</v>
      </c>
      <c r="P527" s="18">
        <f>IF(I527="L",'Financial Inputs'!$B$4,IF(I527="M",'Financial Inputs'!$B$5,'Financial Inputs'!$B$6))</f>
        <v>0.4</v>
      </c>
      <c r="Q527" s="17">
        <f>O527*P527</f>
        <v>576000</v>
      </c>
      <c r="R527" s="16">
        <f>'Financial Inputs'!$B$7</f>
        <v>0.35</v>
      </c>
      <c r="S527" s="17">
        <f>Q527*(1-R527)</f>
        <v>374400</v>
      </c>
      <c r="T527" s="18">
        <f>S527/'Financial Inputs'!$B$3</f>
        <v>3.7439999999999999E-3</v>
      </c>
      <c r="U527" s="9" t="s">
        <v>52</v>
      </c>
      <c r="V527" s="3" t="s">
        <v>53</v>
      </c>
    </row>
    <row r="528" spans="1:22">
      <c r="A528" s="2" t="s">
        <v>1790</v>
      </c>
      <c r="B528" s="2" t="s">
        <v>1791</v>
      </c>
      <c r="C528" s="2" t="s">
        <v>1711</v>
      </c>
      <c r="D528" s="2" t="s">
        <v>133</v>
      </c>
      <c r="E528" s="2" t="s">
        <v>198</v>
      </c>
      <c r="F528" s="2" t="s">
        <v>110</v>
      </c>
      <c r="G528" s="2" t="s">
        <v>59</v>
      </c>
      <c r="H528" s="2" t="s">
        <v>498</v>
      </c>
      <c r="I528" s="2" t="s">
        <v>47</v>
      </c>
      <c r="J528" s="2" t="s">
        <v>1712</v>
      </c>
      <c r="K528" s="2" t="s">
        <v>1792</v>
      </c>
      <c r="L528" s="2" t="s">
        <v>200</v>
      </c>
      <c r="M528" s="2" t="s">
        <v>1714</v>
      </c>
      <c r="N528" s="16">
        <v>1.6199999999999999E-2</v>
      </c>
      <c r="O528" s="17">
        <f>N528*'Financial Inputs'!$B$3</f>
        <v>1620000</v>
      </c>
      <c r="P528" s="18">
        <f>IF(I528="L",'Financial Inputs'!$B$4,IF(I528="M",'Financial Inputs'!$B$5,'Financial Inputs'!$B$6))</f>
        <v>0.4</v>
      </c>
      <c r="Q528" s="17">
        <f>O528*P528</f>
        <v>648000</v>
      </c>
      <c r="R528" s="16">
        <f>'Financial Inputs'!$B$7</f>
        <v>0.35</v>
      </c>
      <c r="S528" s="17">
        <f>Q528*(1-R528)</f>
        <v>421200</v>
      </c>
      <c r="T528" s="18">
        <f>S528/'Financial Inputs'!$B$3</f>
        <v>4.2119999999999996E-3</v>
      </c>
      <c r="U528" s="9" t="s">
        <v>52</v>
      </c>
      <c r="V528" s="3" t="s">
        <v>53</v>
      </c>
    </row>
    <row r="529" spans="1:22">
      <c r="A529" s="2" t="s">
        <v>1793</v>
      </c>
      <c r="B529" s="2" t="s">
        <v>1794</v>
      </c>
      <c r="C529" s="2" t="s">
        <v>1711</v>
      </c>
      <c r="D529" s="2" t="s">
        <v>88</v>
      </c>
      <c r="E529" s="2" t="s">
        <v>148</v>
      </c>
      <c r="F529" s="2" t="s">
        <v>117</v>
      </c>
      <c r="G529" s="2" t="s">
        <v>67</v>
      </c>
      <c r="H529" s="2" t="s">
        <v>498</v>
      </c>
      <c r="I529" s="2" t="s">
        <v>47</v>
      </c>
      <c r="J529" s="2" t="s">
        <v>1712</v>
      </c>
      <c r="K529" s="2" t="s">
        <v>1795</v>
      </c>
      <c r="L529" s="2" t="s">
        <v>204</v>
      </c>
      <c r="M529" s="2" t="s">
        <v>1714</v>
      </c>
      <c r="N529" s="16">
        <v>1.7999999999999999E-2</v>
      </c>
      <c r="O529" s="17">
        <f>N529*'Financial Inputs'!$B$3</f>
        <v>1799999.9999999998</v>
      </c>
      <c r="P529" s="18">
        <f>IF(I529="L",'Financial Inputs'!$B$4,IF(I529="M",'Financial Inputs'!$B$5,'Financial Inputs'!$B$6))</f>
        <v>0.4</v>
      </c>
      <c r="Q529" s="17">
        <f>O529*P529</f>
        <v>720000</v>
      </c>
      <c r="R529" s="16">
        <f>'Financial Inputs'!$B$7</f>
        <v>0.35</v>
      </c>
      <c r="S529" s="17">
        <f>Q529*(1-R529)</f>
        <v>468000</v>
      </c>
      <c r="T529" s="18">
        <f>S529/'Financial Inputs'!$B$3</f>
        <v>4.6800000000000001E-3</v>
      </c>
      <c r="U529" s="9" t="s">
        <v>52</v>
      </c>
      <c r="V529" s="3" t="s">
        <v>53</v>
      </c>
    </row>
    <row r="530" spans="1:22">
      <c r="A530" s="2" t="s">
        <v>1796</v>
      </c>
      <c r="B530" s="2" t="s">
        <v>1797</v>
      </c>
      <c r="C530" s="2" t="s">
        <v>1711</v>
      </c>
      <c r="D530" s="2" t="s">
        <v>95</v>
      </c>
      <c r="E530" s="2" t="s">
        <v>153</v>
      </c>
      <c r="F530" s="2" t="s">
        <v>90</v>
      </c>
      <c r="G530" s="2" t="s">
        <v>75</v>
      </c>
      <c r="H530" s="2" t="s">
        <v>498</v>
      </c>
      <c r="I530" s="2" t="s">
        <v>47</v>
      </c>
      <c r="J530" s="2" t="s">
        <v>1712</v>
      </c>
      <c r="K530" s="2" t="s">
        <v>1798</v>
      </c>
      <c r="L530" s="2" t="s">
        <v>208</v>
      </c>
      <c r="M530" s="2" t="s">
        <v>1714</v>
      </c>
      <c r="N530" s="16">
        <v>1.9800000000000002E-2</v>
      </c>
      <c r="O530" s="17">
        <f>N530*'Financial Inputs'!$B$3</f>
        <v>1980000.0000000002</v>
      </c>
      <c r="P530" s="18">
        <f>IF(I530="L",'Financial Inputs'!$B$4,IF(I530="M",'Financial Inputs'!$B$5,'Financial Inputs'!$B$6))</f>
        <v>0.4</v>
      </c>
      <c r="Q530" s="17">
        <f>O530*P530</f>
        <v>792000.00000000012</v>
      </c>
      <c r="R530" s="16">
        <f>'Financial Inputs'!$B$7</f>
        <v>0.35</v>
      </c>
      <c r="S530" s="17">
        <f>Q530*(1-R530)</f>
        <v>514800.00000000012</v>
      </c>
      <c r="T530" s="18">
        <f>S530/'Financial Inputs'!$B$3</f>
        <v>5.1480000000000015E-3</v>
      </c>
      <c r="U530" s="9" t="s">
        <v>52</v>
      </c>
      <c r="V530" s="3" t="s">
        <v>53</v>
      </c>
    </row>
    <row r="531" spans="1:22">
      <c r="A531" s="2" t="s">
        <v>1799</v>
      </c>
      <c r="B531" s="2" t="s">
        <v>1800</v>
      </c>
      <c r="C531" s="2" t="s">
        <v>1711</v>
      </c>
      <c r="D531" s="2" t="s">
        <v>102</v>
      </c>
      <c r="E531" s="2" t="s">
        <v>89</v>
      </c>
      <c r="F531" s="2" t="s">
        <v>97</v>
      </c>
      <c r="G531" s="2" t="s">
        <v>83</v>
      </c>
      <c r="H531" s="2" t="s">
        <v>498</v>
      </c>
      <c r="I531" s="2" t="s">
        <v>47</v>
      </c>
      <c r="J531" s="2" t="s">
        <v>1712</v>
      </c>
      <c r="K531" s="2" t="s">
        <v>1801</v>
      </c>
      <c r="L531" s="2" t="s">
        <v>212</v>
      </c>
      <c r="M531" s="2" t="s">
        <v>1714</v>
      </c>
      <c r="N531" s="16">
        <v>2.1600000000000001E-2</v>
      </c>
      <c r="O531" s="17">
        <f>N531*'Financial Inputs'!$B$3</f>
        <v>2160000</v>
      </c>
      <c r="P531" s="18">
        <f>IF(I531="L",'Financial Inputs'!$B$4,IF(I531="M",'Financial Inputs'!$B$5,'Financial Inputs'!$B$6))</f>
        <v>0.4</v>
      </c>
      <c r="Q531" s="17">
        <f>O531*P531</f>
        <v>864000</v>
      </c>
      <c r="R531" s="16">
        <f>'Financial Inputs'!$B$7</f>
        <v>0.35</v>
      </c>
      <c r="S531" s="17">
        <f>Q531*(1-R531)</f>
        <v>561600</v>
      </c>
      <c r="T531" s="18">
        <f>S531/'Financial Inputs'!$B$3</f>
        <v>5.6160000000000003E-3</v>
      </c>
      <c r="U531" s="9" t="s">
        <v>52</v>
      </c>
      <c r="V531" s="3" t="s">
        <v>53</v>
      </c>
    </row>
    <row r="532" spans="1:22">
      <c r="A532" s="2" t="s">
        <v>1802</v>
      </c>
      <c r="B532" s="2" t="s">
        <v>1803</v>
      </c>
      <c r="C532" s="2" t="s">
        <v>1711</v>
      </c>
      <c r="D532" s="2" t="s">
        <v>64</v>
      </c>
      <c r="E532" s="2" t="s">
        <v>215</v>
      </c>
      <c r="F532" s="2" t="s">
        <v>74</v>
      </c>
      <c r="G532" s="2" t="s">
        <v>67</v>
      </c>
      <c r="H532" s="2" t="s">
        <v>498</v>
      </c>
      <c r="I532" s="2" t="s">
        <v>47</v>
      </c>
      <c r="J532" s="2" t="s">
        <v>1712</v>
      </c>
      <c r="K532" s="2" t="s">
        <v>1804</v>
      </c>
      <c r="L532" s="2" t="s">
        <v>217</v>
      </c>
      <c r="M532" s="2" t="s">
        <v>1714</v>
      </c>
      <c r="N532" s="16">
        <v>1.44E-2</v>
      </c>
      <c r="O532" s="17">
        <f>N532*'Financial Inputs'!$B$3</f>
        <v>1440000</v>
      </c>
      <c r="P532" s="18">
        <f>IF(I532="L",'Financial Inputs'!$B$4,IF(I532="M",'Financial Inputs'!$B$5,'Financial Inputs'!$B$6))</f>
        <v>0.4</v>
      </c>
      <c r="Q532" s="17">
        <f>O532*P532</f>
        <v>576000</v>
      </c>
      <c r="R532" s="16">
        <f>'Financial Inputs'!$B$7</f>
        <v>0.35</v>
      </c>
      <c r="S532" s="17">
        <f>Q532*(1-R532)</f>
        <v>374400</v>
      </c>
      <c r="T532" s="18">
        <f>S532/'Financial Inputs'!$B$3</f>
        <v>3.7439999999999999E-3</v>
      </c>
      <c r="U532" s="9" t="s">
        <v>52</v>
      </c>
      <c r="V532" s="3" t="s">
        <v>53</v>
      </c>
    </row>
    <row r="533" spans="1:22">
      <c r="A533" s="2" t="s">
        <v>1805</v>
      </c>
      <c r="B533" s="2" t="s">
        <v>1806</v>
      </c>
      <c r="C533" s="2" t="s">
        <v>1711</v>
      </c>
      <c r="D533" s="2" t="s">
        <v>72</v>
      </c>
      <c r="E533" s="2" t="s">
        <v>220</v>
      </c>
      <c r="F533" s="2" t="s">
        <v>82</v>
      </c>
      <c r="G533" s="2" t="s">
        <v>75</v>
      </c>
      <c r="H533" s="2" t="s">
        <v>498</v>
      </c>
      <c r="I533" s="2" t="s">
        <v>47</v>
      </c>
      <c r="J533" s="2" t="s">
        <v>1712</v>
      </c>
      <c r="K533" s="2" t="s">
        <v>1807</v>
      </c>
      <c r="L533" s="2" t="s">
        <v>222</v>
      </c>
      <c r="M533" s="2" t="s">
        <v>1714</v>
      </c>
      <c r="N533" s="16">
        <v>1.6199999999999999E-2</v>
      </c>
      <c r="O533" s="17">
        <f>N533*'Financial Inputs'!$B$3</f>
        <v>1620000</v>
      </c>
      <c r="P533" s="18">
        <f>IF(I533="L",'Financial Inputs'!$B$4,IF(I533="M",'Financial Inputs'!$B$5,'Financial Inputs'!$B$6))</f>
        <v>0.4</v>
      </c>
      <c r="Q533" s="17">
        <f>O533*P533</f>
        <v>648000</v>
      </c>
      <c r="R533" s="16">
        <f>'Financial Inputs'!$B$7</f>
        <v>0.35</v>
      </c>
      <c r="S533" s="17">
        <f>Q533*(1-R533)</f>
        <v>421200</v>
      </c>
      <c r="T533" s="18">
        <f>S533/'Financial Inputs'!$B$3</f>
        <v>4.2119999999999996E-3</v>
      </c>
      <c r="U533" s="9" t="s">
        <v>52</v>
      </c>
      <c r="V533" s="3" t="s">
        <v>53</v>
      </c>
    </row>
    <row r="534" spans="1:22">
      <c r="A534" s="2" t="s">
        <v>1808</v>
      </c>
      <c r="B534" s="2" t="s">
        <v>1809</v>
      </c>
      <c r="C534" s="2" t="s">
        <v>1711</v>
      </c>
      <c r="D534" s="2" t="s">
        <v>80</v>
      </c>
      <c r="E534" s="2" t="s">
        <v>171</v>
      </c>
      <c r="F534" s="2" t="s">
        <v>44</v>
      </c>
      <c r="G534" s="2" t="s">
        <v>83</v>
      </c>
      <c r="H534" s="2" t="s">
        <v>498</v>
      </c>
      <c r="I534" s="2" t="s">
        <v>47</v>
      </c>
      <c r="J534" s="2" t="s">
        <v>1712</v>
      </c>
      <c r="K534" s="2" t="s">
        <v>1810</v>
      </c>
      <c r="L534" s="2" t="s">
        <v>226</v>
      </c>
      <c r="M534" s="2" t="s">
        <v>1714</v>
      </c>
      <c r="N534" s="16">
        <v>1.7999999999999999E-2</v>
      </c>
      <c r="O534" s="17">
        <f>N534*'Financial Inputs'!$B$3</f>
        <v>1799999.9999999998</v>
      </c>
      <c r="P534" s="18">
        <f>IF(I534="L",'Financial Inputs'!$B$4,IF(I534="M",'Financial Inputs'!$B$5,'Financial Inputs'!$B$6))</f>
        <v>0.4</v>
      </c>
      <c r="Q534" s="17">
        <f>O534*P534</f>
        <v>720000</v>
      </c>
      <c r="R534" s="16">
        <f>'Financial Inputs'!$B$7</f>
        <v>0.35</v>
      </c>
      <c r="S534" s="17">
        <f>Q534*(1-R534)</f>
        <v>468000</v>
      </c>
      <c r="T534" s="18">
        <f>S534/'Financial Inputs'!$B$3</f>
        <v>4.6800000000000001E-3</v>
      </c>
      <c r="U534" s="9" t="s">
        <v>52</v>
      </c>
      <c r="V534" s="3" t="s">
        <v>53</v>
      </c>
    </row>
    <row r="535" spans="1:22">
      <c r="A535" s="2" t="s">
        <v>1811</v>
      </c>
      <c r="B535" s="2" t="s">
        <v>1812</v>
      </c>
      <c r="C535" s="2" t="s">
        <v>1711</v>
      </c>
      <c r="D535" s="2" t="s">
        <v>127</v>
      </c>
      <c r="E535" s="2" t="s">
        <v>176</v>
      </c>
      <c r="F535" s="2" t="s">
        <v>58</v>
      </c>
      <c r="G535" s="2" t="s">
        <v>111</v>
      </c>
      <c r="H535" s="2" t="s">
        <v>498</v>
      </c>
      <c r="I535" s="2" t="s">
        <v>47</v>
      </c>
      <c r="J535" s="2" t="s">
        <v>1712</v>
      </c>
      <c r="K535" s="2" t="s">
        <v>1813</v>
      </c>
      <c r="L535" s="2" t="s">
        <v>230</v>
      </c>
      <c r="M535" s="2" t="s">
        <v>1714</v>
      </c>
      <c r="N535" s="16">
        <v>1.9800000000000002E-2</v>
      </c>
      <c r="O535" s="17">
        <f>N535*'Financial Inputs'!$B$3</f>
        <v>1980000.0000000002</v>
      </c>
      <c r="P535" s="18">
        <f>IF(I535="L",'Financial Inputs'!$B$4,IF(I535="M",'Financial Inputs'!$B$5,'Financial Inputs'!$B$6))</f>
        <v>0.4</v>
      </c>
      <c r="Q535" s="17">
        <f>O535*P535</f>
        <v>792000.00000000012</v>
      </c>
      <c r="R535" s="16">
        <f>'Financial Inputs'!$B$7</f>
        <v>0.35</v>
      </c>
      <c r="S535" s="17">
        <f>Q535*(1-R535)</f>
        <v>514800.00000000012</v>
      </c>
      <c r="T535" s="18">
        <f>S535/'Financial Inputs'!$B$3</f>
        <v>5.1480000000000015E-3</v>
      </c>
      <c r="U535" s="9" t="s">
        <v>52</v>
      </c>
      <c r="V535" s="3" t="s">
        <v>53</v>
      </c>
    </row>
    <row r="536" spans="1:22">
      <c r="A536" s="2" t="s">
        <v>1814</v>
      </c>
      <c r="B536" s="2" t="s">
        <v>1815</v>
      </c>
      <c r="C536" s="2" t="s">
        <v>1711</v>
      </c>
      <c r="D536" s="2" t="s">
        <v>133</v>
      </c>
      <c r="E536" s="2" t="s">
        <v>122</v>
      </c>
      <c r="F536" s="2" t="s">
        <v>66</v>
      </c>
      <c r="G536" s="2" t="s">
        <v>56</v>
      </c>
      <c r="H536" s="2" t="s">
        <v>498</v>
      </c>
      <c r="I536" s="2" t="s">
        <v>47</v>
      </c>
      <c r="J536" s="2" t="s">
        <v>1712</v>
      </c>
      <c r="K536" s="2" t="s">
        <v>1816</v>
      </c>
      <c r="L536" s="2" t="s">
        <v>234</v>
      </c>
      <c r="M536" s="2" t="s">
        <v>1714</v>
      </c>
      <c r="N536" s="16">
        <v>2.1600000000000001E-2</v>
      </c>
      <c r="O536" s="17">
        <f>N536*'Financial Inputs'!$B$3</f>
        <v>2160000</v>
      </c>
      <c r="P536" s="18">
        <f>IF(I536="L",'Financial Inputs'!$B$4,IF(I536="M",'Financial Inputs'!$B$5,'Financial Inputs'!$B$6))</f>
        <v>0.4</v>
      </c>
      <c r="Q536" s="17">
        <f>O536*P536</f>
        <v>864000</v>
      </c>
      <c r="R536" s="16">
        <f>'Financial Inputs'!$B$7</f>
        <v>0.35</v>
      </c>
      <c r="S536" s="17">
        <f>Q536*(1-R536)</f>
        <v>561600</v>
      </c>
      <c r="T536" s="18">
        <f>S536/'Financial Inputs'!$B$3</f>
        <v>5.6160000000000003E-3</v>
      </c>
      <c r="U536" s="9" t="s">
        <v>52</v>
      </c>
      <c r="V536" s="3" t="s">
        <v>53</v>
      </c>
    </row>
    <row r="537" spans="1:22">
      <c r="A537" s="2" t="s">
        <v>1817</v>
      </c>
      <c r="B537" s="2" t="s">
        <v>1818</v>
      </c>
      <c r="C537" s="2" t="s">
        <v>1711</v>
      </c>
      <c r="D537" s="2" t="s">
        <v>102</v>
      </c>
      <c r="E537" s="2" t="s">
        <v>73</v>
      </c>
      <c r="F537" s="2" t="s">
        <v>110</v>
      </c>
      <c r="G537" s="2" t="s">
        <v>83</v>
      </c>
      <c r="H537" s="2" t="s">
        <v>498</v>
      </c>
      <c r="I537" s="2" t="s">
        <v>47</v>
      </c>
      <c r="J537" s="2" t="s">
        <v>1712</v>
      </c>
      <c r="K537" s="2" t="s">
        <v>1819</v>
      </c>
      <c r="L537" s="2" t="s">
        <v>238</v>
      </c>
      <c r="M537" s="2" t="s">
        <v>1714</v>
      </c>
      <c r="N537" s="16">
        <v>1.44E-2</v>
      </c>
      <c r="O537" s="17">
        <f>N537*'Financial Inputs'!$B$3</f>
        <v>1440000</v>
      </c>
      <c r="P537" s="18">
        <f>IF(I537="L",'Financial Inputs'!$B$4,IF(I537="M",'Financial Inputs'!$B$5,'Financial Inputs'!$B$6))</f>
        <v>0.4</v>
      </c>
      <c r="Q537" s="17">
        <f>O537*P537</f>
        <v>576000</v>
      </c>
      <c r="R537" s="16">
        <f>'Financial Inputs'!$B$7</f>
        <v>0.35</v>
      </c>
      <c r="S537" s="17">
        <f>Q537*(1-R537)</f>
        <v>374400</v>
      </c>
      <c r="T537" s="18">
        <f>S537/'Financial Inputs'!$B$3</f>
        <v>3.7439999999999999E-3</v>
      </c>
      <c r="U537" s="9" t="s">
        <v>52</v>
      </c>
      <c r="V537" s="3" t="s">
        <v>53</v>
      </c>
    </row>
    <row r="538" spans="1:22">
      <c r="A538" s="2" t="s">
        <v>1820</v>
      </c>
      <c r="B538" s="2" t="s">
        <v>1821</v>
      </c>
      <c r="C538" s="2" t="s">
        <v>1711</v>
      </c>
      <c r="D538" s="2" t="s">
        <v>42</v>
      </c>
      <c r="E538" s="2" t="s">
        <v>81</v>
      </c>
      <c r="F538" s="2" t="s">
        <v>117</v>
      </c>
      <c r="G538" s="2" t="s">
        <v>111</v>
      </c>
      <c r="H538" s="2" t="s">
        <v>498</v>
      </c>
      <c r="I538" s="2" t="s">
        <v>47</v>
      </c>
      <c r="J538" s="2" t="s">
        <v>1712</v>
      </c>
      <c r="K538" s="2" t="s">
        <v>1822</v>
      </c>
      <c r="L538" s="2" t="s">
        <v>242</v>
      </c>
      <c r="M538" s="2" t="s">
        <v>1714</v>
      </c>
      <c r="N538" s="16">
        <v>1.6199999999999999E-2</v>
      </c>
      <c r="O538" s="17">
        <f>N538*'Financial Inputs'!$B$3</f>
        <v>1620000</v>
      </c>
      <c r="P538" s="18">
        <f>IF(I538="L",'Financial Inputs'!$B$4,IF(I538="M",'Financial Inputs'!$B$5,'Financial Inputs'!$B$6))</f>
        <v>0.4</v>
      </c>
      <c r="Q538" s="17">
        <f>O538*P538</f>
        <v>648000</v>
      </c>
      <c r="R538" s="16">
        <f>'Financial Inputs'!$B$7</f>
        <v>0.35</v>
      </c>
      <c r="S538" s="17">
        <f>Q538*(1-R538)</f>
        <v>421200</v>
      </c>
      <c r="T538" s="18">
        <f>S538/'Financial Inputs'!$B$3</f>
        <v>4.2119999999999996E-3</v>
      </c>
      <c r="U538" s="9" t="s">
        <v>52</v>
      </c>
      <c r="V538" s="3" t="s">
        <v>53</v>
      </c>
    </row>
    <row r="539" spans="1:22">
      <c r="A539" s="2" t="s">
        <v>1823</v>
      </c>
      <c r="B539" s="2" t="s">
        <v>1824</v>
      </c>
      <c r="C539" s="2" t="s">
        <v>1711</v>
      </c>
      <c r="D539" s="2" t="s">
        <v>56</v>
      </c>
      <c r="E539" s="2" t="s">
        <v>193</v>
      </c>
      <c r="F539" s="2" t="s">
        <v>90</v>
      </c>
      <c r="G539" s="2" t="s">
        <v>56</v>
      </c>
      <c r="H539" s="2" t="s">
        <v>498</v>
      </c>
      <c r="I539" s="2" t="s">
        <v>47</v>
      </c>
      <c r="J539" s="2" t="s">
        <v>1712</v>
      </c>
      <c r="K539" s="2" t="s">
        <v>1825</v>
      </c>
      <c r="L539" s="2" t="s">
        <v>246</v>
      </c>
      <c r="M539" s="2" t="s">
        <v>1714</v>
      </c>
      <c r="N539" s="16">
        <v>1.7999999999999999E-2</v>
      </c>
      <c r="O539" s="17">
        <f>N539*'Financial Inputs'!$B$3</f>
        <v>1799999.9999999998</v>
      </c>
      <c r="P539" s="18">
        <f>IF(I539="L",'Financial Inputs'!$B$4,IF(I539="M",'Financial Inputs'!$B$5,'Financial Inputs'!$B$6))</f>
        <v>0.4</v>
      </c>
      <c r="Q539" s="17">
        <f>O539*P539</f>
        <v>720000</v>
      </c>
      <c r="R539" s="16">
        <f>'Financial Inputs'!$B$7</f>
        <v>0.35</v>
      </c>
      <c r="S539" s="17">
        <f>Q539*(1-R539)</f>
        <v>468000</v>
      </c>
      <c r="T539" s="18">
        <f>S539/'Financial Inputs'!$B$3</f>
        <v>4.6800000000000001E-3</v>
      </c>
      <c r="U539" s="9" t="s">
        <v>52</v>
      </c>
      <c r="V539" s="3" t="s">
        <v>53</v>
      </c>
    </row>
    <row r="540" spans="1:22">
      <c r="A540" s="2" t="s">
        <v>1826</v>
      </c>
      <c r="B540" s="2" t="s">
        <v>1827</v>
      </c>
      <c r="C540" s="2" t="s">
        <v>1711</v>
      </c>
      <c r="D540" s="2" t="s">
        <v>64</v>
      </c>
      <c r="E540" s="2" t="s">
        <v>198</v>
      </c>
      <c r="F540" s="2" t="s">
        <v>97</v>
      </c>
      <c r="G540" s="2" t="s">
        <v>138</v>
      </c>
      <c r="H540" s="2" t="s">
        <v>498</v>
      </c>
      <c r="I540" s="2" t="s">
        <v>47</v>
      </c>
      <c r="J540" s="2" t="s">
        <v>1712</v>
      </c>
      <c r="K540" s="2" t="s">
        <v>1828</v>
      </c>
      <c r="L540" s="2" t="s">
        <v>250</v>
      </c>
      <c r="M540" s="2" t="s">
        <v>1714</v>
      </c>
      <c r="N540" s="16">
        <v>1.9800000000000002E-2</v>
      </c>
      <c r="O540" s="17">
        <f>N540*'Financial Inputs'!$B$3</f>
        <v>1980000.0000000002</v>
      </c>
      <c r="P540" s="18">
        <f>IF(I540="L",'Financial Inputs'!$B$4,IF(I540="M",'Financial Inputs'!$B$5,'Financial Inputs'!$B$6))</f>
        <v>0.4</v>
      </c>
      <c r="Q540" s="17">
        <f>O540*P540</f>
        <v>792000.00000000012</v>
      </c>
      <c r="R540" s="16">
        <f>'Financial Inputs'!$B$7</f>
        <v>0.35</v>
      </c>
      <c r="S540" s="17">
        <f>Q540*(1-R540)</f>
        <v>514800.00000000012</v>
      </c>
      <c r="T540" s="18">
        <f>S540/'Financial Inputs'!$B$3</f>
        <v>5.1480000000000015E-3</v>
      </c>
      <c r="U540" s="9" t="s">
        <v>52</v>
      </c>
      <c r="V540" s="3" t="s">
        <v>53</v>
      </c>
    </row>
    <row r="541" spans="1:22">
      <c r="A541" s="2" t="s">
        <v>1829</v>
      </c>
      <c r="B541" s="2" t="s">
        <v>1830</v>
      </c>
      <c r="C541" s="2" t="s">
        <v>1711</v>
      </c>
      <c r="D541" s="2" t="s">
        <v>72</v>
      </c>
      <c r="E541" s="2" t="s">
        <v>148</v>
      </c>
      <c r="F541" s="2" t="s">
        <v>104</v>
      </c>
      <c r="G541" s="2" t="s">
        <v>143</v>
      </c>
      <c r="H541" s="2" t="s">
        <v>498</v>
      </c>
      <c r="I541" s="2" t="s">
        <v>47</v>
      </c>
      <c r="J541" s="2" t="s">
        <v>1712</v>
      </c>
      <c r="K541" s="2" t="s">
        <v>1831</v>
      </c>
      <c r="L541" s="2" t="s">
        <v>254</v>
      </c>
      <c r="M541" s="2" t="s">
        <v>1714</v>
      </c>
      <c r="N541" s="16">
        <v>2.1600000000000001E-2</v>
      </c>
      <c r="O541" s="17">
        <f>N541*'Financial Inputs'!$B$3</f>
        <v>2160000</v>
      </c>
      <c r="P541" s="18">
        <f>IF(I541="L",'Financial Inputs'!$B$4,IF(I541="M",'Financial Inputs'!$B$5,'Financial Inputs'!$B$6))</f>
        <v>0.4</v>
      </c>
      <c r="Q541" s="17">
        <f>O541*P541</f>
        <v>864000</v>
      </c>
      <c r="R541" s="16">
        <f>'Financial Inputs'!$B$7</f>
        <v>0.35</v>
      </c>
      <c r="S541" s="17">
        <f>Q541*(1-R541)</f>
        <v>561600</v>
      </c>
      <c r="T541" s="18">
        <f>S541/'Financial Inputs'!$B$3</f>
        <v>5.6160000000000003E-3</v>
      </c>
      <c r="U541" s="9" t="s">
        <v>52</v>
      </c>
      <c r="V541" s="3" t="s">
        <v>53</v>
      </c>
    </row>
    <row r="542" spans="1:22">
      <c r="A542" s="2" t="s">
        <v>1832</v>
      </c>
      <c r="B542" s="2" t="s">
        <v>1833</v>
      </c>
      <c r="C542" s="2" t="s">
        <v>1711</v>
      </c>
      <c r="D542" s="2" t="s">
        <v>133</v>
      </c>
      <c r="E542" s="2" t="s">
        <v>109</v>
      </c>
      <c r="F542" s="2" t="s">
        <v>82</v>
      </c>
      <c r="G542" s="2" t="s">
        <v>56</v>
      </c>
      <c r="H542" s="2" t="s">
        <v>498</v>
      </c>
      <c r="I542" s="2" t="s">
        <v>47</v>
      </c>
      <c r="J542" s="2" t="s">
        <v>1712</v>
      </c>
      <c r="K542" s="2" t="s">
        <v>1834</v>
      </c>
      <c r="L542" s="2" t="s">
        <v>258</v>
      </c>
      <c r="M542" s="2" t="s">
        <v>1714</v>
      </c>
      <c r="N542" s="16">
        <v>1.44E-2</v>
      </c>
      <c r="O542" s="17">
        <f>N542*'Financial Inputs'!$B$3</f>
        <v>1440000</v>
      </c>
      <c r="P542" s="18">
        <f>IF(I542="L",'Financial Inputs'!$B$4,IF(I542="M",'Financial Inputs'!$B$5,'Financial Inputs'!$B$6))</f>
        <v>0.4</v>
      </c>
      <c r="Q542" s="17">
        <f>O542*P542</f>
        <v>576000</v>
      </c>
      <c r="R542" s="16">
        <f>'Financial Inputs'!$B$7</f>
        <v>0.35</v>
      </c>
      <c r="S542" s="17">
        <f>Q542*(1-R542)</f>
        <v>374400</v>
      </c>
      <c r="T542" s="18">
        <f>S542/'Financial Inputs'!$B$3</f>
        <v>3.7439999999999999E-3</v>
      </c>
      <c r="U542" s="9" t="s">
        <v>52</v>
      </c>
      <c r="V542" s="3" t="s">
        <v>53</v>
      </c>
    </row>
    <row r="543" spans="1:22">
      <c r="A543" s="2" t="s">
        <v>1835</v>
      </c>
      <c r="B543" s="2" t="s">
        <v>1836</v>
      </c>
      <c r="C543" s="2" t="s">
        <v>1711</v>
      </c>
      <c r="D543" s="2" t="s">
        <v>88</v>
      </c>
      <c r="E543" s="2" t="s">
        <v>116</v>
      </c>
      <c r="F543" s="2" t="s">
        <v>44</v>
      </c>
      <c r="G543" s="2" t="s">
        <v>138</v>
      </c>
      <c r="H543" s="2" t="s">
        <v>498</v>
      </c>
      <c r="I543" s="2" t="s">
        <v>47</v>
      </c>
      <c r="J543" s="2" t="s">
        <v>1712</v>
      </c>
      <c r="K543" s="2" t="s">
        <v>1837</v>
      </c>
      <c r="L543" s="2" t="s">
        <v>262</v>
      </c>
      <c r="M543" s="2" t="s">
        <v>1714</v>
      </c>
      <c r="N543" s="16">
        <v>1.6199999999999999E-2</v>
      </c>
      <c r="O543" s="17">
        <f>N543*'Financial Inputs'!$B$3</f>
        <v>1620000</v>
      </c>
      <c r="P543" s="18">
        <f>IF(I543="L",'Financial Inputs'!$B$4,IF(I543="M",'Financial Inputs'!$B$5,'Financial Inputs'!$B$6))</f>
        <v>0.4</v>
      </c>
      <c r="Q543" s="17">
        <f>O543*P543</f>
        <v>648000</v>
      </c>
      <c r="R543" s="16">
        <f>'Financial Inputs'!$B$7</f>
        <v>0.35</v>
      </c>
      <c r="S543" s="17">
        <f>Q543*(1-R543)</f>
        <v>421200</v>
      </c>
      <c r="T543" s="18">
        <f>S543/'Financial Inputs'!$B$3</f>
        <v>4.2119999999999996E-3</v>
      </c>
      <c r="U543" s="9" t="s">
        <v>52</v>
      </c>
      <c r="V543" s="3" t="s">
        <v>53</v>
      </c>
    </row>
    <row r="544" spans="1:22">
      <c r="A544" s="2" t="s">
        <v>1838</v>
      </c>
      <c r="B544" s="2" t="s">
        <v>1839</v>
      </c>
      <c r="C544" s="2" t="s">
        <v>1711</v>
      </c>
      <c r="D544" s="2" t="s">
        <v>95</v>
      </c>
      <c r="E544" s="2" t="s">
        <v>215</v>
      </c>
      <c r="F544" s="2" t="s">
        <v>58</v>
      </c>
      <c r="G544" s="2" t="s">
        <v>143</v>
      </c>
      <c r="H544" s="2" t="s">
        <v>498</v>
      </c>
      <c r="I544" s="2" t="s">
        <v>47</v>
      </c>
      <c r="J544" s="2" t="s">
        <v>1712</v>
      </c>
      <c r="K544" s="2" t="s">
        <v>1840</v>
      </c>
      <c r="L544" s="2" t="s">
        <v>266</v>
      </c>
      <c r="M544" s="2" t="s">
        <v>1714</v>
      </c>
      <c r="N544" s="16">
        <v>1.7999999999999999E-2</v>
      </c>
      <c r="O544" s="17">
        <f>N544*'Financial Inputs'!$B$3</f>
        <v>1799999.9999999998</v>
      </c>
      <c r="P544" s="18">
        <f>IF(I544="L",'Financial Inputs'!$B$4,IF(I544="M",'Financial Inputs'!$B$5,'Financial Inputs'!$B$6))</f>
        <v>0.4</v>
      </c>
      <c r="Q544" s="17">
        <f>O544*P544</f>
        <v>720000</v>
      </c>
      <c r="R544" s="16">
        <f>'Financial Inputs'!$B$7</f>
        <v>0.35</v>
      </c>
      <c r="S544" s="17">
        <f>Q544*(1-R544)</f>
        <v>468000</v>
      </c>
      <c r="T544" s="18">
        <f>S544/'Financial Inputs'!$B$3</f>
        <v>4.6800000000000001E-3</v>
      </c>
      <c r="U544" s="9" t="s">
        <v>52</v>
      </c>
      <c r="V544" s="3" t="s">
        <v>53</v>
      </c>
    </row>
    <row r="545" spans="1:22">
      <c r="A545" s="2" t="s">
        <v>1841</v>
      </c>
      <c r="B545" s="2" t="s">
        <v>1842</v>
      </c>
      <c r="C545" s="2" t="s">
        <v>1711</v>
      </c>
      <c r="D545" s="2" t="s">
        <v>102</v>
      </c>
      <c r="E545" s="2" t="s">
        <v>220</v>
      </c>
      <c r="F545" s="2" t="s">
        <v>66</v>
      </c>
      <c r="G545" s="2" t="s">
        <v>162</v>
      </c>
      <c r="H545" s="2" t="s">
        <v>498</v>
      </c>
      <c r="I545" s="2" t="s">
        <v>47</v>
      </c>
      <c r="J545" s="2" t="s">
        <v>1712</v>
      </c>
      <c r="K545" s="2" t="s">
        <v>1843</v>
      </c>
      <c r="L545" s="2" t="s">
        <v>270</v>
      </c>
      <c r="M545" s="2" t="s">
        <v>1714</v>
      </c>
      <c r="N545" s="16">
        <v>1.9800000000000002E-2</v>
      </c>
      <c r="O545" s="17">
        <f>N545*'Financial Inputs'!$B$3</f>
        <v>1980000.0000000002</v>
      </c>
      <c r="P545" s="18">
        <f>IF(I545="L",'Financial Inputs'!$B$4,IF(I545="M",'Financial Inputs'!$B$5,'Financial Inputs'!$B$6))</f>
        <v>0.4</v>
      </c>
      <c r="Q545" s="17">
        <f>O545*P545</f>
        <v>792000.00000000012</v>
      </c>
      <c r="R545" s="16">
        <f>'Financial Inputs'!$B$7</f>
        <v>0.35</v>
      </c>
      <c r="S545" s="17">
        <f>Q545*(1-R545)</f>
        <v>514800.00000000012</v>
      </c>
      <c r="T545" s="18">
        <f>S545/'Financial Inputs'!$B$3</f>
        <v>5.1480000000000015E-3</v>
      </c>
      <c r="U545" s="9" t="s">
        <v>52</v>
      </c>
      <c r="V545" s="3" t="s">
        <v>53</v>
      </c>
    </row>
    <row r="546" spans="1:22">
      <c r="A546" s="2" t="s">
        <v>1844</v>
      </c>
      <c r="B546" s="2" t="s">
        <v>1845</v>
      </c>
      <c r="C546" s="2" t="s">
        <v>1711</v>
      </c>
      <c r="D546" s="2" t="s">
        <v>42</v>
      </c>
      <c r="E546" s="2" t="s">
        <v>171</v>
      </c>
      <c r="F546" s="2" t="s">
        <v>74</v>
      </c>
      <c r="G546" s="2" t="s">
        <v>45</v>
      </c>
      <c r="H546" s="2" t="s">
        <v>498</v>
      </c>
      <c r="I546" s="2" t="s">
        <v>47</v>
      </c>
      <c r="J546" s="2" t="s">
        <v>1712</v>
      </c>
      <c r="K546" s="2" t="s">
        <v>1846</v>
      </c>
      <c r="L546" s="2" t="s">
        <v>274</v>
      </c>
      <c r="M546" s="2" t="s">
        <v>1714</v>
      </c>
      <c r="N546" s="16">
        <v>2.1600000000000001E-2</v>
      </c>
      <c r="O546" s="17">
        <f>N546*'Financial Inputs'!$B$3</f>
        <v>2160000</v>
      </c>
      <c r="P546" s="18">
        <f>IF(I546="L",'Financial Inputs'!$B$4,IF(I546="M",'Financial Inputs'!$B$5,'Financial Inputs'!$B$6))</f>
        <v>0.4</v>
      </c>
      <c r="Q546" s="17">
        <f>O546*P546</f>
        <v>864000</v>
      </c>
      <c r="R546" s="16">
        <f>'Financial Inputs'!$B$7</f>
        <v>0.35</v>
      </c>
      <c r="S546" s="17">
        <f>Q546*(1-R546)</f>
        <v>561600</v>
      </c>
      <c r="T546" s="18">
        <f>S546/'Financial Inputs'!$B$3</f>
        <v>5.6160000000000003E-3</v>
      </c>
      <c r="U546" s="9" t="s">
        <v>52</v>
      </c>
      <c r="V546" s="3" t="s">
        <v>53</v>
      </c>
    </row>
    <row r="547" spans="1:22">
      <c r="A547" s="2" t="s">
        <v>1847</v>
      </c>
      <c r="B547" s="2" t="s">
        <v>1848</v>
      </c>
      <c r="C547" s="2" t="s">
        <v>1711</v>
      </c>
      <c r="D547" s="2" t="s">
        <v>72</v>
      </c>
      <c r="E547" s="2" t="s">
        <v>57</v>
      </c>
      <c r="F547" s="2" t="s">
        <v>117</v>
      </c>
      <c r="G547" s="2" t="s">
        <v>143</v>
      </c>
      <c r="H547" s="2" t="s">
        <v>498</v>
      </c>
      <c r="I547" s="2" t="s">
        <v>47</v>
      </c>
      <c r="J547" s="2" t="s">
        <v>1712</v>
      </c>
      <c r="K547" s="2" t="s">
        <v>1849</v>
      </c>
      <c r="L547" s="2" t="s">
        <v>278</v>
      </c>
      <c r="M547" s="2" t="s">
        <v>1714</v>
      </c>
      <c r="N547" s="16">
        <v>1.44E-2</v>
      </c>
      <c r="O547" s="17">
        <f>N547*'Financial Inputs'!$B$3</f>
        <v>1440000</v>
      </c>
      <c r="P547" s="18">
        <f>IF(I547="L",'Financial Inputs'!$B$4,IF(I547="M",'Financial Inputs'!$B$5,'Financial Inputs'!$B$6))</f>
        <v>0.4</v>
      </c>
      <c r="Q547" s="17">
        <f>O547*P547</f>
        <v>576000</v>
      </c>
      <c r="R547" s="16">
        <f>'Financial Inputs'!$B$7</f>
        <v>0.35</v>
      </c>
      <c r="S547" s="17">
        <f>Q547*(1-R547)</f>
        <v>374400</v>
      </c>
      <c r="T547" s="18">
        <f>S547/'Financial Inputs'!$B$3</f>
        <v>3.7439999999999999E-3</v>
      </c>
      <c r="U547" s="9" t="s">
        <v>52</v>
      </c>
      <c r="V547" s="3" t="s">
        <v>53</v>
      </c>
    </row>
    <row r="548" spans="1:22">
      <c r="A548" s="2" t="s">
        <v>1850</v>
      </c>
      <c r="B548" s="2" t="s">
        <v>1851</v>
      </c>
      <c r="C548" s="2" t="s">
        <v>1711</v>
      </c>
      <c r="D548" s="2" t="s">
        <v>80</v>
      </c>
      <c r="E548" s="2" t="s">
        <v>65</v>
      </c>
      <c r="F548" s="2" t="s">
        <v>90</v>
      </c>
      <c r="G548" s="2" t="s">
        <v>162</v>
      </c>
      <c r="H548" s="2" t="s">
        <v>498</v>
      </c>
      <c r="I548" s="2" t="s">
        <v>47</v>
      </c>
      <c r="J548" s="2" t="s">
        <v>1712</v>
      </c>
      <c r="K548" s="2" t="s">
        <v>1852</v>
      </c>
      <c r="L548" s="2" t="s">
        <v>282</v>
      </c>
      <c r="M548" s="2" t="s">
        <v>1714</v>
      </c>
      <c r="N548" s="16">
        <v>1.6199999999999999E-2</v>
      </c>
      <c r="O548" s="17">
        <f>N548*'Financial Inputs'!$B$3</f>
        <v>1620000</v>
      </c>
      <c r="P548" s="18">
        <f>IF(I548="L",'Financial Inputs'!$B$4,IF(I548="M",'Financial Inputs'!$B$5,'Financial Inputs'!$B$6))</f>
        <v>0.4</v>
      </c>
      <c r="Q548" s="17">
        <f>O548*P548</f>
        <v>648000</v>
      </c>
      <c r="R548" s="16">
        <f>'Financial Inputs'!$B$7</f>
        <v>0.35</v>
      </c>
      <c r="S548" s="17">
        <f>Q548*(1-R548)</f>
        <v>421200</v>
      </c>
      <c r="T548" s="18">
        <f>S548/'Financial Inputs'!$B$3</f>
        <v>4.2119999999999996E-3</v>
      </c>
      <c r="U548" s="9" t="s">
        <v>52</v>
      </c>
      <c r="V548" s="3" t="s">
        <v>53</v>
      </c>
    </row>
    <row r="549" spans="1:22">
      <c r="A549" s="2" t="s">
        <v>1853</v>
      </c>
      <c r="B549" s="2" t="s">
        <v>1854</v>
      </c>
      <c r="C549" s="2" t="s">
        <v>1711</v>
      </c>
      <c r="D549" s="2" t="s">
        <v>127</v>
      </c>
      <c r="E549" s="2" t="s">
        <v>73</v>
      </c>
      <c r="F549" s="2" t="s">
        <v>97</v>
      </c>
      <c r="G549" s="2" t="s">
        <v>45</v>
      </c>
      <c r="H549" s="2" t="s">
        <v>498</v>
      </c>
      <c r="I549" s="2" t="s">
        <v>47</v>
      </c>
      <c r="J549" s="2" t="s">
        <v>1712</v>
      </c>
      <c r="K549" s="2" t="s">
        <v>1855</v>
      </c>
      <c r="L549" s="2" t="s">
        <v>286</v>
      </c>
      <c r="M549" s="2" t="s">
        <v>1714</v>
      </c>
      <c r="N549" s="16">
        <v>1.7999999999999999E-2</v>
      </c>
      <c r="O549" s="17">
        <f>N549*'Financial Inputs'!$B$3</f>
        <v>1799999.9999999998</v>
      </c>
      <c r="P549" s="18">
        <f>IF(I549="L",'Financial Inputs'!$B$4,IF(I549="M",'Financial Inputs'!$B$5,'Financial Inputs'!$B$6))</f>
        <v>0.4</v>
      </c>
      <c r="Q549" s="17">
        <f>O549*P549</f>
        <v>720000</v>
      </c>
      <c r="R549" s="16">
        <f>'Financial Inputs'!$B$7</f>
        <v>0.35</v>
      </c>
      <c r="S549" s="17">
        <f>Q549*(1-R549)</f>
        <v>468000</v>
      </c>
      <c r="T549" s="18">
        <f>S549/'Financial Inputs'!$B$3</f>
        <v>4.6800000000000001E-3</v>
      </c>
      <c r="U549" s="9" t="s">
        <v>52</v>
      </c>
      <c r="V549" s="3" t="s">
        <v>53</v>
      </c>
    </row>
    <row r="550" spans="1:22">
      <c r="A550" s="2" t="s">
        <v>1856</v>
      </c>
      <c r="B550" s="2" t="s">
        <v>1857</v>
      </c>
      <c r="C550" s="2" t="s">
        <v>1711</v>
      </c>
      <c r="D550" s="2" t="s">
        <v>133</v>
      </c>
      <c r="E550" s="2" t="s">
        <v>81</v>
      </c>
      <c r="F550" s="2" t="s">
        <v>104</v>
      </c>
      <c r="G550" s="2" t="s">
        <v>59</v>
      </c>
      <c r="H550" s="2" t="s">
        <v>498</v>
      </c>
      <c r="I550" s="2" t="s">
        <v>47</v>
      </c>
      <c r="J550" s="2" t="s">
        <v>1712</v>
      </c>
      <c r="K550" s="2" t="s">
        <v>1858</v>
      </c>
      <c r="L550" s="2" t="s">
        <v>290</v>
      </c>
      <c r="M550" s="2" t="s">
        <v>1714</v>
      </c>
      <c r="N550" s="16">
        <v>1.9800000000000002E-2</v>
      </c>
      <c r="O550" s="17">
        <f>N550*'Financial Inputs'!$B$3</f>
        <v>1980000.0000000002</v>
      </c>
      <c r="P550" s="18">
        <f>IF(I550="L",'Financial Inputs'!$B$4,IF(I550="M",'Financial Inputs'!$B$5,'Financial Inputs'!$B$6))</f>
        <v>0.4</v>
      </c>
      <c r="Q550" s="17">
        <f>O550*P550</f>
        <v>792000.00000000012</v>
      </c>
      <c r="R550" s="16">
        <f>'Financial Inputs'!$B$7</f>
        <v>0.35</v>
      </c>
      <c r="S550" s="17">
        <f>Q550*(1-R550)</f>
        <v>514800.00000000012</v>
      </c>
      <c r="T550" s="18">
        <f>S550/'Financial Inputs'!$B$3</f>
        <v>5.1480000000000015E-3</v>
      </c>
      <c r="U550" s="9" t="s">
        <v>52</v>
      </c>
      <c r="V550" s="3" t="s">
        <v>53</v>
      </c>
    </row>
    <row r="551" spans="1:22">
      <c r="A551" s="2" t="s">
        <v>1859</v>
      </c>
      <c r="B551" s="2" t="s">
        <v>1860</v>
      </c>
      <c r="C551" s="2" t="s">
        <v>1711</v>
      </c>
      <c r="D551" s="2" t="s">
        <v>88</v>
      </c>
      <c r="E551" s="2" t="s">
        <v>193</v>
      </c>
      <c r="F551" s="2" t="s">
        <v>110</v>
      </c>
      <c r="G551" s="2" t="s">
        <v>67</v>
      </c>
      <c r="H551" s="2" t="s">
        <v>498</v>
      </c>
      <c r="I551" s="2" t="s">
        <v>47</v>
      </c>
      <c r="J551" s="2" t="s">
        <v>1712</v>
      </c>
      <c r="K551" s="2" t="s">
        <v>1861</v>
      </c>
      <c r="L551" s="2" t="s">
        <v>294</v>
      </c>
      <c r="M551" s="2" t="s">
        <v>1714</v>
      </c>
      <c r="N551" s="16">
        <v>2.1600000000000001E-2</v>
      </c>
      <c r="O551" s="17">
        <f>N551*'Financial Inputs'!$B$3</f>
        <v>2160000</v>
      </c>
      <c r="P551" s="18">
        <f>IF(I551="L",'Financial Inputs'!$B$4,IF(I551="M",'Financial Inputs'!$B$5,'Financial Inputs'!$B$6))</f>
        <v>0.4</v>
      </c>
      <c r="Q551" s="17">
        <f>O551*P551</f>
        <v>864000</v>
      </c>
      <c r="R551" s="16">
        <f>'Financial Inputs'!$B$7</f>
        <v>0.35</v>
      </c>
      <c r="S551" s="17">
        <f>Q551*(1-R551)</f>
        <v>561600</v>
      </c>
      <c r="T551" s="18">
        <f>S551/'Financial Inputs'!$B$3</f>
        <v>5.6160000000000003E-3</v>
      </c>
      <c r="U551" s="9" t="s">
        <v>52</v>
      </c>
      <c r="V551" s="3" t="s">
        <v>53</v>
      </c>
    </row>
    <row r="552" spans="1:22">
      <c r="A552" s="2" t="s">
        <v>1862</v>
      </c>
      <c r="B552" s="2" t="s">
        <v>1863</v>
      </c>
      <c r="C552" s="2" t="s">
        <v>1711</v>
      </c>
      <c r="D552" s="2" t="s">
        <v>42</v>
      </c>
      <c r="E552" s="2" t="s">
        <v>96</v>
      </c>
      <c r="F552" s="2" t="s">
        <v>44</v>
      </c>
      <c r="G552" s="2" t="s">
        <v>45</v>
      </c>
      <c r="H552" s="2" t="s">
        <v>498</v>
      </c>
      <c r="I552" s="2" t="s">
        <v>47</v>
      </c>
      <c r="J552" s="2" t="s">
        <v>1712</v>
      </c>
      <c r="K552" s="2" t="s">
        <v>1864</v>
      </c>
      <c r="L552" s="2" t="s">
        <v>298</v>
      </c>
      <c r="M552" s="2" t="s">
        <v>1714</v>
      </c>
      <c r="N552" s="16">
        <v>1.44E-2</v>
      </c>
      <c r="O552" s="17">
        <f>N552*'Financial Inputs'!$B$3</f>
        <v>1440000</v>
      </c>
      <c r="P552" s="18">
        <f>IF(I552="L",'Financial Inputs'!$B$4,IF(I552="M",'Financial Inputs'!$B$5,'Financial Inputs'!$B$6))</f>
        <v>0.4</v>
      </c>
      <c r="Q552" s="17">
        <f>O552*P552</f>
        <v>576000</v>
      </c>
      <c r="R552" s="16">
        <f>'Financial Inputs'!$B$7</f>
        <v>0.35</v>
      </c>
      <c r="S552" s="17">
        <f>Q552*(1-R552)</f>
        <v>374400</v>
      </c>
      <c r="T552" s="18">
        <f>S552/'Financial Inputs'!$B$3</f>
        <v>3.7439999999999999E-3</v>
      </c>
      <c r="U552" s="9" t="s">
        <v>52</v>
      </c>
      <c r="V552" s="3" t="s">
        <v>53</v>
      </c>
    </row>
    <row r="553" spans="1:22">
      <c r="A553" s="2" t="s">
        <v>1865</v>
      </c>
      <c r="B553" s="2" t="s">
        <v>1866</v>
      </c>
      <c r="C553" s="2" t="s">
        <v>1711</v>
      </c>
      <c r="D553" s="2" t="s">
        <v>56</v>
      </c>
      <c r="E553" s="2" t="s">
        <v>103</v>
      </c>
      <c r="F553" s="2" t="s">
        <v>58</v>
      </c>
      <c r="G553" s="2" t="s">
        <v>59</v>
      </c>
      <c r="H553" s="2" t="s">
        <v>498</v>
      </c>
      <c r="I553" s="2" t="s">
        <v>47</v>
      </c>
      <c r="J553" s="2" t="s">
        <v>1712</v>
      </c>
      <c r="K553" s="2" t="s">
        <v>1867</v>
      </c>
      <c r="L553" s="2" t="s">
        <v>302</v>
      </c>
      <c r="M553" s="2" t="s">
        <v>1714</v>
      </c>
      <c r="N553" s="16">
        <v>1.6199999999999999E-2</v>
      </c>
      <c r="O553" s="17">
        <f>N553*'Financial Inputs'!$B$3</f>
        <v>1620000</v>
      </c>
      <c r="P553" s="18">
        <f>IF(I553="L",'Financial Inputs'!$B$4,IF(I553="M",'Financial Inputs'!$B$5,'Financial Inputs'!$B$6))</f>
        <v>0.4</v>
      </c>
      <c r="Q553" s="17">
        <f>O553*P553</f>
        <v>648000</v>
      </c>
      <c r="R553" s="16">
        <f>'Financial Inputs'!$B$7</f>
        <v>0.35</v>
      </c>
      <c r="S553" s="17">
        <f>Q553*(1-R553)</f>
        <v>421200</v>
      </c>
      <c r="T553" s="18">
        <f>S553/'Financial Inputs'!$B$3</f>
        <v>4.2119999999999996E-3</v>
      </c>
      <c r="U553" s="9" t="s">
        <v>52</v>
      </c>
      <c r="V553" s="3" t="s">
        <v>53</v>
      </c>
    </row>
    <row r="554" spans="1:22">
      <c r="A554" s="2" t="s">
        <v>1868</v>
      </c>
      <c r="B554" s="2" t="s">
        <v>1869</v>
      </c>
      <c r="C554" s="2" t="s">
        <v>1711</v>
      </c>
      <c r="D554" s="2" t="s">
        <v>64</v>
      </c>
      <c r="E554" s="2" t="s">
        <v>109</v>
      </c>
      <c r="F554" s="2" t="s">
        <v>66</v>
      </c>
      <c r="G554" s="2" t="s">
        <v>67</v>
      </c>
      <c r="H554" s="2" t="s">
        <v>498</v>
      </c>
      <c r="I554" s="2" t="s">
        <v>47</v>
      </c>
      <c r="J554" s="2" t="s">
        <v>1712</v>
      </c>
      <c r="K554" s="2" t="s">
        <v>1870</v>
      </c>
      <c r="L554" s="2" t="s">
        <v>306</v>
      </c>
      <c r="M554" s="2" t="s">
        <v>1714</v>
      </c>
      <c r="N554" s="16">
        <v>1.7999999999999999E-2</v>
      </c>
      <c r="O554" s="17">
        <f>N554*'Financial Inputs'!$B$3</f>
        <v>1799999.9999999998</v>
      </c>
      <c r="P554" s="18">
        <f>IF(I554="L",'Financial Inputs'!$B$4,IF(I554="M",'Financial Inputs'!$B$5,'Financial Inputs'!$B$6))</f>
        <v>0.4</v>
      </c>
      <c r="Q554" s="17">
        <f>O554*P554</f>
        <v>720000</v>
      </c>
      <c r="R554" s="16">
        <f>'Financial Inputs'!$B$7</f>
        <v>0.35</v>
      </c>
      <c r="S554" s="17">
        <f>Q554*(1-R554)</f>
        <v>468000</v>
      </c>
      <c r="T554" s="18">
        <f>S554/'Financial Inputs'!$B$3</f>
        <v>4.6800000000000001E-3</v>
      </c>
      <c r="U554" s="9" t="s">
        <v>52</v>
      </c>
      <c r="V554" s="3" t="s">
        <v>53</v>
      </c>
    </row>
    <row r="555" spans="1:22">
      <c r="A555" s="2" t="s">
        <v>1871</v>
      </c>
      <c r="B555" s="2" t="s">
        <v>1872</v>
      </c>
      <c r="C555" s="2" t="s">
        <v>1711</v>
      </c>
      <c r="D555" s="2" t="s">
        <v>72</v>
      </c>
      <c r="E555" s="2" t="s">
        <v>116</v>
      </c>
      <c r="F555" s="2" t="s">
        <v>74</v>
      </c>
      <c r="G555" s="2" t="s">
        <v>75</v>
      </c>
      <c r="H555" s="2" t="s">
        <v>498</v>
      </c>
      <c r="I555" s="2" t="s">
        <v>47</v>
      </c>
      <c r="J555" s="2" t="s">
        <v>1712</v>
      </c>
      <c r="K555" s="2" t="s">
        <v>1873</v>
      </c>
      <c r="L555" s="2" t="s">
        <v>310</v>
      </c>
      <c r="M555" s="2" t="s">
        <v>1714</v>
      </c>
      <c r="N555" s="16">
        <v>1.9800000000000002E-2</v>
      </c>
      <c r="O555" s="17">
        <f>N555*'Financial Inputs'!$B$3</f>
        <v>1980000.0000000002</v>
      </c>
      <c r="P555" s="18">
        <f>IF(I555="L",'Financial Inputs'!$B$4,IF(I555="M",'Financial Inputs'!$B$5,'Financial Inputs'!$B$6))</f>
        <v>0.4</v>
      </c>
      <c r="Q555" s="17">
        <f>O555*P555</f>
        <v>792000.00000000012</v>
      </c>
      <c r="R555" s="16">
        <f>'Financial Inputs'!$B$7</f>
        <v>0.35</v>
      </c>
      <c r="S555" s="17">
        <f>Q555*(1-R555)</f>
        <v>514800.00000000012</v>
      </c>
      <c r="T555" s="18">
        <f>S555/'Financial Inputs'!$B$3</f>
        <v>5.1480000000000015E-3</v>
      </c>
      <c r="U555" s="9" t="s">
        <v>52</v>
      </c>
      <c r="V555" s="3" t="s">
        <v>53</v>
      </c>
    </row>
    <row r="556" spans="1:22">
      <c r="A556" s="2" t="s">
        <v>1874</v>
      </c>
      <c r="B556" s="2" t="s">
        <v>1875</v>
      </c>
      <c r="C556" s="2" t="s">
        <v>1711</v>
      </c>
      <c r="D556" s="2" t="s">
        <v>80</v>
      </c>
      <c r="E556" s="2" t="s">
        <v>215</v>
      </c>
      <c r="F556" s="2" t="s">
        <v>82</v>
      </c>
      <c r="G556" s="2" t="s">
        <v>83</v>
      </c>
      <c r="H556" s="2" t="s">
        <v>498</v>
      </c>
      <c r="I556" s="2" t="s">
        <v>47</v>
      </c>
      <c r="J556" s="2" t="s">
        <v>1712</v>
      </c>
      <c r="K556" s="2" t="s">
        <v>1876</v>
      </c>
      <c r="L556" s="2" t="s">
        <v>314</v>
      </c>
      <c r="M556" s="2" t="s">
        <v>1714</v>
      </c>
      <c r="N556" s="16">
        <v>2.1600000000000001E-2</v>
      </c>
      <c r="O556" s="17">
        <f>N556*'Financial Inputs'!$B$3</f>
        <v>2160000</v>
      </c>
      <c r="P556" s="18">
        <f>IF(I556="L",'Financial Inputs'!$B$4,IF(I556="M",'Financial Inputs'!$B$5,'Financial Inputs'!$B$6))</f>
        <v>0.4</v>
      </c>
      <c r="Q556" s="17">
        <f>O556*P556</f>
        <v>864000</v>
      </c>
      <c r="R556" s="16">
        <f>'Financial Inputs'!$B$7</f>
        <v>0.35</v>
      </c>
      <c r="S556" s="17">
        <f>Q556*(1-R556)</f>
        <v>561600</v>
      </c>
      <c r="T556" s="18">
        <f>S556/'Financial Inputs'!$B$3</f>
        <v>5.6160000000000003E-3</v>
      </c>
      <c r="U556" s="9" t="s">
        <v>52</v>
      </c>
      <c r="V556" s="3" t="s">
        <v>53</v>
      </c>
    </row>
    <row r="557" spans="1:22">
      <c r="A557" s="2" t="s">
        <v>1877</v>
      </c>
      <c r="B557" s="2" t="s">
        <v>1878</v>
      </c>
      <c r="C557" s="2" t="s">
        <v>1711</v>
      </c>
      <c r="D557" s="2" t="s">
        <v>88</v>
      </c>
      <c r="E557" s="2" t="s">
        <v>128</v>
      </c>
      <c r="F557" s="2" t="s">
        <v>90</v>
      </c>
      <c r="G557" s="2" t="s">
        <v>67</v>
      </c>
      <c r="H557" s="2" t="s">
        <v>498</v>
      </c>
      <c r="I557" s="2" t="s">
        <v>47</v>
      </c>
      <c r="J557" s="2" t="s">
        <v>1712</v>
      </c>
      <c r="K557" s="2" t="s">
        <v>1879</v>
      </c>
      <c r="L557" s="2" t="s">
        <v>318</v>
      </c>
      <c r="M557" s="2" t="s">
        <v>1714</v>
      </c>
      <c r="N557" s="16">
        <v>1.44E-2</v>
      </c>
      <c r="O557" s="17">
        <f>N557*'Financial Inputs'!$B$3</f>
        <v>1440000</v>
      </c>
      <c r="P557" s="18">
        <f>IF(I557="L",'Financial Inputs'!$B$4,IF(I557="M",'Financial Inputs'!$B$5,'Financial Inputs'!$B$6))</f>
        <v>0.4</v>
      </c>
      <c r="Q557" s="17">
        <f>O557*P557</f>
        <v>576000</v>
      </c>
      <c r="R557" s="16">
        <f>'Financial Inputs'!$B$7</f>
        <v>0.35</v>
      </c>
      <c r="S557" s="17">
        <f>Q557*(1-R557)</f>
        <v>374400</v>
      </c>
      <c r="T557" s="18">
        <f>S557/'Financial Inputs'!$B$3</f>
        <v>3.7439999999999999E-3</v>
      </c>
      <c r="U557" s="9" t="s">
        <v>52</v>
      </c>
      <c r="V557" s="3" t="s">
        <v>53</v>
      </c>
    </row>
    <row r="558" spans="1:22">
      <c r="A558" s="2" t="s">
        <v>1880</v>
      </c>
      <c r="B558" s="2" t="s">
        <v>1881</v>
      </c>
      <c r="C558" s="2" t="s">
        <v>1711</v>
      </c>
      <c r="D558" s="2" t="s">
        <v>95</v>
      </c>
      <c r="E558" s="2" t="s">
        <v>43</v>
      </c>
      <c r="F558" s="2" t="s">
        <v>97</v>
      </c>
      <c r="G558" s="2" t="s">
        <v>75</v>
      </c>
      <c r="H558" s="2" t="s">
        <v>498</v>
      </c>
      <c r="I558" s="2" t="s">
        <v>47</v>
      </c>
      <c r="J558" s="2" t="s">
        <v>1712</v>
      </c>
      <c r="K558" s="2" t="s">
        <v>1882</v>
      </c>
      <c r="L558" s="2" t="s">
        <v>322</v>
      </c>
      <c r="M558" s="2" t="s">
        <v>1714</v>
      </c>
      <c r="N558" s="16">
        <v>1.6199999999999999E-2</v>
      </c>
      <c r="O558" s="17">
        <f>N558*'Financial Inputs'!$B$3</f>
        <v>1620000</v>
      </c>
      <c r="P558" s="18">
        <f>IF(I558="L",'Financial Inputs'!$B$4,IF(I558="M",'Financial Inputs'!$B$5,'Financial Inputs'!$B$6))</f>
        <v>0.4</v>
      </c>
      <c r="Q558" s="17">
        <f>O558*P558</f>
        <v>648000</v>
      </c>
      <c r="R558" s="16">
        <f>'Financial Inputs'!$B$7</f>
        <v>0.35</v>
      </c>
      <c r="S558" s="17">
        <f>Q558*(1-R558)</f>
        <v>421200</v>
      </c>
      <c r="T558" s="18">
        <f>S558/'Financial Inputs'!$B$3</f>
        <v>4.2119999999999996E-3</v>
      </c>
      <c r="U558" s="9" t="s">
        <v>52</v>
      </c>
      <c r="V558" s="3" t="s">
        <v>53</v>
      </c>
    </row>
    <row r="559" spans="1:22">
      <c r="A559" s="2" t="s">
        <v>1883</v>
      </c>
      <c r="B559" s="2" t="s">
        <v>1884</v>
      </c>
      <c r="C559" s="2" t="s">
        <v>1711</v>
      </c>
      <c r="D559" s="2" t="s">
        <v>102</v>
      </c>
      <c r="E559" s="2" t="s">
        <v>57</v>
      </c>
      <c r="F559" s="2" t="s">
        <v>104</v>
      </c>
      <c r="G559" s="2" t="s">
        <v>83</v>
      </c>
      <c r="H559" s="2" t="s">
        <v>498</v>
      </c>
      <c r="I559" s="2" t="s">
        <v>47</v>
      </c>
      <c r="J559" s="2" t="s">
        <v>1712</v>
      </c>
      <c r="K559" s="2" t="s">
        <v>1885</v>
      </c>
      <c r="L559" s="2" t="s">
        <v>326</v>
      </c>
      <c r="M559" s="2" t="s">
        <v>1714</v>
      </c>
      <c r="N559" s="16">
        <v>1.7999999999999999E-2</v>
      </c>
      <c r="O559" s="17">
        <f>N559*'Financial Inputs'!$B$3</f>
        <v>1799999.9999999998</v>
      </c>
      <c r="P559" s="18">
        <f>IF(I559="L",'Financial Inputs'!$B$4,IF(I559="M",'Financial Inputs'!$B$5,'Financial Inputs'!$B$6))</f>
        <v>0.4</v>
      </c>
      <c r="Q559" s="17">
        <f>O559*P559</f>
        <v>720000</v>
      </c>
      <c r="R559" s="16">
        <f>'Financial Inputs'!$B$7</f>
        <v>0.35</v>
      </c>
      <c r="S559" s="17">
        <f>Q559*(1-R559)</f>
        <v>468000</v>
      </c>
      <c r="T559" s="18">
        <f>S559/'Financial Inputs'!$B$3</f>
        <v>4.6800000000000001E-3</v>
      </c>
      <c r="U559" s="9" t="s">
        <v>52</v>
      </c>
      <c r="V559" s="3" t="s">
        <v>53</v>
      </c>
    </row>
    <row r="560" spans="1:22">
      <c r="A560" s="2" t="s">
        <v>1886</v>
      </c>
      <c r="B560" s="2" t="s">
        <v>1887</v>
      </c>
      <c r="C560" s="2" t="s">
        <v>1711</v>
      </c>
      <c r="D560" s="2" t="s">
        <v>42</v>
      </c>
      <c r="E560" s="2" t="s">
        <v>65</v>
      </c>
      <c r="F560" s="2" t="s">
        <v>110</v>
      </c>
      <c r="G560" s="2" t="s">
        <v>111</v>
      </c>
      <c r="H560" s="2" t="s">
        <v>498</v>
      </c>
      <c r="I560" s="2" t="s">
        <v>47</v>
      </c>
      <c r="J560" s="2" t="s">
        <v>1712</v>
      </c>
      <c r="K560" s="2" t="s">
        <v>1888</v>
      </c>
      <c r="L560" s="2" t="s">
        <v>330</v>
      </c>
      <c r="M560" s="2" t="s">
        <v>1714</v>
      </c>
      <c r="N560" s="16">
        <v>1.9800000000000002E-2</v>
      </c>
      <c r="O560" s="17">
        <f>N560*'Financial Inputs'!$B$3</f>
        <v>1980000.0000000002</v>
      </c>
      <c r="P560" s="18">
        <f>IF(I560="L",'Financial Inputs'!$B$4,IF(I560="M",'Financial Inputs'!$B$5,'Financial Inputs'!$B$6))</f>
        <v>0.4</v>
      </c>
      <c r="Q560" s="17">
        <f>O560*P560</f>
        <v>792000.00000000012</v>
      </c>
      <c r="R560" s="16">
        <f>'Financial Inputs'!$B$7</f>
        <v>0.35</v>
      </c>
      <c r="S560" s="17">
        <f>Q560*(1-R560)</f>
        <v>514800.00000000012</v>
      </c>
      <c r="T560" s="18">
        <f>S560/'Financial Inputs'!$B$3</f>
        <v>5.1480000000000015E-3</v>
      </c>
      <c r="U560" s="9" t="s">
        <v>52</v>
      </c>
      <c r="V560" s="3" t="s">
        <v>53</v>
      </c>
    </row>
    <row r="561" spans="1:22">
      <c r="A561" s="2" t="s">
        <v>1889</v>
      </c>
      <c r="B561" s="2" t="s">
        <v>1890</v>
      </c>
      <c r="C561" s="2" t="s">
        <v>1711</v>
      </c>
      <c r="D561" s="2" t="s">
        <v>56</v>
      </c>
      <c r="E561" s="2" t="s">
        <v>73</v>
      </c>
      <c r="F561" s="2" t="s">
        <v>117</v>
      </c>
      <c r="G561" s="2" t="s">
        <v>56</v>
      </c>
      <c r="H561" s="2" t="s">
        <v>498</v>
      </c>
      <c r="I561" s="2" t="s">
        <v>47</v>
      </c>
      <c r="J561" s="2" t="s">
        <v>1712</v>
      </c>
      <c r="K561" s="2" t="s">
        <v>1891</v>
      </c>
      <c r="L561" s="2" t="s">
        <v>334</v>
      </c>
      <c r="M561" s="2" t="s">
        <v>1714</v>
      </c>
      <c r="N561" s="16">
        <v>2.1600000000000001E-2</v>
      </c>
      <c r="O561" s="17">
        <f>N561*'Financial Inputs'!$B$3</f>
        <v>2160000</v>
      </c>
      <c r="P561" s="18">
        <f>IF(I561="L",'Financial Inputs'!$B$4,IF(I561="M",'Financial Inputs'!$B$5,'Financial Inputs'!$B$6))</f>
        <v>0.4</v>
      </c>
      <c r="Q561" s="17">
        <f>O561*P561</f>
        <v>864000</v>
      </c>
      <c r="R561" s="16">
        <f>'Financial Inputs'!$B$7</f>
        <v>0.35</v>
      </c>
      <c r="S561" s="17">
        <f>Q561*(1-R561)</f>
        <v>561600</v>
      </c>
      <c r="T561" s="18">
        <f>S561/'Financial Inputs'!$B$3</f>
        <v>5.6160000000000003E-3</v>
      </c>
      <c r="U561" s="9" t="s">
        <v>52</v>
      </c>
      <c r="V561" s="3" t="s">
        <v>53</v>
      </c>
    </row>
    <row r="562" spans="1:22">
      <c r="A562" s="2" t="s">
        <v>1892</v>
      </c>
      <c r="B562" s="2" t="s">
        <v>1893</v>
      </c>
      <c r="C562" s="2" t="s">
        <v>1711</v>
      </c>
      <c r="D562" s="2" t="s">
        <v>80</v>
      </c>
      <c r="E562" s="2" t="s">
        <v>153</v>
      </c>
      <c r="F562" s="2" t="s">
        <v>58</v>
      </c>
      <c r="G562" s="2" t="s">
        <v>83</v>
      </c>
      <c r="H562" s="2" t="s">
        <v>498</v>
      </c>
      <c r="I562" s="2" t="s">
        <v>47</v>
      </c>
      <c r="J562" s="2" t="s">
        <v>1712</v>
      </c>
      <c r="K562" s="2" t="s">
        <v>1894</v>
      </c>
      <c r="L562" s="2" t="s">
        <v>338</v>
      </c>
      <c r="M562" s="2" t="s">
        <v>1714</v>
      </c>
      <c r="N562" s="16">
        <v>1.44E-2</v>
      </c>
      <c r="O562" s="17">
        <f>N562*'Financial Inputs'!$B$3</f>
        <v>1440000</v>
      </c>
      <c r="P562" s="18">
        <f>IF(I562="L",'Financial Inputs'!$B$4,IF(I562="M",'Financial Inputs'!$B$5,'Financial Inputs'!$B$6))</f>
        <v>0.4</v>
      </c>
      <c r="Q562" s="17">
        <f>O562*P562</f>
        <v>576000</v>
      </c>
      <c r="R562" s="16">
        <f>'Financial Inputs'!$B$7</f>
        <v>0.35</v>
      </c>
      <c r="S562" s="17">
        <f>Q562*(1-R562)</f>
        <v>374400</v>
      </c>
      <c r="T562" s="18">
        <f>S562/'Financial Inputs'!$B$3</f>
        <v>3.7439999999999999E-3</v>
      </c>
      <c r="U562" s="9" t="s">
        <v>52</v>
      </c>
      <c r="V562" s="3" t="s">
        <v>53</v>
      </c>
    </row>
    <row r="563" spans="1:22">
      <c r="A563" s="2" t="s">
        <v>1895</v>
      </c>
      <c r="B563" s="2" t="s">
        <v>1896</v>
      </c>
      <c r="C563" s="2" t="s">
        <v>1711</v>
      </c>
      <c r="D563" s="2" t="s">
        <v>127</v>
      </c>
      <c r="E563" s="2" t="s">
        <v>89</v>
      </c>
      <c r="F563" s="2" t="s">
        <v>66</v>
      </c>
      <c r="G563" s="2" t="s">
        <v>111</v>
      </c>
      <c r="H563" s="2" t="s">
        <v>498</v>
      </c>
      <c r="I563" s="2" t="s">
        <v>47</v>
      </c>
      <c r="J563" s="2" t="s">
        <v>1712</v>
      </c>
      <c r="K563" s="2" t="s">
        <v>1897</v>
      </c>
      <c r="L563" s="2" t="s">
        <v>342</v>
      </c>
      <c r="M563" s="2" t="s">
        <v>1714</v>
      </c>
      <c r="N563" s="16">
        <v>1.6199999999999999E-2</v>
      </c>
      <c r="O563" s="17">
        <f>N563*'Financial Inputs'!$B$3</f>
        <v>1620000</v>
      </c>
      <c r="P563" s="18">
        <f>IF(I563="L",'Financial Inputs'!$B$4,IF(I563="M",'Financial Inputs'!$B$5,'Financial Inputs'!$B$6))</f>
        <v>0.4</v>
      </c>
      <c r="Q563" s="17">
        <f>O563*P563</f>
        <v>648000</v>
      </c>
      <c r="R563" s="16">
        <f>'Financial Inputs'!$B$7</f>
        <v>0.35</v>
      </c>
      <c r="S563" s="17">
        <f>Q563*(1-R563)</f>
        <v>421200</v>
      </c>
      <c r="T563" s="18">
        <f>S563/'Financial Inputs'!$B$3</f>
        <v>4.2119999999999996E-3</v>
      </c>
      <c r="U563" s="9" t="s">
        <v>52</v>
      </c>
      <c r="V563" s="3" t="s">
        <v>53</v>
      </c>
    </row>
    <row r="564" spans="1:22">
      <c r="A564" s="2" t="s">
        <v>1898</v>
      </c>
      <c r="B564" s="2" t="s">
        <v>1899</v>
      </c>
      <c r="C564" s="2" t="s">
        <v>1711</v>
      </c>
      <c r="D564" s="2" t="s">
        <v>133</v>
      </c>
      <c r="E564" s="2" t="s">
        <v>96</v>
      </c>
      <c r="F564" s="2" t="s">
        <v>74</v>
      </c>
      <c r="G564" s="2" t="s">
        <v>56</v>
      </c>
      <c r="H564" s="2" t="s">
        <v>498</v>
      </c>
      <c r="I564" s="2" t="s">
        <v>47</v>
      </c>
      <c r="J564" s="2" t="s">
        <v>1712</v>
      </c>
      <c r="K564" s="2" t="s">
        <v>1900</v>
      </c>
      <c r="L564" s="2" t="s">
        <v>346</v>
      </c>
      <c r="M564" s="2" t="s">
        <v>1714</v>
      </c>
      <c r="N564" s="16">
        <v>1.7999999999999999E-2</v>
      </c>
      <c r="O564" s="17">
        <f>N564*'Financial Inputs'!$B$3</f>
        <v>1799999.9999999998</v>
      </c>
      <c r="P564" s="18">
        <f>IF(I564="L",'Financial Inputs'!$B$4,IF(I564="M",'Financial Inputs'!$B$5,'Financial Inputs'!$B$6))</f>
        <v>0.4</v>
      </c>
      <c r="Q564" s="17">
        <f>O564*P564</f>
        <v>720000</v>
      </c>
      <c r="R564" s="16">
        <f>'Financial Inputs'!$B$7</f>
        <v>0.35</v>
      </c>
      <c r="S564" s="17">
        <f>Q564*(1-R564)</f>
        <v>468000</v>
      </c>
      <c r="T564" s="18">
        <f>S564/'Financial Inputs'!$B$3</f>
        <v>4.6800000000000001E-3</v>
      </c>
      <c r="U564" s="9" t="s">
        <v>52</v>
      </c>
      <c r="V564" s="3" t="s">
        <v>53</v>
      </c>
    </row>
    <row r="565" spans="1:22">
      <c r="A565" s="2" t="s">
        <v>1901</v>
      </c>
      <c r="B565" s="2" t="s">
        <v>1902</v>
      </c>
      <c r="C565" s="2" t="s">
        <v>1711</v>
      </c>
      <c r="D565" s="2" t="s">
        <v>88</v>
      </c>
      <c r="E565" s="2" t="s">
        <v>103</v>
      </c>
      <c r="F565" s="2" t="s">
        <v>82</v>
      </c>
      <c r="G565" s="2" t="s">
        <v>138</v>
      </c>
      <c r="H565" s="2" t="s">
        <v>498</v>
      </c>
      <c r="I565" s="2" t="s">
        <v>47</v>
      </c>
      <c r="J565" s="2" t="s">
        <v>1712</v>
      </c>
      <c r="K565" s="2" t="s">
        <v>1903</v>
      </c>
      <c r="L565" s="2" t="s">
        <v>350</v>
      </c>
      <c r="M565" s="2" t="s">
        <v>1714</v>
      </c>
      <c r="N565" s="16">
        <v>1.9800000000000002E-2</v>
      </c>
      <c r="O565" s="17">
        <f>N565*'Financial Inputs'!$B$3</f>
        <v>1980000.0000000002</v>
      </c>
      <c r="P565" s="18">
        <f>IF(I565="L",'Financial Inputs'!$B$4,IF(I565="M",'Financial Inputs'!$B$5,'Financial Inputs'!$B$6))</f>
        <v>0.4</v>
      </c>
      <c r="Q565" s="17">
        <f>O565*P565</f>
        <v>792000.00000000012</v>
      </c>
      <c r="R565" s="16">
        <f>'Financial Inputs'!$B$7</f>
        <v>0.35</v>
      </c>
      <c r="S565" s="17">
        <f>Q565*(1-R565)</f>
        <v>514800.00000000012</v>
      </c>
      <c r="T565" s="18">
        <f>S565/'Financial Inputs'!$B$3</f>
        <v>5.1480000000000015E-3</v>
      </c>
      <c r="U565" s="9" t="s">
        <v>52</v>
      </c>
      <c r="V565" s="3" t="s">
        <v>53</v>
      </c>
    </row>
    <row r="566" spans="1:22">
      <c r="A566" s="2" t="s">
        <v>1904</v>
      </c>
      <c r="B566" s="2" t="s">
        <v>1905</v>
      </c>
      <c r="C566" s="2" t="s">
        <v>1711</v>
      </c>
      <c r="D566" s="2" t="s">
        <v>95</v>
      </c>
      <c r="E566" s="2" t="s">
        <v>109</v>
      </c>
      <c r="F566" s="2" t="s">
        <v>44</v>
      </c>
      <c r="G566" s="2" t="s">
        <v>143</v>
      </c>
      <c r="H566" s="2" t="s">
        <v>498</v>
      </c>
      <c r="I566" s="2" t="s">
        <v>47</v>
      </c>
      <c r="J566" s="2" t="s">
        <v>1712</v>
      </c>
      <c r="K566" s="2" t="s">
        <v>1906</v>
      </c>
      <c r="L566" s="2" t="s">
        <v>354</v>
      </c>
      <c r="M566" s="2" t="s">
        <v>1714</v>
      </c>
      <c r="N566" s="16">
        <v>2.1600000000000001E-2</v>
      </c>
      <c r="O566" s="17">
        <f>N566*'Financial Inputs'!$B$3</f>
        <v>2160000</v>
      </c>
      <c r="P566" s="18">
        <f>IF(I566="L",'Financial Inputs'!$B$4,IF(I566="M",'Financial Inputs'!$B$5,'Financial Inputs'!$B$6))</f>
        <v>0.4</v>
      </c>
      <c r="Q566" s="17">
        <f>O566*P566</f>
        <v>864000</v>
      </c>
      <c r="R566" s="16">
        <f>'Financial Inputs'!$B$7</f>
        <v>0.35</v>
      </c>
      <c r="S566" s="17">
        <f>Q566*(1-R566)</f>
        <v>561600</v>
      </c>
      <c r="T566" s="18">
        <f>S566/'Financial Inputs'!$B$3</f>
        <v>5.6160000000000003E-3</v>
      </c>
      <c r="U566" s="9" t="s">
        <v>52</v>
      </c>
      <c r="V566" s="3" t="s">
        <v>53</v>
      </c>
    </row>
    <row r="567" spans="1:22">
      <c r="A567" s="2" t="s">
        <v>1907</v>
      </c>
      <c r="B567" s="2" t="s">
        <v>1908</v>
      </c>
      <c r="C567" s="2" t="s">
        <v>1711</v>
      </c>
      <c r="D567" s="2" t="s">
        <v>56</v>
      </c>
      <c r="E567" s="2" t="s">
        <v>176</v>
      </c>
      <c r="F567" s="2" t="s">
        <v>97</v>
      </c>
      <c r="G567" s="2" t="s">
        <v>56</v>
      </c>
      <c r="H567" s="2" t="s">
        <v>498</v>
      </c>
      <c r="I567" s="2" t="s">
        <v>47</v>
      </c>
      <c r="J567" s="2" t="s">
        <v>1712</v>
      </c>
      <c r="K567" s="2" t="s">
        <v>1909</v>
      </c>
      <c r="L567" s="2" t="s">
        <v>358</v>
      </c>
      <c r="M567" s="2" t="s">
        <v>1714</v>
      </c>
      <c r="N567" s="16">
        <v>1.44E-2</v>
      </c>
      <c r="O567" s="17">
        <f>N567*'Financial Inputs'!$B$3</f>
        <v>1440000</v>
      </c>
      <c r="P567" s="18">
        <f>IF(I567="L",'Financial Inputs'!$B$4,IF(I567="M",'Financial Inputs'!$B$5,'Financial Inputs'!$B$6))</f>
        <v>0.4</v>
      </c>
      <c r="Q567" s="17">
        <f>O567*P567</f>
        <v>576000</v>
      </c>
      <c r="R567" s="16">
        <f>'Financial Inputs'!$B$7</f>
        <v>0.35</v>
      </c>
      <c r="S567" s="17">
        <f>Q567*(1-R567)</f>
        <v>374400</v>
      </c>
      <c r="T567" s="18">
        <f>S567/'Financial Inputs'!$B$3</f>
        <v>3.7439999999999999E-3</v>
      </c>
      <c r="U567" s="9" t="s">
        <v>52</v>
      </c>
      <c r="V567" s="3" t="s">
        <v>53</v>
      </c>
    </row>
    <row r="568" spans="1:22">
      <c r="A568" s="2" t="s">
        <v>1910</v>
      </c>
      <c r="B568" s="2" t="s">
        <v>1911</v>
      </c>
      <c r="C568" s="2" t="s">
        <v>1711</v>
      </c>
      <c r="D568" s="2" t="s">
        <v>64</v>
      </c>
      <c r="E568" s="2" t="s">
        <v>122</v>
      </c>
      <c r="F568" s="2" t="s">
        <v>104</v>
      </c>
      <c r="G568" s="2" t="s">
        <v>138</v>
      </c>
      <c r="H568" s="2" t="s">
        <v>498</v>
      </c>
      <c r="I568" s="2" t="s">
        <v>47</v>
      </c>
      <c r="J568" s="2" t="s">
        <v>1712</v>
      </c>
      <c r="K568" s="2" t="s">
        <v>1912</v>
      </c>
      <c r="L568" s="2" t="s">
        <v>362</v>
      </c>
      <c r="M568" s="2" t="s">
        <v>1714</v>
      </c>
      <c r="N568" s="16">
        <v>1.6199999999999999E-2</v>
      </c>
      <c r="O568" s="17">
        <f>N568*'Financial Inputs'!$B$3</f>
        <v>1620000</v>
      </c>
      <c r="P568" s="18">
        <f>IF(I568="L",'Financial Inputs'!$B$4,IF(I568="M",'Financial Inputs'!$B$5,'Financial Inputs'!$B$6))</f>
        <v>0.4</v>
      </c>
      <c r="Q568" s="17">
        <f>O568*P568</f>
        <v>648000</v>
      </c>
      <c r="R568" s="16">
        <f>'Financial Inputs'!$B$7</f>
        <v>0.35</v>
      </c>
      <c r="S568" s="17">
        <f>Q568*(1-R568)</f>
        <v>421200</v>
      </c>
      <c r="T568" s="18">
        <f>S568/'Financial Inputs'!$B$3</f>
        <v>4.2119999999999996E-3</v>
      </c>
      <c r="U568" s="9" t="s">
        <v>52</v>
      </c>
      <c r="V568" s="3" t="s">
        <v>53</v>
      </c>
    </row>
    <row r="569" spans="1:22">
      <c r="A569" s="2" t="s">
        <v>1913</v>
      </c>
      <c r="B569" s="2" t="s">
        <v>1914</v>
      </c>
      <c r="C569" s="2" t="s">
        <v>1711</v>
      </c>
      <c r="D569" s="2" t="s">
        <v>72</v>
      </c>
      <c r="E569" s="2" t="s">
        <v>128</v>
      </c>
      <c r="F569" s="2" t="s">
        <v>110</v>
      </c>
      <c r="G569" s="2" t="s">
        <v>143</v>
      </c>
      <c r="H569" s="2" t="s">
        <v>498</v>
      </c>
      <c r="I569" s="2" t="s">
        <v>47</v>
      </c>
      <c r="J569" s="2" t="s">
        <v>1712</v>
      </c>
      <c r="K569" s="2" t="s">
        <v>1915</v>
      </c>
      <c r="L569" s="2" t="s">
        <v>366</v>
      </c>
      <c r="M569" s="2" t="s">
        <v>1714</v>
      </c>
      <c r="N569" s="16">
        <v>1.7999999999999999E-2</v>
      </c>
      <c r="O569" s="17">
        <f>N569*'Financial Inputs'!$B$3</f>
        <v>1799999.9999999998</v>
      </c>
      <c r="P569" s="18">
        <f>IF(I569="L",'Financial Inputs'!$B$4,IF(I569="M",'Financial Inputs'!$B$5,'Financial Inputs'!$B$6))</f>
        <v>0.4</v>
      </c>
      <c r="Q569" s="17">
        <f>O569*P569</f>
        <v>720000</v>
      </c>
      <c r="R569" s="16">
        <f>'Financial Inputs'!$B$7</f>
        <v>0.35</v>
      </c>
      <c r="S569" s="17">
        <f>Q569*(1-R569)</f>
        <v>468000</v>
      </c>
      <c r="T569" s="18">
        <f>S569/'Financial Inputs'!$B$3</f>
        <v>4.6800000000000001E-3</v>
      </c>
      <c r="U569" s="9" t="s">
        <v>52</v>
      </c>
      <c r="V569" s="3" t="s">
        <v>53</v>
      </c>
    </row>
    <row r="570" spans="1:22">
      <c r="A570" s="2" t="s">
        <v>1916</v>
      </c>
      <c r="B570" s="2" t="s">
        <v>1917</v>
      </c>
      <c r="C570" s="2" t="s">
        <v>1711</v>
      </c>
      <c r="D570" s="2" t="s">
        <v>80</v>
      </c>
      <c r="E570" s="2" t="s">
        <v>43</v>
      </c>
      <c r="F570" s="2" t="s">
        <v>117</v>
      </c>
      <c r="G570" s="2" t="s">
        <v>162</v>
      </c>
      <c r="H570" s="2" t="s">
        <v>498</v>
      </c>
      <c r="I570" s="2" t="s">
        <v>47</v>
      </c>
      <c r="J570" s="2" t="s">
        <v>1712</v>
      </c>
      <c r="K570" s="2" t="s">
        <v>1918</v>
      </c>
      <c r="L570" s="2" t="s">
        <v>370</v>
      </c>
      <c r="M570" s="2" t="s">
        <v>1714</v>
      </c>
      <c r="N570" s="16">
        <v>1.9800000000000002E-2</v>
      </c>
      <c r="O570" s="17">
        <f>N570*'Financial Inputs'!$B$3</f>
        <v>1980000.0000000002</v>
      </c>
      <c r="P570" s="18">
        <f>IF(I570="L",'Financial Inputs'!$B$4,IF(I570="M",'Financial Inputs'!$B$5,'Financial Inputs'!$B$6))</f>
        <v>0.4</v>
      </c>
      <c r="Q570" s="17">
        <f>O570*P570</f>
        <v>792000.00000000012</v>
      </c>
      <c r="R570" s="16">
        <f>'Financial Inputs'!$B$7</f>
        <v>0.35</v>
      </c>
      <c r="S570" s="17">
        <f>Q570*(1-R570)</f>
        <v>514800.00000000012</v>
      </c>
      <c r="T570" s="18">
        <f>S570/'Financial Inputs'!$B$3</f>
        <v>5.1480000000000015E-3</v>
      </c>
      <c r="U570" s="9" t="s">
        <v>52</v>
      </c>
      <c r="V570" s="3" t="s">
        <v>53</v>
      </c>
    </row>
    <row r="571" spans="1:22">
      <c r="A571" s="2" t="s">
        <v>1919</v>
      </c>
      <c r="B571" s="2" t="s">
        <v>1920</v>
      </c>
      <c r="C571" s="2" t="s">
        <v>1711</v>
      </c>
      <c r="D571" s="2" t="s">
        <v>127</v>
      </c>
      <c r="E571" s="2" t="s">
        <v>57</v>
      </c>
      <c r="F571" s="2" t="s">
        <v>90</v>
      </c>
      <c r="G571" s="2" t="s">
        <v>45</v>
      </c>
      <c r="H571" s="2" t="s">
        <v>498</v>
      </c>
      <c r="I571" s="2" t="s">
        <v>47</v>
      </c>
      <c r="J571" s="2" t="s">
        <v>1712</v>
      </c>
      <c r="K571" s="2" t="s">
        <v>1921</v>
      </c>
      <c r="L571" s="2" t="s">
        <v>374</v>
      </c>
      <c r="M571" s="2" t="s">
        <v>1714</v>
      </c>
      <c r="N571" s="16">
        <v>2.1600000000000001E-2</v>
      </c>
      <c r="O571" s="17">
        <f>N571*'Financial Inputs'!$B$3</f>
        <v>2160000</v>
      </c>
      <c r="P571" s="18">
        <f>IF(I571="L",'Financial Inputs'!$B$4,IF(I571="M",'Financial Inputs'!$B$5,'Financial Inputs'!$B$6))</f>
        <v>0.4</v>
      </c>
      <c r="Q571" s="17">
        <f>O571*P571</f>
        <v>864000</v>
      </c>
      <c r="R571" s="16">
        <f>'Financial Inputs'!$B$7</f>
        <v>0.35</v>
      </c>
      <c r="S571" s="17">
        <f>Q571*(1-R571)</f>
        <v>561600</v>
      </c>
      <c r="T571" s="18">
        <f>S571/'Financial Inputs'!$B$3</f>
        <v>5.6160000000000003E-3</v>
      </c>
      <c r="U571" s="9" t="s">
        <v>52</v>
      </c>
      <c r="V571" s="3" t="s">
        <v>53</v>
      </c>
    </row>
    <row r="572" spans="1:22">
      <c r="A572" s="2" t="s">
        <v>1922</v>
      </c>
      <c r="B572" s="2" t="s">
        <v>1923</v>
      </c>
      <c r="C572" s="2" t="s">
        <v>1711</v>
      </c>
      <c r="D572" s="2" t="s">
        <v>95</v>
      </c>
      <c r="E572" s="2" t="s">
        <v>198</v>
      </c>
      <c r="F572" s="2" t="s">
        <v>66</v>
      </c>
      <c r="G572" s="2" t="s">
        <v>143</v>
      </c>
      <c r="H572" s="2" t="s">
        <v>498</v>
      </c>
      <c r="I572" s="2" t="s">
        <v>47</v>
      </c>
      <c r="J572" s="2" t="s">
        <v>1712</v>
      </c>
      <c r="K572" s="2" t="s">
        <v>1924</v>
      </c>
      <c r="L572" s="2" t="s">
        <v>378</v>
      </c>
      <c r="M572" s="2" t="s">
        <v>1714</v>
      </c>
      <c r="N572" s="16">
        <v>1.44E-2</v>
      </c>
      <c r="O572" s="17">
        <f>N572*'Financial Inputs'!$B$3</f>
        <v>1440000</v>
      </c>
      <c r="P572" s="18">
        <f>IF(I572="L",'Financial Inputs'!$B$4,IF(I572="M",'Financial Inputs'!$B$5,'Financial Inputs'!$B$6))</f>
        <v>0.4</v>
      </c>
      <c r="Q572" s="17">
        <f>O572*P572</f>
        <v>576000</v>
      </c>
      <c r="R572" s="16">
        <f>'Financial Inputs'!$B$7</f>
        <v>0.35</v>
      </c>
      <c r="S572" s="17">
        <f>Q572*(1-R572)</f>
        <v>374400</v>
      </c>
      <c r="T572" s="18">
        <f>S572/'Financial Inputs'!$B$3</f>
        <v>3.7439999999999999E-3</v>
      </c>
      <c r="U572" s="9" t="s">
        <v>52</v>
      </c>
      <c r="V572" s="3" t="s">
        <v>53</v>
      </c>
    </row>
    <row r="573" spans="1:22">
      <c r="A573" s="2" t="s">
        <v>1925</v>
      </c>
      <c r="B573" s="2" t="s">
        <v>1926</v>
      </c>
      <c r="C573" s="2" t="s">
        <v>1711</v>
      </c>
      <c r="D573" s="2" t="s">
        <v>102</v>
      </c>
      <c r="E573" s="2" t="s">
        <v>148</v>
      </c>
      <c r="F573" s="2" t="s">
        <v>74</v>
      </c>
      <c r="G573" s="2" t="s">
        <v>162</v>
      </c>
      <c r="H573" s="2" t="s">
        <v>498</v>
      </c>
      <c r="I573" s="2" t="s">
        <v>47</v>
      </c>
      <c r="J573" s="2" t="s">
        <v>1712</v>
      </c>
      <c r="K573" s="2" t="s">
        <v>1927</v>
      </c>
      <c r="L573" s="2" t="s">
        <v>382</v>
      </c>
      <c r="M573" s="2" t="s">
        <v>1714</v>
      </c>
      <c r="N573" s="16">
        <v>1.6199999999999999E-2</v>
      </c>
      <c r="O573" s="17">
        <f>N573*'Financial Inputs'!$B$3</f>
        <v>1620000</v>
      </c>
      <c r="P573" s="18">
        <f>IF(I573="L",'Financial Inputs'!$B$4,IF(I573="M",'Financial Inputs'!$B$5,'Financial Inputs'!$B$6))</f>
        <v>0.4</v>
      </c>
      <c r="Q573" s="17">
        <f>O573*P573</f>
        <v>648000</v>
      </c>
      <c r="R573" s="16">
        <f>'Financial Inputs'!$B$7</f>
        <v>0.35</v>
      </c>
      <c r="S573" s="17">
        <f>Q573*(1-R573)</f>
        <v>421200</v>
      </c>
      <c r="T573" s="18">
        <f>S573/'Financial Inputs'!$B$3</f>
        <v>4.2119999999999996E-3</v>
      </c>
      <c r="U573" s="9" t="s">
        <v>52</v>
      </c>
      <c r="V573" s="3" t="s">
        <v>53</v>
      </c>
    </row>
    <row r="574" spans="1:22">
      <c r="A574" s="2" t="s">
        <v>1928</v>
      </c>
      <c r="B574" s="2" t="s">
        <v>1929</v>
      </c>
      <c r="C574" s="2" t="s">
        <v>1711</v>
      </c>
      <c r="D574" s="2" t="s">
        <v>42</v>
      </c>
      <c r="E574" s="2" t="s">
        <v>153</v>
      </c>
      <c r="F574" s="2" t="s">
        <v>82</v>
      </c>
      <c r="G574" s="2" t="s">
        <v>45</v>
      </c>
      <c r="H574" s="2" t="s">
        <v>498</v>
      </c>
      <c r="I574" s="2" t="s">
        <v>47</v>
      </c>
      <c r="J574" s="2" t="s">
        <v>1712</v>
      </c>
      <c r="K574" s="2" t="s">
        <v>1930</v>
      </c>
      <c r="L574" s="2" t="s">
        <v>386</v>
      </c>
      <c r="M574" s="2" t="s">
        <v>1714</v>
      </c>
      <c r="N574" s="16">
        <v>1.7999999999999999E-2</v>
      </c>
      <c r="O574" s="17">
        <f>N574*'Financial Inputs'!$B$3</f>
        <v>1799999.9999999998</v>
      </c>
      <c r="P574" s="18">
        <f>IF(I574="L",'Financial Inputs'!$B$4,IF(I574="M",'Financial Inputs'!$B$5,'Financial Inputs'!$B$6))</f>
        <v>0.4</v>
      </c>
      <c r="Q574" s="17">
        <f>O574*P574</f>
        <v>720000</v>
      </c>
      <c r="R574" s="16">
        <f>'Financial Inputs'!$B$7</f>
        <v>0.35</v>
      </c>
      <c r="S574" s="17">
        <f>Q574*(1-R574)</f>
        <v>468000</v>
      </c>
      <c r="T574" s="18">
        <f>S574/'Financial Inputs'!$B$3</f>
        <v>4.6800000000000001E-3</v>
      </c>
      <c r="U574" s="9" t="s">
        <v>52</v>
      </c>
      <c r="V574" s="3" t="s">
        <v>53</v>
      </c>
    </row>
    <row r="575" spans="1:22">
      <c r="A575" s="2" t="s">
        <v>1931</v>
      </c>
      <c r="B575" s="2" t="s">
        <v>1932</v>
      </c>
      <c r="C575" s="2" t="s">
        <v>1711</v>
      </c>
      <c r="D575" s="2" t="s">
        <v>56</v>
      </c>
      <c r="E575" s="2" t="s">
        <v>89</v>
      </c>
      <c r="F575" s="2" t="s">
        <v>44</v>
      </c>
      <c r="G575" s="2" t="s">
        <v>59</v>
      </c>
      <c r="H575" s="2" t="s">
        <v>498</v>
      </c>
      <c r="I575" s="2" t="s">
        <v>47</v>
      </c>
      <c r="J575" s="2" t="s">
        <v>1712</v>
      </c>
      <c r="K575" s="2" t="s">
        <v>1933</v>
      </c>
      <c r="L575" s="2" t="s">
        <v>390</v>
      </c>
      <c r="M575" s="2" t="s">
        <v>1714</v>
      </c>
      <c r="N575" s="16">
        <v>1.9800000000000002E-2</v>
      </c>
      <c r="O575" s="17">
        <f>N575*'Financial Inputs'!$B$3</f>
        <v>1980000.0000000002</v>
      </c>
      <c r="P575" s="18">
        <f>IF(I575="L",'Financial Inputs'!$B$4,IF(I575="M",'Financial Inputs'!$B$5,'Financial Inputs'!$B$6))</f>
        <v>0.4</v>
      </c>
      <c r="Q575" s="17">
        <f>O575*P575</f>
        <v>792000.00000000012</v>
      </c>
      <c r="R575" s="16">
        <f>'Financial Inputs'!$B$7</f>
        <v>0.35</v>
      </c>
      <c r="S575" s="17">
        <f>Q575*(1-R575)</f>
        <v>514800.00000000012</v>
      </c>
      <c r="T575" s="18">
        <f>S575/'Financial Inputs'!$B$3</f>
        <v>5.1480000000000015E-3</v>
      </c>
      <c r="U575" s="9" t="s">
        <v>52</v>
      </c>
      <c r="V575" s="3" t="s">
        <v>53</v>
      </c>
    </row>
    <row r="576" spans="1:22">
      <c r="A576" s="2" t="s">
        <v>1934</v>
      </c>
      <c r="B576" s="2" t="s">
        <v>1935</v>
      </c>
      <c r="C576" s="2" t="s">
        <v>1711</v>
      </c>
      <c r="D576" s="2" t="s">
        <v>64</v>
      </c>
      <c r="E576" s="2" t="s">
        <v>96</v>
      </c>
      <c r="F576" s="2" t="s">
        <v>58</v>
      </c>
      <c r="G576" s="2" t="s">
        <v>67</v>
      </c>
      <c r="H576" s="2" t="s">
        <v>498</v>
      </c>
      <c r="I576" s="2" t="s">
        <v>47</v>
      </c>
      <c r="J576" s="2" t="s">
        <v>1712</v>
      </c>
      <c r="K576" s="2" t="s">
        <v>1936</v>
      </c>
      <c r="L576" s="2" t="s">
        <v>394</v>
      </c>
      <c r="M576" s="2" t="s">
        <v>1714</v>
      </c>
      <c r="N576" s="16">
        <v>2.1600000000000001E-2</v>
      </c>
      <c r="O576" s="17">
        <f>N576*'Financial Inputs'!$B$3</f>
        <v>2160000</v>
      </c>
      <c r="P576" s="18">
        <f>IF(I576="L",'Financial Inputs'!$B$4,IF(I576="M",'Financial Inputs'!$B$5,'Financial Inputs'!$B$6))</f>
        <v>0.4</v>
      </c>
      <c r="Q576" s="17">
        <f>O576*P576</f>
        <v>864000</v>
      </c>
      <c r="R576" s="16">
        <f>'Financial Inputs'!$B$7</f>
        <v>0.35</v>
      </c>
      <c r="S576" s="17">
        <f>Q576*(1-R576)</f>
        <v>561600</v>
      </c>
      <c r="T576" s="18">
        <f>S576/'Financial Inputs'!$B$3</f>
        <v>5.6160000000000003E-3</v>
      </c>
      <c r="U576" s="9" t="s">
        <v>52</v>
      </c>
      <c r="V576" s="3" t="s">
        <v>53</v>
      </c>
    </row>
    <row r="577" spans="1:22">
      <c r="A577" s="2" t="s">
        <v>1937</v>
      </c>
      <c r="B577" s="2" t="s">
        <v>1938</v>
      </c>
      <c r="C577" s="2" t="s">
        <v>1711</v>
      </c>
      <c r="D577" s="2" t="s">
        <v>127</v>
      </c>
      <c r="E577" s="2" t="s">
        <v>220</v>
      </c>
      <c r="F577" s="2" t="s">
        <v>104</v>
      </c>
      <c r="G577" s="2" t="s">
        <v>45</v>
      </c>
      <c r="H577" s="2" t="s">
        <v>498</v>
      </c>
      <c r="I577" s="2" t="s">
        <v>47</v>
      </c>
      <c r="J577" s="2" t="s">
        <v>1712</v>
      </c>
      <c r="K577" s="2" t="s">
        <v>1939</v>
      </c>
      <c r="L577" s="2" t="s">
        <v>398</v>
      </c>
      <c r="M577" s="2" t="s">
        <v>1714</v>
      </c>
      <c r="N577" s="16">
        <v>1.44E-2</v>
      </c>
      <c r="O577" s="17">
        <f>N577*'Financial Inputs'!$B$3</f>
        <v>1440000</v>
      </c>
      <c r="P577" s="18">
        <f>IF(I577="L",'Financial Inputs'!$B$4,IF(I577="M",'Financial Inputs'!$B$5,'Financial Inputs'!$B$6))</f>
        <v>0.4</v>
      </c>
      <c r="Q577" s="17">
        <f>O577*P577</f>
        <v>576000</v>
      </c>
      <c r="R577" s="16">
        <f>'Financial Inputs'!$B$7</f>
        <v>0.35</v>
      </c>
      <c r="S577" s="17">
        <f>Q577*(1-R577)</f>
        <v>374400</v>
      </c>
      <c r="T577" s="18">
        <f>S577/'Financial Inputs'!$B$3</f>
        <v>3.7439999999999999E-3</v>
      </c>
      <c r="U577" s="9" t="s">
        <v>52</v>
      </c>
      <c r="V577" s="3" t="s">
        <v>53</v>
      </c>
    </row>
    <row r="578" spans="1:22">
      <c r="A578" s="2" t="s">
        <v>1940</v>
      </c>
      <c r="B578" s="2" t="s">
        <v>1941</v>
      </c>
      <c r="C578" s="2" t="s">
        <v>1711</v>
      </c>
      <c r="D578" s="2" t="s">
        <v>133</v>
      </c>
      <c r="E578" s="2" t="s">
        <v>171</v>
      </c>
      <c r="F578" s="2" t="s">
        <v>110</v>
      </c>
      <c r="G578" s="2" t="s">
        <v>59</v>
      </c>
      <c r="H578" s="2" t="s">
        <v>498</v>
      </c>
      <c r="I578" s="2" t="s">
        <v>47</v>
      </c>
      <c r="J578" s="2" t="s">
        <v>1712</v>
      </c>
      <c r="K578" s="2" t="s">
        <v>1942</v>
      </c>
      <c r="L578" s="2" t="s">
        <v>402</v>
      </c>
      <c r="M578" s="2" t="s">
        <v>1714</v>
      </c>
      <c r="N578" s="16">
        <v>1.6199999999999999E-2</v>
      </c>
      <c r="O578" s="17">
        <f>N578*'Financial Inputs'!$B$3</f>
        <v>1620000</v>
      </c>
      <c r="P578" s="18">
        <f>IF(I578="L",'Financial Inputs'!$B$4,IF(I578="M",'Financial Inputs'!$B$5,'Financial Inputs'!$B$6))</f>
        <v>0.4</v>
      </c>
      <c r="Q578" s="17">
        <f>O578*P578</f>
        <v>648000</v>
      </c>
      <c r="R578" s="16">
        <f>'Financial Inputs'!$B$7</f>
        <v>0.35</v>
      </c>
      <c r="S578" s="17">
        <f>Q578*(1-R578)</f>
        <v>421200</v>
      </c>
      <c r="T578" s="18">
        <f>S578/'Financial Inputs'!$B$3</f>
        <v>4.2119999999999996E-3</v>
      </c>
      <c r="U578" s="9" t="s">
        <v>52</v>
      </c>
      <c r="V578" s="3" t="s">
        <v>53</v>
      </c>
    </row>
    <row r="579" spans="1:22">
      <c r="A579" s="2" t="s">
        <v>1943</v>
      </c>
      <c r="B579" s="2" t="s">
        <v>1944</v>
      </c>
      <c r="C579" s="2" t="s">
        <v>1711</v>
      </c>
      <c r="D579" s="2" t="s">
        <v>88</v>
      </c>
      <c r="E579" s="2" t="s">
        <v>176</v>
      </c>
      <c r="F579" s="2" t="s">
        <v>117</v>
      </c>
      <c r="G579" s="2" t="s">
        <v>67</v>
      </c>
      <c r="H579" s="2" t="s">
        <v>498</v>
      </c>
      <c r="I579" s="2" t="s">
        <v>47</v>
      </c>
      <c r="J579" s="2" t="s">
        <v>1712</v>
      </c>
      <c r="K579" s="2" t="s">
        <v>1945</v>
      </c>
      <c r="L579" s="2" t="s">
        <v>406</v>
      </c>
      <c r="M579" s="2" t="s">
        <v>1714</v>
      </c>
      <c r="N579" s="16">
        <v>1.7999999999999999E-2</v>
      </c>
      <c r="O579" s="17">
        <f>N579*'Financial Inputs'!$B$3</f>
        <v>1799999.9999999998</v>
      </c>
      <c r="P579" s="18">
        <f>IF(I579="L",'Financial Inputs'!$B$4,IF(I579="M",'Financial Inputs'!$B$5,'Financial Inputs'!$B$6))</f>
        <v>0.4</v>
      </c>
      <c r="Q579" s="17">
        <f>O579*P579</f>
        <v>720000</v>
      </c>
      <c r="R579" s="16">
        <f>'Financial Inputs'!$B$7</f>
        <v>0.35</v>
      </c>
      <c r="S579" s="17">
        <f>Q579*(1-R579)</f>
        <v>468000</v>
      </c>
      <c r="T579" s="18">
        <f>S579/'Financial Inputs'!$B$3</f>
        <v>4.6800000000000001E-3</v>
      </c>
      <c r="U579" s="9" t="s">
        <v>52</v>
      </c>
      <c r="V579" s="3" t="s">
        <v>53</v>
      </c>
    </row>
    <row r="580" spans="1:22">
      <c r="A580" s="2" t="s">
        <v>1946</v>
      </c>
      <c r="B580" s="2" t="s">
        <v>1947</v>
      </c>
      <c r="C580" s="2" t="s">
        <v>1711</v>
      </c>
      <c r="D580" s="2" t="s">
        <v>95</v>
      </c>
      <c r="E580" s="2" t="s">
        <v>122</v>
      </c>
      <c r="F580" s="2" t="s">
        <v>90</v>
      </c>
      <c r="G580" s="2" t="s">
        <v>75</v>
      </c>
      <c r="H580" s="2" t="s">
        <v>498</v>
      </c>
      <c r="I580" s="2" t="s">
        <v>47</v>
      </c>
      <c r="J580" s="2" t="s">
        <v>1712</v>
      </c>
      <c r="K580" s="2" t="s">
        <v>1948</v>
      </c>
      <c r="L580" s="2" t="s">
        <v>410</v>
      </c>
      <c r="M580" s="2" t="s">
        <v>1714</v>
      </c>
      <c r="N580" s="16">
        <v>1.9800000000000002E-2</v>
      </c>
      <c r="O580" s="17">
        <f>N580*'Financial Inputs'!$B$3</f>
        <v>1980000.0000000002</v>
      </c>
      <c r="P580" s="18">
        <f>IF(I580="L",'Financial Inputs'!$B$4,IF(I580="M",'Financial Inputs'!$B$5,'Financial Inputs'!$B$6))</f>
        <v>0.4</v>
      </c>
      <c r="Q580" s="17">
        <f>O580*P580</f>
        <v>792000.00000000012</v>
      </c>
      <c r="R580" s="16">
        <f>'Financial Inputs'!$B$7</f>
        <v>0.35</v>
      </c>
      <c r="S580" s="17">
        <f>Q580*(1-R580)</f>
        <v>514800.00000000012</v>
      </c>
      <c r="T580" s="18">
        <f>S580/'Financial Inputs'!$B$3</f>
        <v>5.1480000000000015E-3</v>
      </c>
      <c r="U580" s="9" t="s">
        <v>52</v>
      </c>
      <c r="V580" s="3" t="s">
        <v>53</v>
      </c>
    </row>
    <row r="581" spans="1:22">
      <c r="A581" s="2" t="s">
        <v>1949</v>
      </c>
      <c r="B581" s="2" t="s">
        <v>1950</v>
      </c>
      <c r="C581" s="2" t="s">
        <v>1711</v>
      </c>
      <c r="D581" s="2" t="s">
        <v>102</v>
      </c>
      <c r="E581" s="2" t="s">
        <v>128</v>
      </c>
      <c r="F581" s="2" t="s">
        <v>97</v>
      </c>
      <c r="G581" s="2" t="s">
        <v>83</v>
      </c>
      <c r="H581" s="2" t="s">
        <v>498</v>
      </c>
      <c r="I581" s="2" t="s">
        <v>47</v>
      </c>
      <c r="J581" s="2" t="s">
        <v>1712</v>
      </c>
      <c r="K581" s="2" t="s">
        <v>1951</v>
      </c>
      <c r="L581" s="2" t="s">
        <v>414</v>
      </c>
      <c r="M581" s="2" t="s">
        <v>1714</v>
      </c>
      <c r="N581" s="16">
        <v>2.1600000000000001E-2</v>
      </c>
      <c r="O581" s="17">
        <f>N581*'Financial Inputs'!$B$3</f>
        <v>2160000</v>
      </c>
      <c r="P581" s="18">
        <f>IF(I581="L",'Financial Inputs'!$B$4,IF(I581="M",'Financial Inputs'!$B$5,'Financial Inputs'!$B$6))</f>
        <v>0.4</v>
      </c>
      <c r="Q581" s="17">
        <f>O581*P581</f>
        <v>864000</v>
      </c>
      <c r="R581" s="16">
        <f>'Financial Inputs'!$B$7</f>
        <v>0.35</v>
      </c>
      <c r="S581" s="17">
        <f>Q581*(1-R581)</f>
        <v>561600</v>
      </c>
      <c r="T581" s="18">
        <f>S581/'Financial Inputs'!$B$3</f>
        <v>5.6160000000000003E-3</v>
      </c>
      <c r="U581" s="9" t="s">
        <v>52</v>
      </c>
      <c r="V581" s="3" t="s">
        <v>53</v>
      </c>
    </row>
    <row r="582" spans="1:22">
      <c r="A582" s="2" t="s">
        <v>1952</v>
      </c>
      <c r="B582" s="2" t="s">
        <v>1953</v>
      </c>
      <c r="C582" s="2" t="s">
        <v>1711</v>
      </c>
      <c r="D582" s="2" t="s">
        <v>64</v>
      </c>
      <c r="E582" s="2" t="s">
        <v>81</v>
      </c>
      <c r="F582" s="2" t="s">
        <v>74</v>
      </c>
      <c r="G582" s="2" t="s">
        <v>67</v>
      </c>
      <c r="H582" s="2" t="s">
        <v>498</v>
      </c>
      <c r="I582" s="2" t="s">
        <v>47</v>
      </c>
      <c r="J582" s="2" t="s">
        <v>1712</v>
      </c>
      <c r="K582" s="2" t="s">
        <v>1954</v>
      </c>
      <c r="L582" s="2" t="s">
        <v>418</v>
      </c>
      <c r="M582" s="2" t="s">
        <v>1714</v>
      </c>
      <c r="N582" s="16">
        <v>1.44E-2</v>
      </c>
      <c r="O582" s="17">
        <f>N582*'Financial Inputs'!$B$3</f>
        <v>1440000</v>
      </c>
      <c r="P582" s="18">
        <f>IF(I582="L",'Financial Inputs'!$B$4,IF(I582="M",'Financial Inputs'!$B$5,'Financial Inputs'!$B$6))</f>
        <v>0.4</v>
      </c>
      <c r="Q582" s="17">
        <f>O582*P582</f>
        <v>576000</v>
      </c>
      <c r="R582" s="16">
        <f>'Financial Inputs'!$B$7</f>
        <v>0.35</v>
      </c>
      <c r="S582" s="17">
        <f>Q582*(1-R582)</f>
        <v>374400</v>
      </c>
      <c r="T582" s="18">
        <f>S582/'Financial Inputs'!$B$3</f>
        <v>3.7439999999999999E-3</v>
      </c>
      <c r="U582" s="9" t="s">
        <v>52</v>
      </c>
      <c r="V582" s="3" t="s">
        <v>53</v>
      </c>
    </row>
    <row r="583" spans="1:22">
      <c r="A583" s="2" t="s">
        <v>1955</v>
      </c>
      <c r="B583" s="2" t="s">
        <v>1956</v>
      </c>
      <c r="C583" s="2" t="s">
        <v>1711</v>
      </c>
      <c r="D583" s="2" t="s">
        <v>72</v>
      </c>
      <c r="E583" s="2" t="s">
        <v>193</v>
      </c>
      <c r="F583" s="2" t="s">
        <v>82</v>
      </c>
      <c r="G583" s="2" t="s">
        <v>75</v>
      </c>
      <c r="H583" s="2" t="s">
        <v>498</v>
      </c>
      <c r="I583" s="2" t="s">
        <v>47</v>
      </c>
      <c r="J583" s="2" t="s">
        <v>1712</v>
      </c>
      <c r="K583" s="2" t="s">
        <v>1957</v>
      </c>
      <c r="L583" s="2" t="s">
        <v>422</v>
      </c>
      <c r="M583" s="2" t="s">
        <v>1714</v>
      </c>
      <c r="N583" s="16">
        <v>1.6199999999999999E-2</v>
      </c>
      <c r="O583" s="17">
        <f>N583*'Financial Inputs'!$B$3</f>
        <v>1620000</v>
      </c>
      <c r="P583" s="18">
        <f>IF(I583="L",'Financial Inputs'!$B$4,IF(I583="M",'Financial Inputs'!$B$5,'Financial Inputs'!$B$6))</f>
        <v>0.4</v>
      </c>
      <c r="Q583" s="17">
        <f>O583*P583</f>
        <v>648000</v>
      </c>
      <c r="R583" s="16">
        <f>'Financial Inputs'!$B$7</f>
        <v>0.35</v>
      </c>
      <c r="S583" s="17">
        <f>Q583*(1-R583)</f>
        <v>421200</v>
      </c>
      <c r="T583" s="18">
        <f>S583/'Financial Inputs'!$B$3</f>
        <v>4.2119999999999996E-3</v>
      </c>
      <c r="U583" s="9" t="s">
        <v>52</v>
      </c>
      <c r="V583" s="3" t="s">
        <v>53</v>
      </c>
    </row>
    <row r="584" spans="1:22">
      <c r="A584" s="2" t="s">
        <v>1958</v>
      </c>
      <c r="B584" s="2" t="s">
        <v>1959</v>
      </c>
      <c r="C584" s="2" t="s">
        <v>1711</v>
      </c>
      <c r="D584" s="2" t="s">
        <v>80</v>
      </c>
      <c r="E584" s="2" t="s">
        <v>198</v>
      </c>
      <c r="F584" s="2" t="s">
        <v>44</v>
      </c>
      <c r="G584" s="2" t="s">
        <v>83</v>
      </c>
      <c r="H584" s="2" t="s">
        <v>498</v>
      </c>
      <c r="I584" s="2" t="s">
        <v>47</v>
      </c>
      <c r="J584" s="2" t="s">
        <v>1712</v>
      </c>
      <c r="K584" s="2" t="s">
        <v>1960</v>
      </c>
      <c r="L584" s="2" t="s">
        <v>426</v>
      </c>
      <c r="M584" s="2" t="s">
        <v>1714</v>
      </c>
      <c r="N584" s="16">
        <v>1.7999999999999999E-2</v>
      </c>
      <c r="O584" s="17">
        <f>N584*'Financial Inputs'!$B$3</f>
        <v>1799999.9999999998</v>
      </c>
      <c r="P584" s="18">
        <f>IF(I584="L",'Financial Inputs'!$B$4,IF(I584="M",'Financial Inputs'!$B$5,'Financial Inputs'!$B$6))</f>
        <v>0.4</v>
      </c>
      <c r="Q584" s="17">
        <f>O584*P584</f>
        <v>720000</v>
      </c>
      <c r="R584" s="16">
        <f>'Financial Inputs'!$B$7</f>
        <v>0.35</v>
      </c>
      <c r="S584" s="17">
        <f>Q584*(1-R584)</f>
        <v>468000</v>
      </c>
      <c r="T584" s="18">
        <f>S584/'Financial Inputs'!$B$3</f>
        <v>4.6800000000000001E-3</v>
      </c>
      <c r="U584" s="9" t="s">
        <v>52</v>
      </c>
      <c r="V584" s="3" t="s">
        <v>53</v>
      </c>
    </row>
    <row r="585" spans="1:22">
      <c r="A585" s="2" t="s">
        <v>1961</v>
      </c>
      <c r="B585" s="2" t="s">
        <v>1962</v>
      </c>
      <c r="C585" s="2" t="s">
        <v>1711</v>
      </c>
      <c r="D585" s="2" t="s">
        <v>127</v>
      </c>
      <c r="E585" s="2" t="s">
        <v>148</v>
      </c>
      <c r="F585" s="2" t="s">
        <v>58</v>
      </c>
      <c r="G585" s="2" t="s">
        <v>111</v>
      </c>
      <c r="H585" s="2" t="s">
        <v>498</v>
      </c>
      <c r="I585" s="2" t="s">
        <v>47</v>
      </c>
      <c r="J585" s="2" t="s">
        <v>1712</v>
      </c>
      <c r="K585" s="2" t="s">
        <v>1963</v>
      </c>
      <c r="L585" s="2" t="s">
        <v>430</v>
      </c>
      <c r="M585" s="2" t="s">
        <v>1714</v>
      </c>
      <c r="N585" s="16">
        <v>1.9800000000000002E-2</v>
      </c>
      <c r="O585" s="17">
        <f>N585*'Financial Inputs'!$B$3</f>
        <v>1980000.0000000002</v>
      </c>
      <c r="P585" s="18">
        <f>IF(I585="L",'Financial Inputs'!$B$4,IF(I585="M",'Financial Inputs'!$B$5,'Financial Inputs'!$B$6))</f>
        <v>0.4</v>
      </c>
      <c r="Q585" s="17">
        <f>O585*P585</f>
        <v>792000.00000000012</v>
      </c>
      <c r="R585" s="16">
        <f>'Financial Inputs'!$B$7</f>
        <v>0.35</v>
      </c>
      <c r="S585" s="17">
        <f>Q585*(1-R585)</f>
        <v>514800.00000000012</v>
      </c>
      <c r="T585" s="18">
        <f>S585/'Financial Inputs'!$B$3</f>
        <v>5.1480000000000015E-3</v>
      </c>
      <c r="U585" s="9" t="s">
        <v>52</v>
      </c>
      <c r="V585" s="3" t="s">
        <v>53</v>
      </c>
    </row>
    <row r="586" spans="1:22">
      <c r="A586" s="2" t="s">
        <v>1964</v>
      </c>
      <c r="B586" s="2" t="s">
        <v>1965</v>
      </c>
      <c r="C586" s="2" t="s">
        <v>1711</v>
      </c>
      <c r="D586" s="2" t="s">
        <v>133</v>
      </c>
      <c r="E586" s="2" t="s">
        <v>153</v>
      </c>
      <c r="F586" s="2" t="s">
        <v>66</v>
      </c>
      <c r="G586" s="2" t="s">
        <v>56</v>
      </c>
      <c r="H586" s="2" t="s">
        <v>498</v>
      </c>
      <c r="I586" s="2" t="s">
        <v>47</v>
      </c>
      <c r="J586" s="2" t="s">
        <v>1712</v>
      </c>
      <c r="K586" s="2" t="s">
        <v>1966</v>
      </c>
      <c r="L586" s="2" t="s">
        <v>434</v>
      </c>
      <c r="M586" s="2" t="s">
        <v>1714</v>
      </c>
      <c r="N586" s="16">
        <v>2.1600000000000001E-2</v>
      </c>
      <c r="O586" s="17">
        <f>N586*'Financial Inputs'!$B$3</f>
        <v>2160000</v>
      </c>
      <c r="P586" s="18">
        <f>IF(I586="L",'Financial Inputs'!$B$4,IF(I586="M",'Financial Inputs'!$B$5,'Financial Inputs'!$B$6))</f>
        <v>0.4</v>
      </c>
      <c r="Q586" s="17">
        <f>O586*P586</f>
        <v>864000</v>
      </c>
      <c r="R586" s="16">
        <f>'Financial Inputs'!$B$7</f>
        <v>0.35</v>
      </c>
      <c r="S586" s="17">
        <f>Q586*(1-R586)</f>
        <v>561600</v>
      </c>
      <c r="T586" s="18">
        <f>S586/'Financial Inputs'!$B$3</f>
        <v>5.6160000000000003E-3</v>
      </c>
      <c r="U586" s="9" t="s">
        <v>52</v>
      </c>
      <c r="V586" s="3" t="s">
        <v>53</v>
      </c>
    </row>
    <row r="587" spans="1:22">
      <c r="A587" s="2" t="s">
        <v>1967</v>
      </c>
      <c r="B587" s="2" t="s">
        <v>1968</v>
      </c>
      <c r="C587" s="2" t="s">
        <v>1711</v>
      </c>
      <c r="D587" s="2" t="s">
        <v>102</v>
      </c>
      <c r="E587" s="2" t="s">
        <v>116</v>
      </c>
      <c r="F587" s="2" t="s">
        <v>110</v>
      </c>
      <c r="G587" s="2" t="s">
        <v>83</v>
      </c>
      <c r="H587" s="2" t="s">
        <v>498</v>
      </c>
      <c r="I587" s="2" t="s">
        <v>47</v>
      </c>
      <c r="J587" s="2" t="s">
        <v>1712</v>
      </c>
      <c r="K587" s="2" t="s">
        <v>1969</v>
      </c>
      <c r="L587" s="2" t="s">
        <v>438</v>
      </c>
      <c r="M587" s="2" t="s">
        <v>1714</v>
      </c>
      <c r="N587" s="16">
        <v>1.44E-2</v>
      </c>
      <c r="O587" s="17">
        <f>N587*'Financial Inputs'!$B$3</f>
        <v>1440000</v>
      </c>
      <c r="P587" s="18">
        <f>IF(I587="L",'Financial Inputs'!$B$4,IF(I587="M",'Financial Inputs'!$B$5,'Financial Inputs'!$B$6))</f>
        <v>0.4</v>
      </c>
      <c r="Q587" s="17">
        <f>O587*P587</f>
        <v>576000</v>
      </c>
      <c r="R587" s="16">
        <f>'Financial Inputs'!$B$7</f>
        <v>0.35</v>
      </c>
      <c r="S587" s="17">
        <f>Q587*(1-R587)</f>
        <v>374400</v>
      </c>
      <c r="T587" s="18">
        <f>S587/'Financial Inputs'!$B$3</f>
        <v>3.7439999999999999E-3</v>
      </c>
      <c r="U587" s="9" t="s">
        <v>52</v>
      </c>
      <c r="V587" s="3" t="s">
        <v>53</v>
      </c>
    </row>
    <row r="588" spans="1:22">
      <c r="A588" s="2" t="s">
        <v>1970</v>
      </c>
      <c r="B588" s="2" t="s">
        <v>1971</v>
      </c>
      <c r="C588" s="2" t="s">
        <v>1711</v>
      </c>
      <c r="D588" s="2" t="s">
        <v>42</v>
      </c>
      <c r="E588" s="2" t="s">
        <v>215</v>
      </c>
      <c r="F588" s="2" t="s">
        <v>117</v>
      </c>
      <c r="G588" s="2" t="s">
        <v>111</v>
      </c>
      <c r="H588" s="2" t="s">
        <v>498</v>
      </c>
      <c r="I588" s="2" t="s">
        <v>47</v>
      </c>
      <c r="J588" s="2" t="s">
        <v>1712</v>
      </c>
      <c r="K588" s="2" t="s">
        <v>1972</v>
      </c>
      <c r="L588" s="2" t="s">
        <v>442</v>
      </c>
      <c r="M588" s="2" t="s">
        <v>1714</v>
      </c>
      <c r="N588" s="16">
        <v>1.6199999999999999E-2</v>
      </c>
      <c r="O588" s="17">
        <f>N588*'Financial Inputs'!$B$3</f>
        <v>1620000</v>
      </c>
      <c r="P588" s="18">
        <f>IF(I588="L",'Financial Inputs'!$B$4,IF(I588="M",'Financial Inputs'!$B$5,'Financial Inputs'!$B$6))</f>
        <v>0.4</v>
      </c>
      <c r="Q588" s="17">
        <f>O588*P588</f>
        <v>648000</v>
      </c>
      <c r="R588" s="16">
        <f>'Financial Inputs'!$B$7</f>
        <v>0.35</v>
      </c>
      <c r="S588" s="17">
        <f>Q588*(1-R588)</f>
        <v>421200</v>
      </c>
      <c r="T588" s="18">
        <f>S588/'Financial Inputs'!$B$3</f>
        <v>4.2119999999999996E-3</v>
      </c>
      <c r="U588" s="9" t="s">
        <v>52</v>
      </c>
      <c r="V588" s="3" t="s">
        <v>53</v>
      </c>
    </row>
    <row r="589" spans="1:22">
      <c r="A589" s="2" t="s">
        <v>1973</v>
      </c>
      <c r="B589" s="2" t="s">
        <v>1974</v>
      </c>
      <c r="C589" s="2" t="s">
        <v>1711</v>
      </c>
      <c r="D589" s="2" t="s">
        <v>56</v>
      </c>
      <c r="E589" s="2" t="s">
        <v>220</v>
      </c>
      <c r="F589" s="2" t="s">
        <v>90</v>
      </c>
      <c r="G589" s="2" t="s">
        <v>56</v>
      </c>
      <c r="H589" s="2" t="s">
        <v>498</v>
      </c>
      <c r="I589" s="2" t="s">
        <v>47</v>
      </c>
      <c r="J589" s="2" t="s">
        <v>1712</v>
      </c>
      <c r="K589" s="2" t="s">
        <v>1975</v>
      </c>
      <c r="L589" s="2" t="s">
        <v>446</v>
      </c>
      <c r="M589" s="2" t="s">
        <v>1714</v>
      </c>
      <c r="N589" s="16">
        <v>1.7999999999999999E-2</v>
      </c>
      <c r="O589" s="17">
        <f>N589*'Financial Inputs'!$B$3</f>
        <v>1799999.9999999998</v>
      </c>
      <c r="P589" s="18">
        <f>IF(I589="L",'Financial Inputs'!$B$4,IF(I589="M",'Financial Inputs'!$B$5,'Financial Inputs'!$B$6))</f>
        <v>0.4</v>
      </c>
      <c r="Q589" s="17">
        <f>O589*P589</f>
        <v>720000</v>
      </c>
      <c r="R589" s="16">
        <f>'Financial Inputs'!$B$7</f>
        <v>0.35</v>
      </c>
      <c r="S589" s="17">
        <f>Q589*(1-R589)</f>
        <v>468000</v>
      </c>
      <c r="T589" s="18">
        <f>S589/'Financial Inputs'!$B$3</f>
        <v>4.6800000000000001E-3</v>
      </c>
      <c r="U589" s="9" t="s">
        <v>52</v>
      </c>
      <c r="V589" s="3" t="s">
        <v>53</v>
      </c>
    </row>
    <row r="590" spans="1:22">
      <c r="A590" s="2" t="s">
        <v>1976</v>
      </c>
      <c r="B590" s="2" t="s">
        <v>1977</v>
      </c>
      <c r="C590" s="2" t="s">
        <v>1711</v>
      </c>
      <c r="D590" s="2" t="s">
        <v>64</v>
      </c>
      <c r="E590" s="2" t="s">
        <v>171</v>
      </c>
      <c r="F590" s="2" t="s">
        <v>97</v>
      </c>
      <c r="G590" s="2" t="s">
        <v>138</v>
      </c>
      <c r="H590" s="2" t="s">
        <v>498</v>
      </c>
      <c r="I590" s="2" t="s">
        <v>47</v>
      </c>
      <c r="J590" s="2" t="s">
        <v>1712</v>
      </c>
      <c r="K590" s="2" t="s">
        <v>1978</v>
      </c>
      <c r="L590" s="2" t="s">
        <v>450</v>
      </c>
      <c r="M590" s="2" t="s">
        <v>1714</v>
      </c>
      <c r="N590" s="16">
        <v>1.9800000000000002E-2</v>
      </c>
      <c r="O590" s="17">
        <f>N590*'Financial Inputs'!$B$3</f>
        <v>1980000.0000000002</v>
      </c>
      <c r="P590" s="18">
        <f>IF(I590="L",'Financial Inputs'!$B$4,IF(I590="M",'Financial Inputs'!$B$5,'Financial Inputs'!$B$6))</f>
        <v>0.4</v>
      </c>
      <c r="Q590" s="17">
        <f>O590*P590</f>
        <v>792000.00000000012</v>
      </c>
      <c r="R590" s="16">
        <f>'Financial Inputs'!$B$7</f>
        <v>0.35</v>
      </c>
      <c r="S590" s="17">
        <f>Q590*(1-R590)</f>
        <v>514800.00000000012</v>
      </c>
      <c r="T590" s="18">
        <f>S590/'Financial Inputs'!$B$3</f>
        <v>5.1480000000000015E-3</v>
      </c>
      <c r="U590" s="9" t="s">
        <v>52</v>
      </c>
      <c r="V590" s="3" t="s">
        <v>53</v>
      </c>
    </row>
    <row r="591" spans="1:22">
      <c r="A591" s="2" t="s">
        <v>1979</v>
      </c>
      <c r="B591" s="2" t="s">
        <v>1980</v>
      </c>
      <c r="C591" s="2" t="s">
        <v>1711</v>
      </c>
      <c r="D591" s="2" t="s">
        <v>72</v>
      </c>
      <c r="E591" s="2" t="s">
        <v>176</v>
      </c>
      <c r="F591" s="2" t="s">
        <v>104</v>
      </c>
      <c r="G591" s="2" t="s">
        <v>143</v>
      </c>
      <c r="H591" s="2" t="s">
        <v>498</v>
      </c>
      <c r="I591" s="2" t="s">
        <v>47</v>
      </c>
      <c r="J591" s="2" t="s">
        <v>1712</v>
      </c>
      <c r="K591" s="2" t="s">
        <v>1981</v>
      </c>
      <c r="L591" s="2" t="s">
        <v>454</v>
      </c>
      <c r="M591" s="2" t="s">
        <v>1714</v>
      </c>
      <c r="N591" s="16">
        <v>2.1600000000000001E-2</v>
      </c>
      <c r="O591" s="17">
        <f>N591*'Financial Inputs'!$B$3</f>
        <v>2160000</v>
      </c>
      <c r="P591" s="18">
        <f>IF(I591="L",'Financial Inputs'!$B$4,IF(I591="M",'Financial Inputs'!$B$5,'Financial Inputs'!$B$6))</f>
        <v>0.4</v>
      </c>
      <c r="Q591" s="17">
        <f>O591*P591</f>
        <v>864000</v>
      </c>
      <c r="R591" s="16">
        <f>'Financial Inputs'!$B$7</f>
        <v>0.35</v>
      </c>
      <c r="S591" s="17">
        <f>Q591*(1-R591)</f>
        <v>561600</v>
      </c>
      <c r="T591" s="18">
        <f>S591/'Financial Inputs'!$B$3</f>
        <v>5.6160000000000003E-3</v>
      </c>
      <c r="U591" s="9" t="s">
        <v>52</v>
      </c>
      <c r="V591" s="3" t="s">
        <v>53</v>
      </c>
    </row>
    <row r="592" spans="1:22">
      <c r="A592" s="2" t="s">
        <v>1982</v>
      </c>
      <c r="B592" s="2" t="s">
        <v>1983</v>
      </c>
      <c r="C592" s="2" t="s">
        <v>1711</v>
      </c>
      <c r="D592" s="2" t="s">
        <v>133</v>
      </c>
      <c r="E592" s="2" t="s">
        <v>65</v>
      </c>
      <c r="F592" s="2" t="s">
        <v>82</v>
      </c>
      <c r="G592" s="2" t="s">
        <v>56</v>
      </c>
      <c r="H592" s="2" t="s">
        <v>498</v>
      </c>
      <c r="I592" s="2" t="s">
        <v>47</v>
      </c>
      <c r="J592" s="2" t="s">
        <v>1712</v>
      </c>
      <c r="K592" s="2" t="s">
        <v>1984</v>
      </c>
      <c r="L592" s="2" t="s">
        <v>458</v>
      </c>
      <c r="M592" s="2" t="s">
        <v>1714</v>
      </c>
      <c r="N592" s="16">
        <v>1.44E-2</v>
      </c>
      <c r="O592" s="17">
        <f>N592*'Financial Inputs'!$B$3</f>
        <v>1440000</v>
      </c>
      <c r="P592" s="18">
        <f>IF(I592="L",'Financial Inputs'!$B$4,IF(I592="M",'Financial Inputs'!$B$5,'Financial Inputs'!$B$6))</f>
        <v>0.4</v>
      </c>
      <c r="Q592" s="17">
        <f>O592*P592</f>
        <v>576000</v>
      </c>
      <c r="R592" s="16">
        <f>'Financial Inputs'!$B$7</f>
        <v>0.35</v>
      </c>
      <c r="S592" s="17">
        <f>Q592*(1-R592)</f>
        <v>374400</v>
      </c>
      <c r="T592" s="18">
        <f>S592/'Financial Inputs'!$B$3</f>
        <v>3.7439999999999999E-3</v>
      </c>
      <c r="U592" s="9" t="s">
        <v>52</v>
      </c>
      <c r="V592" s="3" t="s">
        <v>53</v>
      </c>
    </row>
    <row r="593" spans="1:22">
      <c r="A593" s="2" t="s">
        <v>1985</v>
      </c>
      <c r="B593" s="2" t="s">
        <v>1986</v>
      </c>
      <c r="C593" s="2" t="s">
        <v>1711</v>
      </c>
      <c r="D593" s="2" t="s">
        <v>88</v>
      </c>
      <c r="E593" s="2" t="s">
        <v>73</v>
      </c>
      <c r="F593" s="2" t="s">
        <v>44</v>
      </c>
      <c r="G593" s="2" t="s">
        <v>138</v>
      </c>
      <c r="H593" s="2" t="s">
        <v>498</v>
      </c>
      <c r="I593" s="2" t="s">
        <v>47</v>
      </c>
      <c r="J593" s="2" t="s">
        <v>1712</v>
      </c>
      <c r="K593" s="2" t="s">
        <v>1987</v>
      </c>
      <c r="L593" s="2" t="s">
        <v>462</v>
      </c>
      <c r="M593" s="2" t="s">
        <v>1714</v>
      </c>
      <c r="N593" s="16">
        <v>1.6199999999999999E-2</v>
      </c>
      <c r="O593" s="17">
        <f>N593*'Financial Inputs'!$B$3</f>
        <v>1620000</v>
      </c>
      <c r="P593" s="18">
        <f>IF(I593="L",'Financial Inputs'!$B$4,IF(I593="M",'Financial Inputs'!$B$5,'Financial Inputs'!$B$6))</f>
        <v>0.4</v>
      </c>
      <c r="Q593" s="17">
        <f>O593*P593</f>
        <v>648000</v>
      </c>
      <c r="R593" s="16">
        <f>'Financial Inputs'!$B$7</f>
        <v>0.35</v>
      </c>
      <c r="S593" s="17">
        <f>Q593*(1-R593)</f>
        <v>421200</v>
      </c>
      <c r="T593" s="18">
        <f>S593/'Financial Inputs'!$B$3</f>
        <v>4.2119999999999996E-3</v>
      </c>
      <c r="U593" s="9" t="s">
        <v>52</v>
      </c>
      <c r="V593" s="3" t="s">
        <v>53</v>
      </c>
    </row>
    <row r="594" spans="1:22">
      <c r="A594" s="2" t="s">
        <v>1988</v>
      </c>
      <c r="B594" s="2" t="s">
        <v>1989</v>
      </c>
      <c r="C594" s="2" t="s">
        <v>1711</v>
      </c>
      <c r="D594" s="2" t="s">
        <v>95</v>
      </c>
      <c r="E594" s="2" t="s">
        <v>81</v>
      </c>
      <c r="F594" s="2" t="s">
        <v>58</v>
      </c>
      <c r="G594" s="2" t="s">
        <v>143</v>
      </c>
      <c r="H594" s="2" t="s">
        <v>498</v>
      </c>
      <c r="I594" s="2" t="s">
        <v>47</v>
      </c>
      <c r="J594" s="2" t="s">
        <v>1712</v>
      </c>
      <c r="K594" s="2" t="s">
        <v>1990</v>
      </c>
      <c r="L594" s="2" t="s">
        <v>466</v>
      </c>
      <c r="M594" s="2" t="s">
        <v>1714</v>
      </c>
      <c r="N594" s="16">
        <v>1.7999999999999999E-2</v>
      </c>
      <c r="O594" s="17">
        <f>N594*'Financial Inputs'!$B$3</f>
        <v>1799999.9999999998</v>
      </c>
      <c r="P594" s="18">
        <f>IF(I594="L",'Financial Inputs'!$B$4,IF(I594="M",'Financial Inputs'!$B$5,'Financial Inputs'!$B$6))</f>
        <v>0.4</v>
      </c>
      <c r="Q594" s="17">
        <f>O594*P594</f>
        <v>720000</v>
      </c>
      <c r="R594" s="16">
        <f>'Financial Inputs'!$B$7</f>
        <v>0.35</v>
      </c>
      <c r="S594" s="17">
        <f>Q594*(1-R594)</f>
        <v>468000</v>
      </c>
      <c r="T594" s="18">
        <f>S594/'Financial Inputs'!$B$3</f>
        <v>4.6800000000000001E-3</v>
      </c>
      <c r="U594" s="9" t="s">
        <v>52</v>
      </c>
      <c r="V594" s="3" t="s">
        <v>53</v>
      </c>
    </row>
    <row r="595" spans="1:22">
      <c r="A595" s="2" t="s">
        <v>1991</v>
      </c>
      <c r="B595" s="2" t="s">
        <v>1992</v>
      </c>
      <c r="C595" s="2" t="s">
        <v>1711</v>
      </c>
      <c r="D595" s="2" t="s">
        <v>102</v>
      </c>
      <c r="E595" s="2" t="s">
        <v>193</v>
      </c>
      <c r="F595" s="2" t="s">
        <v>66</v>
      </c>
      <c r="G595" s="2" t="s">
        <v>162</v>
      </c>
      <c r="H595" s="2" t="s">
        <v>498</v>
      </c>
      <c r="I595" s="2" t="s">
        <v>47</v>
      </c>
      <c r="J595" s="2" t="s">
        <v>1712</v>
      </c>
      <c r="K595" s="2" t="s">
        <v>1993</v>
      </c>
      <c r="L595" s="2" t="s">
        <v>470</v>
      </c>
      <c r="M595" s="2" t="s">
        <v>1714</v>
      </c>
      <c r="N595" s="16">
        <v>1.9800000000000002E-2</v>
      </c>
      <c r="O595" s="17">
        <f>N595*'Financial Inputs'!$B$3</f>
        <v>1980000.0000000002</v>
      </c>
      <c r="P595" s="18">
        <f>IF(I595="L",'Financial Inputs'!$B$4,IF(I595="M",'Financial Inputs'!$B$5,'Financial Inputs'!$B$6))</f>
        <v>0.4</v>
      </c>
      <c r="Q595" s="17">
        <f>O595*P595</f>
        <v>792000.00000000012</v>
      </c>
      <c r="R595" s="16">
        <f>'Financial Inputs'!$B$7</f>
        <v>0.35</v>
      </c>
      <c r="S595" s="17">
        <f>Q595*(1-R595)</f>
        <v>514800.00000000012</v>
      </c>
      <c r="T595" s="18">
        <f>S595/'Financial Inputs'!$B$3</f>
        <v>5.1480000000000015E-3</v>
      </c>
      <c r="U595" s="9" t="s">
        <v>52</v>
      </c>
      <c r="V595" s="3" t="s">
        <v>53</v>
      </c>
    </row>
    <row r="596" spans="1:22">
      <c r="A596" s="2" t="s">
        <v>1994</v>
      </c>
      <c r="B596" s="2" t="s">
        <v>1995</v>
      </c>
      <c r="C596" s="2" t="s">
        <v>1711</v>
      </c>
      <c r="D596" s="2" t="s">
        <v>42</v>
      </c>
      <c r="E596" s="2" t="s">
        <v>198</v>
      </c>
      <c r="F596" s="2" t="s">
        <v>74</v>
      </c>
      <c r="G596" s="2" t="s">
        <v>45</v>
      </c>
      <c r="H596" s="2" t="s">
        <v>498</v>
      </c>
      <c r="I596" s="2" t="s">
        <v>47</v>
      </c>
      <c r="J596" s="2" t="s">
        <v>1712</v>
      </c>
      <c r="K596" s="2" t="s">
        <v>1996</v>
      </c>
      <c r="L596" s="2" t="s">
        <v>474</v>
      </c>
      <c r="M596" s="2" t="s">
        <v>1714</v>
      </c>
      <c r="N596" s="16">
        <v>2.1600000000000001E-2</v>
      </c>
      <c r="O596" s="17">
        <f>N596*'Financial Inputs'!$B$3</f>
        <v>2160000</v>
      </c>
      <c r="P596" s="18">
        <f>IF(I596="L",'Financial Inputs'!$B$4,IF(I596="M",'Financial Inputs'!$B$5,'Financial Inputs'!$B$6))</f>
        <v>0.4</v>
      </c>
      <c r="Q596" s="17">
        <f>O596*P596</f>
        <v>864000</v>
      </c>
      <c r="R596" s="16">
        <f>'Financial Inputs'!$B$7</f>
        <v>0.35</v>
      </c>
      <c r="S596" s="17">
        <f>Q596*(1-R596)</f>
        <v>561600</v>
      </c>
      <c r="T596" s="18">
        <f>S596/'Financial Inputs'!$B$3</f>
        <v>5.6160000000000003E-3</v>
      </c>
      <c r="U596" s="9" t="s">
        <v>52</v>
      </c>
      <c r="V596" s="3" t="s">
        <v>53</v>
      </c>
    </row>
    <row r="597" spans="1:22">
      <c r="A597" s="2" t="s">
        <v>1997</v>
      </c>
      <c r="B597" s="2" t="s">
        <v>1998</v>
      </c>
      <c r="C597" s="2" t="s">
        <v>1711</v>
      </c>
      <c r="D597" s="2" t="s">
        <v>72</v>
      </c>
      <c r="E597" s="2" t="s">
        <v>103</v>
      </c>
      <c r="F597" s="2" t="s">
        <v>117</v>
      </c>
      <c r="G597" s="2" t="s">
        <v>143</v>
      </c>
      <c r="H597" s="2" t="s">
        <v>498</v>
      </c>
      <c r="I597" s="2" t="s">
        <v>47</v>
      </c>
      <c r="J597" s="2" t="s">
        <v>1712</v>
      </c>
      <c r="K597" s="2" t="s">
        <v>1999</v>
      </c>
      <c r="L597" s="2" t="s">
        <v>478</v>
      </c>
      <c r="M597" s="2" t="s">
        <v>1714</v>
      </c>
      <c r="N597" s="16">
        <v>1.44E-2</v>
      </c>
      <c r="O597" s="17">
        <f>N597*'Financial Inputs'!$B$3</f>
        <v>1440000</v>
      </c>
      <c r="P597" s="18">
        <f>IF(I597="L",'Financial Inputs'!$B$4,IF(I597="M",'Financial Inputs'!$B$5,'Financial Inputs'!$B$6))</f>
        <v>0.4</v>
      </c>
      <c r="Q597" s="17">
        <f>O597*P597</f>
        <v>576000</v>
      </c>
      <c r="R597" s="16">
        <f>'Financial Inputs'!$B$7</f>
        <v>0.35</v>
      </c>
      <c r="S597" s="17">
        <f>Q597*(1-R597)</f>
        <v>374400</v>
      </c>
      <c r="T597" s="18">
        <f>S597/'Financial Inputs'!$B$3</f>
        <v>3.7439999999999999E-3</v>
      </c>
      <c r="U597" s="9" t="s">
        <v>52</v>
      </c>
      <c r="V597" s="3" t="s">
        <v>53</v>
      </c>
    </row>
    <row r="598" spans="1:22">
      <c r="A598" s="2" t="s">
        <v>2000</v>
      </c>
      <c r="B598" s="2" t="s">
        <v>2001</v>
      </c>
      <c r="C598" s="2" t="s">
        <v>1711</v>
      </c>
      <c r="D598" s="2" t="s">
        <v>80</v>
      </c>
      <c r="E598" s="2" t="s">
        <v>109</v>
      </c>
      <c r="F598" s="2" t="s">
        <v>90</v>
      </c>
      <c r="G598" s="2" t="s">
        <v>162</v>
      </c>
      <c r="H598" s="2" t="s">
        <v>498</v>
      </c>
      <c r="I598" s="2" t="s">
        <v>47</v>
      </c>
      <c r="J598" s="2" t="s">
        <v>1712</v>
      </c>
      <c r="K598" s="2" t="s">
        <v>2002</v>
      </c>
      <c r="L598" s="2" t="s">
        <v>482</v>
      </c>
      <c r="M598" s="2" t="s">
        <v>1714</v>
      </c>
      <c r="N598" s="16">
        <v>1.6199999999999999E-2</v>
      </c>
      <c r="O598" s="17">
        <f>N598*'Financial Inputs'!$B$3</f>
        <v>1620000</v>
      </c>
      <c r="P598" s="18">
        <f>IF(I598="L",'Financial Inputs'!$B$4,IF(I598="M",'Financial Inputs'!$B$5,'Financial Inputs'!$B$6))</f>
        <v>0.4</v>
      </c>
      <c r="Q598" s="17">
        <f>O598*P598</f>
        <v>648000</v>
      </c>
      <c r="R598" s="16">
        <f>'Financial Inputs'!$B$7</f>
        <v>0.35</v>
      </c>
      <c r="S598" s="17">
        <f>Q598*(1-R598)</f>
        <v>421200</v>
      </c>
      <c r="T598" s="18">
        <f>S598/'Financial Inputs'!$B$3</f>
        <v>4.2119999999999996E-3</v>
      </c>
      <c r="U598" s="9" t="s">
        <v>52</v>
      </c>
      <c r="V598" s="3" t="s">
        <v>53</v>
      </c>
    </row>
    <row r="599" spans="1:22">
      <c r="A599" s="2" t="s">
        <v>2003</v>
      </c>
      <c r="B599" s="2" t="s">
        <v>2004</v>
      </c>
      <c r="C599" s="2" t="s">
        <v>1711</v>
      </c>
      <c r="D599" s="2" t="s">
        <v>127</v>
      </c>
      <c r="E599" s="2" t="s">
        <v>116</v>
      </c>
      <c r="F599" s="2" t="s">
        <v>97</v>
      </c>
      <c r="G599" s="2" t="s">
        <v>45</v>
      </c>
      <c r="H599" s="2" t="s">
        <v>498</v>
      </c>
      <c r="I599" s="2" t="s">
        <v>47</v>
      </c>
      <c r="J599" s="2" t="s">
        <v>1712</v>
      </c>
      <c r="K599" s="2" t="s">
        <v>2005</v>
      </c>
      <c r="L599" s="2" t="s">
        <v>486</v>
      </c>
      <c r="M599" s="2" t="s">
        <v>1714</v>
      </c>
      <c r="N599" s="16">
        <v>1.7999999999999999E-2</v>
      </c>
      <c r="O599" s="17">
        <f>N599*'Financial Inputs'!$B$3</f>
        <v>1799999.9999999998</v>
      </c>
      <c r="P599" s="18">
        <f>IF(I599="L",'Financial Inputs'!$B$4,IF(I599="M",'Financial Inputs'!$B$5,'Financial Inputs'!$B$6))</f>
        <v>0.4</v>
      </c>
      <c r="Q599" s="17">
        <f>O599*P599</f>
        <v>720000</v>
      </c>
      <c r="R599" s="16">
        <f>'Financial Inputs'!$B$7</f>
        <v>0.35</v>
      </c>
      <c r="S599" s="17">
        <f>Q599*(1-R599)</f>
        <v>468000</v>
      </c>
      <c r="T599" s="18">
        <f>S599/'Financial Inputs'!$B$3</f>
        <v>4.6800000000000001E-3</v>
      </c>
      <c r="U599" s="9" t="s">
        <v>52</v>
      </c>
      <c r="V599" s="3" t="s">
        <v>53</v>
      </c>
    </row>
    <row r="600" spans="1:22">
      <c r="A600" s="2" t="s">
        <v>2006</v>
      </c>
      <c r="B600" s="2" t="s">
        <v>2007</v>
      </c>
      <c r="C600" s="2" t="s">
        <v>1711</v>
      </c>
      <c r="D600" s="2" t="s">
        <v>133</v>
      </c>
      <c r="E600" s="2" t="s">
        <v>215</v>
      </c>
      <c r="F600" s="2" t="s">
        <v>104</v>
      </c>
      <c r="G600" s="2" t="s">
        <v>59</v>
      </c>
      <c r="H600" s="2" t="s">
        <v>498</v>
      </c>
      <c r="I600" s="2" t="s">
        <v>47</v>
      </c>
      <c r="J600" s="2" t="s">
        <v>1712</v>
      </c>
      <c r="K600" s="2" t="s">
        <v>2008</v>
      </c>
      <c r="L600" s="2" t="s">
        <v>490</v>
      </c>
      <c r="M600" s="2" t="s">
        <v>1714</v>
      </c>
      <c r="N600" s="16">
        <v>1.9800000000000002E-2</v>
      </c>
      <c r="O600" s="17">
        <f>N600*'Financial Inputs'!$B$3</f>
        <v>1980000.0000000002</v>
      </c>
      <c r="P600" s="18">
        <f>IF(I600="L",'Financial Inputs'!$B$4,IF(I600="M",'Financial Inputs'!$B$5,'Financial Inputs'!$B$6))</f>
        <v>0.4</v>
      </c>
      <c r="Q600" s="17">
        <f>O600*P600</f>
        <v>792000.00000000012</v>
      </c>
      <c r="R600" s="16">
        <f>'Financial Inputs'!$B$7</f>
        <v>0.35</v>
      </c>
      <c r="S600" s="17">
        <f>Q600*(1-R600)</f>
        <v>514800.00000000012</v>
      </c>
      <c r="T600" s="18">
        <f>S600/'Financial Inputs'!$B$3</f>
        <v>5.1480000000000015E-3</v>
      </c>
      <c r="U600" s="9" t="s">
        <v>52</v>
      </c>
      <c r="V600" s="3" t="s">
        <v>53</v>
      </c>
    </row>
    <row r="601" spans="1:22">
      <c r="A601" s="2" t="s">
        <v>2009</v>
      </c>
      <c r="B601" s="2" t="s">
        <v>2010</v>
      </c>
      <c r="C601" s="2" t="s">
        <v>1711</v>
      </c>
      <c r="D601" s="2" t="s">
        <v>88</v>
      </c>
      <c r="E601" s="2" t="s">
        <v>220</v>
      </c>
      <c r="F601" s="2" t="s">
        <v>110</v>
      </c>
      <c r="G601" s="2" t="s">
        <v>67</v>
      </c>
      <c r="H601" s="2" t="s">
        <v>498</v>
      </c>
      <c r="I601" s="2" t="s">
        <v>47</v>
      </c>
      <c r="J601" s="2" t="s">
        <v>1712</v>
      </c>
      <c r="K601" s="2" t="s">
        <v>2011</v>
      </c>
      <c r="L601" s="2" t="s">
        <v>494</v>
      </c>
      <c r="M601" s="2" t="s">
        <v>1714</v>
      </c>
      <c r="N601" s="16">
        <v>2.1600000000000001E-2</v>
      </c>
      <c r="O601" s="17">
        <f>N601*'Financial Inputs'!$B$3</f>
        <v>2160000</v>
      </c>
      <c r="P601" s="18">
        <f>IF(I601="L",'Financial Inputs'!$B$4,IF(I601="M",'Financial Inputs'!$B$5,'Financial Inputs'!$B$6))</f>
        <v>0.4</v>
      </c>
      <c r="Q601" s="17">
        <f>O601*P601</f>
        <v>864000</v>
      </c>
      <c r="R601" s="16">
        <f>'Financial Inputs'!$B$7</f>
        <v>0.35</v>
      </c>
      <c r="S601" s="17">
        <f>Q601*(1-R601)</f>
        <v>561600</v>
      </c>
      <c r="T601" s="18">
        <f>S601/'Financial Inputs'!$B$3</f>
        <v>5.6160000000000003E-3</v>
      </c>
      <c r="U601" s="9" t="s">
        <v>52</v>
      </c>
      <c r="V601" s="3" t="s">
        <v>53</v>
      </c>
    </row>
    <row r="602" spans="1:22">
      <c r="A602" s="2" t="s">
        <v>2012</v>
      </c>
      <c r="B602" s="2" t="s">
        <v>2013</v>
      </c>
      <c r="C602" s="2" t="s">
        <v>2014</v>
      </c>
      <c r="D602" s="2" t="s">
        <v>42</v>
      </c>
      <c r="E602" s="2" t="s">
        <v>43</v>
      </c>
      <c r="F602" s="2" t="s">
        <v>44</v>
      </c>
      <c r="G602" s="2" t="s">
        <v>45</v>
      </c>
      <c r="H602" s="2" t="s">
        <v>46</v>
      </c>
      <c r="I602" s="2" t="s">
        <v>47</v>
      </c>
      <c r="J602" s="2" t="s">
        <v>2015</v>
      </c>
      <c r="K602" s="2" t="s">
        <v>2016</v>
      </c>
      <c r="L602" s="2" t="s">
        <v>50</v>
      </c>
      <c r="M602" s="2" t="s">
        <v>2017</v>
      </c>
      <c r="N602" s="16">
        <v>1.44E-2</v>
      </c>
      <c r="O602" s="17">
        <f>N602*'Financial Inputs'!$B$3</f>
        <v>1440000</v>
      </c>
      <c r="P602" s="18">
        <f>IF(I602="L",'Financial Inputs'!$B$4,IF(I602="M",'Financial Inputs'!$B$5,'Financial Inputs'!$B$6))</f>
        <v>0.4</v>
      </c>
      <c r="Q602" s="17">
        <f>O602*P602</f>
        <v>576000</v>
      </c>
      <c r="R602" s="16">
        <f>'Financial Inputs'!$B$7</f>
        <v>0.35</v>
      </c>
      <c r="S602" s="17">
        <f>Q602*(1-R602)</f>
        <v>374400</v>
      </c>
      <c r="T602" s="18">
        <f>S602/'Financial Inputs'!$B$3</f>
        <v>3.7439999999999999E-3</v>
      </c>
      <c r="U602" s="9" t="s">
        <v>52</v>
      </c>
      <c r="V602" s="3" t="s">
        <v>53</v>
      </c>
    </row>
    <row r="603" spans="1:22">
      <c r="A603" s="2" t="s">
        <v>2018</v>
      </c>
      <c r="B603" s="2" t="s">
        <v>2019</v>
      </c>
      <c r="C603" s="2" t="s">
        <v>2014</v>
      </c>
      <c r="D603" s="2" t="s">
        <v>56</v>
      </c>
      <c r="E603" s="2" t="s">
        <v>57</v>
      </c>
      <c r="F603" s="2" t="s">
        <v>58</v>
      </c>
      <c r="G603" s="2" t="s">
        <v>59</v>
      </c>
      <c r="H603" s="2" t="s">
        <v>46</v>
      </c>
      <c r="I603" s="2" t="s">
        <v>47</v>
      </c>
      <c r="J603" s="2" t="s">
        <v>2015</v>
      </c>
      <c r="K603" s="2" t="s">
        <v>2020</v>
      </c>
      <c r="L603" s="2" t="s">
        <v>61</v>
      </c>
      <c r="M603" s="2" t="s">
        <v>2017</v>
      </c>
      <c r="N603" s="16">
        <v>1.6199999999999999E-2</v>
      </c>
      <c r="O603" s="17">
        <f>N603*'Financial Inputs'!$B$3</f>
        <v>1620000</v>
      </c>
      <c r="P603" s="18">
        <f>IF(I603="L",'Financial Inputs'!$B$4,IF(I603="M",'Financial Inputs'!$B$5,'Financial Inputs'!$B$6))</f>
        <v>0.4</v>
      </c>
      <c r="Q603" s="17">
        <f>O603*P603</f>
        <v>648000</v>
      </c>
      <c r="R603" s="16">
        <f>'Financial Inputs'!$B$7</f>
        <v>0.35</v>
      </c>
      <c r="S603" s="17">
        <f>Q603*(1-R603)</f>
        <v>421200</v>
      </c>
      <c r="T603" s="18">
        <f>S603/'Financial Inputs'!$B$3</f>
        <v>4.2119999999999996E-3</v>
      </c>
      <c r="U603" s="9" t="s">
        <v>52</v>
      </c>
      <c r="V603" s="3" t="s">
        <v>53</v>
      </c>
    </row>
    <row r="604" spans="1:22">
      <c r="A604" s="2" t="s">
        <v>2021</v>
      </c>
      <c r="B604" s="2" t="s">
        <v>2022</v>
      </c>
      <c r="C604" s="2" t="s">
        <v>2014</v>
      </c>
      <c r="D604" s="2" t="s">
        <v>64</v>
      </c>
      <c r="E604" s="2" t="s">
        <v>65</v>
      </c>
      <c r="F604" s="2" t="s">
        <v>66</v>
      </c>
      <c r="G604" s="2" t="s">
        <v>67</v>
      </c>
      <c r="H604" s="2" t="s">
        <v>46</v>
      </c>
      <c r="I604" s="2" t="s">
        <v>47</v>
      </c>
      <c r="J604" s="2" t="s">
        <v>2015</v>
      </c>
      <c r="K604" s="2" t="s">
        <v>2023</v>
      </c>
      <c r="L604" s="2" t="s">
        <v>69</v>
      </c>
      <c r="M604" s="2" t="s">
        <v>2017</v>
      </c>
      <c r="N604" s="16">
        <v>1.7999999999999999E-2</v>
      </c>
      <c r="O604" s="17">
        <f>N604*'Financial Inputs'!$B$3</f>
        <v>1799999.9999999998</v>
      </c>
      <c r="P604" s="18">
        <f>IF(I604="L",'Financial Inputs'!$B$4,IF(I604="M",'Financial Inputs'!$B$5,'Financial Inputs'!$B$6))</f>
        <v>0.4</v>
      </c>
      <c r="Q604" s="17">
        <f>O604*P604</f>
        <v>720000</v>
      </c>
      <c r="R604" s="16">
        <f>'Financial Inputs'!$B$7</f>
        <v>0.35</v>
      </c>
      <c r="S604" s="17">
        <f>Q604*(1-R604)</f>
        <v>468000</v>
      </c>
      <c r="T604" s="18">
        <f>S604/'Financial Inputs'!$B$3</f>
        <v>4.6800000000000001E-3</v>
      </c>
      <c r="U604" s="9" t="s">
        <v>52</v>
      </c>
      <c r="V604" s="3" t="s">
        <v>53</v>
      </c>
    </row>
    <row r="605" spans="1:22">
      <c r="A605" s="2" t="s">
        <v>2024</v>
      </c>
      <c r="B605" s="2" t="s">
        <v>2025</v>
      </c>
      <c r="C605" s="2" t="s">
        <v>2014</v>
      </c>
      <c r="D605" s="2" t="s">
        <v>72</v>
      </c>
      <c r="E605" s="2" t="s">
        <v>73</v>
      </c>
      <c r="F605" s="2" t="s">
        <v>74</v>
      </c>
      <c r="G605" s="2" t="s">
        <v>75</v>
      </c>
      <c r="H605" s="2" t="s">
        <v>46</v>
      </c>
      <c r="I605" s="2" t="s">
        <v>47</v>
      </c>
      <c r="J605" s="2" t="s">
        <v>2015</v>
      </c>
      <c r="K605" s="2" t="s">
        <v>2026</v>
      </c>
      <c r="L605" s="2" t="s">
        <v>77</v>
      </c>
      <c r="M605" s="2" t="s">
        <v>2017</v>
      </c>
      <c r="N605" s="16">
        <v>1.9800000000000002E-2</v>
      </c>
      <c r="O605" s="17">
        <f>N605*'Financial Inputs'!$B$3</f>
        <v>1980000.0000000002</v>
      </c>
      <c r="P605" s="18">
        <f>IF(I605="L",'Financial Inputs'!$B$4,IF(I605="M",'Financial Inputs'!$B$5,'Financial Inputs'!$B$6))</f>
        <v>0.4</v>
      </c>
      <c r="Q605" s="17">
        <f>O605*P605</f>
        <v>792000.00000000012</v>
      </c>
      <c r="R605" s="16">
        <f>'Financial Inputs'!$B$7</f>
        <v>0.35</v>
      </c>
      <c r="S605" s="17">
        <f>Q605*(1-R605)</f>
        <v>514800.00000000012</v>
      </c>
      <c r="T605" s="18">
        <f>S605/'Financial Inputs'!$B$3</f>
        <v>5.1480000000000015E-3</v>
      </c>
      <c r="U605" s="9" t="s">
        <v>52</v>
      </c>
      <c r="V605" s="3" t="s">
        <v>53</v>
      </c>
    </row>
    <row r="606" spans="1:22">
      <c r="A606" s="2" t="s">
        <v>2027</v>
      </c>
      <c r="B606" s="2" t="s">
        <v>2028</v>
      </c>
      <c r="C606" s="2" t="s">
        <v>2014</v>
      </c>
      <c r="D606" s="2" t="s">
        <v>80</v>
      </c>
      <c r="E606" s="2" t="s">
        <v>81</v>
      </c>
      <c r="F606" s="2" t="s">
        <v>82</v>
      </c>
      <c r="G606" s="2" t="s">
        <v>83</v>
      </c>
      <c r="H606" s="2" t="s">
        <v>46</v>
      </c>
      <c r="I606" s="2" t="s">
        <v>47</v>
      </c>
      <c r="J606" s="2" t="s">
        <v>2015</v>
      </c>
      <c r="K606" s="2" t="s">
        <v>2029</v>
      </c>
      <c r="L606" s="2" t="s">
        <v>85</v>
      </c>
      <c r="M606" s="2" t="s">
        <v>2017</v>
      </c>
      <c r="N606" s="16">
        <v>2.1600000000000001E-2</v>
      </c>
      <c r="O606" s="17">
        <f>N606*'Financial Inputs'!$B$3</f>
        <v>2160000</v>
      </c>
      <c r="P606" s="18">
        <f>IF(I606="L",'Financial Inputs'!$B$4,IF(I606="M",'Financial Inputs'!$B$5,'Financial Inputs'!$B$6))</f>
        <v>0.4</v>
      </c>
      <c r="Q606" s="17">
        <f>O606*P606</f>
        <v>864000</v>
      </c>
      <c r="R606" s="16">
        <f>'Financial Inputs'!$B$7</f>
        <v>0.35</v>
      </c>
      <c r="S606" s="17">
        <f>Q606*(1-R606)</f>
        <v>561600</v>
      </c>
      <c r="T606" s="18">
        <f>S606/'Financial Inputs'!$B$3</f>
        <v>5.6160000000000003E-3</v>
      </c>
      <c r="U606" s="9" t="s">
        <v>52</v>
      </c>
      <c r="V606" s="3" t="s">
        <v>53</v>
      </c>
    </row>
    <row r="607" spans="1:22">
      <c r="A607" s="2" t="s">
        <v>2030</v>
      </c>
      <c r="B607" s="2" t="s">
        <v>2031</v>
      </c>
      <c r="C607" s="2" t="s">
        <v>2014</v>
      </c>
      <c r="D607" s="2" t="s">
        <v>88</v>
      </c>
      <c r="E607" s="2" t="s">
        <v>89</v>
      </c>
      <c r="F607" s="2" t="s">
        <v>90</v>
      </c>
      <c r="G607" s="2" t="s">
        <v>67</v>
      </c>
      <c r="H607" s="2" t="s">
        <v>46</v>
      </c>
      <c r="I607" s="2" t="s">
        <v>47</v>
      </c>
      <c r="J607" s="2" t="s">
        <v>2015</v>
      </c>
      <c r="K607" s="2" t="s">
        <v>2032</v>
      </c>
      <c r="L607" s="2" t="s">
        <v>92</v>
      </c>
      <c r="M607" s="2" t="s">
        <v>2017</v>
      </c>
      <c r="N607" s="16">
        <v>1.44E-2</v>
      </c>
      <c r="O607" s="17">
        <f>N607*'Financial Inputs'!$B$3</f>
        <v>1440000</v>
      </c>
      <c r="P607" s="18">
        <f>IF(I607="L",'Financial Inputs'!$B$4,IF(I607="M",'Financial Inputs'!$B$5,'Financial Inputs'!$B$6))</f>
        <v>0.4</v>
      </c>
      <c r="Q607" s="17">
        <f>O607*P607</f>
        <v>576000</v>
      </c>
      <c r="R607" s="16">
        <f>'Financial Inputs'!$B$7</f>
        <v>0.35</v>
      </c>
      <c r="S607" s="17">
        <f>Q607*(1-R607)</f>
        <v>374400</v>
      </c>
      <c r="T607" s="18">
        <f>S607/'Financial Inputs'!$B$3</f>
        <v>3.7439999999999999E-3</v>
      </c>
      <c r="U607" s="9" t="s">
        <v>52</v>
      </c>
      <c r="V607" s="3" t="s">
        <v>53</v>
      </c>
    </row>
    <row r="608" spans="1:22">
      <c r="A608" s="2" t="s">
        <v>2033</v>
      </c>
      <c r="B608" s="2" t="s">
        <v>2034</v>
      </c>
      <c r="C608" s="2" t="s">
        <v>2014</v>
      </c>
      <c r="D608" s="2" t="s">
        <v>95</v>
      </c>
      <c r="E608" s="2" t="s">
        <v>96</v>
      </c>
      <c r="F608" s="2" t="s">
        <v>97</v>
      </c>
      <c r="G608" s="2" t="s">
        <v>75</v>
      </c>
      <c r="H608" s="2" t="s">
        <v>46</v>
      </c>
      <c r="I608" s="2" t="s">
        <v>47</v>
      </c>
      <c r="J608" s="2" t="s">
        <v>2015</v>
      </c>
      <c r="K608" s="2" t="s">
        <v>2035</v>
      </c>
      <c r="L608" s="2" t="s">
        <v>99</v>
      </c>
      <c r="M608" s="2" t="s">
        <v>2017</v>
      </c>
      <c r="N608" s="16">
        <v>1.6199999999999999E-2</v>
      </c>
      <c r="O608" s="17">
        <f>N608*'Financial Inputs'!$B$3</f>
        <v>1620000</v>
      </c>
      <c r="P608" s="18">
        <f>IF(I608="L",'Financial Inputs'!$B$4,IF(I608="M",'Financial Inputs'!$B$5,'Financial Inputs'!$B$6))</f>
        <v>0.4</v>
      </c>
      <c r="Q608" s="17">
        <f>O608*P608</f>
        <v>648000</v>
      </c>
      <c r="R608" s="16">
        <f>'Financial Inputs'!$B$7</f>
        <v>0.35</v>
      </c>
      <c r="S608" s="17">
        <f>Q608*(1-R608)</f>
        <v>421200</v>
      </c>
      <c r="T608" s="18">
        <f>S608/'Financial Inputs'!$B$3</f>
        <v>4.2119999999999996E-3</v>
      </c>
      <c r="U608" s="9" t="s">
        <v>52</v>
      </c>
      <c r="V608" s="3" t="s">
        <v>53</v>
      </c>
    </row>
    <row r="609" spans="1:22">
      <c r="A609" s="2" t="s">
        <v>2036</v>
      </c>
      <c r="B609" s="2" t="s">
        <v>2037</v>
      </c>
      <c r="C609" s="2" t="s">
        <v>2014</v>
      </c>
      <c r="D609" s="2" t="s">
        <v>102</v>
      </c>
      <c r="E609" s="2" t="s">
        <v>103</v>
      </c>
      <c r="F609" s="2" t="s">
        <v>104</v>
      </c>
      <c r="G609" s="2" t="s">
        <v>83</v>
      </c>
      <c r="H609" s="2" t="s">
        <v>46</v>
      </c>
      <c r="I609" s="2" t="s">
        <v>47</v>
      </c>
      <c r="J609" s="2" t="s">
        <v>2015</v>
      </c>
      <c r="K609" s="2" t="s">
        <v>2038</v>
      </c>
      <c r="L609" s="2" t="s">
        <v>106</v>
      </c>
      <c r="M609" s="2" t="s">
        <v>2017</v>
      </c>
      <c r="N609" s="16">
        <v>1.7999999999999999E-2</v>
      </c>
      <c r="O609" s="17">
        <f>N609*'Financial Inputs'!$B$3</f>
        <v>1799999.9999999998</v>
      </c>
      <c r="P609" s="18">
        <f>IF(I609="L",'Financial Inputs'!$B$4,IF(I609="M",'Financial Inputs'!$B$5,'Financial Inputs'!$B$6))</f>
        <v>0.4</v>
      </c>
      <c r="Q609" s="17">
        <f>O609*P609</f>
        <v>720000</v>
      </c>
      <c r="R609" s="16">
        <f>'Financial Inputs'!$B$7</f>
        <v>0.35</v>
      </c>
      <c r="S609" s="17">
        <f>Q609*(1-R609)</f>
        <v>468000</v>
      </c>
      <c r="T609" s="18">
        <f>S609/'Financial Inputs'!$B$3</f>
        <v>4.6800000000000001E-3</v>
      </c>
      <c r="U609" s="9" t="s">
        <v>52</v>
      </c>
      <c r="V609" s="3" t="s">
        <v>53</v>
      </c>
    </row>
    <row r="610" spans="1:22">
      <c r="A610" s="2" t="s">
        <v>2039</v>
      </c>
      <c r="B610" s="2" t="s">
        <v>2040</v>
      </c>
      <c r="C610" s="2" t="s">
        <v>2014</v>
      </c>
      <c r="D610" s="2" t="s">
        <v>42</v>
      </c>
      <c r="E610" s="2" t="s">
        <v>109</v>
      </c>
      <c r="F610" s="2" t="s">
        <v>110</v>
      </c>
      <c r="G610" s="2" t="s">
        <v>111</v>
      </c>
      <c r="H610" s="2" t="s">
        <v>46</v>
      </c>
      <c r="I610" s="2" t="s">
        <v>47</v>
      </c>
      <c r="J610" s="2" t="s">
        <v>2015</v>
      </c>
      <c r="K610" s="2" t="s">
        <v>2041</v>
      </c>
      <c r="L610" s="2" t="s">
        <v>113</v>
      </c>
      <c r="M610" s="2" t="s">
        <v>2017</v>
      </c>
      <c r="N610" s="16">
        <v>1.9800000000000002E-2</v>
      </c>
      <c r="O610" s="17">
        <f>N610*'Financial Inputs'!$B$3</f>
        <v>1980000.0000000002</v>
      </c>
      <c r="P610" s="18">
        <f>IF(I610="L",'Financial Inputs'!$B$4,IF(I610="M",'Financial Inputs'!$B$5,'Financial Inputs'!$B$6))</f>
        <v>0.4</v>
      </c>
      <c r="Q610" s="17">
        <f>O610*P610</f>
        <v>792000.00000000012</v>
      </c>
      <c r="R610" s="16">
        <f>'Financial Inputs'!$B$7</f>
        <v>0.35</v>
      </c>
      <c r="S610" s="17">
        <f>Q610*(1-R610)</f>
        <v>514800.00000000012</v>
      </c>
      <c r="T610" s="18">
        <f>S610/'Financial Inputs'!$B$3</f>
        <v>5.1480000000000015E-3</v>
      </c>
      <c r="U610" s="9" t="s">
        <v>52</v>
      </c>
      <c r="V610" s="3" t="s">
        <v>53</v>
      </c>
    </row>
    <row r="611" spans="1:22">
      <c r="A611" s="2" t="s">
        <v>2042</v>
      </c>
      <c r="B611" s="2" t="s">
        <v>2043</v>
      </c>
      <c r="C611" s="2" t="s">
        <v>2014</v>
      </c>
      <c r="D611" s="2" t="s">
        <v>56</v>
      </c>
      <c r="E611" s="2" t="s">
        <v>116</v>
      </c>
      <c r="F611" s="2" t="s">
        <v>117</v>
      </c>
      <c r="G611" s="2" t="s">
        <v>56</v>
      </c>
      <c r="H611" s="2" t="s">
        <v>46</v>
      </c>
      <c r="I611" s="2" t="s">
        <v>47</v>
      </c>
      <c r="J611" s="2" t="s">
        <v>2015</v>
      </c>
      <c r="K611" s="2" t="s">
        <v>2044</v>
      </c>
      <c r="L611" s="2" t="s">
        <v>119</v>
      </c>
      <c r="M611" s="2" t="s">
        <v>2017</v>
      </c>
      <c r="N611" s="16">
        <v>2.1600000000000001E-2</v>
      </c>
      <c r="O611" s="17">
        <f>N611*'Financial Inputs'!$B$3</f>
        <v>2160000</v>
      </c>
      <c r="P611" s="18">
        <f>IF(I611="L",'Financial Inputs'!$B$4,IF(I611="M",'Financial Inputs'!$B$5,'Financial Inputs'!$B$6))</f>
        <v>0.4</v>
      </c>
      <c r="Q611" s="17">
        <f>O611*P611</f>
        <v>864000</v>
      </c>
      <c r="R611" s="16">
        <f>'Financial Inputs'!$B$7</f>
        <v>0.35</v>
      </c>
      <c r="S611" s="17">
        <f>Q611*(1-R611)</f>
        <v>561600</v>
      </c>
      <c r="T611" s="18">
        <f>S611/'Financial Inputs'!$B$3</f>
        <v>5.6160000000000003E-3</v>
      </c>
      <c r="U611" s="9" t="s">
        <v>52</v>
      </c>
      <c r="V611" s="3" t="s">
        <v>53</v>
      </c>
    </row>
    <row r="612" spans="1:22">
      <c r="A612" s="2" t="s">
        <v>2045</v>
      </c>
      <c r="B612" s="2" t="s">
        <v>2046</v>
      </c>
      <c r="C612" s="2" t="s">
        <v>2014</v>
      </c>
      <c r="D612" s="2" t="s">
        <v>80</v>
      </c>
      <c r="E612" s="2" t="s">
        <v>122</v>
      </c>
      <c r="F612" s="2" t="s">
        <v>58</v>
      </c>
      <c r="G612" s="2" t="s">
        <v>83</v>
      </c>
      <c r="H612" s="2" t="s">
        <v>46</v>
      </c>
      <c r="I612" s="2" t="s">
        <v>47</v>
      </c>
      <c r="J612" s="2" t="s">
        <v>2015</v>
      </c>
      <c r="K612" s="2" t="s">
        <v>2047</v>
      </c>
      <c r="L612" s="2" t="s">
        <v>124</v>
      </c>
      <c r="M612" s="2" t="s">
        <v>2017</v>
      </c>
      <c r="N612" s="16">
        <v>1.44E-2</v>
      </c>
      <c r="O612" s="17">
        <f>N612*'Financial Inputs'!$B$3</f>
        <v>1440000</v>
      </c>
      <c r="P612" s="18">
        <f>IF(I612="L",'Financial Inputs'!$B$4,IF(I612="M",'Financial Inputs'!$B$5,'Financial Inputs'!$B$6))</f>
        <v>0.4</v>
      </c>
      <c r="Q612" s="17">
        <f>O612*P612</f>
        <v>576000</v>
      </c>
      <c r="R612" s="16">
        <f>'Financial Inputs'!$B$7</f>
        <v>0.35</v>
      </c>
      <c r="S612" s="17">
        <f>Q612*(1-R612)</f>
        <v>374400</v>
      </c>
      <c r="T612" s="18">
        <f>S612/'Financial Inputs'!$B$3</f>
        <v>3.7439999999999999E-3</v>
      </c>
      <c r="U612" s="9" t="s">
        <v>52</v>
      </c>
      <c r="V612" s="3" t="s">
        <v>53</v>
      </c>
    </row>
    <row r="613" spans="1:22">
      <c r="A613" s="2" t="s">
        <v>2048</v>
      </c>
      <c r="B613" s="2" t="s">
        <v>2049</v>
      </c>
      <c r="C613" s="2" t="s">
        <v>2014</v>
      </c>
      <c r="D613" s="2" t="s">
        <v>127</v>
      </c>
      <c r="E613" s="2" t="s">
        <v>128</v>
      </c>
      <c r="F613" s="2" t="s">
        <v>66</v>
      </c>
      <c r="G613" s="2" t="s">
        <v>111</v>
      </c>
      <c r="H613" s="2" t="s">
        <v>46</v>
      </c>
      <c r="I613" s="2" t="s">
        <v>47</v>
      </c>
      <c r="J613" s="2" t="s">
        <v>2015</v>
      </c>
      <c r="K613" s="2" t="s">
        <v>2050</v>
      </c>
      <c r="L613" s="2" t="s">
        <v>130</v>
      </c>
      <c r="M613" s="2" t="s">
        <v>2017</v>
      </c>
      <c r="N613" s="16">
        <v>1.6199999999999999E-2</v>
      </c>
      <c r="O613" s="17">
        <f>N613*'Financial Inputs'!$B$3</f>
        <v>1620000</v>
      </c>
      <c r="P613" s="18">
        <f>IF(I613="L",'Financial Inputs'!$B$4,IF(I613="M",'Financial Inputs'!$B$5,'Financial Inputs'!$B$6))</f>
        <v>0.4</v>
      </c>
      <c r="Q613" s="17">
        <f>O613*P613</f>
        <v>648000</v>
      </c>
      <c r="R613" s="16">
        <f>'Financial Inputs'!$B$7</f>
        <v>0.35</v>
      </c>
      <c r="S613" s="17">
        <f>Q613*(1-R613)</f>
        <v>421200</v>
      </c>
      <c r="T613" s="18">
        <f>S613/'Financial Inputs'!$B$3</f>
        <v>4.2119999999999996E-3</v>
      </c>
      <c r="U613" s="9" t="s">
        <v>52</v>
      </c>
      <c r="V613" s="3" t="s">
        <v>53</v>
      </c>
    </row>
    <row r="614" spans="1:22">
      <c r="A614" s="2" t="s">
        <v>2051</v>
      </c>
      <c r="B614" s="2" t="s">
        <v>2052</v>
      </c>
      <c r="C614" s="2" t="s">
        <v>2014</v>
      </c>
      <c r="D614" s="2" t="s">
        <v>133</v>
      </c>
      <c r="E614" s="2" t="s">
        <v>43</v>
      </c>
      <c r="F614" s="2" t="s">
        <v>74</v>
      </c>
      <c r="G614" s="2" t="s">
        <v>56</v>
      </c>
      <c r="H614" s="2" t="s">
        <v>46</v>
      </c>
      <c r="I614" s="2" t="s">
        <v>47</v>
      </c>
      <c r="J614" s="2" t="s">
        <v>2015</v>
      </c>
      <c r="K614" s="2" t="s">
        <v>2053</v>
      </c>
      <c r="L614" s="2" t="s">
        <v>135</v>
      </c>
      <c r="M614" s="2" t="s">
        <v>2017</v>
      </c>
      <c r="N614" s="16">
        <v>1.7999999999999999E-2</v>
      </c>
      <c r="O614" s="17">
        <f>N614*'Financial Inputs'!$B$3</f>
        <v>1799999.9999999998</v>
      </c>
      <c r="P614" s="18">
        <f>IF(I614="L",'Financial Inputs'!$B$4,IF(I614="M",'Financial Inputs'!$B$5,'Financial Inputs'!$B$6))</f>
        <v>0.4</v>
      </c>
      <c r="Q614" s="17">
        <f>O614*P614</f>
        <v>720000</v>
      </c>
      <c r="R614" s="16">
        <f>'Financial Inputs'!$B$7</f>
        <v>0.35</v>
      </c>
      <c r="S614" s="17">
        <f>Q614*(1-R614)</f>
        <v>468000</v>
      </c>
      <c r="T614" s="18">
        <f>S614/'Financial Inputs'!$B$3</f>
        <v>4.6800000000000001E-3</v>
      </c>
      <c r="U614" s="9" t="s">
        <v>52</v>
      </c>
      <c r="V614" s="3" t="s">
        <v>53</v>
      </c>
    </row>
    <row r="615" spans="1:22">
      <c r="A615" s="2" t="s">
        <v>2054</v>
      </c>
      <c r="B615" s="2" t="s">
        <v>2055</v>
      </c>
      <c r="C615" s="2" t="s">
        <v>2014</v>
      </c>
      <c r="D615" s="2" t="s">
        <v>88</v>
      </c>
      <c r="E615" s="2" t="s">
        <v>57</v>
      </c>
      <c r="F615" s="2" t="s">
        <v>82</v>
      </c>
      <c r="G615" s="2" t="s">
        <v>138</v>
      </c>
      <c r="H615" s="2" t="s">
        <v>46</v>
      </c>
      <c r="I615" s="2" t="s">
        <v>47</v>
      </c>
      <c r="J615" s="2" t="s">
        <v>2015</v>
      </c>
      <c r="K615" s="2" t="s">
        <v>2056</v>
      </c>
      <c r="L615" s="2" t="s">
        <v>140</v>
      </c>
      <c r="M615" s="2" t="s">
        <v>2017</v>
      </c>
      <c r="N615" s="16">
        <v>1.9800000000000002E-2</v>
      </c>
      <c r="O615" s="17">
        <f>N615*'Financial Inputs'!$B$3</f>
        <v>1980000.0000000002</v>
      </c>
      <c r="P615" s="18">
        <f>IF(I615="L",'Financial Inputs'!$B$4,IF(I615="M",'Financial Inputs'!$B$5,'Financial Inputs'!$B$6))</f>
        <v>0.4</v>
      </c>
      <c r="Q615" s="17">
        <f>O615*P615</f>
        <v>792000.00000000012</v>
      </c>
      <c r="R615" s="16">
        <f>'Financial Inputs'!$B$7</f>
        <v>0.35</v>
      </c>
      <c r="S615" s="17">
        <f>Q615*(1-R615)</f>
        <v>514800.00000000012</v>
      </c>
      <c r="T615" s="18">
        <f>S615/'Financial Inputs'!$B$3</f>
        <v>5.1480000000000015E-3</v>
      </c>
      <c r="U615" s="9" t="s">
        <v>52</v>
      </c>
      <c r="V615" s="3" t="s">
        <v>53</v>
      </c>
    </row>
    <row r="616" spans="1:22">
      <c r="A616" s="2" t="s">
        <v>2057</v>
      </c>
      <c r="B616" s="2" t="s">
        <v>2058</v>
      </c>
      <c r="C616" s="2" t="s">
        <v>2014</v>
      </c>
      <c r="D616" s="2" t="s">
        <v>95</v>
      </c>
      <c r="E616" s="2" t="s">
        <v>65</v>
      </c>
      <c r="F616" s="2" t="s">
        <v>44</v>
      </c>
      <c r="G616" s="2" t="s">
        <v>143</v>
      </c>
      <c r="H616" s="2" t="s">
        <v>46</v>
      </c>
      <c r="I616" s="2" t="s">
        <v>47</v>
      </c>
      <c r="J616" s="2" t="s">
        <v>2015</v>
      </c>
      <c r="K616" s="2" t="s">
        <v>2059</v>
      </c>
      <c r="L616" s="2" t="s">
        <v>145</v>
      </c>
      <c r="M616" s="2" t="s">
        <v>2017</v>
      </c>
      <c r="N616" s="16">
        <v>2.1600000000000001E-2</v>
      </c>
      <c r="O616" s="17">
        <f>N616*'Financial Inputs'!$B$3</f>
        <v>2160000</v>
      </c>
      <c r="P616" s="18">
        <f>IF(I616="L",'Financial Inputs'!$B$4,IF(I616="M",'Financial Inputs'!$B$5,'Financial Inputs'!$B$6))</f>
        <v>0.4</v>
      </c>
      <c r="Q616" s="17">
        <f>O616*P616</f>
        <v>864000</v>
      </c>
      <c r="R616" s="16">
        <f>'Financial Inputs'!$B$7</f>
        <v>0.35</v>
      </c>
      <c r="S616" s="17">
        <f>Q616*(1-R616)</f>
        <v>561600</v>
      </c>
      <c r="T616" s="18">
        <f>S616/'Financial Inputs'!$B$3</f>
        <v>5.6160000000000003E-3</v>
      </c>
      <c r="U616" s="9" t="s">
        <v>52</v>
      </c>
      <c r="V616" s="3" t="s">
        <v>53</v>
      </c>
    </row>
    <row r="617" spans="1:22">
      <c r="A617" s="2" t="s">
        <v>2060</v>
      </c>
      <c r="B617" s="2" t="s">
        <v>2061</v>
      </c>
      <c r="C617" s="2" t="s">
        <v>2014</v>
      </c>
      <c r="D617" s="2" t="s">
        <v>56</v>
      </c>
      <c r="E617" s="2" t="s">
        <v>148</v>
      </c>
      <c r="F617" s="2" t="s">
        <v>97</v>
      </c>
      <c r="G617" s="2" t="s">
        <v>56</v>
      </c>
      <c r="H617" s="2" t="s">
        <v>46</v>
      </c>
      <c r="I617" s="2" t="s">
        <v>47</v>
      </c>
      <c r="J617" s="2" t="s">
        <v>2015</v>
      </c>
      <c r="K617" s="2" t="s">
        <v>2062</v>
      </c>
      <c r="L617" s="2" t="s">
        <v>150</v>
      </c>
      <c r="M617" s="2" t="s">
        <v>2017</v>
      </c>
      <c r="N617" s="16">
        <v>1.44E-2</v>
      </c>
      <c r="O617" s="17">
        <f>N617*'Financial Inputs'!$B$3</f>
        <v>1440000</v>
      </c>
      <c r="P617" s="18">
        <f>IF(I617="L",'Financial Inputs'!$B$4,IF(I617="M",'Financial Inputs'!$B$5,'Financial Inputs'!$B$6))</f>
        <v>0.4</v>
      </c>
      <c r="Q617" s="17">
        <f>O617*P617</f>
        <v>576000</v>
      </c>
      <c r="R617" s="16">
        <f>'Financial Inputs'!$B$7</f>
        <v>0.35</v>
      </c>
      <c r="S617" s="17">
        <f>Q617*(1-R617)</f>
        <v>374400</v>
      </c>
      <c r="T617" s="18">
        <f>S617/'Financial Inputs'!$B$3</f>
        <v>3.7439999999999999E-3</v>
      </c>
      <c r="U617" s="9" t="s">
        <v>52</v>
      </c>
      <c r="V617" s="3" t="s">
        <v>53</v>
      </c>
    </row>
    <row r="618" spans="1:22">
      <c r="A618" s="2" t="s">
        <v>2063</v>
      </c>
      <c r="B618" s="2" t="s">
        <v>2064</v>
      </c>
      <c r="C618" s="2" t="s">
        <v>2014</v>
      </c>
      <c r="D618" s="2" t="s">
        <v>64</v>
      </c>
      <c r="E618" s="2" t="s">
        <v>153</v>
      </c>
      <c r="F618" s="2" t="s">
        <v>104</v>
      </c>
      <c r="G618" s="2" t="s">
        <v>138</v>
      </c>
      <c r="H618" s="2" t="s">
        <v>46</v>
      </c>
      <c r="I618" s="2" t="s">
        <v>47</v>
      </c>
      <c r="J618" s="2" t="s">
        <v>2015</v>
      </c>
      <c r="K618" s="2" t="s">
        <v>2065</v>
      </c>
      <c r="L618" s="2" t="s">
        <v>155</v>
      </c>
      <c r="M618" s="2" t="s">
        <v>2017</v>
      </c>
      <c r="N618" s="16">
        <v>1.6199999999999999E-2</v>
      </c>
      <c r="O618" s="17">
        <f>N618*'Financial Inputs'!$B$3</f>
        <v>1620000</v>
      </c>
      <c r="P618" s="18">
        <f>IF(I618="L",'Financial Inputs'!$B$4,IF(I618="M",'Financial Inputs'!$B$5,'Financial Inputs'!$B$6))</f>
        <v>0.4</v>
      </c>
      <c r="Q618" s="17">
        <f>O618*P618</f>
        <v>648000</v>
      </c>
      <c r="R618" s="16">
        <f>'Financial Inputs'!$B$7</f>
        <v>0.35</v>
      </c>
      <c r="S618" s="17">
        <f>Q618*(1-R618)</f>
        <v>421200</v>
      </c>
      <c r="T618" s="18">
        <f>S618/'Financial Inputs'!$B$3</f>
        <v>4.2119999999999996E-3</v>
      </c>
      <c r="U618" s="9" t="s">
        <v>52</v>
      </c>
      <c r="V618" s="3" t="s">
        <v>53</v>
      </c>
    </row>
    <row r="619" spans="1:22">
      <c r="A619" s="2" t="s">
        <v>2066</v>
      </c>
      <c r="B619" s="2" t="s">
        <v>2067</v>
      </c>
      <c r="C619" s="2" t="s">
        <v>2014</v>
      </c>
      <c r="D619" s="2" t="s">
        <v>72</v>
      </c>
      <c r="E619" s="2" t="s">
        <v>89</v>
      </c>
      <c r="F619" s="2" t="s">
        <v>110</v>
      </c>
      <c r="G619" s="2" t="s">
        <v>143</v>
      </c>
      <c r="H619" s="2" t="s">
        <v>46</v>
      </c>
      <c r="I619" s="2" t="s">
        <v>47</v>
      </c>
      <c r="J619" s="2" t="s">
        <v>2015</v>
      </c>
      <c r="K619" s="2" t="s">
        <v>2068</v>
      </c>
      <c r="L619" s="2" t="s">
        <v>159</v>
      </c>
      <c r="M619" s="2" t="s">
        <v>2017</v>
      </c>
      <c r="N619" s="16">
        <v>1.7999999999999999E-2</v>
      </c>
      <c r="O619" s="17">
        <f>N619*'Financial Inputs'!$B$3</f>
        <v>1799999.9999999998</v>
      </c>
      <c r="P619" s="18">
        <f>IF(I619="L",'Financial Inputs'!$B$4,IF(I619="M",'Financial Inputs'!$B$5,'Financial Inputs'!$B$6))</f>
        <v>0.4</v>
      </c>
      <c r="Q619" s="17">
        <f>O619*P619</f>
        <v>720000</v>
      </c>
      <c r="R619" s="16">
        <f>'Financial Inputs'!$B$7</f>
        <v>0.35</v>
      </c>
      <c r="S619" s="17">
        <f>Q619*(1-R619)</f>
        <v>468000</v>
      </c>
      <c r="T619" s="18">
        <f>S619/'Financial Inputs'!$B$3</f>
        <v>4.6800000000000001E-3</v>
      </c>
      <c r="U619" s="9" t="s">
        <v>52</v>
      </c>
      <c r="V619" s="3" t="s">
        <v>53</v>
      </c>
    </row>
    <row r="620" spans="1:22">
      <c r="A620" s="2" t="s">
        <v>2069</v>
      </c>
      <c r="B620" s="2" t="s">
        <v>2070</v>
      </c>
      <c r="C620" s="2" t="s">
        <v>2014</v>
      </c>
      <c r="D620" s="2" t="s">
        <v>80</v>
      </c>
      <c r="E620" s="2" t="s">
        <v>96</v>
      </c>
      <c r="F620" s="2" t="s">
        <v>117</v>
      </c>
      <c r="G620" s="2" t="s">
        <v>162</v>
      </c>
      <c r="H620" s="2" t="s">
        <v>46</v>
      </c>
      <c r="I620" s="2" t="s">
        <v>47</v>
      </c>
      <c r="J620" s="2" t="s">
        <v>2015</v>
      </c>
      <c r="K620" s="2" t="s">
        <v>2071</v>
      </c>
      <c r="L620" s="2" t="s">
        <v>164</v>
      </c>
      <c r="M620" s="2" t="s">
        <v>2017</v>
      </c>
      <c r="N620" s="16">
        <v>1.9800000000000002E-2</v>
      </c>
      <c r="O620" s="17">
        <f>N620*'Financial Inputs'!$B$3</f>
        <v>1980000.0000000002</v>
      </c>
      <c r="P620" s="18">
        <f>IF(I620="L",'Financial Inputs'!$B$4,IF(I620="M",'Financial Inputs'!$B$5,'Financial Inputs'!$B$6))</f>
        <v>0.4</v>
      </c>
      <c r="Q620" s="17">
        <f>O620*P620</f>
        <v>792000.00000000012</v>
      </c>
      <c r="R620" s="16">
        <f>'Financial Inputs'!$B$7</f>
        <v>0.35</v>
      </c>
      <c r="S620" s="17">
        <f>Q620*(1-R620)</f>
        <v>514800.00000000012</v>
      </c>
      <c r="T620" s="18">
        <f>S620/'Financial Inputs'!$B$3</f>
        <v>5.1480000000000015E-3</v>
      </c>
      <c r="U620" s="9" t="s">
        <v>52</v>
      </c>
      <c r="V620" s="3" t="s">
        <v>53</v>
      </c>
    </row>
    <row r="621" spans="1:22">
      <c r="A621" s="2" t="s">
        <v>2072</v>
      </c>
      <c r="B621" s="2" t="s">
        <v>2073</v>
      </c>
      <c r="C621" s="2" t="s">
        <v>2014</v>
      </c>
      <c r="D621" s="2" t="s">
        <v>127</v>
      </c>
      <c r="E621" s="2" t="s">
        <v>103</v>
      </c>
      <c r="F621" s="2" t="s">
        <v>90</v>
      </c>
      <c r="G621" s="2" t="s">
        <v>45</v>
      </c>
      <c r="H621" s="2" t="s">
        <v>46</v>
      </c>
      <c r="I621" s="2" t="s">
        <v>47</v>
      </c>
      <c r="J621" s="2" t="s">
        <v>2015</v>
      </c>
      <c r="K621" s="2" t="s">
        <v>2074</v>
      </c>
      <c r="L621" s="2" t="s">
        <v>168</v>
      </c>
      <c r="M621" s="2" t="s">
        <v>2017</v>
      </c>
      <c r="N621" s="16">
        <v>2.1600000000000001E-2</v>
      </c>
      <c r="O621" s="17">
        <f>N621*'Financial Inputs'!$B$3</f>
        <v>2160000</v>
      </c>
      <c r="P621" s="18">
        <f>IF(I621="L",'Financial Inputs'!$B$4,IF(I621="M",'Financial Inputs'!$B$5,'Financial Inputs'!$B$6))</f>
        <v>0.4</v>
      </c>
      <c r="Q621" s="17">
        <f>O621*P621</f>
        <v>864000</v>
      </c>
      <c r="R621" s="16">
        <f>'Financial Inputs'!$B$7</f>
        <v>0.35</v>
      </c>
      <c r="S621" s="17">
        <f>Q621*(1-R621)</f>
        <v>561600</v>
      </c>
      <c r="T621" s="18">
        <f>S621/'Financial Inputs'!$B$3</f>
        <v>5.6160000000000003E-3</v>
      </c>
      <c r="U621" s="9" t="s">
        <v>52</v>
      </c>
      <c r="V621" s="3" t="s">
        <v>53</v>
      </c>
    </row>
    <row r="622" spans="1:22">
      <c r="A622" s="2" t="s">
        <v>2075</v>
      </c>
      <c r="B622" s="2" t="s">
        <v>2076</v>
      </c>
      <c r="C622" s="2" t="s">
        <v>2014</v>
      </c>
      <c r="D622" s="2" t="s">
        <v>95</v>
      </c>
      <c r="E622" s="2" t="s">
        <v>171</v>
      </c>
      <c r="F622" s="2" t="s">
        <v>66</v>
      </c>
      <c r="G622" s="2" t="s">
        <v>143</v>
      </c>
      <c r="H622" s="2" t="s">
        <v>46</v>
      </c>
      <c r="I622" s="2" t="s">
        <v>47</v>
      </c>
      <c r="J622" s="2" t="s">
        <v>2015</v>
      </c>
      <c r="K622" s="2" t="s">
        <v>2077</v>
      </c>
      <c r="L622" s="2" t="s">
        <v>173</v>
      </c>
      <c r="M622" s="2" t="s">
        <v>2017</v>
      </c>
      <c r="N622" s="16">
        <v>1.44E-2</v>
      </c>
      <c r="O622" s="17">
        <f>N622*'Financial Inputs'!$B$3</f>
        <v>1440000</v>
      </c>
      <c r="P622" s="18">
        <f>IF(I622="L",'Financial Inputs'!$B$4,IF(I622="M",'Financial Inputs'!$B$5,'Financial Inputs'!$B$6))</f>
        <v>0.4</v>
      </c>
      <c r="Q622" s="17">
        <f>O622*P622</f>
        <v>576000</v>
      </c>
      <c r="R622" s="16">
        <f>'Financial Inputs'!$B$7</f>
        <v>0.35</v>
      </c>
      <c r="S622" s="17">
        <f>Q622*(1-R622)</f>
        <v>374400</v>
      </c>
      <c r="T622" s="18">
        <f>S622/'Financial Inputs'!$B$3</f>
        <v>3.7439999999999999E-3</v>
      </c>
      <c r="U622" s="9" t="s">
        <v>52</v>
      </c>
      <c r="V622" s="3" t="s">
        <v>53</v>
      </c>
    </row>
    <row r="623" spans="1:22">
      <c r="A623" s="2" t="s">
        <v>2078</v>
      </c>
      <c r="B623" s="2" t="s">
        <v>2079</v>
      </c>
      <c r="C623" s="2" t="s">
        <v>2014</v>
      </c>
      <c r="D623" s="2" t="s">
        <v>102</v>
      </c>
      <c r="E623" s="2" t="s">
        <v>176</v>
      </c>
      <c r="F623" s="2" t="s">
        <v>74</v>
      </c>
      <c r="G623" s="2" t="s">
        <v>162</v>
      </c>
      <c r="H623" s="2" t="s">
        <v>46</v>
      </c>
      <c r="I623" s="2" t="s">
        <v>47</v>
      </c>
      <c r="J623" s="2" t="s">
        <v>2015</v>
      </c>
      <c r="K623" s="2" t="s">
        <v>2080</v>
      </c>
      <c r="L623" s="2" t="s">
        <v>178</v>
      </c>
      <c r="M623" s="2" t="s">
        <v>2017</v>
      </c>
      <c r="N623" s="16">
        <v>1.6199999999999999E-2</v>
      </c>
      <c r="O623" s="17">
        <f>N623*'Financial Inputs'!$B$3</f>
        <v>1620000</v>
      </c>
      <c r="P623" s="18">
        <f>IF(I623="L",'Financial Inputs'!$B$4,IF(I623="M",'Financial Inputs'!$B$5,'Financial Inputs'!$B$6))</f>
        <v>0.4</v>
      </c>
      <c r="Q623" s="17">
        <f>O623*P623</f>
        <v>648000</v>
      </c>
      <c r="R623" s="16">
        <f>'Financial Inputs'!$B$7</f>
        <v>0.35</v>
      </c>
      <c r="S623" s="17">
        <f>Q623*(1-R623)</f>
        <v>421200</v>
      </c>
      <c r="T623" s="18">
        <f>S623/'Financial Inputs'!$B$3</f>
        <v>4.2119999999999996E-3</v>
      </c>
      <c r="U623" s="9" t="s">
        <v>52</v>
      </c>
      <c r="V623" s="3" t="s">
        <v>53</v>
      </c>
    </row>
    <row r="624" spans="1:22">
      <c r="A624" s="2" t="s">
        <v>2081</v>
      </c>
      <c r="B624" s="2" t="s">
        <v>2082</v>
      </c>
      <c r="C624" s="2" t="s">
        <v>2014</v>
      </c>
      <c r="D624" s="2" t="s">
        <v>42</v>
      </c>
      <c r="E624" s="2" t="s">
        <v>122</v>
      </c>
      <c r="F624" s="2" t="s">
        <v>82</v>
      </c>
      <c r="G624" s="2" t="s">
        <v>45</v>
      </c>
      <c r="H624" s="2" t="s">
        <v>46</v>
      </c>
      <c r="I624" s="2" t="s">
        <v>47</v>
      </c>
      <c r="J624" s="2" t="s">
        <v>2015</v>
      </c>
      <c r="K624" s="2" t="s">
        <v>2083</v>
      </c>
      <c r="L624" s="2" t="s">
        <v>182</v>
      </c>
      <c r="M624" s="2" t="s">
        <v>2017</v>
      </c>
      <c r="N624" s="16">
        <v>1.7999999999999999E-2</v>
      </c>
      <c r="O624" s="17">
        <f>N624*'Financial Inputs'!$B$3</f>
        <v>1799999.9999999998</v>
      </c>
      <c r="P624" s="18">
        <f>IF(I624="L",'Financial Inputs'!$B$4,IF(I624="M",'Financial Inputs'!$B$5,'Financial Inputs'!$B$6))</f>
        <v>0.4</v>
      </c>
      <c r="Q624" s="17">
        <f>O624*P624</f>
        <v>720000</v>
      </c>
      <c r="R624" s="16">
        <f>'Financial Inputs'!$B$7</f>
        <v>0.35</v>
      </c>
      <c r="S624" s="17">
        <f>Q624*(1-R624)</f>
        <v>468000</v>
      </c>
      <c r="T624" s="18">
        <f>S624/'Financial Inputs'!$B$3</f>
        <v>4.6800000000000001E-3</v>
      </c>
      <c r="U624" s="9" t="s">
        <v>52</v>
      </c>
      <c r="V624" s="3" t="s">
        <v>53</v>
      </c>
    </row>
    <row r="625" spans="1:22">
      <c r="A625" s="2" t="s">
        <v>2084</v>
      </c>
      <c r="B625" s="2" t="s">
        <v>2085</v>
      </c>
      <c r="C625" s="2" t="s">
        <v>2014</v>
      </c>
      <c r="D625" s="2" t="s">
        <v>56</v>
      </c>
      <c r="E625" s="2" t="s">
        <v>128</v>
      </c>
      <c r="F625" s="2" t="s">
        <v>44</v>
      </c>
      <c r="G625" s="2" t="s">
        <v>59</v>
      </c>
      <c r="H625" s="2" t="s">
        <v>46</v>
      </c>
      <c r="I625" s="2" t="s">
        <v>47</v>
      </c>
      <c r="J625" s="2" t="s">
        <v>2015</v>
      </c>
      <c r="K625" s="2" t="s">
        <v>2086</v>
      </c>
      <c r="L625" s="2" t="s">
        <v>186</v>
      </c>
      <c r="M625" s="2" t="s">
        <v>2017</v>
      </c>
      <c r="N625" s="16">
        <v>1.9800000000000002E-2</v>
      </c>
      <c r="O625" s="17">
        <f>N625*'Financial Inputs'!$B$3</f>
        <v>1980000.0000000002</v>
      </c>
      <c r="P625" s="18">
        <f>IF(I625="L",'Financial Inputs'!$B$4,IF(I625="M",'Financial Inputs'!$B$5,'Financial Inputs'!$B$6))</f>
        <v>0.4</v>
      </c>
      <c r="Q625" s="17">
        <f>O625*P625</f>
        <v>792000.00000000012</v>
      </c>
      <c r="R625" s="16">
        <f>'Financial Inputs'!$B$7</f>
        <v>0.35</v>
      </c>
      <c r="S625" s="17">
        <f>Q625*(1-R625)</f>
        <v>514800.00000000012</v>
      </c>
      <c r="T625" s="18">
        <f>S625/'Financial Inputs'!$B$3</f>
        <v>5.1480000000000015E-3</v>
      </c>
      <c r="U625" s="9" t="s">
        <v>52</v>
      </c>
      <c r="V625" s="3" t="s">
        <v>53</v>
      </c>
    </row>
    <row r="626" spans="1:22">
      <c r="A626" s="2" t="s">
        <v>2087</v>
      </c>
      <c r="B626" s="2" t="s">
        <v>2088</v>
      </c>
      <c r="C626" s="2" t="s">
        <v>2014</v>
      </c>
      <c r="D626" s="2" t="s">
        <v>64</v>
      </c>
      <c r="E626" s="2" t="s">
        <v>43</v>
      </c>
      <c r="F626" s="2" t="s">
        <v>58</v>
      </c>
      <c r="G626" s="2" t="s">
        <v>67</v>
      </c>
      <c r="H626" s="2" t="s">
        <v>46</v>
      </c>
      <c r="I626" s="2" t="s">
        <v>47</v>
      </c>
      <c r="J626" s="2" t="s">
        <v>2015</v>
      </c>
      <c r="K626" s="2" t="s">
        <v>2089</v>
      </c>
      <c r="L626" s="2" t="s">
        <v>190</v>
      </c>
      <c r="M626" s="2" t="s">
        <v>2017</v>
      </c>
      <c r="N626" s="16">
        <v>2.1600000000000001E-2</v>
      </c>
      <c r="O626" s="17">
        <f>N626*'Financial Inputs'!$B$3</f>
        <v>2160000</v>
      </c>
      <c r="P626" s="18">
        <f>IF(I626="L",'Financial Inputs'!$B$4,IF(I626="M",'Financial Inputs'!$B$5,'Financial Inputs'!$B$6))</f>
        <v>0.4</v>
      </c>
      <c r="Q626" s="17">
        <f>O626*P626</f>
        <v>864000</v>
      </c>
      <c r="R626" s="16">
        <f>'Financial Inputs'!$B$7</f>
        <v>0.35</v>
      </c>
      <c r="S626" s="17">
        <f>Q626*(1-R626)</f>
        <v>561600</v>
      </c>
      <c r="T626" s="18">
        <f>S626/'Financial Inputs'!$B$3</f>
        <v>5.6160000000000003E-3</v>
      </c>
      <c r="U626" s="9" t="s">
        <v>52</v>
      </c>
      <c r="V626" s="3" t="s">
        <v>53</v>
      </c>
    </row>
    <row r="627" spans="1:22">
      <c r="A627" s="2" t="s">
        <v>2090</v>
      </c>
      <c r="B627" s="2" t="s">
        <v>2091</v>
      </c>
      <c r="C627" s="2" t="s">
        <v>2014</v>
      </c>
      <c r="D627" s="2" t="s">
        <v>127</v>
      </c>
      <c r="E627" s="2" t="s">
        <v>193</v>
      </c>
      <c r="F627" s="2" t="s">
        <v>104</v>
      </c>
      <c r="G627" s="2" t="s">
        <v>45</v>
      </c>
      <c r="H627" s="2" t="s">
        <v>46</v>
      </c>
      <c r="I627" s="2" t="s">
        <v>47</v>
      </c>
      <c r="J627" s="2" t="s">
        <v>2015</v>
      </c>
      <c r="K627" s="2" t="s">
        <v>2092</v>
      </c>
      <c r="L627" s="2" t="s">
        <v>195</v>
      </c>
      <c r="M627" s="2" t="s">
        <v>2017</v>
      </c>
      <c r="N627" s="16">
        <v>1.44E-2</v>
      </c>
      <c r="O627" s="17">
        <f>N627*'Financial Inputs'!$B$3</f>
        <v>1440000</v>
      </c>
      <c r="P627" s="18">
        <f>IF(I627="L",'Financial Inputs'!$B$4,IF(I627="M",'Financial Inputs'!$B$5,'Financial Inputs'!$B$6))</f>
        <v>0.4</v>
      </c>
      <c r="Q627" s="17">
        <f>O627*P627</f>
        <v>576000</v>
      </c>
      <c r="R627" s="16">
        <f>'Financial Inputs'!$B$7</f>
        <v>0.35</v>
      </c>
      <c r="S627" s="17">
        <f>Q627*(1-R627)</f>
        <v>374400</v>
      </c>
      <c r="T627" s="18">
        <f>S627/'Financial Inputs'!$B$3</f>
        <v>3.7439999999999999E-3</v>
      </c>
      <c r="U627" s="9" t="s">
        <v>52</v>
      </c>
      <c r="V627" s="3" t="s">
        <v>53</v>
      </c>
    </row>
    <row r="628" spans="1:22">
      <c r="A628" s="2" t="s">
        <v>2093</v>
      </c>
      <c r="B628" s="2" t="s">
        <v>2094</v>
      </c>
      <c r="C628" s="2" t="s">
        <v>2014</v>
      </c>
      <c r="D628" s="2" t="s">
        <v>133</v>
      </c>
      <c r="E628" s="2" t="s">
        <v>198</v>
      </c>
      <c r="F628" s="2" t="s">
        <v>110</v>
      </c>
      <c r="G628" s="2" t="s">
        <v>59</v>
      </c>
      <c r="H628" s="2" t="s">
        <v>46</v>
      </c>
      <c r="I628" s="2" t="s">
        <v>47</v>
      </c>
      <c r="J628" s="2" t="s">
        <v>2015</v>
      </c>
      <c r="K628" s="2" t="s">
        <v>2095</v>
      </c>
      <c r="L628" s="2" t="s">
        <v>200</v>
      </c>
      <c r="M628" s="2" t="s">
        <v>2017</v>
      </c>
      <c r="N628" s="16">
        <v>1.6199999999999999E-2</v>
      </c>
      <c r="O628" s="17">
        <f>N628*'Financial Inputs'!$B$3</f>
        <v>1620000</v>
      </c>
      <c r="P628" s="18">
        <f>IF(I628="L",'Financial Inputs'!$B$4,IF(I628="M",'Financial Inputs'!$B$5,'Financial Inputs'!$B$6))</f>
        <v>0.4</v>
      </c>
      <c r="Q628" s="17">
        <f>O628*P628</f>
        <v>648000</v>
      </c>
      <c r="R628" s="16">
        <f>'Financial Inputs'!$B$7</f>
        <v>0.35</v>
      </c>
      <c r="S628" s="17">
        <f>Q628*(1-R628)</f>
        <v>421200</v>
      </c>
      <c r="T628" s="18">
        <f>S628/'Financial Inputs'!$B$3</f>
        <v>4.2119999999999996E-3</v>
      </c>
      <c r="U628" s="9" t="s">
        <v>52</v>
      </c>
      <c r="V628" s="3" t="s">
        <v>53</v>
      </c>
    </row>
    <row r="629" spans="1:22">
      <c r="A629" s="2" t="s">
        <v>2096</v>
      </c>
      <c r="B629" s="2" t="s">
        <v>2097</v>
      </c>
      <c r="C629" s="2" t="s">
        <v>2014</v>
      </c>
      <c r="D629" s="2" t="s">
        <v>88</v>
      </c>
      <c r="E629" s="2" t="s">
        <v>148</v>
      </c>
      <c r="F629" s="2" t="s">
        <v>117</v>
      </c>
      <c r="G629" s="2" t="s">
        <v>67</v>
      </c>
      <c r="H629" s="2" t="s">
        <v>46</v>
      </c>
      <c r="I629" s="2" t="s">
        <v>47</v>
      </c>
      <c r="J629" s="2" t="s">
        <v>2015</v>
      </c>
      <c r="K629" s="2" t="s">
        <v>2098</v>
      </c>
      <c r="L629" s="2" t="s">
        <v>204</v>
      </c>
      <c r="M629" s="2" t="s">
        <v>2017</v>
      </c>
      <c r="N629" s="16">
        <v>1.7999999999999999E-2</v>
      </c>
      <c r="O629" s="17">
        <f>N629*'Financial Inputs'!$B$3</f>
        <v>1799999.9999999998</v>
      </c>
      <c r="P629" s="18">
        <f>IF(I629="L",'Financial Inputs'!$B$4,IF(I629="M",'Financial Inputs'!$B$5,'Financial Inputs'!$B$6))</f>
        <v>0.4</v>
      </c>
      <c r="Q629" s="17">
        <f>O629*P629</f>
        <v>720000</v>
      </c>
      <c r="R629" s="16">
        <f>'Financial Inputs'!$B$7</f>
        <v>0.35</v>
      </c>
      <c r="S629" s="17">
        <f>Q629*(1-R629)</f>
        <v>468000</v>
      </c>
      <c r="T629" s="18">
        <f>S629/'Financial Inputs'!$B$3</f>
        <v>4.6800000000000001E-3</v>
      </c>
      <c r="U629" s="9" t="s">
        <v>52</v>
      </c>
      <c r="V629" s="3" t="s">
        <v>53</v>
      </c>
    </row>
    <row r="630" spans="1:22">
      <c r="A630" s="2" t="s">
        <v>2099</v>
      </c>
      <c r="B630" s="2" t="s">
        <v>2100</v>
      </c>
      <c r="C630" s="2" t="s">
        <v>2014</v>
      </c>
      <c r="D630" s="2" t="s">
        <v>95</v>
      </c>
      <c r="E630" s="2" t="s">
        <v>153</v>
      </c>
      <c r="F630" s="2" t="s">
        <v>90</v>
      </c>
      <c r="G630" s="2" t="s">
        <v>75</v>
      </c>
      <c r="H630" s="2" t="s">
        <v>46</v>
      </c>
      <c r="I630" s="2" t="s">
        <v>47</v>
      </c>
      <c r="J630" s="2" t="s">
        <v>2015</v>
      </c>
      <c r="K630" s="2" t="s">
        <v>2101</v>
      </c>
      <c r="L630" s="2" t="s">
        <v>208</v>
      </c>
      <c r="M630" s="2" t="s">
        <v>2017</v>
      </c>
      <c r="N630" s="16">
        <v>1.9800000000000002E-2</v>
      </c>
      <c r="O630" s="17">
        <f>N630*'Financial Inputs'!$B$3</f>
        <v>1980000.0000000002</v>
      </c>
      <c r="P630" s="18">
        <f>IF(I630="L",'Financial Inputs'!$B$4,IF(I630="M",'Financial Inputs'!$B$5,'Financial Inputs'!$B$6))</f>
        <v>0.4</v>
      </c>
      <c r="Q630" s="17">
        <f>O630*P630</f>
        <v>792000.00000000012</v>
      </c>
      <c r="R630" s="16">
        <f>'Financial Inputs'!$B$7</f>
        <v>0.35</v>
      </c>
      <c r="S630" s="17">
        <f>Q630*(1-R630)</f>
        <v>514800.00000000012</v>
      </c>
      <c r="T630" s="18">
        <f>S630/'Financial Inputs'!$B$3</f>
        <v>5.1480000000000015E-3</v>
      </c>
      <c r="U630" s="9" t="s">
        <v>52</v>
      </c>
      <c r="V630" s="3" t="s">
        <v>53</v>
      </c>
    </row>
    <row r="631" spans="1:22">
      <c r="A631" s="2" t="s">
        <v>2102</v>
      </c>
      <c r="B631" s="2" t="s">
        <v>2103</v>
      </c>
      <c r="C631" s="2" t="s">
        <v>2014</v>
      </c>
      <c r="D631" s="2" t="s">
        <v>102</v>
      </c>
      <c r="E631" s="2" t="s">
        <v>89</v>
      </c>
      <c r="F631" s="2" t="s">
        <v>97</v>
      </c>
      <c r="G631" s="2" t="s">
        <v>83</v>
      </c>
      <c r="H631" s="2" t="s">
        <v>46</v>
      </c>
      <c r="I631" s="2" t="s">
        <v>47</v>
      </c>
      <c r="J631" s="2" t="s">
        <v>2015</v>
      </c>
      <c r="K631" s="2" t="s">
        <v>2104</v>
      </c>
      <c r="L631" s="2" t="s">
        <v>212</v>
      </c>
      <c r="M631" s="2" t="s">
        <v>2017</v>
      </c>
      <c r="N631" s="16">
        <v>2.1600000000000001E-2</v>
      </c>
      <c r="O631" s="17">
        <f>N631*'Financial Inputs'!$B$3</f>
        <v>2160000</v>
      </c>
      <c r="P631" s="18">
        <f>IF(I631="L",'Financial Inputs'!$B$4,IF(I631="M",'Financial Inputs'!$B$5,'Financial Inputs'!$B$6))</f>
        <v>0.4</v>
      </c>
      <c r="Q631" s="17">
        <f>O631*P631</f>
        <v>864000</v>
      </c>
      <c r="R631" s="16">
        <f>'Financial Inputs'!$B$7</f>
        <v>0.35</v>
      </c>
      <c r="S631" s="17">
        <f>Q631*(1-R631)</f>
        <v>561600</v>
      </c>
      <c r="T631" s="18">
        <f>S631/'Financial Inputs'!$B$3</f>
        <v>5.6160000000000003E-3</v>
      </c>
      <c r="U631" s="9" t="s">
        <v>52</v>
      </c>
      <c r="V631" s="3" t="s">
        <v>53</v>
      </c>
    </row>
    <row r="632" spans="1:22">
      <c r="A632" s="2" t="s">
        <v>2105</v>
      </c>
      <c r="B632" s="2" t="s">
        <v>2106</v>
      </c>
      <c r="C632" s="2" t="s">
        <v>2014</v>
      </c>
      <c r="D632" s="2" t="s">
        <v>64</v>
      </c>
      <c r="E632" s="2" t="s">
        <v>215</v>
      </c>
      <c r="F632" s="2" t="s">
        <v>74</v>
      </c>
      <c r="G632" s="2" t="s">
        <v>67</v>
      </c>
      <c r="H632" s="2" t="s">
        <v>46</v>
      </c>
      <c r="I632" s="2" t="s">
        <v>47</v>
      </c>
      <c r="J632" s="2" t="s">
        <v>2015</v>
      </c>
      <c r="K632" s="2" t="s">
        <v>2107</v>
      </c>
      <c r="L632" s="2" t="s">
        <v>217</v>
      </c>
      <c r="M632" s="2" t="s">
        <v>2017</v>
      </c>
      <c r="N632" s="16">
        <v>1.44E-2</v>
      </c>
      <c r="O632" s="17">
        <f>N632*'Financial Inputs'!$B$3</f>
        <v>1440000</v>
      </c>
      <c r="P632" s="18">
        <f>IF(I632="L",'Financial Inputs'!$B$4,IF(I632="M",'Financial Inputs'!$B$5,'Financial Inputs'!$B$6))</f>
        <v>0.4</v>
      </c>
      <c r="Q632" s="17">
        <f>O632*P632</f>
        <v>576000</v>
      </c>
      <c r="R632" s="16">
        <f>'Financial Inputs'!$B$7</f>
        <v>0.35</v>
      </c>
      <c r="S632" s="17">
        <f>Q632*(1-R632)</f>
        <v>374400</v>
      </c>
      <c r="T632" s="18">
        <f>S632/'Financial Inputs'!$B$3</f>
        <v>3.7439999999999999E-3</v>
      </c>
      <c r="U632" s="9" t="s">
        <v>52</v>
      </c>
      <c r="V632" s="3" t="s">
        <v>53</v>
      </c>
    </row>
    <row r="633" spans="1:22">
      <c r="A633" s="2" t="s">
        <v>2108</v>
      </c>
      <c r="B633" s="2" t="s">
        <v>2109</v>
      </c>
      <c r="C633" s="2" t="s">
        <v>2014</v>
      </c>
      <c r="D633" s="2" t="s">
        <v>72</v>
      </c>
      <c r="E633" s="2" t="s">
        <v>220</v>
      </c>
      <c r="F633" s="2" t="s">
        <v>82</v>
      </c>
      <c r="G633" s="2" t="s">
        <v>75</v>
      </c>
      <c r="H633" s="2" t="s">
        <v>46</v>
      </c>
      <c r="I633" s="2" t="s">
        <v>47</v>
      </c>
      <c r="J633" s="2" t="s">
        <v>2015</v>
      </c>
      <c r="K633" s="2" t="s">
        <v>2110</v>
      </c>
      <c r="L633" s="2" t="s">
        <v>222</v>
      </c>
      <c r="M633" s="2" t="s">
        <v>2017</v>
      </c>
      <c r="N633" s="16">
        <v>1.6199999999999999E-2</v>
      </c>
      <c r="O633" s="17">
        <f>N633*'Financial Inputs'!$B$3</f>
        <v>1620000</v>
      </c>
      <c r="P633" s="18">
        <f>IF(I633="L",'Financial Inputs'!$B$4,IF(I633="M",'Financial Inputs'!$B$5,'Financial Inputs'!$B$6))</f>
        <v>0.4</v>
      </c>
      <c r="Q633" s="17">
        <f>O633*P633</f>
        <v>648000</v>
      </c>
      <c r="R633" s="16">
        <f>'Financial Inputs'!$B$7</f>
        <v>0.35</v>
      </c>
      <c r="S633" s="17">
        <f>Q633*(1-R633)</f>
        <v>421200</v>
      </c>
      <c r="T633" s="18">
        <f>S633/'Financial Inputs'!$B$3</f>
        <v>4.2119999999999996E-3</v>
      </c>
      <c r="U633" s="9" t="s">
        <v>52</v>
      </c>
      <c r="V633" s="3" t="s">
        <v>53</v>
      </c>
    </row>
    <row r="634" spans="1:22">
      <c r="A634" s="2" t="s">
        <v>2111</v>
      </c>
      <c r="B634" s="2" t="s">
        <v>2112</v>
      </c>
      <c r="C634" s="2" t="s">
        <v>2014</v>
      </c>
      <c r="D634" s="2" t="s">
        <v>80</v>
      </c>
      <c r="E634" s="2" t="s">
        <v>171</v>
      </c>
      <c r="F634" s="2" t="s">
        <v>44</v>
      </c>
      <c r="G634" s="2" t="s">
        <v>83</v>
      </c>
      <c r="H634" s="2" t="s">
        <v>46</v>
      </c>
      <c r="I634" s="2" t="s">
        <v>47</v>
      </c>
      <c r="J634" s="2" t="s">
        <v>2015</v>
      </c>
      <c r="K634" s="2" t="s">
        <v>2113</v>
      </c>
      <c r="L634" s="2" t="s">
        <v>226</v>
      </c>
      <c r="M634" s="2" t="s">
        <v>2017</v>
      </c>
      <c r="N634" s="16">
        <v>1.7999999999999999E-2</v>
      </c>
      <c r="O634" s="17">
        <f>N634*'Financial Inputs'!$B$3</f>
        <v>1799999.9999999998</v>
      </c>
      <c r="P634" s="18">
        <f>IF(I634="L",'Financial Inputs'!$B$4,IF(I634="M",'Financial Inputs'!$B$5,'Financial Inputs'!$B$6))</f>
        <v>0.4</v>
      </c>
      <c r="Q634" s="17">
        <f>O634*P634</f>
        <v>720000</v>
      </c>
      <c r="R634" s="16">
        <f>'Financial Inputs'!$B$7</f>
        <v>0.35</v>
      </c>
      <c r="S634" s="17">
        <f>Q634*(1-R634)</f>
        <v>468000</v>
      </c>
      <c r="T634" s="18">
        <f>S634/'Financial Inputs'!$B$3</f>
        <v>4.6800000000000001E-3</v>
      </c>
      <c r="U634" s="9" t="s">
        <v>52</v>
      </c>
      <c r="V634" s="3" t="s">
        <v>53</v>
      </c>
    </row>
    <row r="635" spans="1:22">
      <c r="A635" s="2" t="s">
        <v>2114</v>
      </c>
      <c r="B635" s="2" t="s">
        <v>2115</v>
      </c>
      <c r="C635" s="2" t="s">
        <v>2014</v>
      </c>
      <c r="D635" s="2" t="s">
        <v>127</v>
      </c>
      <c r="E635" s="2" t="s">
        <v>176</v>
      </c>
      <c r="F635" s="2" t="s">
        <v>58</v>
      </c>
      <c r="G635" s="2" t="s">
        <v>111</v>
      </c>
      <c r="H635" s="2" t="s">
        <v>46</v>
      </c>
      <c r="I635" s="2" t="s">
        <v>47</v>
      </c>
      <c r="J635" s="2" t="s">
        <v>2015</v>
      </c>
      <c r="K635" s="2" t="s">
        <v>2116</v>
      </c>
      <c r="L635" s="2" t="s">
        <v>230</v>
      </c>
      <c r="M635" s="2" t="s">
        <v>2017</v>
      </c>
      <c r="N635" s="16">
        <v>1.9800000000000002E-2</v>
      </c>
      <c r="O635" s="17">
        <f>N635*'Financial Inputs'!$B$3</f>
        <v>1980000.0000000002</v>
      </c>
      <c r="P635" s="18">
        <f>IF(I635="L",'Financial Inputs'!$B$4,IF(I635="M",'Financial Inputs'!$B$5,'Financial Inputs'!$B$6))</f>
        <v>0.4</v>
      </c>
      <c r="Q635" s="17">
        <f>O635*P635</f>
        <v>792000.00000000012</v>
      </c>
      <c r="R635" s="16">
        <f>'Financial Inputs'!$B$7</f>
        <v>0.35</v>
      </c>
      <c r="S635" s="17">
        <f>Q635*(1-R635)</f>
        <v>514800.00000000012</v>
      </c>
      <c r="T635" s="18">
        <f>S635/'Financial Inputs'!$B$3</f>
        <v>5.1480000000000015E-3</v>
      </c>
      <c r="U635" s="9" t="s">
        <v>52</v>
      </c>
      <c r="V635" s="3" t="s">
        <v>53</v>
      </c>
    </row>
    <row r="636" spans="1:22">
      <c r="A636" s="2" t="s">
        <v>2117</v>
      </c>
      <c r="B636" s="2" t="s">
        <v>2118</v>
      </c>
      <c r="C636" s="2" t="s">
        <v>2014</v>
      </c>
      <c r="D636" s="2" t="s">
        <v>133</v>
      </c>
      <c r="E636" s="2" t="s">
        <v>122</v>
      </c>
      <c r="F636" s="2" t="s">
        <v>66</v>
      </c>
      <c r="G636" s="2" t="s">
        <v>56</v>
      </c>
      <c r="H636" s="2" t="s">
        <v>46</v>
      </c>
      <c r="I636" s="2" t="s">
        <v>47</v>
      </c>
      <c r="J636" s="2" t="s">
        <v>2015</v>
      </c>
      <c r="K636" s="2" t="s">
        <v>2119</v>
      </c>
      <c r="L636" s="2" t="s">
        <v>234</v>
      </c>
      <c r="M636" s="2" t="s">
        <v>2017</v>
      </c>
      <c r="N636" s="16">
        <v>2.1600000000000001E-2</v>
      </c>
      <c r="O636" s="17">
        <f>N636*'Financial Inputs'!$B$3</f>
        <v>2160000</v>
      </c>
      <c r="P636" s="18">
        <f>IF(I636="L",'Financial Inputs'!$B$4,IF(I636="M",'Financial Inputs'!$B$5,'Financial Inputs'!$B$6))</f>
        <v>0.4</v>
      </c>
      <c r="Q636" s="17">
        <f>O636*P636</f>
        <v>864000</v>
      </c>
      <c r="R636" s="16">
        <f>'Financial Inputs'!$B$7</f>
        <v>0.35</v>
      </c>
      <c r="S636" s="17">
        <f>Q636*(1-R636)</f>
        <v>561600</v>
      </c>
      <c r="T636" s="18">
        <f>S636/'Financial Inputs'!$B$3</f>
        <v>5.6160000000000003E-3</v>
      </c>
      <c r="U636" s="9" t="s">
        <v>52</v>
      </c>
      <c r="V636" s="3" t="s">
        <v>53</v>
      </c>
    </row>
    <row r="637" spans="1:22">
      <c r="A637" s="2" t="s">
        <v>2120</v>
      </c>
      <c r="B637" s="2" t="s">
        <v>2121</v>
      </c>
      <c r="C637" s="2" t="s">
        <v>2014</v>
      </c>
      <c r="D637" s="2" t="s">
        <v>102</v>
      </c>
      <c r="E637" s="2" t="s">
        <v>73</v>
      </c>
      <c r="F637" s="2" t="s">
        <v>110</v>
      </c>
      <c r="G637" s="2" t="s">
        <v>83</v>
      </c>
      <c r="H637" s="2" t="s">
        <v>46</v>
      </c>
      <c r="I637" s="2" t="s">
        <v>47</v>
      </c>
      <c r="J637" s="2" t="s">
        <v>2015</v>
      </c>
      <c r="K637" s="2" t="s">
        <v>2122</v>
      </c>
      <c r="L637" s="2" t="s">
        <v>238</v>
      </c>
      <c r="M637" s="2" t="s">
        <v>2017</v>
      </c>
      <c r="N637" s="16">
        <v>1.44E-2</v>
      </c>
      <c r="O637" s="17">
        <f>N637*'Financial Inputs'!$B$3</f>
        <v>1440000</v>
      </c>
      <c r="P637" s="18">
        <f>IF(I637="L",'Financial Inputs'!$B$4,IF(I637="M",'Financial Inputs'!$B$5,'Financial Inputs'!$B$6))</f>
        <v>0.4</v>
      </c>
      <c r="Q637" s="17">
        <f>O637*P637</f>
        <v>576000</v>
      </c>
      <c r="R637" s="16">
        <f>'Financial Inputs'!$B$7</f>
        <v>0.35</v>
      </c>
      <c r="S637" s="17">
        <f>Q637*(1-R637)</f>
        <v>374400</v>
      </c>
      <c r="T637" s="18">
        <f>S637/'Financial Inputs'!$B$3</f>
        <v>3.7439999999999999E-3</v>
      </c>
      <c r="U637" s="9" t="s">
        <v>52</v>
      </c>
      <c r="V637" s="3" t="s">
        <v>53</v>
      </c>
    </row>
    <row r="638" spans="1:22">
      <c r="A638" s="2" t="s">
        <v>2123</v>
      </c>
      <c r="B638" s="2" t="s">
        <v>2124</v>
      </c>
      <c r="C638" s="2" t="s">
        <v>2014</v>
      </c>
      <c r="D638" s="2" t="s">
        <v>42</v>
      </c>
      <c r="E638" s="2" t="s">
        <v>81</v>
      </c>
      <c r="F638" s="2" t="s">
        <v>117</v>
      </c>
      <c r="G638" s="2" t="s">
        <v>111</v>
      </c>
      <c r="H638" s="2" t="s">
        <v>46</v>
      </c>
      <c r="I638" s="2" t="s">
        <v>47</v>
      </c>
      <c r="J638" s="2" t="s">
        <v>2015</v>
      </c>
      <c r="K638" s="2" t="s">
        <v>2125</v>
      </c>
      <c r="L638" s="2" t="s">
        <v>242</v>
      </c>
      <c r="M638" s="2" t="s">
        <v>2017</v>
      </c>
      <c r="N638" s="16">
        <v>1.6199999999999999E-2</v>
      </c>
      <c r="O638" s="17">
        <f>N638*'Financial Inputs'!$B$3</f>
        <v>1620000</v>
      </c>
      <c r="P638" s="18">
        <f>IF(I638="L",'Financial Inputs'!$B$4,IF(I638="M",'Financial Inputs'!$B$5,'Financial Inputs'!$B$6))</f>
        <v>0.4</v>
      </c>
      <c r="Q638" s="17">
        <f>O638*P638</f>
        <v>648000</v>
      </c>
      <c r="R638" s="16">
        <f>'Financial Inputs'!$B$7</f>
        <v>0.35</v>
      </c>
      <c r="S638" s="17">
        <f>Q638*(1-R638)</f>
        <v>421200</v>
      </c>
      <c r="T638" s="18">
        <f>S638/'Financial Inputs'!$B$3</f>
        <v>4.2119999999999996E-3</v>
      </c>
      <c r="U638" s="9" t="s">
        <v>52</v>
      </c>
      <c r="V638" s="3" t="s">
        <v>53</v>
      </c>
    </row>
    <row r="639" spans="1:22">
      <c r="A639" s="2" t="s">
        <v>2126</v>
      </c>
      <c r="B639" s="2" t="s">
        <v>2127</v>
      </c>
      <c r="C639" s="2" t="s">
        <v>2014</v>
      </c>
      <c r="D639" s="2" t="s">
        <v>56</v>
      </c>
      <c r="E639" s="2" t="s">
        <v>193</v>
      </c>
      <c r="F639" s="2" t="s">
        <v>90</v>
      </c>
      <c r="G639" s="2" t="s">
        <v>56</v>
      </c>
      <c r="H639" s="2" t="s">
        <v>46</v>
      </c>
      <c r="I639" s="2" t="s">
        <v>47</v>
      </c>
      <c r="J639" s="2" t="s">
        <v>2015</v>
      </c>
      <c r="K639" s="2" t="s">
        <v>2128</v>
      </c>
      <c r="L639" s="2" t="s">
        <v>246</v>
      </c>
      <c r="M639" s="2" t="s">
        <v>2017</v>
      </c>
      <c r="N639" s="16">
        <v>1.7999999999999999E-2</v>
      </c>
      <c r="O639" s="17">
        <f>N639*'Financial Inputs'!$B$3</f>
        <v>1799999.9999999998</v>
      </c>
      <c r="P639" s="18">
        <f>IF(I639="L",'Financial Inputs'!$B$4,IF(I639="M",'Financial Inputs'!$B$5,'Financial Inputs'!$B$6))</f>
        <v>0.4</v>
      </c>
      <c r="Q639" s="17">
        <f>O639*P639</f>
        <v>720000</v>
      </c>
      <c r="R639" s="16">
        <f>'Financial Inputs'!$B$7</f>
        <v>0.35</v>
      </c>
      <c r="S639" s="17">
        <f>Q639*(1-R639)</f>
        <v>468000</v>
      </c>
      <c r="T639" s="18">
        <f>S639/'Financial Inputs'!$B$3</f>
        <v>4.6800000000000001E-3</v>
      </c>
      <c r="U639" s="9" t="s">
        <v>52</v>
      </c>
      <c r="V639" s="3" t="s">
        <v>53</v>
      </c>
    </row>
    <row r="640" spans="1:22">
      <c r="A640" s="2" t="s">
        <v>2129</v>
      </c>
      <c r="B640" s="2" t="s">
        <v>2130</v>
      </c>
      <c r="C640" s="2" t="s">
        <v>2014</v>
      </c>
      <c r="D640" s="2" t="s">
        <v>64</v>
      </c>
      <c r="E640" s="2" t="s">
        <v>198</v>
      </c>
      <c r="F640" s="2" t="s">
        <v>97</v>
      </c>
      <c r="G640" s="2" t="s">
        <v>138</v>
      </c>
      <c r="H640" s="2" t="s">
        <v>46</v>
      </c>
      <c r="I640" s="2" t="s">
        <v>47</v>
      </c>
      <c r="J640" s="2" t="s">
        <v>2015</v>
      </c>
      <c r="K640" s="2" t="s">
        <v>2131</v>
      </c>
      <c r="L640" s="2" t="s">
        <v>250</v>
      </c>
      <c r="M640" s="2" t="s">
        <v>2017</v>
      </c>
      <c r="N640" s="16">
        <v>1.9800000000000002E-2</v>
      </c>
      <c r="O640" s="17">
        <f>N640*'Financial Inputs'!$B$3</f>
        <v>1980000.0000000002</v>
      </c>
      <c r="P640" s="18">
        <f>IF(I640="L",'Financial Inputs'!$B$4,IF(I640="M",'Financial Inputs'!$B$5,'Financial Inputs'!$B$6))</f>
        <v>0.4</v>
      </c>
      <c r="Q640" s="17">
        <f>O640*P640</f>
        <v>792000.00000000012</v>
      </c>
      <c r="R640" s="16">
        <f>'Financial Inputs'!$B$7</f>
        <v>0.35</v>
      </c>
      <c r="S640" s="17">
        <f>Q640*(1-R640)</f>
        <v>514800.00000000012</v>
      </c>
      <c r="T640" s="18">
        <f>S640/'Financial Inputs'!$B$3</f>
        <v>5.1480000000000015E-3</v>
      </c>
      <c r="U640" s="9" t="s">
        <v>52</v>
      </c>
      <c r="V640" s="3" t="s">
        <v>53</v>
      </c>
    </row>
    <row r="641" spans="1:22">
      <c r="A641" s="2" t="s">
        <v>2132</v>
      </c>
      <c r="B641" s="2" t="s">
        <v>2133</v>
      </c>
      <c r="C641" s="2" t="s">
        <v>2014</v>
      </c>
      <c r="D641" s="2" t="s">
        <v>72</v>
      </c>
      <c r="E641" s="2" t="s">
        <v>148</v>
      </c>
      <c r="F641" s="2" t="s">
        <v>104</v>
      </c>
      <c r="G641" s="2" t="s">
        <v>143</v>
      </c>
      <c r="H641" s="2" t="s">
        <v>46</v>
      </c>
      <c r="I641" s="2" t="s">
        <v>47</v>
      </c>
      <c r="J641" s="2" t="s">
        <v>2015</v>
      </c>
      <c r="K641" s="2" t="s">
        <v>2134</v>
      </c>
      <c r="L641" s="2" t="s">
        <v>254</v>
      </c>
      <c r="M641" s="2" t="s">
        <v>2017</v>
      </c>
      <c r="N641" s="16">
        <v>2.1600000000000001E-2</v>
      </c>
      <c r="O641" s="17">
        <f>N641*'Financial Inputs'!$B$3</f>
        <v>2160000</v>
      </c>
      <c r="P641" s="18">
        <f>IF(I641="L",'Financial Inputs'!$B$4,IF(I641="M",'Financial Inputs'!$B$5,'Financial Inputs'!$B$6))</f>
        <v>0.4</v>
      </c>
      <c r="Q641" s="17">
        <f>O641*P641</f>
        <v>864000</v>
      </c>
      <c r="R641" s="16">
        <f>'Financial Inputs'!$B$7</f>
        <v>0.35</v>
      </c>
      <c r="S641" s="17">
        <f>Q641*(1-R641)</f>
        <v>561600</v>
      </c>
      <c r="T641" s="18">
        <f>S641/'Financial Inputs'!$B$3</f>
        <v>5.6160000000000003E-3</v>
      </c>
      <c r="U641" s="9" t="s">
        <v>52</v>
      </c>
      <c r="V641" s="3" t="s">
        <v>53</v>
      </c>
    </row>
    <row r="642" spans="1:22">
      <c r="A642" s="2" t="s">
        <v>2135</v>
      </c>
      <c r="B642" s="2" t="s">
        <v>2136</v>
      </c>
      <c r="C642" s="2" t="s">
        <v>2014</v>
      </c>
      <c r="D642" s="2" t="s">
        <v>133</v>
      </c>
      <c r="E642" s="2" t="s">
        <v>109</v>
      </c>
      <c r="F642" s="2" t="s">
        <v>82</v>
      </c>
      <c r="G642" s="2" t="s">
        <v>56</v>
      </c>
      <c r="H642" s="2" t="s">
        <v>46</v>
      </c>
      <c r="I642" s="2" t="s">
        <v>47</v>
      </c>
      <c r="J642" s="2" t="s">
        <v>2015</v>
      </c>
      <c r="K642" s="2" t="s">
        <v>2137</v>
      </c>
      <c r="L642" s="2" t="s">
        <v>258</v>
      </c>
      <c r="M642" s="2" t="s">
        <v>2017</v>
      </c>
      <c r="N642" s="16">
        <v>1.44E-2</v>
      </c>
      <c r="O642" s="17">
        <f>N642*'Financial Inputs'!$B$3</f>
        <v>1440000</v>
      </c>
      <c r="P642" s="18">
        <f>IF(I642="L",'Financial Inputs'!$B$4,IF(I642="M",'Financial Inputs'!$B$5,'Financial Inputs'!$B$6))</f>
        <v>0.4</v>
      </c>
      <c r="Q642" s="17">
        <f>O642*P642</f>
        <v>576000</v>
      </c>
      <c r="R642" s="16">
        <f>'Financial Inputs'!$B$7</f>
        <v>0.35</v>
      </c>
      <c r="S642" s="17">
        <f>Q642*(1-R642)</f>
        <v>374400</v>
      </c>
      <c r="T642" s="18">
        <f>S642/'Financial Inputs'!$B$3</f>
        <v>3.7439999999999999E-3</v>
      </c>
      <c r="U642" s="9" t="s">
        <v>52</v>
      </c>
      <c r="V642" s="3" t="s">
        <v>53</v>
      </c>
    </row>
    <row r="643" spans="1:22">
      <c r="A643" s="2" t="s">
        <v>2138</v>
      </c>
      <c r="B643" s="2" t="s">
        <v>2139</v>
      </c>
      <c r="C643" s="2" t="s">
        <v>2014</v>
      </c>
      <c r="D643" s="2" t="s">
        <v>88</v>
      </c>
      <c r="E643" s="2" t="s">
        <v>116</v>
      </c>
      <c r="F643" s="2" t="s">
        <v>44</v>
      </c>
      <c r="G643" s="2" t="s">
        <v>138</v>
      </c>
      <c r="H643" s="2" t="s">
        <v>46</v>
      </c>
      <c r="I643" s="2" t="s">
        <v>47</v>
      </c>
      <c r="J643" s="2" t="s">
        <v>2015</v>
      </c>
      <c r="K643" s="2" t="s">
        <v>2140</v>
      </c>
      <c r="L643" s="2" t="s">
        <v>262</v>
      </c>
      <c r="M643" s="2" t="s">
        <v>2017</v>
      </c>
      <c r="N643" s="16">
        <v>1.6199999999999999E-2</v>
      </c>
      <c r="O643" s="17">
        <f>N643*'Financial Inputs'!$B$3</f>
        <v>1620000</v>
      </c>
      <c r="P643" s="18">
        <f>IF(I643="L",'Financial Inputs'!$B$4,IF(I643="M",'Financial Inputs'!$B$5,'Financial Inputs'!$B$6))</f>
        <v>0.4</v>
      </c>
      <c r="Q643" s="17">
        <f>O643*P643</f>
        <v>648000</v>
      </c>
      <c r="R643" s="16">
        <f>'Financial Inputs'!$B$7</f>
        <v>0.35</v>
      </c>
      <c r="S643" s="17">
        <f>Q643*(1-R643)</f>
        <v>421200</v>
      </c>
      <c r="T643" s="18">
        <f>S643/'Financial Inputs'!$B$3</f>
        <v>4.2119999999999996E-3</v>
      </c>
      <c r="U643" s="9" t="s">
        <v>52</v>
      </c>
      <c r="V643" s="3" t="s">
        <v>53</v>
      </c>
    </row>
    <row r="644" spans="1:22">
      <c r="A644" s="2" t="s">
        <v>2141</v>
      </c>
      <c r="B644" s="2" t="s">
        <v>2142</v>
      </c>
      <c r="C644" s="2" t="s">
        <v>2014</v>
      </c>
      <c r="D644" s="2" t="s">
        <v>95</v>
      </c>
      <c r="E644" s="2" t="s">
        <v>215</v>
      </c>
      <c r="F644" s="2" t="s">
        <v>58</v>
      </c>
      <c r="G644" s="2" t="s">
        <v>143</v>
      </c>
      <c r="H644" s="2" t="s">
        <v>46</v>
      </c>
      <c r="I644" s="2" t="s">
        <v>47</v>
      </c>
      <c r="J644" s="2" t="s">
        <v>2015</v>
      </c>
      <c r="K644" s="2" t="s">
        <v>2143</v>
      </c>
      <c r="L644" s="2" t="s">
        <v>266</v>
      </c>
      <c r="M644" s="2" t="s">
        <v>2017</v>
      </c>
      <c r="N644" s="16">
        <v>1.7999999999999999E-2</v>
      </c>
      <c r="O644" s="17">
        <f>N644*'Financial Inputs'!$B$3</f>
        <v>1799999.9999999998</v>
      </c>
      <c r="P644" s="18">
        <f>IF(I644="L",'Financial Inputs'!$B$4,IF(I644="M",'Financial Inputs'!$B$5,'Financial Inputs'!$B$6))</f>
        <v>0.4</v>
      </c>
      <c r="Q644" s="17">
        <f>O644*P644</f>
        <v>720000</v>
      </c>
      <c r="R644" s="16">
        <f>'Financial Inputs'!$B$7</f>
        <v>0.35</v>
      </c>
      <c r="S644" s="17">
        <f>Q644*(1-R644)</f>
        <v>468000</v>
      </c>
      <c r="T644" s="18">
        <f>S644/'Financial Inputs'!$B$3</f>
        <v>4.6800000000000001E-3</v>
      </c>
      <c r="U644" s="9" t="s">
        <v>52</v>
      </c>
      <c r="V644" s="3" t="s">
        <v>53</v>
      </c>
    </row>
    <row r="645" spans="1:22">
      <c r="A645" s="2" t="s">
        <v>2144</v>
      </c>
      <c r="B645" s="2" t="s">
        <v>2145</v>
      </c>
      <c r="C645" s="2" t="s">
        <v>2014</v>
      </c>
      <c r="D645" s="2" t="s">
        <v>102</v>
      </c>
      <c r="E645" s="2" t="s">
        <v>220</v>
      </c>
      <c r="F645" s="2" t="s">
        <v>66</v>
      </c>
      <c r="G645" s="2" t="s">
        <v>162</v>
      </c>
      <c r="H645" s="2" t="s">
        <v>46</v>
      </c>
      <c r="I645" s="2" t="s">
        <v>47</v>
      </c>
      <c r="J645" s="2" t="s">
        <v>2015</v>
      </c>
      <c r="K645" s="2" t="s">
        <v>2146</v>
      </c>
      <c r="L645" s="2" t="s">
        <v>270</v>
      </c>
      <c r="M645" s="2" t="s">
        <v>2017</v>
      </c>
      <c r="N645" s="16">
        <v>1.9800000000000002E-2</v>
      </c>
      <c r="O645" s="17">
        <f>N645*'Financial Inputs'!$B$3</f>
        <v>1980000.0000000002</v>
      </c>
      <c r="P645" s="18">
        <f>IF(I645="L",'Financial Inputs'!$B$4,IF(I645="M",'Financial Inputs'!$B$5,'Financial Inputs'!$B$6))</f>
        <v>0.4</v>
      </c>
      <c r="Q645" s="17">
        <f>O645*P645</f>
        <v>792000.00000000012</v>
      </c>
      <c r="R645" s="16">
        <f>'Financial Inputs'!$B$7</f>
        <v>0.35</v>
      </c>
      <c r="S645" s="17">
        <f>Q645*(1-R645)</f>
        <v>514800.00000000012</v>
      </c>
      <c r="T645" s="18">
        <f>S645/'Financial Inputs'!$B$3</f>
        <v>5.1480000000000015E-3</v>
      </c>
      <c r="U645" s="9" t="s">
        <v>52</v>
      </c>
      <c r="V645" s="3" t="s">
        <v>53</v>
      </c>
    </row>
    <row r="646" spans="1:22">
      <c r="A646" s="2" t="s">
        <v>2147</v>
      </c>
      <c r="B646" s="2" t="s">
        <v>2148</v>
      </c>
      <c r="C646" s="2" t="s">
        <v>2014</v>
      </c>
      <c r="D646" s="2" t="s">
        <v>42</v>
      </c>
      <c r="E646" s="2" t="s">
        <v>171</v>
      </c>
      <c r="F646" s="2" t="s">
        <v>74</v>
      </c>
      <c r="G646" s="2" t="s">
        <v>45</v>
      </c>
      <c r="H646" s="2" t="s">
        <v>46</v>
      </c>
      <c r="I646" s="2" t="s">
        <v>47</v>
      </c>
      <c r="J646" s="2" t="s">
        <v>2015</v>
      </c>
      <c r="K646" s="2" t="s">
        <v>2149</v>
      </c>
      <c r="L646" s="2" t="s">
        <v>274</v>
      </c>
      <c r="M646" s="2" t="s">
        <v>2017</v>
      </c>
      <c r="N646" s="16">
        <v>2.1600000000000001E-2</v>
      </c>
      <c r="O646" s="17">
        <f>N646*'Financial Inputs'!$B$3</f>
        <v>2160000</v>
      </c>
      <c r="P646" s="18">
        <f>IF(I646="L",'Financial Inputs'!$B$4,IF(I646="M",'Financial Inputs'!$B$5,'Financial Inputs'!$B$6))</f>
        <v>0.4</v>
      </c>
      <c r="Q646" s="17">
        <f>O646*P646</f>
        <v>864000</v>
      </c>
      <c r="R646" s="16">
        <f>'Financial Inputs'!$B$7</f>
        <v>0.35</v>
      </c>
      <c r="S646" s="17">
        <f>Q646*(1-R646)</f>
        <v>561600</v>
      </c>
      <c r="T646" s="18">
        <f>S646/'Financial Inputs'!$B$3</f>
        <v>5.6160000000000003E-3</v>
      </c>
      <c r="U646" s="9" t="s">
        <v>52</v>
      </c>
      <c r="V646" s="3" t="s">
        <v>53</v>
      </c>
    </row>
    <row r="647" spans="1:22">
      <c r="A647" s="2" t="s">
        <v>2150</v>
      </c>
      <c r="B647" s="2" t="s">
        <v>2151</v>
      </c>
      <c r="C647" s="2" t="s">
        <v>2014</v>
      </c>
      <c r="D647" s="2" t="s">
        <v>72</v>
      </c>
      <c r="E647" s="2" t="s">
        <v>57</v>
      </c>
      <c r="F647" s="2" t="s">
        <v>117</v>
      </c>
      <c r="G647" s="2" t="s">
        <v>143</v>
      </c>
      <c r="H647" s="2" t="s">
        <v>46</v>
      </c>
      <c r="I647" s="2" t="s">
        <v>47</v>
      </c>
      <c r="J647" s="2" t="s">
        <v>2015</v>
      </c>
      <c r="K647" s="2" t="s">
        <v>2152</v>
      </c>
      <c r="L647" s="2" t="s">
        <v>278</v>
      </c>
      <c r="M647" s="2" t="s">
        <v>2017</v>
      </c>
      <c r="N647" s="16">
        <v>1.44E-2</v>
      </c>
      <c r="O647" s="17">
        <f>N647*'Financial Inputs'!$B$3</f>
        <v>1440000</v>
      </c>
      <c r="P647" s="18">
        <f>IF(I647="L",'Financial Inputs'!$B$4,IF(I647="M",'Financial Inputs'!$B$5,'Financial Inputs'!$B$6))</f>
        <v>0.4</v>
      </c>
      <c r="Q647" s="17">
        <f>O647*P647</f>
        <v>576000</v>
      </c>
      <c r="R647" s="16">
        <f>'Financial Inputs'!$B$7</f>
        <v>0.35</v>
      </c>
      <c r="S647" s="17">
        <f>Q647*(1-R647)</f>
        <v>374400</v>
      </c>
      <c r="T647" s="18">
        <f>S647/'Financial Inputs'!$B$3</f>
        <v>3.7439999999999999E-3</v>
      </c>
      <c r="U647" s="9" t="s">
        <v>52</v>
      </c>
      <c r="V647" s="3" t="s">
        <v>53</v>
      </c>
    </row>
    <row r="648" spans="1:22">
      <c r="A648" s="2" t="s">
        <v>2153</v>
      </c>
      <c r="B648" s="2" t="s">
        <v>2154</v>
      </c>
      <c r="C648" s="2" t="s">
        <v>2014</v>
      </c>
      <c r="D648" s="2" t="s">
        <v>80</v>
      </c>
      <c r="E648" s="2" t="s">
        <v>65</v>
      </c>
      <c r="F648" s="2" t="s">
        <v>90</v>
      </c>
      <c r="G648" s="2" t="s">
        <v>162</v>
      </c>
      <c r="H648" s="2" t="s">
        <v>46</v>
      </c>
      <c r="I648" s="2" t="s">
        <v>47</v>
      </c>
      <c r="J648" s="2" t="s">
        <v>2015</v>
      </c>
      <c r="K648" s="2" t="s">
        <v>2155</v>
      </c>
      <c r="L648" s="2" t="s">
        <v>282</v>
      </c>
      <c r="M648" s="2" t="s">
        <v>2017</v>
      </c>
      <c r="N648" s="16">
        <v>1.6199999999999999E-2</v>
      </c>
      <c r="O648" s="17">
        <f>N648*'Financial Inputs'!$B$3</f>
        <v>1620000</v>
      </c>
      <c r="P648" s="18">
        <f>IF(I648="L",'Financial Inputs'!$B$4,IF(I648="M",'Financial Inputs'!$B$5,'Financial Inputs'!$B$6))</f>
        <v>0.4</v>
      </c>
      <c r="Q648" s="17">
        <f>O648*P648</f>
        <v>648000</v>
      </c>
      <c r="R648" s="16">
        <f>'Financial Inputs'!$B$7</f>
        <v>0.35</v>
      </c>
      <c r="S648" s="17">
        <f>Q648*(1-R648)</f>
        <v>421200</v>
      </c>
      <c r="T648" s="18">
        <f>S648/'Financial Inputs'!$B$3</f>
        <v>4.2119999999999996E-3</v>
      </c>
      <c r="U648" s="9" t="s">
        <v>52</v>
      </c>
      <c r="V648" s="3" t="s">
        <v>53</v>
      </c>
    </row>
    <row r="649" spans="1:22">
      <c r="A649" s="2" t="s">
        <v>2156</v>
      </c>
      <c r="B649" s="2" t="s">
        <v>2157</v>
      </c>
      <c r="C649" s="2" t="s">
        <v>2014</v>
      </c>
      <c r="D649" s="2" t="s">
        <v>127</v>
      </c>
      <c r="E649" s="2" t="s">
        <v>73</v>
      </c>
      <c r="F649" s="2" t="s">
        <v>97</v>
      </c>
      <c r="G649" s="2" t="s">
        <v>45</v>
      </c>
      <c r="H649" s="2" t="s">
        <v>46</v>
      </c>
      <c r="I649" s="2" t="s">
        <v>47</v>
      </c>
      <c r="J649" s="2" t="s">
        <v>2015</v>
      </c>
      <c r="K649" s="2" t="s">
        <v>2158</v>
      </c>
      <c r="L649" s="2" t="s">
        <v>286</v>
      </c>
      <c r="M649" s="2" t="s">
        <v>2017</v>
      </c>
      <c r="N649" s="16">
        <v>1.7999999999999999E-2</v>
      </c>
      <c r="O649" s="17">
        <f>N649*'Financial Inputs'!$B$3</f>
        <v>1799999.9999999998</v>
      </c>
      <c r="P649" s="18">
        <f>IF(I649="L",'Financial Inputs'!$B$4,IF(I649="M",'Financial Inputs'!$B$5,'Financial Inputs'!$B$6))</f>
        <v>0.4</v>
      </c>
      <c r="Q649" s="17">
        <f>O649*P649</f>
        <v>720000</v>
      </c>
      <c r="R649" s="16">
        <f>'Financial Inputs'!$B$7</f>
        <v>0.35</v>
      </c>
      <c r="S649" s="17">
        <f>Q649*(1-R649)</f>
        <v>468000</v>
      </c>
      <c r="T649" s="18">
        <f>S649/'Financial Inputs'!$B$3</f>
        <v>4.6800000000000001E-3</v>
      </c>
      <c r="U649" s="9" t="s">
        <v>52</v>
      </c>
      <c r="V649" s="3" t="s">
        <v>53</v>
      </c>
    </row>
    <row r="650" spans="1:22">
      <c r="A650" s="2" t="s">
        <v>2159</v>
      </c>
      <c r="B650" s="2" t="s">
        <v>2160</v>
      </c>
      <c r="C650" s="2" t="s">
        <v>2014</v>
      </c>
      <c r="D650" s="2" t="s">
        <v>133</v>
      </c>
      <c r="E650" s="2" t="s">
        <v>81</v>
      </c>
      <c r="F650" s="2" t="s">
        <v>104</v>
      </c>
      <c r="G650" s="2" t="s">
        <v>59</v>
      </c>
      <c r="H650" s="2" t="s">
        <v>46</v>
      </c>
      <c r="I650" s="2" t="s">
        <v>47</v>
      </c>
      <c r="J650" s="2" t="s">
        <v>2015</v>
      </c>
      <c r="K650" s="2" t="s">
        <v>2161</v>
      </c>
      <c r="L650" s="2" t="s">
        <v>290</v>
      </c>
      <c r="M650" s="2" t="s">
        <v>2017</v>
      </c>
      <c r="N650" s="16">
        <v>1.9800000000000002E-2</v>
      </c>
      <c r="O650" s="17">
        <f>N650*'Financial Inputs'!$B$3</f>
        <v>1980000.0000000002</v>
      </c>
      <c r="P650" s="18">
        <f>IF(I650="L",'Financial Inputs'!$B$4,IF(I650="M",'Financial Inputs'!$B$5,'Financial Inputs'!$B$6))</f>
        <v>0.4</v>
      </c>
      <c r="Q650" s="17">
        <f>O650*P650</f>
        <v>792000.00000000012</v>
      </c>
      <c r="R650" s="16">
        <f>'Financial Inputs'!$B$7</f>
        <v>0.35</v>
      </c>
      <c r="S650" s="17">
        <f>Q650*(1-R650)</f>
        <v>514800.00000000012</v>
      </c>
      <c r="T650" s="18">
        <f>S650/'Financial Inputs'!$B$3</f>
        <v>5.1480000000000015E-3</v>
      </c>
      <c r="U650" s="9" t="s">
        <v>52</v>
      </c>
      <c r="V650" s="3" t="s">
        <v>53</v>
      </c>
    </row>
    <row r="651" spans="1:22">
      <c r="A651" s="2" t="s">
        <v>2162</v>
      </c>
      <c r="B651" s="2" t="s">
        <v>2163</v>
      </c>
      <c r="C651" s="2" t="s">
        <v>2014</v>
      </c>
      <c r="D651" s="2" t="s">
        <v>88</v>
      </c>
      <c r="E651" s="2" t="s">
        <v>193</v>
      </c>
      <c r="F651" s="2" t="s">
        <v>110</v>
      </c>
      <c r="G651" s="2" t="s">
        <v>67</v>
      </c>
      <c r="H651" s="2" t="s">
        <v>46</v>
      </c>
      <c r="I651" s="2" t="s">
        <v>47</v>
      </c>
      <c r="J651" s="2" t="s">
        <v>2015</v>
      </c>
      <c r="K651" s="2" t="s">
        <v>2164</v>
      </c>
      <c r="L651" s="2" t="s">
        <v>294</v>
      </c>
      <c r="M651" s="2" t="s">
        <v>2017</v>
      </c>
      <c r="N651" s="16">
        <v>2.1600000000000001E-2</v>
      </c>
      <c r="O651" s="17">
        <f>N651*'Financial Inputs'!$B$3</f>
        <v>2160000</v>
      </c>
      <c r="P651" s="18">
        <f>IF(I651="L",'Financial Inputs'!$B$4,IF(I651="M",'Financial Inputs'!$B$5,'Financial Inputs'!$B$6))</f>
        <v>0.4</v>
      </c>
      <c r="Q651" s="17">
        <f>O651*P651</f>
        <v>864000</v>
      </c>
      <c r="R651" s="16">
        <f>'Financial Inputs'!$B$7</f>
        <v>0.35</v>
      </c>
      <c r="S651" s="17">
        <f>Q651*(1-R651)</f>
        <v>561600</v>
      </c>
      <c r="T651" s="18">
        <f>S651/'Financial Inputs'!$B$3</f>
        <v>5.6160000000000003E-3</v>
      </c>
      <c r="U651" s="9" t="s">
        <v>52</v>
      </c>
      <c r="V651" s="3" t="s">
        <v>53</v>
      </c>
    </row>
    <row r="652" spans="1:22">
      <c r="A652" s="2" t="s">
        <v>2165</v>
      </c>
      <c r="B652" s="2" t="s">
        <v>2166</v>
      </c>
      <c r="C652" s="2" t="s">
        <v>2014</v>
      </c>
      <c r="D652" s="2" t="s">
        <v>42</v>
      </c>
      <c r="E652" s="2" t="s">
        <v>96</v>
      </c>
      <c r="F652" s="2" t="s">
        <v>44</v>
      </c>
      <c r="G652" s="2" t="s">
        <v>45</v>
      </c>
      <c r="H652" s="2" t="s">
        <v>46</v>
      </c>
      <c r="I652" s="2" t="s">
        <v>47</v>
      </c>
      <c r="J652" s="2" t="s">
        <v>2015</v>
      </c>
      <c r="K652" s="2" t="s">
        <v>2167</v>
      </c>
      <c r="L652" s="2" t="s">
        <v>298</v>
      </c>
      <c r="M652" s="2" t="s">
        <v>2017</v>
      </c>
      <c r="N652" s="16">
        <v>1.44E-2</v>
      </c>
      <c r="O652" s="17">
        <f>N652*'Financial Inputs'!$B$3</f>
        <v>1440000</v>
      </c>
      <c r="P652" s="18">
        <f>IF(I652="L",'Financial Inputs'!$B$4,IF(I652="M",'Financial Inputs'!$B$5,'Financial Inputs'!$B$6))</f>
        <v>0.4</v>
      </c>
      <c r="Q652" s="17">
        <f>O652*P652</f>
        <v>576000</v>
      </c>
      <c r="R652" s="16">
        <f>'Financial Inputs'!$B$7</f>
        <v>0.35</v>
      </c>
      <c r="S652" s="17">
        <f>Q652*(1-R652)</f>
        <v>374400</v>
      </c>
      <c r="T652" s="18">
        <f>S652/'Financial Inputs'!$B$3</f>
        <v>3.7439999999999999E-3</v>
      </c>
      <c r="U652" s="9" t="s">
        <v>52</v>
      </c>
      <c r="V652" s="3" t="s">
        <v>53</v>
      </c>
    </row>
    <row r="653" spans="1:22">
      <c r="A653" s="2" t="s">
        <v>2168</v>
      </c>
      <c r="B653" s="2" t="s">
        <v>2169</v>
      </c>
      <c r="C653" s="2" t="s">
        <v>2014</v>
      </c>
      <c r="D653" s="2" t="s">
        <v>56</v>
      </c>
      <c r="E653" s="2" t="s">
        <v>103</v>
      </c>
      <c r="F653" s="2" t="s">
        <v>58</v>
      </c>
      <c r="G653" s="2" t="s">
        <v>59</v>
      </c>
      <c r="H653" s="2" t="s">
        <v>46</v>
      </c>
      <c r="I653" s="2" t="s">
        <v>47</v>
      </c>
      <c r="J653" s="2" t="s">
        <v>2015</v>
      </c>
      <c r="K653" s="2" t="s">
        <v>2170</v>
      </c>
      <c r="L653" s="2" t="s">
        <v>302</v>
      </c>
      <c r="M653" s="2" t="s">
        <v>2017</v>
      </c>
      <c r="N653" s="16">
        <v>1.6199999999999999E-2</v>
      </c>
      <c r="O653" s="17">
        <f>N653*'Financial Inputs'!$B$3</f>
        <v>1620000</v>
      </c>
      <c r="P653" s="18">
        <f>IF(I653="L",'Financial Inputs'!$B$4,IF(I653="M",'Financial Inputs'!$B$5,'Financial Inputs'!$B$6))</f>
        <v>0.4</v>
      </c>
      <c r="Q653" s="17">
        <f>O653*P653</f>
        <v>648000</v>
      </c>
      <c r="R653" s="16">
        <f>'Financial Inputs'!$B$7</f>
        <v>0.35</v>
      </c>
      <c r="S653" s="17">
        <f>Q653*(1-R653)</f>
        <v>421200</v>
      </c>
      <c r="T653" s="18">
        <f>S653/'Financial Inputs'!$B$3</f>
        <v>4.2119999999999996E-3</v>
      </c>
      <c r="U653" s="9" t="s">
        <v>52</v>
      </c>
      <c r="V653" s="3" t="s">
        <v>53</v>
      </c>
    </row>
    <row r="654" spans="1:22">
      <c r="A654" s="2" t="s">
        <v>2171</v>
      </c>
      <c r="B654" s="2" t="s">
        <v>2172</v>
      </c>
      <c r="C654" s="2" t="s">
        <v>2014</v>
      </c>
      <c r="D654" s="2" t="s">
        <v>64</v>
      </c>
      <c r="E654" s="2" t="s">
        <v>109</v>
      </c>
      <c r="F654" s="2" t="s">
        <v>66</v>
      </c>
      <c r="G654" s="2" t="s">
        <v>67</v>
      </c>
      <c r="H654" s="2" t="s">
        <v>46</v>
      </c>
      <c r="I654" s="2" t="s">
        <v>47</v>
      </c>
      <c r="J654" s="2" t="s">
        <v>2015</v>
      </c>
      <c r="K654" s="2" t="s">
        <v>2173</v>
      </c>
      <c r="L654" s="2" t="s">
        <v>306</v>
      </c>
      <c r="M654" s="2" t="s">
        <v>2017</v>
      </c>
      <c r="N654" s="16">
        <v>1.7999999999999999E-2</v>
      </c>
      <c r="O654" s="17">
        <f>N654*'Financial Inputs'!$B$3</f>
        <v>1799999.9999999998</v>
      </c>
      <c r="P654" s="18">
        <f>IF(I654="L",'Financial Inputs'!$B$4,IF(I654="M",'Financial Inputs'!$B$5,'Financial Inputs'!$B$6))</f>
        <v>0.4</v>
      </c>
      <c r="Q654" s="17">
        <f>O654*P654</f>
        <v>720000</v>
      </c>
      <c r="R654" s="16">
        <f>'Financial Inputs'!$B$7</f>
        <v>0.35</v>
      </c>
      <c r="S654" s="17">
        <f>Q654*(1-R654)</f>
        <v>468000</v>
      </c>
      <c r="T654" s="18">
        <f>S654/'Financial Inputs'!$B$3</f>
        <v>4.6800000000000001E-3</v>
      </c>
      <c r="U654" s="9" t="s">
        <v>52</v>
      </c>
      <c r="V654" s="3" t="s">
        <v>53</v>
      </c>
    </row>
    <row r="655" spans="1:22">
      <c r="A655" s="2" t="s">
        <v>2174</v>
      </c>
      <c r="B655" s="2" t="s">
        <v>2175</v>
      </c>
      <c r="C655" s="2" t="s">
        <v>2014</v>
      </c>
      <c r="D655" s="2" t="s">
        <v>72</v>
      </c>
      <c r="E655" s="2" t="s">
        <v>116</v>
      </c>
      <c r="F655" s="2" t="s">
        <v>74</v>
      </c>
      <c r="G655" s="2" t="s">
        <v>75</v>
      </c>
      <c r="H655" s="2" t="s">
        <v>46</v>
      </c>
      <c r="I655" s="2" t="s">
        <v>47</v>
      </c>
      <c r="J655" s="2" t="s">
        <v>2015</v>
      </c>
      <c r="K655" s="2" t="s">
        <v>2176</v>
      </c>
      <c r="L655" s="2" t="s">
        <v>310</v>
      </c>
      <c r="M655" s="2" t="s">
        <v>2017</v>
      </c>
      <c r="N655" s="16">
        <v>1.9800000000000002E-2</v>
      </c>
      <c r="O655" s="17">
        <f>N655*'Financial Inputs'!$B$3</f>
        <v>1980000.0000000002</v>
      </c>
      <c r="P655" s="18">
        <f>IF(I655="L",'Financial Inputs'!$B$4,IF(I655="M",'Financial Inputs'!$B$5,'Financial Inputs'!$B$6))</f>
        <v>0.4</v>
      </c>
      <c r="Q655" s="17">
        <f>O655*P655</f>
        <v>792000.00000000012</v>
      </c>
      <c r="R655" s="16">
        <f>'Financial Inputs'!$B$7</f>
        <v>0.35</v>
      </c>
      <c r="S655" s="17">
        <f>Q655*(1-R655)</f>
        <v>514800.00000000012</v>
      </c>
      <c r="T655" s="18">
        <f>S655/'Financial Inputs'!$B$3</f>
        <v>5.1480000000000015E-3</v>
      </c>
      <c r="U655" s="9" t="s">
        <v>52</v>
      </c>
      <c r="V655" s="3" t="s">
        <v>53</v>
      </c>
    </row>
    <row r="656" spans="1:22">
      <c r="A656" s="2" t="s">
        <v>2177</v>
      </c>
      <c r="B656" s="2" t="s">
        <v>2178</v>
      </c>
      <c r="C656" s="2" t="s">
        <v>2014</v>
      </c>
      <c r="D656" s="2" t="s">
        <v>80</v>
      </c>
      <c r="E656" s="2" t="s">
        <v>215</v>
      </c>
      <c r="F656" s="2" t="s">
        <v>82</v>
      </c>
      <c r="G656" s="2" t="s">
        <v>83</v>
      </c>
      <c r="H656" s="2" t="s">
        <v>46</v>
      </c>
      <c r="I656" s="2" t="s">
        <v>47</v>
      </c>
      <c r="J656" s="2" t="s">
        <v>2015</v>
      </c>
      <c r="K656" s="2" t="s">
        <v>2179</v>
      </c>
      <c r="L656" s="2" t="s">
        <v>314</v>
      </c>
      <c r="M656" s="2" t="s">
        <v>2017</v>
      </c>
      <c r="N656" s="16">
        <v>2.1600000000000001E-2</v>
      </c>
      <c r="O656" s="17">
        <f>N656*'Financial Inputs'!$B$3</f>
        <v>2160000</v>
      </c>
      <c r="P656" s="18">
        <f>IF(I656="L",'Financial Inputs'!$B$4,IF(I656="M",'Financial Inputs'!$B$5,'Financial Inputs'!$B$6))</f>
        <v>0.4</v>
      </c>
      <c r="Q656" s="17">
        <f>O656*P656</f>
        <v>864000</v>
      </c>
      <c r="R656" s="16">
        <f>'Financial Inputs'!$B$7</f>
        <v>0.35</v>
      </c>
      <c r="S656" s="17">
        <f>Q656*(1-R656)</f>
        <v>561600</v>
      </c>
      <c r="T656" s="18">
        <f>S656/'Financial Inputs'!$B$3</f>
        <v>5.6160000000000003E-3</v>
      </c>
      <c r="U656" s="9" t="s">
        <v>52</v>
      </c>
      <c r="V656" s="3" t="s">
        <v>53</v>
      </c>
    </row>
    <row r="657" spans="1:22">
      <c r="A657" s="2" t="s">
        <v>2180</v>
      </c>
      <c r="B657" s="2" t="s">
        <v>2181</v>
      </c>
      <c r="C657" s="2" t="s">
        <v>2014</v>
      </c>
      <c r="D657" s="2" t="s">
        <v>88</v>
      </c>
      <c r="E657" s="2" t="s">
        <v>128</v>
      </c>
      <c r="F657" s="2" t="s">
        <v>90</v>
      </c>
      <c r="G657" s="2" t="s">
        <v>67</v>
      </c>
      <c r="H657" s="2" t="s">
        <v>46</v>
      </c>
      <c r="I657" s="2" t="s">
        <v>47</v>
      </c>
      <c r="J657" s="2" t="s">
        <v>2015</v>
      </c>
      <c r="K657" s="2" t="s">
        <v>2182</v>
      </c>
      <c r="L657" s="2" t="s">
        <v>318</v>
      </c>
      <c r="M657" s="2" t="s">
        <v>2017</v>
      </c>
      <c r="N657" s="16">
        <v>1.44E-2</v>
      </c>
      <c r="O657" s="17">
        <f>N657*'Financial Inputs'!$B$3</f>
        <v>1440000</v>
      </c>
      <c r="P657" s="18">
        <f>IF(I657="L",'Financial Inputs'!$B$4,IF(I657="M",'Financial Inputs'!$B$5,'Financial Inputs'!$B$6))</f>
        <v>0.4</v>
      </c>
      <c r="Q657" s="17">
        <f>O657*P657</f>
        <v>576000</v>
      </c>
      <c r="R657" s="16">
        <f>'Financial Inputs'!$B$7</f>
        <v>0.35</v>
      </c>
      <c r="S657" s="17">
        <f>Q657*(1-R657)</f>
        <v>374400</v>
      </c>
      <c r="T657" s="18">
        <f>S657/'Financial Inputs'!$B$3</f>
        <v>3.7439999999999999E-3</v>
      </c>
      <c r="U657" s="9" t="s">
        <v>52</v>
      </c>
      <c r="V657" s="3" t="s">
        <v>53</v>
      </c>
    </row>
    <row r="658" spans="1:22">
      <c r="A658" s="2" t="s">
        <v>2183</v>
      </c>
      <c r="B658" s="2" t="s">
        <v>2184</v>
      </c>
      <c r="C658" s="2" t="s">
        <v>2014</v>
      </c>
      <c r="D658" s="2" t="s">
        <v>95</v>
      </c>
      <c r="E658" s="2" t="s">
        <v>43</v>
      </c>
      <c r="F658" s="2" t="s">
        <v>97</v>
      </c>
      <c r="G658" s="2" t="s">
        <v>75</v>
      </c>
      <c r="H658" s="2" t="s">
        <v>46</v>
      </c>
      <c r="I658" s="2" t="s">
        <v>47</v>
      </c>
      <c r="J658" s="2" t="s">
        <v>2015</v>
      </c>
      <c r="K658" s="2" t="s">
        <v>2185</v>
      </c>
      <c r="L658" s="2" t="s">
        <v>322</v>
      </c>
      <c r="M658" s="2" t="s">
        <v>2017</v>
      </c>
      <c r="N658" s="16">
        <v>1.6199999999999999E-2</v>
      </c>
      <c r="O658" s="17">
        <f>N658*'Financial Inputs'!$B$3</f>
        <v>1620000</v>
      </c>
      <c r="P658" s="18">
        <f>IF(I658="L",'Financial Inputs'!$B$4,IF(I658="M",'Financial Inputs'!$B$5,'Financial Inputs'!$B$6))</f>
        <v>0.4</v>
      </c>
      <c r="Q658" s="17">
        <f>O658*P658</f>
        <v>648000</v>
      </c>
      <c r="R658" s="16">
        <f>'Financial Inputs'!$B$7</f>
        <v>0.35</v>
      </c>
      <c r="S658" s="17">
        <f>Q658*(1-R658)</f>
        <v>421200</v>
      </c>
      <c r="T658" s="18">
        <f>S658/'Financial Inputs'!$B$3</f>
        <v>4.2119999999999996E-3</v>
      </c>
      <c r="U658" s="9" t="s">
        <v>52</v>
      </c>
      <c r="V658" s="3" t="s">
        <v>53</v>
      </c>
    </row>
    <row r="659" spans="1:22">
      <c r="A659" s="2" t="s">
        <v>2186</v>
      </c>
      <c r="B659" s="2" t="s">
        <v>2187</v>
      </c>
      <c r="C659" s="2" t="s">
        <v>2014</v>
      </c>
      <c r="D659" s="2" t="s">
        <v>102</v>
      </c>
      <c r="E659" s="2" t="s">
        <v>57</v>
      </c>
      <c r="F659" s="2" t="s">
        <v>104</v>
      </c>
      <c r="G659" s="2" t="s">
        <v>83</v>
      </c>
      <c r="H659" s="2" t="s">
        <v>46</v>
      </c>
      <c r="I659" s="2" t="s">
        <v>47</v>
      </c>
      <c r="J659" s="2" t="s">
        <v>2015</v>
      </c>
      <c r="K659" s="2" t="s">
        <v>2188</v>
      </c>
      <c r="L659" s="2" t="s">
        <v>326</v>
      </c>
      <c r="M659" s="2" t="s">
        <v>2017</v>
      </c>
      <c r="N659" s="16">
        <v>1.7999999999999999E-2</v>
      </c>
      <c r="O659" s="17">
        <f>N659*'Financial Inputs'!$B$3</f>
        <v>1799999.9999999998</v>
      </c>
      <c r="P659" s="18">
        <f>IF(I659="L",'Financial Inputs'!$B$4,IF(I659="M",'Financial Inputs'!$B$5,'Financial Inputs'!$B$6))</f>
        <v>0.4</v>
      </c>
      <c r="Q659" s="17">
        <f>O659*P659</f>
        <v>720000</v>
      </c>
      <c r="R659" s="16">
        <f>'Financial Inputs'!$B$7</f>
        <v>0.35</v>
      </c>
      <c r="S659" s="17">
        <f>Q659*(1-R659)</f>
        <v>468000</v>
      </c>
      <c r="T659" s="18">
        <f>S659/'Financial Inputs'!$B$3</f>
        <v>4.6800000000000001E-3</v>
      </c>
      <c r="U659" s="9" t="s">
        <v>52</v>
      </c>
      <c r="V659" s="3" t="s">
        <v>53</v>
      </c>
    </row>
    <row r="660" spans="1:22">
      <c r="A660" s="2" t="s">
        <v>2189</v>
      </c>
      <c r="B660" s="2" t="s">
        <v>2190</v>
      </c>
      <c r="C660" s="2" t="s">
        <v>2014</v>
      </c>
      <c r="D660" s="2" t="s">
        <v>42</v>
      </c>
      <c r="E660" s="2" t="s">
        <v>65</v>
      </c>
      <c r="F660" s="2" t="s">
        <v>110</v>
      </c>
      <c r="G660" s="2" t="s">
        <v>111</v>
      </c>
      <c r="H660" s="2" t="s">
        <v>46</v>
      </c>
      <c r="I660" s="2" t="s">
        <v>47</v>
      </c>
      <c r="J660" s="2" t="s">
        <v>2015</v>
      </c>
      <c r="K660" s="2" t="s">
        <v>2191</v>
      </c>
      <c r="L660" s="2" t="s">
        <v>330</v>
      </c>
      <c r="M660" s="2" t="s">
        <v>2017</v>
      </c>
      <c r="N660" s="16">
        <v>1.9800000000000002E-2</v>
      </c>
      <c r="O660" s="17">
        <f>N660*'Financial Inputs'!$B$3</f>
        <v>1980000.0000000002</v>
      </c>
      <c r="P660" s="18">
        <f>IF(I660="L",'Financial Inputs'!$B$4,IF(I660="M",'Financial Inputs'!$B$5,'Financial Inputs'!$B$6))</f>
        <v>0.4</v>
      </c>
      <c r="Q660" s="17">
        <f>O660*P660</f>
        <v>792000.00000000012</v>
      </c>
      <c r="R660" s="16">
        <f>'Financial Inputs'!$B$7</f>
        <v>0.35</v>
      </c>
      <c r="S660" s="17">
        <f>Q660*(1-R660)</f>
        <v>514800.00000000012</v>
      </c>
      <c r="T660" s="18">
        <f>S660/'Financial Inputs'!$B$3</f>
        <v>5.1480000000000015E-3</v>
      </c>
      <c r="U660" s="9" t="s">
        <v>52</v>
      </c>
      <c r="V660" s="3" t="s">
        <v>53</v>
      </c>
    </row>
    <row r="661" spans="1:22">
      <c r="A661" s="2" t="s">
        <v>2192</v>
      </c>
      <c r="B661" s="2" t="s">
        <v>2193</v>
      </c>
      <c r="C661" s="2" t="s">
        <v>2014</v>
      </c>
      <c r="D661" s="2" t="s">
        <v>56</v>
      </c>
      <c r="E661" s="2" t="s">
        <v>73</v>
      </c>
      <c r="F661" s="2" t="s">
        <v>117</v>
      </c>
      <c r="G661" s="2" t="s">
        <v>56</v>
      </c>
      <c r="H661" s="2" t="s">
        <v>46</v>
      </c>
      <c r="I661" s="2" t="s">
        <v>47</v>
      </c>
      <c r="J661" s="2" t="s">
        <v>2015</v>
      </c>
      <c r="K661" s="2" t="s">
        <v>2194</v>
      </c>
      <c r="L661" s="2" t="s">
        <v>334</v>
      </c>
      <c r="M661" s="2" t="s">
        <v>2017</v>
      </c>
      <c r="N661" s="16">
        <v>2.1600000000000001E-2</v>
      </c>
      <c r="O661" s="17">
        <f>N661*'Financial Inputs'!$B$3</f>
        <v>2160000</v>
      </c>
      <c r="P661" s="18">
        <f>IF(I661="L",'Financial Inputs'!$B$4,IF(I661="M",'Financial Inputs'!$B$5,'Financial Inputs'!$B$6))</f>
        <v>0.4</v>
      </c>
      <c r="Q661" s="17">
        <f>O661*P661</f>
        <v>864000</v>
      </c>
      <c r="R661" s="16">
        <f>'Financial Inputs'!$B$7</f>
        <v>0.35</v>
      </c>
      <c r="S661" s="17">
        <f>Q661*(1-R661)</f>
        <v>561600</v>
      </c>
      <c r="T661" s="18">
        <f>S661/'Financial Inputs'!$B$3</f>
        <v>5.6160000000000003E-3</v>
      </c>
      <c r="U661" s="9" t="s">
        <v>52</v>
      </c>
      <c r="V661" s="3" t="s">
        <v>53</v>
      </c>
    </row>
    <row r="662" spans="1:22">
      <c r="A662" s="2" t="s">
        <v>2195</v>
      </c>
      <c r="B662" s="2" t="s">
        <v>2196</v>
      </c>
      <c r="C662" s="2" t="s">
        <v>2014</v>
      </c>
      <c r="D662" s="2" t="s">
        <v>80</v>
      </c>
      <c r="E662" s="2" t="s">
        <v>153</v>
      </c>
      <c r="F662" s="2" t="s">
        <v>58</v>
      </c>
      <c r="G662" s="2" t="s">
        <v>83</v>
      </c>
      <c r="H662" s="2" t="s">
        <v>46</v>
      </c>
      <c r="I662" s="2" t="s">
        <v>47</v>
      </c>
      <c r="J662" s="2" t="s">
        <v>2015</v>
      </c>
      <c r="K662" s="2" t="s">
        <v>2197</v>
      </c>
      <c r="L662" s="2" t="s">
        <v>338</v>
      </c>
      <c r="M662" s="2" t="s">
        <v>2017</v>
      </c>
      <c r="N662" s="16">
        <v>1.44E-2</v>
      </c>
      <c r="O662" s="17">
        <f>N662*'Financial Inputs'!$B$3</f>
        <v>1440000</v>
      </c>
      <c r="P662" s="18">
        <f>IF(I662="L",'Financial Inputs'!$B$4,IF(I662="M",'Financial Inputs'!$B$5,'Financial Inputs'!$B$6))</f>
        <v>0.4</v>
      </c>
      <c r="Q662" s="17">
        <f>O662*P662</f>
        <v>576000</v>
      </c>
      <c r="R662" s="16">
        <f>'Financial Inputs'!$B$7</f>
        <v>0.35</v>
      </c>
      <c r="S662" s="17">
        <f>Q662*(1-R662)</f>
        <v>374400</v>
      </c>
      <c r="T662" s="18">
        <f>S662/'Financial Inputs'!$B$3</f>
        <v>3.7439999999999999E-3</v>
      </c>
      <c r="U662" s="9" t="s">
        <v>52</v>
      </c>
      <c r="V662" s="3" t="s">
        <v>53</v>
      </c>
    </row>
    <row r="663" spans="1:22">
      <c r="A663" s="2" t="s">
        <v>2198</v>
      </c>
      <c r="B663" s="2" t="s">
        <v>2199</v>
      </c>
      <c r="C663" s="2" t="s">
        <v>2014</v>
      </c>
      <c r="D663" s="2" t="s">
        <v>127</v>
      </c>
      <c r="E663" s="2" t="s">
        <v>89</v>
      </c>
      <c r="F663" s="2" t="s">
        <v>66</v>
      </c>
      <c r="G663" s="2" t="s">
        <v>111</v>
      </c>
      <c r="H663" s="2" t="s">
        <v>46</v>
      </c>
      <c r="I663" s="2" t="s">
        <v>47</v>
      </c>
      <c r="J663" s="2" t="s">
        <v>2015</v>
      </c>
      <c r="K663" s="2" t="s">
        <v>2200</v>
      </c>
      <c r="L663" s="2" t="s">
        <v>342</v>
      </c>
      <c r="M663" s="2" t="s">
        <v>2017</v>
      </c>
      <c r="N663" s="16">
        <v>1.6199999999999999E-2</v>
      </c>
      <c r="O663" s="17">
        <f>N663*'Financial Inputs'!$B$3</f>
        <v>1620000</v>
      </c>
      <c r="P663" s="18">
        <f>IF(I663="L",'Financial Inputs'!$B$4,IF(I663="M",'Financial Inputs'!$B$5,'Financial Inputs'!$B$6))</f>
        <v>0.4</v>
      </c>
      <c r="Q663" s="17">
        <f>O663*P663</f>
        <v>648000</v>
      </c>
      <c r="R663" s="16">
        <f>'Financial Inputs'!$B$7</f>
        <v>0.35</v>
      </c>
      <c r="S663" s="17">
        <f>Q663*(1-R663)</f>
        <v>421200</v>
      </c>
      <c r="T663" s="18">
        <f>S663/'Financial Inputs'!$B$3</f>
        <v>4.2119999999999996E-3</v>
      </c>
      <c r="U663" s="9" t="s">
        <v>52</v>
      </c>
      <c r="V663" s="3" t="s">
        <v>53</v>
      </c>
    </row>
    <row r="664" spans="1:22">
      <c r="A664" s="2" t="s">
        <v>2201</v>
      </c>
      <c r="B664" s="2" t="s">
        <v>2202</v>
      </c>
      <c r="C664" s="2" t="s">
        <v>2014</v>
      </c>
      <c r="D664" s="2" t="s">
        <v>133</v>
      </c>
      <c r="E664" s="2" t="s">
        <v>96</v>
      </c>
      <c r="F664" s="2" t="s">
        <v>74</v>
      </c>
      <c r="G664" s="2" t="s">
        <v>56</v>
      </c>
      <c r="H664" s="2" t="s">
        <v>46</v>
      </c>
      <c r="I664" s="2" t="s">
        <v>47</v>
      </c>
      <c r="J664" s="2" t="s">
        <v>2015</v>
      </c>
      <c r="K664" s="2" t="s">
        <v>2203</v>
      </c>
      <c r="L664" s="2" t="s">
        <v>346</v>
      </c>
      <c r="M664" s="2" t="s">
        <v>2017</v>
      </c>
      <c r="N664" s="16">
        <v>1.7999999999999999E-2</v>
      </c>
      <c r="O664" s="17">
        <f>N664*'Financial Inputs'!$B$3</f>
        <v>1799999.9999999998</v>
      </c>
      <c r="P664" s="18">
        <f>IF(I664="L",'Financial Inputs'!$B$4,IF(I664="M",'Financial Inputs'!$B$5,'Financial Inputs'!$B$6))</f>
        <v>0.4</v>
      </c>
      <c r="Q664" s="17">
        <f>O664*P664</f>
        <v>720000</v>
      </c>
      <c r="R664" s="16">
        <f>'Financial Inputs'!$B$7</f>
        <v>0.35</v>
      </c>
      <c r="S664" s="17">
        <f>Q664*(1-R664)</f>
        <v>468000</v>
      </c>
      <c r="T664" s="18">
        <f>S664/'Financial Inputs'!$B$3</f>
        <v>4.6800000000000001E-3</v>
      </c>
      <c r="U664" s="9" t="s">
        <v>52</v>
      </c>
      <c r="V664" s="3" t="s">
        <v>53</v>
      </c>
    </row>
    <row r="665" spans="1:22">
      <c r="A665" s="2" t="s">
        <v>2204</v>
      </c>
      <c r="B665" s="2" t="s">
        <v>2205</v>
      </c>
      <c r="C665" s="2" t="s">
        <v>2014</v>
      </c>
      <c r="D665" s="2" t="s">
        <v>88</v>
      </c>
      <c r="E665" s="2" t="s">
        <v>103</v>
      </c>
      <c r="F665" s="2" t="s">
        <v>82</v>
      </c>
      <c r="G665" s="2" t="s">
        <v>138</v>
      </c>
      <c r="H665" s="2" t="s">
        <v>46</v>
      </c>
      <c r="I665" s="2" t="s">
        <v>47</v>
      </c>
      <c r="J665" s="2" t="s">
        <v>2015</v>
      </c>
      <c r="K665" s="2" t="s">
        <v>2206</v>
      </c>
      <c r="L665" s="2" t="s">
        <v>350</v>
      </c>
      <c r="M665" s="2" t="s">
        <v>2017</v>
      </c>
      <c r="N665" s="16">
        <v>1.9800000000000002E-2</v>
      </c>
      <c r="O665" s="17">
        <f>N665*'Financial Inputs'!$B$3</f>
        <v>1980000.0000000002</v>
      </c>
      <c r="P665" s="18">
        <f>IF(I665="L",'Financial Inputs'!$B$4,IF(I665="M",'Financial Inputs'!$B$5,'Financial Inputs'!$B$6))</f>
        <v>0.4</v>
      </c>
      <c r="Q665" s="17">
        <f>O665*P665</f>
        <v>792000.00000000012</v>
      </c>
      <c r="R665" s="16">
        <f>'Financial Inputs'!$B$7</f>
        <v>0.35</v>
      </c>
      <c r="S665" s="17">
        <f>Q665*(1-R665)</f>
        <v>514800.00000000012</v>
      </c>
      <c r="T665" s="18">
        <f>S665/'Financial Inputs'!$B$3</f>
        <v>5.1480000000000015E-3</v>
      </c>
      <c r="U665" s="9" t="s">
        <v>52</v>
      </c>
      <c r="V665" s="3" t="s">
        <v>53</v>
      </c>
    </row>
    <row r="666" spans="1:22">
      <c r="A666" s="2" t="s">
        <v>2207</v>
      </c>
      <c r="B666" s="2" t="s">
        <v>2208</v>
      </c>
      <c r="C666" s="2" t="s">
        <v>2014</v>
      </c>
      <c r="D666" s="2" t="s">
        <v>95</v>
      </c>
      <c r="E666" s="2" t="s">
        <v>109</v>
      </c>
      <c r="F666" s="2" t="s">
        <v>44</v>
      </c>
      <c r="G666" s="2" t="s">
        <v>143</v>
      </c>
      <c r="H666" s="2" t="s">
        <v>46</v>
      </c>
      <c r="I666" s="2" t="s">
        <v>47</v>
      </c>
      <c r="J666" s="2" t="s">
        <v>2015</v>
      </c>
      <c r="K666" s="2" t="s">
        <v>2209</v>
      </c>
      <c r="L666" s="2" t="s">
        <v>354</v>
      </c>
      <c r="M666" s="2" t="s">
        <v>2017</v>
      </c>
      <c r="N666" s="16">
        <v>2.1600000000000001E-2</v>
      </c>
      <c r="O666" s="17">
        <f>N666*'Financial Inputs'!$B$3</f>
        <v>2160000</v>
      </c>
      <c r="P666" s="18">
        <f>IF(I666="L",'Financial Inputs'!$B$4,IF(I666="M",'Financial Inputs'!$B$5,'Financial Inputs'!$B$6))</f>
        <v>0.4</v>
      </c>
      <c r="Q666" s="17">
        <f>O666*P666</f>
        <v>864000</v>
      </c>
      <c r="R666" s="16">
        <f>'Financial Inputs'!$B$7</f>
        <v>0.35</v>
      </c>
      <c r="S666" s="17">
        <f>Q666*(1-R666)</f>
        <v>561600</v>
      </c>
      <c r="T666" s="18">
        <f>S666/'Financial Inputs'!$B$3</f>
        <v>5.6160000000000003E-3</v>
      </c>
      <c r="U666" s="9" t="s">
        <v>52</v>
      </c>
      <c r="V666" s="3" t="s">
        <v>53</v>
      </c>
    </row>
    <row r="667" spans="1:22">
      <c r="A667" s="2" t="s">
        <v>2210</v>
      </c>
      <c r="B667" s="2" t="s">
        <v>2211</v>
      </c>
      <c r="C667" s="2" t="s">
        <v>2014</v>
      </c>
      <c r="D667" s="2" t="s">
        <v>56</v>
      </c>
      <c r="E667" s="2" t="s">
        <v>176</v>
      </c>
      <c r="F667" s="2" t="s">
        <v>97</v>
      </c>
      <c r="G667" s="2" t="s">
        <v>56</v>
      </c>
      <c r="H667" s="2" t="s">
        <v>46</v>
      </c>
      <c r="I667" s="2" t="s">
        <v>47</v>
      </c>
      <c r="J667" s="2" t="s">
        <v>2015</v>
      </c>
      <c r="K667" s="2" t="s">
        <v>2212</v>
      </c>
      <c r="L667" s="2" t="s">
        <v>358</v>
      </c>
      <c r="M667" s="2" t="s">
        <v>2017</v>
      </c>
      <c r="N667" s="16">
        <v>1.44E-2</v>
      </c>
      <c r="O667" s="17">
        <f>N667*'Financial Inputs'!$B$3</f>
        <v>1440000</v>
      </c>
      <c r="P667" s="18">
        <f>IF(I667="L",'Financial Inputs'!$B$4,IF(I667="M",'Financial Inputs'!$B$5,'Financial Inputs'!$B$6))</f>
        <v>0.4</v>
      </c>
      <c r="Q667" s="17">
        <f>O667*P667</f>
        <v>576000</v>
      </c>
      <c r="R667" s="16">
        <f>'Financial Inputs'!$B$7</f>
        <v>0.35</v>
      </c>
      <c r="S667" s="17">
        <f>Q667*(1-R667)</f>
        <v>374400</v>
      </c>
      <c r="T667" s="18">
        <f>S667/'Financial Inputs'!$B$3</f>
        <v>3.7439999999999999E-3</v>
      </c>
      <c r="U667" s="9" t="s">
        <v>52</v>
      </c>
      <c r="V667" s="3" t="s">
        <v>53</v>
      </c>
    </row>
    <row r="668" spans="1:22">
      <c r="A668" s="2" t="s">
        <v>2213</v>
      </c>
      <c r="B668" s="2" t="s">
        <v>2214</v>
      </c>
      <c r="C668" s="2" t="s">
        <v>2014</v>
      </c>
      <c r="D668" s="2" t="s">
        <v>64</v>
      </c>
      <c r="E668" s="2" t="s">
        <v>122</v>
      </c>
      <c r="F668" s="2" t="s">
        <v>104</v>
      </c>
      <c r="G668" s="2" t="s">
        <v>138</v>
      </c>
      <c r="H668" s="2" t="s">
        <v>46</v>
      </c>
      <c r="I668" s="2" t="s">
        <v>47</v>
      </c>
      <c r="J668" s="2" t="s">
        <v>2015</v>
      </c>
      <c r="K668" s="2" t="s">
        <v>2215</v>
      </c>
      <c r="L668" s="2" t="s">
        <v>362</v>
      </c>
      <c r="M668" s="2" t="s">
        <v>2017</v>
      </c>
      <c r="N668" s="16">
        <v>1.6199999999999999E-2</v>
      </c>
      <c r="O668" s="17">
        <f>N668*'Financial Inputs'!$B$3</f>
        <v>1620000</v>
      </c>
      <c r="P668" s="18">
        <f>IF(I668="L",'Financial Inputs'!$B$4,IF(I668="M",'Financial Inputs'!$B$5,'Financial Inputs'!$B$6))</f>
        <v>0.4</v>
      </c>
      <c r="Q668" s="17">
        <f>O668*P668</f>
        <v>648000</v>
      </c>
      <c r="R668" s="16">
        <f>'Financial Inputs'!$B$7</f>
        <v>0.35</v>
      </c>
      <c r="S668" s="17">
        <f>Q668*(1-R668)</f>
        <v>421200</v>
      </c>
      <c r="T668" s="18">
        <f>S668/'Financial Inputs'!$B$3</f>
        <v>4.2119999999999996E-3</v>
      </c>
      <c r="U668" s="9" t="s">
        <v>52</v>
      </c>
      <c r="V668" s="3" t="s">
        <v>53</v>
      </c>
    </row>
    <row r="669" spans="1:22">
      <c r="A669" s="2" t="s">
        <v>2216</v>
      </c>
      <c r="B669" s="2" t="s">
        <v>2217</v>
      </c>
      <c r="C669" s="2" t="s">
        <v>2014</v>
      </c>
      <c r="D669" s="2" t="s">
        <v>72</v>
      </c>
      <c r="E669" s="2" t="s">
        <v>128</v>
      </c>
      <c r="F669" s="2" t="s">
        <v>110</v>
      </c>
      <c r="G669" s="2" t="s">
        <v>143</v>
      </c>
      <c r="H669" s="2" t="s">
        <v>46</v>
      </c>
      <c r="I669" s="2" t="s">
        <v>47</v>
      </c>
      <c r="J669" s="2" t="s">
        <v>2015</v>
      </c>
      <c r="K669" s="2" t="s">
        <v>2218</v>
      </c>
      <c r="L669" s="2" t="s">
        <v>366</v>
      </c>
      <c r="M669" s="2" t="s">
        <v>2017</v>
      </c>
      <c r="N669" s="16">
        <v>1.7999999999999999E-2</v>
      </c>
      <c r="O669" s="17">
        <f>N669*'Financial Inputs'!$B$3</f>
        <v>1799999.9999999998</v>
      </c>
      <c r="P669" s="18">
        <f>IF(I669="L",'Financial Inputs'!$B$4,IF(I669="M",'Financial Inputs'!$B$5,'Financial Inputs'!$B$6))</f>
        <v>0.4</v>
      </c>
      <c r="Q669" s="17">
        <f>O669*P669</f>
        <v>720000</v>
      </c>
      <c r="R669" s="16">
        <f>'Financial Inputs'!$B$7</f>
        <v>0.35</v>
      </c>
      <c r="S669" s="17">
        <f>Q669*(1-R669)</f>
        <v>468000</v>
      </c>
      <c r="T669" s="18">
        <f>S669/'Financial Inputs'!$B$3</f>
        <v>4.6800000000000001E-3</v>
      </c>
      <c r="U669" s="9" t="s">
        <v>52</v>
      </c>
      <c r="V669" s="3" t="s">
        <v>53</v>
      </c>
    </row>
    <row r="670" spans="1:22">
      <c r="A670" s="2" t="s">
        <v>2219</v>
      </c>
      <c r="B670" s="2" t="s">
        <v>2220</v>
      </c>
      <c r="C670" s="2" t="s">
        <v>2014</v>
      </c>
      <c r="D670" s="2" t="s">
        <v>80</v>
      </c>
      <c r="E670" s="2" t="s">
        <v>43</v>
      </c>
      <c r="F670" s="2" t="s">
        <v>117</v>
      </c>
      <c r="G670" s="2" t="s">
        <v>162</v>
      </c>
      <c r="H670" s="2" t="s">
        <v>46</v>
      </c>
      <c r="I670" s="2" t="s">
        <v>47</v>
      </c>
      <c r="J670" s="2" t="s">
        <v>2015</v>
      </c>
      <c r="K670" s="2" t="s">
        <v>2221</v>
      </c>
      <c r="L670" s="2" t="s">
        <v>370</v>
      </c>
      <c r="M670" s="2" t="s">
        <v>2017</v>
      </c>
      <c r="N670" s="16">
        <v>1.9800000000000002E-2</v>
      </c>
      <c r="O670" s="17">
        <f>N670*'Financial Inputs'!$B$3</f>
        <v>1980000.0000000002</v>
      </c>
      <c r="P670" s="18">
        <f>IF(I670="L",'Financial Inputs'!$B$4,IF(I670="M",'Financial Inputs'!$B$5,'Financial Inputs'!$B$6))</f>
        <v>0.4</v>
      </c>
      <c r="Q670" s="17">
        <f>O670*P670</f>
        <v>792000.00000000012</v>
      </c>
      <c r="R670" s="16">
        <f>'Financial Inputs'!$B$7</f>
        <v>0.35</v>
      </c>
      <c r="S670" s="17">
        <f>Q670*(1-R670)</f>
        <v>514800.00000000012</v>
      </c>
      <c r="T670" s="18">
        <f>S670/'Financial Inputs'!$B$3</f>
        <v>5.1480000000000015E-3</v>
      </c>
      <c r="U670" s="9" t="s">
        <v>52</v>
      </c>
      <c r="V670" s="3" t="s">
        <v>53</v>
      </c>
    </row>
    <row r="671" spans="1:22">
      <c r="A671" s="2" t="s">
        <v>2222</v>
      </c>
      <c r="B671" s="2" t="s">
        <v>2223</v>
      </c>
      <c r="C671" s="2" t="s">
        <v>2014</v>
      </c>
      <c r="D671" s="2" t="s">
        <v>127</v>
      </c>
      <c r="E671" s="2" t="s">
        <v>57</v>
      </c>
      <c r="F671" s="2" t="s">
        <v>90</v>
      </c>
      <c r="G671" s="2" t="s">
        <v>45</v>
      </c>
      <c r="H671" s="2" t="s">
        <v>46</v>
      </c>
      <c r="I671" s="2" t="s">
        <v>47</v>
      </c>
      <c r="J671" s="2" t="s">
        <v>2015</v>
      </c>
      <c r="K671" s="2" t="s">
        <v>2224</v>
      </c>
      <c r="L671" s="2" t="s">
        <v>374</v>
      </c>
      <c r="M671" s="2" t="s">
        <v>2017</v>
      </c>
      <c r="N671" s="16">
        <v>2.1600000000000001E-2</v>
      </c>
      <c r="O671" s="17">
        <f>N671*'Financial Inputs'!$B$3</f>
        <v>2160000</v>
      </c>
      <c r="P671" s="18">
        <f>IF(I671="L",'Financial Inputs'!$B$4,IF(I671="M",'Financial Inputs'!$B$5,'Financial Inputs'!$B$6))</f>
        <v>0.4</v>
      </c>
      <c r="Q671" s="17">
        <f>O671*P671</f>
        <v>864000</v>
      </c>
      <c r="R671" s="16">
        <f>'Financial Inputs'!$B$7</f>
        <v>0.35</v>
      </c>
      <c r="S671" s="17">
        <f>Q671*(1-R671)</f>
        <v>561600</v>
      </c>
      <c r="T671" s="18">
        <f>S671/'Financial Inputs'!$B$3</f>
        <v>5.6160000000000003E-3</v>
      </c>
      <c r="U671" s="9" t="s">
        <v>52</v>
      </c>
      <c r="V671" s="3" t="s">
        <v>53</v>
      </c>
    </row>
    <row r="672" spans="1:22">
      <c r="A672" s="2" t="s">
        <v>2225</v>
      </c>
      <c r="B672" s="2" t="s">
        <v>2226</v>
      </c>
      <c r="C672" s="2" t="s">
        <v>2014</v>
      </c>
      <c r="D672" s="2" t="s">
        <v>95</v>
      </c>
      <c r="E672" s="2" t="s">
        <v>198</v>
      </c>
      <c r="F672" s="2" t="s">
        <v>66</v>
      </c>
      <c r="G672" s="2" t="s">
        <v>143</v>
      </c>
      <c r="H672" s="2" t="s">
        <v>46</v>
      </c>
      <c r="I672" s="2" t="s">
        <v>47</v>
      </c>
      <c r="J672" s="2" t="s">
        <v>2015</v>
      </c>
      <c r="K672" s="2" t="s">
        <v>2227</v>
      </c>
      <c r="L672" s="2" t="s">
        <v>378</v>
      </c>
      <c r="M672" s="2" t="s">
        <v>2017</v>
      </c>
      <c r="N672" s="16">
        <v>1.44E-2</v>
      </c>
      <c r="O672" s="17">
        <f>N672*'Financial Inputs'!$B$3</f>
        <v>1440000</v>
      </c>
      <c r="P672" s="18">
        <f>IF(I672="L",'Financial Inputs'!$B$4,IF(I672="M",'Financial Inputs'!$B$5,'Financial Inputs'!$B$6))</f>
        <v>0.4</v>
      </c>
      <c r="Q672" s="17">
        <f>O672*P672</f>
        <v>576000</v>
      </c>
      <c r="R672" s="16">
        <f>'Financial Inputs'!$B$7</f>
        <v>0.35</v>
      </c>
      <c r="S672" s="17">
        <f>Q672*(1-R672)</f>
        <v>374400</v>
      </c>
      <c r="T672" s="18">
        <f>S672/'Financial Inputs'!$B$3</f>
        <v>3.7439999999999999E-3</v>
      </c>
      <c r="U672" s="9" t="s">
        <v>52</v>
      </c>
      <c r="V672" s="3" t="s">
        <v>53</v>
      </c>
    </row>
    <row r="673" spans="1:22">
      <c r="A673" s="2" t="s">
        <v>2228</v>
      </c>
      <c r="B673" s="2" t="s">
        <v>2229</v>
      </c>
      <c r="C673" s="2" t="s">
        <v>2014</v>
      </c>
      <c r="D673" s="2" t="s">
        <v>102</v>
      </c>
      <c r="E673" s="2" t="s">
        <v>148</v>
      </c>
      <c r="F673" s="2" t="s">
        <v>74</v>
      </c>
      <c r="G673" s="2" t="s">
        <v>162</v>
      </c>
      <c r="H673" s="2" t="s">
        <v>46</v>
      </c>
      <c r="I673" s="2" t="s">
        <v>47</v>
      </c>
      <c r="J673" s="2" t="s">
        <v>2015</v>
      </c>
      <c r="K673" s="2" t="s">
        <v>2230</v>
      </c>
      <c r="L673" s="2" t="s">
        <v>382</v>
      </c>
      <c r="M673" s="2" t="s">
        <v>2017</v>
      </c>
      <c r="N673" s="16">
        <v>1.6199999999999999E-2</v>
      </c>
      <c r="O673" s="17">
        <f>N673*'Financial Inputs'!$B$3</f>
        <v>1620000</v>
      </c>
      <c r="P673" s="18">
        <f>IF(I673="L",'Financial Inputs'!$B$4,IF(I673="M",'Financial Inputs'!$B$5,'Financial Inputs'!$B$6))</f>
        <v>0.4</v>
      </c>
      <c r="Q673" s="17">
        <f>O673*P673</f>
        <v>648000</v>
      </c>
      <c r="R673" s="16">
        <f>'Financial Inputs'!$B$7</f>
        <v>0.35</v>
      </c>
      <c r="S673" s="17">
        <f>Q673*(1-R673)</f>
        <v>421200</v>
      </c>
      <c r="T673" s="18">
        <f>S673/'Financial Inputs'!$B$3</f>
        <v>4.2119999999999996E-3</v>
      </c>
      <c r="U673" s="9" t="s">
        <v>52</v>
      </c>
      <c r="V673" s="3" t="s">
        <v>53</v>
      </c>
    </row>
    <row r="674" spans="1:22">
      <c r="A674" s="2" t="s">
        <v>2231</v>
      </c>
      <c r="B674" s="2" t="s">
        <v>2232</v>
      </c>
      <c r="C674" s="2" t="s">
        <v>2014</v>
      </c>
      <c r="D674" s="2" t="s">
        <v>42</v>
      </c>
      <c r="E674" s="2" t="s">
        <v>153</v>
      </c>
      <c r="F674" s="2" t="s">
        <v>82</v>
      </c>
      <c r="G674" s="2" t="s">
        <v>45</v>
      </c>
      <c r="H674" s="2" t="s">
        <v>46</v>
      </c>
      <c r="I674" s="2" t="s">
        <v>47</v>
      </c>
      <c r="J674" s="2" t="s">
        <v>2015</v>
      </c>
      <c r="K674" s="2" t="s">
        <v>2233</v>
      </c>
      <c r="L674" s="2" t="s">
        <v>386</v>
      </c>
      <c r="M674" s="2" t="s">
        <v>2017</v>
      </c>
      <c r="N674" s="16">
        <v>1.7999999999999999E-2</v>
      </c>
      <c r="O674" s="17">
        <f>N674*'Financial Inputs'!$B$3</f>
        <v>1799999.9999999998</v>
      </c>
      <c r="P674" s="18">
        <f>IF(I674="L",'Financial Inputs'!$B$4,IF(I674="M",'Financial Inputs'!$B$5,'Financial Inputs'!$B$6))</f>
        <v>0.4</v>
      </c>
      <c r="Q674" s="17">
        <f>O674*P674</f>
        <v>720000</v>
      </c>
      <c r="R674" s="16">
        <f>'Financial Inputs'!$B$7</f>
        <v>0.35</v>
      </c>
      <c r="S674" s="17">
        <f>Q674*(1-R674)</f>
        <v>468000</v>
      </c>
      <c r="T674" s="18">
        <f>S674/'Financial Inputs'!$B$3</f>
        <v>4.6800000000000001E-3</v>
      </c>
      <c r="U674" s="9" t="s">
        <v>52</v>
      </c>
      <c r="V674" s="3" t="s">
        <v>53</v>
      </c>
    </row>
    <row r="675" spans="1:22">
      <c r="A675" s="2" t="s">
        <v>2234</v>
      </c>
      <c r="B675" s="2" t="s">
        <v>2235</v>
      </c>
      <c r="C675" s="2" t="s">
        <v>2014</v>
      </c>
      <c r="D675" s="2" t="s">
        <v>56</v>
      </c>
      <c r="E675" s="2" t="s">
        <v>89</v>
      </c>
      <c r="F675" s="2" t="s">
        <v>44</v>
      </c>
      <c r="G675" s="2" t="s">
        <v>59</v>
      </c>
      <c r="H675" s="2" t="s">
        <v>46</v>
      </c>
      <c r="I675" s="2" t="s">
        <v>47</v>
      </c>
      <c r="J675" s="2" t="s">
        <v>2015</v>
      </c>
      <c r="K675" s="2" t="s">
        <v>2236</v>
      </c>
      <c r="L675" s="2" t="s">
        <v>390</v>
      </c>
      <c r="M675" s="2" t="s">
        <v>2017</v>
      </c>
      <c r="N675" s="16">
        <v>1.9800000000000002E-2</v>
      </c>
      <c r="O675" s="17">
        <f>N675*'Financial Inputs'!$B$3</f>
        <v>1980000.0000000002</v>
      </c>
      <c r="P675" s="18">
        <f>IF(I675="L",'Financial Inputs'!$B$4,IF(I675="M",'Financial Inputs'!$B$5,'Financial Inputs'!$B$6))</f>
        <v>0.4</v>
      </c>
      <c r="Q675" s="17">
        <f>O675*P675</f>
        <v>792000.00000000012</v>
      </c>
      <c r="R675" s="16">
        <f>'Financial Inputs'!$B$7</f>
        <v>0.35</v>
      </c>
      <c r="S675" s="17">
        <f>Q675*(1-R675)</f>
        <v>514800.00000000012</v>
      </c>
      <c r="T675" s="18">
        <f>S675/'Financial Inputs'!$B$3</f>
        <v>5.1480000000000015E-3</v>
      </c>
      <c r="U675" s="9" t="s">
        <v>52</v>
      </c>
      <c r="V675" s="3" t="s">
        <v>53</v>
      </c>
    </row>
    <row r="676" spans="1:22">
      <c r="A676" s="2" t="s">
        <v>2237</v>
      </c>
      <c r="B676" s="2" t="s">
        <v>2238</v>
      </c>
      <c r="C676" s="2" t="s">
        <v>2014</v>
      </c>
      <c r="D676" s="2" t="s">
        <v>64</v>
      </c>
      <c r="E676" s="2" t="s">
        <v>96</v>
      </c>
      <c r="F676" s="2" t="s">
        <v>58</v>
      </c>
      <c r="G676" s="2" t="s">
        <v>67</v>
      </c>
      <c r="H676" s="2" t="s">
        <v>46</v>
      </c>
      <c r="I676" s="2" t="s">
        <v>47</v>
      </c>
      <c r="J676" s="2" t="s">
        <v>2015</v>
      </c>
      <c r="K676" s="2" t="s">
        <v>2239</v>
      </c>
      <c r="L676" s="2" t="s">
        <v>394</v>
      </c>
      <c r="M676" s="2" t="s">
        <v>2017</v>
      </c>
      <c r="N676" s="16">
        <v>2.1600000000000001E-2</v>
      </c>
      <c r="O676" s="17">
        <f>N676*'Financial Inputs'!$B$3</f>
        <v>2160000</v>
      </c>
      <c r="P676" s="18">
        <f>IF(I676="L",'Financial Inputs'!$B$4,IF(I676="M",'Financial Inputs'!$B$5,'Financial Inputs'!$B$6))</f>
        <v>0.4</v>
      </c>
      <c r="Q676" s="17">
        <f>O676*P676</f>
        <v>864000</v>
      </c>
      <c r="R676" s="16">
        <f>'Financial Inputs'!$B$7</f>
        <v>0.35</v>
      </c>
      <c r="S676" s="17">
        <f>Q676*(1-R676)</f>
        <v>561600</v>
      </c>
      <c r="T676" s="18">
        <f>S676/'Financial Inputs'!$B$3</f>
        <v>5.6160000000000003E-3</v>
      </c>
      <c r="U676" s="9" t="s">
        <v>52</v>
      </c>
      <c r="V676" s="3" t="s">
        <v>53</v>
      </c>
    </row>
    <row r="677" spans="1:22">
      <c r="A677" s="2" t="s">
        <v>2240</v>
      </c>
      <c r="B677" s="2" t="s">
        <v>2241</v>
      </c>
      <c r="C677" s="2" t="s">
        <v>2014</v>
      </c>
      <c r="D677" s="2" t="s">
        <v>127</v>
      </c>
      <c r="E677" s="2" t="s">
        <v>220</v>
      </c>
      <c r="F677" s="2" t="s">
        <v>104</v>
      </c>
      <c r="G677" s="2" t="s">
        <v>45</v>
      </c>
      <c r="H677" s="2" t="s">
        <v>46</v>
      </c>
      <c r="I677" s="2" t="s">
        <v>47</v>
      </c>
      <c r="J677" s="2" t="s">
        <v>2015</v>
      </c>
      <c r="K677" s="2" t="s">
        <v>2242</v>
      </c>
      <c r="L677" s="2" t="s">
        <v>398</v>
      </c>
      <c r="M677" s="2" t="s">
        <v>2017</v>
      </c>
      <c r="N677" s="16">
        <v>1.44E-2</v>
      </c>
      <c r="O677" s="17">
        <f>N677*'Financial Inputs'!$B$3</f>
        <v>1440000</v>
      </c>
      <c r="P677" s="18">
        <f>IF(I677="L",'Financial Inputs'!$B$4,IF(I677="M",'Financial Inputs'!$B$5,'Financial Inputs'!$B$6))</f>
        <v>0.4</v>
      </c>
      <c r="Q677" s="17">
        <f>O677*P677</f>
        <v>576000</v>
      </c>
      <c r="R677" s="16">
        <f>'Financial Inputs'!$B$7</f>
        <v>0.35</v>
      </c>
      <c r="S677" s="17">
        <f>Q677*(1-R677)</f>
        <v>374400</v>
      </c>
      <c r="T677" s="18">
        <f>S677/'Financial Inputs'!$B$3</f>
        <v>3.7439999999999999E-3</v>
      </c>
      <c r="U677" s="9" t="s">
        <v>52</v>
      </c>
      <c r="V677" s="3" t="s">
        <v>53</v>
      </c>
    </row>
    <row r="678" spans="1:22">
      <c r="A678" s="2" t="s">
        <v>2243</v>
      </c>
      <c r="B678" s="2" t="s">
        <v>2244</v>
      </c>
      <c r="C678" s="2" t="s">
        <v>2014</v>
      </c>
      <c r="D678" s="2" t="s">
        <v>133</v>
      </c>
      <c r="E678" s="2" t="s">
        <v>171</v>
      </c>
      <c r="F678" s="2" t="s">
        <v>110</v>
      </c>
      <c r="G678" s="2" t="s">
        <v>59</v>
      </c>
      <c r="H678" s="2" t="s">
        <v>46</v>
      </c>
      <c r="I678" s="2" t="s">
        <v>47</v>
      </c>
      <c r="J678" s="2" t="s">
        <v>2015</v>
      </c>
      <c r="K678" s="2" t="s">
        <v>2245</v>
      </c>
      <c r="L678" s="2" t="s">
        <v>402</v>
      </c>
      <c r="M678" s="2" t="s">
        <v>2017</v>
      </c>
      <c r="N678" s="16">
        <v>1.6199999999999999E-2</v>
      </c>
      <c r="O678" s="17">
        <f>N678*'Financial Inputs'!$B$3</f>
        <v>1620000</v>
      </c>
      <c r="P678" s="18">
        <f>IF(I678="L",'Financial Inputs'!$B$4,IF(I678="M",'Financial Inputs'!$B$5,'Financial Inputs'!$B$6))</f>
        <v>0.4</v>
      </c>
      <c r="Q678" s="17">
        <f>O678*P678</f>
        <v>648000</v>
      </c>
      <c r="R678" s="16">
        <f>'Financial Inputs'!$B$7</f>
        <v>0.35</v>
      </c>
      <c r="S678" s="17">
        <f>Q678*(1-R678)</f>
        <v>421200</v>
      </c>
      <c r="T678" s="18">
        <f>S678/'Financial Inputs'!$B$3</f>
        <v>4.2119999999999996E-3</v>
      </c>
      <c r="U678" s="9" t="s">
        <v>52</v>
      </c>
      <c r="V678" s="3" t="s">
        <v>53</v>
      </c>
    </row>
    <row r="679" spans="1:22">
      <c r="A679" s="2" t="s">
        <v>2246</v>
      </c>
      <c r="B679" s="2" t="s">
        <v>2247</v>
      </c>
      <c r="C679" s="2" t="s">
        <v>2014</v>
      </c>
      <c r="D679" s="2" t="s">
        <v>88</v>
      </c>
      <c r="E679" s="2" t="s">
        <v>176</v>
      </c>
      <c r="F679" s="2" t="s">
        <v>117</v>
      </c>
      <c r="G679" s="2" t="s">
        <v>67</v>
      </c>
      <c r="H679" s="2" t="s">
        <v>46</v>
      </c>
      <c r="I679" s="2" t="s">
        <v>47</v>
      </c>
      <c r="J679" s="2" t="s">
        <v>2015</v>
      </c>
      <c r="K679" s="2" t="s">
        <v>2248</v>
      </c>
      <c r="L679" s="2" t="s">
        <v>406</v>
      </c>
      <c r="M679" s="2" t="s">
        <v>2017</v>
      </c>
      <c r="N679" s="16">
        <v>1.7999999999999999E-2</v>
      </c>
      <c r="O679" s="17">
        <f>N679*'Financial Inputs'!$B$3</f>
        <v>1799999.9999999998</v>
      </c>
      <c r="P679" s="18">
        <f>IF(I679="L",'Financial Inputs'!$B$4,IF(I679="M",'Financial Inputs'!$B$5,'Financial Inputs'!$B$6))</f>
        <v>0.4</v>
      </c>
      <c r="Q679" s="17">
        <f>O679*P679</f>
        <v>720000</v>
      </c>
      <c r="R679" s="16">
        <f>'Financial Inputs'!$B$7</f>
        <v>0.35</v>
      </c>
      <c r="S679" s="17">
        <f>Q679*(1-R679)</f>
        <v>468000</v>
      </c>
      <c r="T679" s="18">
        <f>S679/'Financial Inputs'!$B$3</f>
        <v>4.6800000000000001E-3</v>
      </c>
      <c r="U679" s="9" t="s">
        <v>52</v>
      </c>
      <c r="V679" s="3" t="s">
        <v>53</v>
      </c>
    </row>
    <row r="680" spans="1:22">
      <c r="A680" s="2" t="s">
        <v>2249</v>
      </c>
      <c r="B680" s="2" t="s">
        <v>2250</v>
      </c>
      <c r="C680" s="2" t="s">
        <v>2014</v>
      </c>
      <c r="D680" s="2" t="s">
        <v>95</v>
      </c>
      <c r="E680" s="2" t="s">
        <v>122</v>
      </c>
      <c r="F680" s="2" t="s">
        <v>90</v>
      </c>
      <c r="G680" s="2" t="s">
        <v>75</v>
      </c>
      <c r="H680" s="2" t="s">
        <v>46</v>
      </c>
      <c r="I680" s="2" t="s">
        <v>47</v>
      </c>
      <c r="J680" s="2" t="s">
        <v>2015</v>
      </c>
      <c r="K680" s="2" t="s">
        <v>2251</v>
      </c>
      <c r="L680" s="2" t="s">
        <v>410</v>
      </c>
      <c r="M680" s="2" t="s">
        <v>2017</v>
      </c>
      <c r="N680" s="16">
        <v>1.9800000000000002E-2</v>
      </c>
      <c r="O680" s="17">
        <f>N680*'Financial Inputs'!$B$3</f>
        <v>1980000.0000000002</v>
      </c>
      <c r="P680" s="18">
        <f>IF(I680="L",'Financial Inputs'!$B$4,IF(I680="M",'Financial Inputs'!$B$5,'Financial Inputs'!$B$6))</f>
        <v>0.4</v>
      </c>
      <c r="Q680" s="17">
        <f>O680*P680</f>
        <v>792000.00000000012</v>
      </c>
      <c r="R680" s="16">
        <f>'Financial Inputs'!$B$7</f>
        <v>0.35</v>
      </c>
      <c r="S680" s="17">
        <f>Q680*(1-R680)</f>
        <v>514800.00000000012</v>
      </c>
      <c r="T680" s="18">
        <f>S680/'Financial Inputs'!$B$3</f>
        <v>5.1480000000000015E-3</v>
      </c>
      <c r="U680" s="9" t="s">
        <v>52</v>
      </c>
      <c r="V680" s="3" t="s">
        <v>53</v>
      </c>
    </row>
    <row r="681" spans="1:22">
      <c r="A681" s="2" t="s">
        <v>2252</v>
      </c>
      <c r="B681" s="2" t="s">
        <v>2253</v>
      </c>
      <c r="C681" s="2" t="s">
        <v>2014</v>
      </c>
      <c r="D681" s="2" t="s">
        <v>102</v>
      </c>
      <c r="E681" s="2" t="s">
        <v>128</v>
      </c>
      <c r="F681" s="2" t="s">
        <v>97</v>
      </c>
      <c r="G681" s="2" t="s">
        <v>83</v>
      </c>
      <c r="H681" s="2" t="s">
        <v>46</v>
      </c>
      <c r="I681" s="2" t="s">
        <v>47</v>
      </c>
      <c r="J681" s="2" t="s">
        <v>2015</v>
      </c>
      <c r="K681" s="2" t="s">
        <v>2254</v>
      </c>
      <c r="L681" s="2" t="s">
        <v>414</v>
      </c>
      <c r="M681" s="2" t="s">
        <v>2017</v>
      </c>
      <c r="N681" s="16">
        <v>2.1600000000000001E-2</v>
      </c>
      <c r="O681" s="17">
        <f>N681*'Financial Inputs'!$B$3</f>
        <v>2160000</v>
      </c>
      <c r="P681" s="18">
        <f>IF(I681="L",'Financial Inputs'!$B$4,IF(I681="M",'Financial Inputs'!$B$5,'Financial Inputs'!$B$6))</f>
        <v>0.4</v>
      </c>
      <c r="Q681" s="17">
        <f>O681*P681</f>
        <v>864000</v>
      </c>
      <c r="R681" s="16">
        <f>'Financial Inputs'!$B$7</f>
        <v>0.35</v>
      </c>
      <c r="S681" s="17">
        <f>Q681*(1-R681)</f>
        <v>561600</v>
      </c>
      <c r="T681" s="18">
        <f>S681/'Financial Inputs'!$B$3</f>
        <v>5.6160000000000003E-3</v>
      </c>
      <c r="U681" s="9" t="s">
        <v>52</v>
      </c>
      <c r="V681" s="3" t="s">
        <v>53</v>
      </c>
    </row>
    <row r="682" spans="1:22">
      <c r="A682" s="2" t="s">
        <v>2255</v>
      </c>
      <c r="B682" s="2" t="s">
        <v>2256</v>
      </c>
      <c r="C682" s="2" t="s">
        <v>2014</v>
      </c>
      <c r="D682" s="2" t="s">
        <v>64</v>
      </c>
      <c r="E682" s="2" t="s">
        <v>81</v>
      </c>
      <c r="F682" s="2" t="s">
        <v>74</v>
      </c>
      <c r="G682" s="2" t="s">
        <v>67</v>
      </c>
      <c r="H682" s="2" t="s">
        <v>46</v>
      </c>
      <c r="I682" s="2" t="s">
        <v>47</v>
      </c>
      <c r="J682" s="2" t="s">
        <v>2015</v>
      </c>
      <c r="K682" s="2" t="s">
        <v>2257</v>
      </c>
      <c r="L682" s="2" t="s">
        <v>418</v>
      </c>
      <c r="M682" s="2" t="s">
        <v>2017</v>
      </c>
      <c r="N682" s="16">
        <v>1.44E-2</v>
      </c>
      <c r="O682" s="17">
        <f>N682*'Financial Inputs'!$B$3</f>
        <v>1440000</v>
      </c>
      <c r="P682" s="18">
        <f>IF(I682="L",'Financial Inputs'!$B$4,IF(I682="M",'Financial Inputs'!$B$5,'Financial Inputs'!$B$6))</f>
        <v>0.4</v>
      </c>
      <c r="Q682" s="17">
        <f>O682*P682</f>
        <v>576000</v>
      </c>
      <c r="R682" s="16">
        <f>'Financial Inputs'!$B$7</f>
        <v>0.35</v>
      </c>
      <c r="S682" s="17">
        <f>Q682*(1-R682)</f>
        <v>374400</v>
      </c>
      <c r="T682" s="18">
        <f>S682/'Financial Inputs'!$B$3</f>
        <v>3.7439999999999999E-3</v>
      </c>
      <c r="U682" s="9" t="s">
        <v>52</v>
      </c>
      <c r="V682" s="3" t="s">
        <v>53</v>
      </c>
    </row>
    <row r="683" spans="1:22">
      <c r="A683" s="2" t="s">
        <v>2258</v>
      </c>
      <c r="B683" s="2" t="s">
        <v>2259</v>
      </c>
      <c r="C683" s="2" t="s">
        <v>2014</v>
      </c>
      <c r="D683" s="2" t="s">
        <v>72</v>
      </c>
      <c r="E683" s="2" t="s">
        <v>193</v>
      </c>
      <c r="F683" s="2" t="s">
        <v>82</v>
      </c>
      <c r="G683" s="2" t="s">
        <v>75</v>
      </c>
      <c r="H683" s="2" t="s">
        <v>46</v>
      </c>
      <c r="I683" s="2" t="s">
        <v>47</v>
      </c>
      <c r="J683" s="2" t="s">
        <v>2015</v>
      </c>
      <c r="K683" s="2" t="s">
        <v>2260</v>
      </c>
      <c r="L683" s="2" t="s">
        <v>422</v>
      </c>
      <c r="M683" s="2" t="s">
        <v>2017</v>
      </c>
      <c r="N683" s="16">
        <v>1.6199999999999999E-2</v>
      </c>
      <c r="O683" s="17">
        <f>N683*'Financial Inputs'!$B$3</f>
        <v>1620000</v>
      </c>
      <c r="P683" s="18">
        <f>IF(I683="L",'Financial Inputs'!$B$4,IF(I683="M",'Financial Inputs'!$B$5,'Financial Inputs'!$B$6))</f>
        <v>0.4</v>
      </c>
      <c r="Q683" s="17">
        <f>O683*P683</f>
        <v>648000</v>
      </c>
      <c r="R683" s="16">
        <f>'Financial Inputs'!$B$7</f>
        <v>0.35</v>
      </c>
      <c r="S683" s="17">
        <f>Q683*(1-R683)</f>
        <v>421200</v>
      </c>
      <c r="T683" s="18">
        <f>S683/'Financial Inputs'!$B$3</f>
        <v>4.2119999999999996E-3</v>
      </c>
      <c r="U683" s="9" t="s">
        <v>52</v>
      </c>
      <c r="V683" s="3" t="s">
        <v>53</v>
      </c>
    </row>
    <row r="684" spans="1:22">
      <c r="A684" s="2" t="s">
        <v>2261</v>
      </c>
      <c r="B684" s="2" t="s">
        <v>2262</v>
      </c>
      <c r="C684" s="2" t="s">
        <v>2014</v>
      </c>
      <c r="D684" s="2" t="s">
        <v>80</v>
      </c>
      <c r="E684" s="2" t="s">
        <v>198</v>
      </c>
      <c r="F684" s="2" t="s">
        <v>44</v>
      </c>
      <c r="G684" s="2" t="s">
        <v>83</v>
      </c>
      <c r="H684" s="2" t="s">
        <v>46</v>
      </c>
      <c r="I684" s="2" t="s">
        <v>47</v>
      </c>
      <c r="J684" s="2" t="s">
        <v>2015</v>
      </c>
      <c r="K684" s="2" t="s">
        <v>2263</v>
      </c>
      <c r="L684" s="2" t="s">
        <v>426</v>
      </c>
      <c r="M684" s="2" t="s">
        <v>2017</v>
      </c>
      <c r="N684" s="16">
        <v>1.7999999999999999E-2</v>
      </c>
      <c r="O684" s="17">
        <f>N684*'Financial Inputs'!$B$3</f>
        <v>1799999.9999999998</v>
      </c>
      <c r="P684" s="18">
        <f>IF(I684="L",'Financial Inputs'!$B$4,IF(I684="M",'Financial Inputs'!$B$5,'Financial Inputs'!$B$6))</f>
        <v>0.4</v>
      </c>
      <c r="Q684" s="17">
        <f>O684*P684</f>
        <v>720000</v>
      </c>
      <c r="R684" s="16">
        <f>'Financial Inputs'!$B$7</f>
        <v>0.35</v>
      </c>
      <c r="S684" s="17">
        <f>Q684*(1-R684)</f>
        <v>468000</v>
      </c>
      <c r="T684" s="18">
        <f>S684/'Financial Inputs'!$B$3</f>
        <v>4.6800000000000001E-3</v>
      </c>
      <c r="U684" s="9" t="s">
        <v>52</v>
      </c>
      <c r="V684" s="3" t="s">
        <v>53</v>
      </c>
    </row>
    <row r="685" spans="1:22">
      <c r="A685" s="2" t="s">
        <v>2264</v>
      </c>
      <c r="B685" s="2" t="s">
        <v>2265</v>
      </c>
      <c r="C685" s="2" t="s">
        <v>2014</v>
      </c>
      <c r="D685" s="2" t="s">
        <v>127</v>
      </c>
      <c r="E685" s="2" t="s">
        <v>148</v>
      </c>
      <c r="F685" s="2" t="s">
        <v>58</v>
      </c>
      <c r="G685" s="2" t="s">
        <v>111</v>
      </c>
      <c r="H685" s="2" t="s">
        <v>46</v>
      </c>
      <c r="I685" s="2" t="s">
        <v>47</v>
      </c>
      <c r="J685" s="2" t="s">
        <v>2015</v>
      </c>
      <c r="K685" s="2" t="s">
        <v>2266</v>
      </c>
      <c r="L685" s="2" t="s">
        <v>430</v>
      </c>
      <c r="M685" s="2" t="s">
        <v>2017</v>
      </c>
      <c r="N685" s="16">
        <v>1.9800000000000002E-2</v>
      </c>
      <c r="O685" s="17">
        <f>N685*'Financial Inputs'!$B$3</f>
        <v>1980000.0000000002</v>
      </c>
      <c r="P685" s="18">
        <f>IF(I685="L",'Financial Inputs'!$B$4,IF(I685="M",'Financial Inputs'!$B$5,'Financial Inputs'!$B$6))</f>
        <v>0.4</v>
      </c>
      <c r="Q685" s="17">
        <f>O685*P685</f>
        <v>792000.00000000012</v>
      </c>
      <c r="R685" s="16">
        <f>'Financial Inputs'!$B$7</f>
        <v>0.35</v>
      </c>
      <c r="S685" s="17">
        <f>Q685*(1-R685)</f>
        <v>514800.00000000012</v>
      </c>
      <c r="T685" s="18">
        <f>S685/'Financial Inputs'!$B$3</f>
        <v>5.1480000000000015E-3</v>
      </c>
      <c r="U685" s="9" t="s">
        <v>52</v>
      </c>
      <c r="V685" s="3" t="s">
        <v>53</v>
      </c>
    </row>
    <row r="686" spans="1:22">
      <c r="A686" s="2" t="s">
        <v>2267</v>
      </c>
      <c r="B686" s="2" t="s">
        <v>2268</v>
      </c>
      <c r="C686" s="2" t="s">
        <v>2014</v>
      </c>
      <c r="D686" s="2" t="s">
        <v>133</v>
      </c>
      <c r="E686" s="2" t="s">
        <v>153</v>
      </c>
      <c r="F686" s="2" t="s">
        <v>66</v>
      </c>
      <c r="G686" s="2" t="s">
        <v>56</v>
      </c>
      <c r="H686" s="2" t="s">
        <v>46</v>
      </c>
      <c r="I686" s="2" t="s">
        <v>47</v>
      </c>
      <c r="J686" s="2" t="s">
        <v>2015</v>
      </c>
      <c r="K686" s="2" t="s">
        <v>2269</v>
      </c>
      <c r="L686" s="2" t="s">
        <v>434</v>
      </c>
      <c r="M686" s="2" t="s">
        <v>2017</v>
      </c>
      <c r="N686" s="16">
        <v>2.1600000000000001E-2</v>
      </c>
      <c r="O686" s="17">
        <f>N686*'Financial Inputs'!$B$3</f>
        <v>2160000</v>
      </c>
      <c r="P686" s="18">
        <f>IF(I686="L",'Financial Inputs'!$B$4,IF(I686="M",'Financial Inputs'!$B$5,'Financial Inputs'!$B$6))</f>
        <v>0.4</v>
      </c>
      <c r="Q686" s="17">
        <f>O686*P686</f>
        <v>864000</v>
      </c>
      <c r="R686" s="16">
        <f>'Financial Inputs'!$B$7</f>
        <v>0.35</v>
      </c>
      <c r="S686" s="17">
        <f>Q686*(1-R686)</f>
        <v>561600</v>
      </c>
      <c r="T686" s="18">
        <f>S686/'Financial Inputs'!$B$3</f>
        <v>5.6160000000000003E-3</v>
      </c>
      <c r="U686" s="9" t="s">
        <v>52</v>
      </c>
      <c r="V686" s="3" t="s">
        <v>53</v>
      </c>
    </row>
    <row r="687" spans="1:22">
      <c r="A687" s="2" t="s">
        <v>2270</v>
      </c>
      <c r="B687" s="2" t="s">
        <v>2271</v>
      </c>
      <c r="C687" s="2" t="s">
        <v>2014</v>
      </c>
      <c r="D687" s="2" t="s">
        <v>102</v>
      </c>
      <c r="E687" s="2" t="s">
        <v>116</v>
      </c>
      <c r="F687" s="2" t="s">
        <v>110</v>
      </c>
      <c r="G687" s="2" t="s">
        <v>83</v>
      </c>
      <c r="H687" s="2" t="s">
        <v>46</v>
      </c>
      <c r="I687" s="2" t="s">
        <v>47</v>
      </c>
      <c r="J687" s="2" t="s">
        <v>2015</v>
      </c>
      <c r="K687" s="2" t="s">
        <v>2272</v>
      </c>
      <c r="L687" s="2" t="s">
        <v>438</v>
      </c>
      <c r="M687" s="2" t="s">
        <v>2017</v>
      </c>
      <c r="N687" s="16">
        <v>1.44E-2</v>
      </c>
      <c r="O687" s="17">
        <f>N687*'Financial Inputs'!$B$3</f>
        <v>1440000</v>
      </c>
      <c r="P687" s="18">
        <f>IF(I687="L",'Financial Inputs'!$B$4,IF(I687="M",'Financial Inputs'!$B$5,'Financial Inputs'!$B$6))</f>
        <v>0.4</v>
      </c>
      <c r="Q687" s="17">
        <f>O687*P687</f>
        <v>576000</v>
      </c>
      <c r="R687" s="16">
        <f>'Financial Inputs'!$B$7</f>
        <v>0.35</v>
      </c>
      <c r="S687" s="17">
        <f>Q687*(1-R687)</f>
        <v>374400</v>
      </c>
      <c r="T687" s="18">
        <f>S687/'Financial Inputs'!$B$3</f>
        <v>3.7439999999999999E-3</v>
      </c>
      <c r="U687" s="9" t="s">
        <v>52</v>
      </c>
      <c r="V687" s="3" t="s">
        <v>53</v>
      </c>
    </row>
    <row r="688" spans="1:22">
      <c r="A688" s="2" t="s">
        <v>2273</v>
      </c>
      <c r="B688" s="2" t="s">
        <v>2274</v>
      </c>
      <c r="C688" s="2" t="s">
        <v>2014</v>
      </c>
      <c r="D688" s="2" t="s">
        <v>42</v>
      </c>
      <c r="E688" s="2" t="s">
        <v>215</v>
      </c>
      <c r="F688" s="2" t="s">
        <v>117</v>
      </c>
      <c r="G688" s="2" t="s">
        <v>111</v>
      </c>
      <c r="H688" s="2" t="s">
        <v>46</v>
      </c>
      <c r="I688" s="2" t="s">
        <v>47</v>
      </c>
      <c r="J688" s="2" t="s">
        <v>2015</v>
      </c>
      <c r="K688" s="2" t="s">
        <v>2275</v>
      </c>
      <c r="L688" s="2" t="s">
        <v>442</v>
      </c>
      <c r="M688" s="2" t="s">
        <v>2017</v>
      </c>
      <c r="N688" s="16">
        <v>1.6199999999999999E-2</v>
      </c>
      <c r="O688" s="17">
        <f>N688*'Financial Inputs'!$B$3</f>
        <v>1620000</v>
      </c>
      <c r="P688" s="18">
        <f>IF(I688="L",'Financial Inputs'!$B$4,IF(I688="M",'Financial Inputs'!$B$5,'Financial Inputs'!$B$6))</f>
        <v>0.4</v>
      </c>
      <c r="Q688" s="17">
        <f>O688*P688</f>
        <v>648000</v>
      </c>
      <c r="R688" s="16">
        <f>'Financial Inputs'!$B$7</f>
        <v>0.35</v>
      </c>
      <c r="S688" s="17">
        <f>Q688*(1-R688)</f>
        <v>421200</v>
      </c>
      <c r="T688" s="18">
        <f>S688/'Financial Inputs'!$B$3</f>
        <v>4.2119999999999996E-3</v>
      </c>
      <c r="U688" s="9" t="s">
        <v>52</v>
      </c>
      <c r="V688" s="3" t="s">
        <v>53</v>
      </c>
    </row>
    <row r="689" spans="1:22">
      <c r="A689" s="2" t="s">
        <v>2276</v>
      </c>
      <c r="B689" s="2" t="s">
        <v>2277</v>
      </c>
      <c r="C689" s="2" t="s">
        <v>2014</v>
      </c>
      <c r="D689" s="2" t="s">
        <v>56</v>
      </c>
      <c r="E689" s="2" t="s">
        <v>220</v>
      </c>
      <c r="F689" s="2" t="s">
        <v>90</v>
      </c>
      <c r="G689" s="2" t="s">
        <v>56</v>
      </c>
      <c r="H689" s="2" t="s">
        <v>46</v>
      </c>
      <c r="I689" s="2" t="s">
        <v>47</v>
      </c>
      <c r="J689" s="2" t="s">
        <v>2015</v>
      </c>
      <c r="K689" s="2" t="s">
        <v>2278</v>
      </c>
      <c r="L689" s="2" t="s">
        <v>446</v>
      </c>
      <c r="M689" s="2" t="s">
        <v>2017</v>
      </c>
      <c r="N689" s="16">
        <v>1.7999999999999999E-2</v>
      </c>
      <c r="O689" s="17">
        <f>N689*'Financial Inputs'!$B$3</f>
        <v>1799999.9999999998</v>
      </c>
      <c r="P689" s="18">
        <f>IF(I689="L",'Financial Inputs'!$B$4,IF(I689="M",'Financial Inputs'!$B$5,'Financial Inputs'!$B$6))</f>
        <v>0.4</v>
      </c>
      <c r="Q689" s="17">
        <f>O689*P689</f>
        <v>720000</v>
      </c>
      <c r="R689" s="16">
        <f>'Financial Inputs'!$B$7</f>
        <v>0.35</v>
      </c>
      <c r="S689" s="17">
        <f>Q689*(1-R689)</f>
        <v>468000</v>
      </c>
      <c r="T689" s="18">
        <f>S689/'Financial Inputs'!$B$3</f>
        <v>4.6800000000000001E-3</v>
      </c>
      <c r="U689" s="9" t="s">
        <v>52</v>
      </c>
      <c r="V689" s="3" t="s">
        <v>53</v>
      </c>
    </row>
    <row r="690" spans="1:22">
      <c r="A690" s="2" t="s">
        <v>2279</v>
      </c>
      <c r="B690" s="2" t="s">
        <v>2280</v>
      </c>
      <c r="C690" s="2" t="s">
        <v>2014</v>
      </c>
      <c r="D690" s="2" t="s">
        <v>64</v>
      </c>
      <c r="E690" s="2" t="s">
        <v>171</v>
      </c>
      <c r="F690" s="2" t="s">
        <v>97</v>
      </c>
      <c r="G690" s="2" t="s">
        <v>138</v>
      </c>
      <c r="H690" s="2" t="s">
        <v>46</v>
      </c>
      <c r="I690" s="2" t="s">
        <v>47</v>
      </c>
      <c r="J690" s="2" t="s">
        <v>2015</v>
      </c>
      <c r="K690" s="2" t="s">
        <v>2281</v>
      </c>
      <c r="L690" s="2" t="s">
        <v>450</v>
      </c>
      <c r="M690" s="2" t="s">
        <v>2017</v>
      </c>
      <c r="N690" s="16">
        <v>1.9800000000000002E-2</v>
      </c>
      <c r="O690" s="17">
        <f>N690*'Financial Inputs'!$B$3</f>
        <v>1980000.0000000002</v>
      </c>
      <c r="P690" s="18">
        <f>IF(I690="L",'Financial Inputs'!$B$4,IF(I690="M",'Financial Inputs'!$B$5,'Financial Inputs'!$B$6))</f>
        <v>0.4</v>
      </c>
      <c r="Q690" s="17">
        <f>O690*P690</f>
        <v>792000.00000000012</v>
      </c>
      <c r="R690" s="16">
        <f>'Financial Inputs'!$B$7</f>
        <v>0.35</v>
      </c>
      <c r="S690" s="17">
        <f>Q690*(1-R690)</f>
        <v>514800.00000000012</v>
      </c>
      <c r="T690" s="18">
        <f>S690/'Financial Inputs'!$B$3</f>
        <v>5.1480000000000015E-3</v>
      </c>
      <c r="U690" s="9" t="s">
        <v>52</v>
      </c>
      <c r="V690" s="3" t="s">
        <v>53</v>
      </c>
    </row>
    <row r="691" spans="1:22">
      <c r="A691" s="2" t="s">
        <v>2282</v>
      </c>
      <c r="B691" s="2" t="s">
        <v>2283</v>
      </c>
      <c r="C691" s="2" t="s">
        <v>2014</v>
      </c>
      <c r="D691" s="2" t="s">
        <v>72</v>
      </c>
      <c r="E691" s="2" t="s">
        <v>176</v>
      </c>
      <c r="F691" s="2" t="s">
        <v>104</v>
      </c>
      <c r="G691" s="2" t="s">
        <v>143</v>
      </c>
      <c r="H691" s="2" t="s">
        <v>46</v>
      </c>
      <c r="I691" s="2" t="s">
        <v>47</v>
      </c>
      <c r="J691" s="2" t="s">
        <v>2015</v>
      </c>
      <c r="K691" s="2" t="s">
        <v>2284</v>
      </c>
      <c r="L691" s="2" t="s">
        <v>454</v>
      </c>
      <c r="M691" s="2" t="s">
        <v>2017</v>
      </c>
      <c r="N691" s="16">
        <v>2.1600000000000001E-2</v>
      </c>
      <c r="O691" s="17">
        <f>N691*'Financial Inputs'!$B$3</f>
        <v>2160000</v>
      </c>
      <c r="P691" s="18">
        <f>IF(I691="L",'Financial Inputs'!$B$4,IF(I691="M",'Financial Inputs'!$B$5,'Financial Inputs'!$B$6))</f>
        <v>0.4</v>
      </c>
      <c r="Q691" s="17">
        <f>O691*P691</f>
        <v>864000</v>
      </c>
      <c r="R691" s="16">
        <f>'Financial Inputs'!$B$7</f>
        <v>0.35</v>
      </c>
      <c r="S691" s="17">
        <f>Q691*(1-R691)</f>
        <v>561600</v>
      </c>
      <c r="T691" s="18">
        <f>S691/'Financial Inputs'!$B$3</f>
        <v>5.6160000000000003E-3</v>
      </c>
      <c r="U691" s="9" t="s">
        <v>52</v>
      </c>
      <c r="V691" s="3" t="s">
        <v>53</v>
      </c>
    </row>
    <row r="692" spans="1:22">
      <c r="A692" s="2" t="s">
        <v>2285</v>
      </c>
      <c r="B692" s="2" t="s">
        <v>2286</v>
      </c>
      <c r="C692" s="2" t="s">
        <v>2014</v>
      </c>
      <c r="D692" s="2" t="s">
        <v>133</v>
      </c>
      <c r="E692" s="2" t="s">
        <v>65</v>
      </c>
      <c r="F692" s="2" t="s">
        <v>82</v>
      </c>
      <c r="G692" s="2" t="s">
        <v>56</v>
      </c>
      <c r="H692" s="2" t="s">
        <v>46</v>
      </c>
      <c r="I692" s="2" t="s">
        <v>47</v>
      </c>
      <c r="J692" s="2" t="s">
        <v>2015</v>
      </c>
      <c r="K692" s="2" t="s">
        <v>2287</v>
      </c>
      <c r="L692" s="2" t="s">
        <v>458</v>
      </c>
      <c r="M692" s="2" t="s">
        <v>2017</v>
      </c>
      <c r="N692" s="16">
        <v>1.44E-2</v>
      </c>
      <c r="O692" s="17">
        <f>N692*'Financial Inputs'!$B$3</f>
        <v>1440000</v>
      </c>
      <c r="P692" s="18">
        <f>IF(I692="L",'Financial Inputs'!$B$4,IF(I692="M",'Financial Inputs'!$B$5,'Financial Inputs'!$B$6))</f>
        <v>0.4</v>
      </c>
      <c r="Q692" s="17">
        <f>O692*P692</f>
        <v>576000</v>
      </c>
      <c r="R692" s="16">
        <f>'Financial Inputs'!$B$7</f>
        <v>0.35</v>
      </c>
      <c r="S692" s="17">
        <f>Q692*(1-R692)</f>
        <v>374400</v>
      </c>
      <c r="T692" s="18">
        <f>S692/'Financial Inputs'!$B$3</f>
        <v>3.7439999999999999E-3</v>
      </c>
      <c r="U692" s="9" t="s">
        <v>52</v>
      </c>
      <c r="V692" s="3" t="s">
        <v>53</v>
      </c>
    </row>
    <row r="693" spans="1:22">
      <c r="A693" s="2" t="s">
        <v>2288</v>
      </c>
      <c r="B693" s="2" t="s">
        <v>2289</v>
      </c>
      <c r="C693" s="2" t="s">
        <v>2014</v>
      </c>
      <c r="D693" s="2" t="s">
        <v>88</v>
      </c>
      <c r="E693" s="2" t="s">
        <v>73</v>
      </c>
      <c r="F693" s="2" t="s">
        <v>44</v>
      </c>
      <c r="G693" s="2" t="s">
        <v>138</v>
      </c>
      <c r="H693" s="2" t="s">
        <v>46</v>
      </c>
      <c r="I693" s="2" t="s">
        <v>47</v>
      </c>
      <c r="J693" s="2" t="s">
        <v>2015</v>
      </c>
      <c r="K693" s="2" t="s">
        <v>2290</v>
      </c>
      <c r="L693" s="2" t="s">
        <v>462</v>
      </c>
      <c r="M693" s="2" t="s">
        <v>2017</v>
      </c>
      <c r="N693" s="16">
        <v>1.6199999999999999E-2</v>
      </c>
      <c r="O693" s="17">
        <f>N693*'Financial Inputs'!$B$3</f>
        <v>1620000</v>
      </c>
      <c r="P693" s="18">
        <f>IF(I693="L",'Financial Inputs'!$B$4,IF(I693="M",'Financial Inputs'!$B$5,'Financial Inputs'!$B$6))</f>
        <v>0.4</v>
      </c>
      <c r="Q693" s="17">
        <f>O693*P693</f>
        <v>648000</v>
      </c>
      <c r="R693" s="16">
        <f>'Financial Inputs'!$B$7</f>
        <v>0.35</v>
      </c>
      <c r="S693" s="17">
        <f>Q693*(1-R693)</f>
        <v>421200</v>
      </c>
      <c r="T693" s="18">
        <f>S693/'Financial Inputs'!$B$3</f>
        <v>4.2119999999999996E-3</v>
      </c>
      <c r="U693" s="9" t="s">
        <v>52</v>
      </c>
      <c r="V693" s="3" t="s">
        <v>53</v>
      </c>
    </row>
    <row r="694" spans="1:22">
      <c r="A694" s="2" t="s">
        <v>2291</v>
      </c>
      <c r="B694" s="2" t="s">
        <v>2292</v>
      </c>
      <c r="C694" s="2" t="s">
        <v>2014</v>
      </c>
      <c r="D694" s="2" t="s">
        <v>95</v>
      </c>
      <c r="E694" s="2" t="s">
        <v>81</v>
      </c>
      <c r="F694" s="2" t="s">
        <v>58</v>
      </c>
      <c r="G694" s="2" t="s">
        <v>143</v>
      </c>
      <c r="H694" s="2" t="s">
        <v>46</v>
      </c>
      <c r="I694" s="2" t="s">
        <v>47</v>
      </c>
      <c r="J694" s="2" t="s">
        <v>2015</v>
      </c>
      <c r="K694" s="2" t="s">
        <v>2293</v>
      </c>
      <c r="L694" s="2" t="s">
        <v>466</v>
      </c>
      <c r="M694" s="2" t="s">
        <v>2017</v>
      </c>
      <c r="N694" s="16">
        <v>1.7999999999999999E-2</v>
      </c>
      <c r="O694" s="17">
        <f>N694*'Financial Inputs'!$B$3</f>
        <v>1799999.9999999998</v>
      </c>
      <c r="P694" s="18">
        <f>IF(I694="L",'Financial Inputs'!$B$4,IF(I694="M",'Financial Inputs'!$B$5,'Financial Inputs'!$B$6))</f>
        <v>0.4</v>
      </c>
      <c r="Q694" s="17">
        <f>O694*P694</f>
        <v>720000</v>
      </c>
      <c r="R694" s="16">
        <f>'Financial Inputs'!$B$7</f>
        <v>0.35</v>
      </c>
      <c r="S694" s="17">
        <f>Q694*(1-R694)</f>
        <v>468000</v>
      </c>
      <c r="T694" s="18">
        <f>S694/'Financial Inputs'!$B$3</f>
        <v>4.6800000000000001E-3</v>
      </c>
      <c r="U694" s="9" t="s">
        <v>52</v>
      </c>
      <c r="V694" s="3" t="s">
        <v>53</v>
      </c>
    </row>
    <row r="695" spans="1:22">
      <c r="A695" s="2" t="s">
        <v>2294</v>
      </c>
      <c r="B695" s="2" t="s">
        <v>2295</v>
      </c>
      <c r="C695" s="2" t="s">
        <v>2014</v>
      </c>
      <c r="D695" s="2" t="s">
        <v>102</v>
      </c>
      <c r="E695" s="2" t="s">
        <v>193</v>
      </c>
      <c r="F695" s="2" t="s">
        <v>66</v>
      </c>
      <c r="G695" s="2" t="s">
        <v>162</v>
      </c>
      <c r="H695" s="2" t="s">
        <v>46</v>
      </c>
      <c r="I695" s="2" t="s">
        <v>47</v>
      </c>
      <c r="J695" s="2" t="s">
        <v>2015</v>
      </c>
      <c r="K695" s="2" t="s">
        <v>2296</v>
      </c>
      <c r="L695" s="2" t="s">
        <v>470</v>
      </c>
      <c r="M695" s="2" t="s">
        <v>2017</v>
      </c>
      <c r="N695" s="16">
        <v>1.9800000000000002E-2</v>
      </c>
      <c r="O695" s="17">
        <f>N695*'Financial Inputs'!$B$3</f>
        <v>1980000.0000000002</v>
      </c>
      <c r="P695" s="18">
        <f>IF(I695="L",'Financial Inputs'!$B$4,IF(I695="M",'Financial Inputs'!$B$5,'Financial Inputs'!$B$6))</f>
        <v>0.4</v>
      </c>
      <c r="Q695" s="17">
        <f>O695*P695</f>
        <v>792000.00000000012</v>
      </c>
      <c r="R695" s="16">
        <f>'Financial Inputs'!$B$7</f>
        <v>0.35</v>
      </c>
      <c r="S695" s="17">
        <f>Q695*(1-R695)</f>
        <v>514800.00000000012</v>
      </c>
      <c r="T695" s="18">
        <f>S695/'Financial Inputs'!$B$3</f>
        <v>5.1480000000000015E-3</v>
      </c>
      <c r="U695" s="9" t="s">
        <v>52</v>
      </c>
      <c r="V695" s="3" t="s">
        <v>53</v>
      </c>
    </row>
    <row r="696" spans="1:22">
      <c r="A696" s="2" t="s">
        <v>2297</v>
      </c>
      <c r="B696" s="2" t="s">
        <v>2298</v>
      </c>
      <c r="C696" s="2" t="s">
        <v>2014</v>
      </c>
      <c r="D696" s="2" t="s">
        <v>42</v>
      </c>
      <c r="E696" s="2" t="s">
        <v>198</v>
      </c>
      <c r="F696" s="2" t="s">
        <v>74</v>
      </c>
      <c r="G696" s="2" t="s">
        <v>45</v>
      </c>
      <c r="H696" s="2" t="s">
        <v>46</v>
      </c>
      <c r="I696" s="2" t="s">
        <v>47</v>
      </c>
      <c r="J696" s="2" t="s">
        <v>2015</v>
      </c>
      <c r="K696" s="2" t="s">
        <v>2299</v>
      </c>
      <c r="L696" s="2" t="s">
        <v>474</v>
      </c>
      <c r="M696" s="2" t="s">
        <v>2017</v>
      </c>
      <c r="N696" s="16">
        <v>2.1600000000000001E-2</v>
      </c>
      <c r="O696" s="17">
        <f>N696*'Financial Inputs'!$B$3</f>
        <v>2160000</v>
      </c>
      <c r="P696" s="18">
        <f>IF(I696="L",'Financial Inputs'!$B$4,IF(I696="M",'Financial Inputs'!$B$5,'Financial Inputs'!$B$6))</f>
        <v>0.4</v>
      </c>
      <c r="Q696" s="17">
        <f>O696*P696</f>
        <v>864000</v>
      </c>
      <c r="R696" s="16">
        <f>'Financial Inputs'!$B$7</f>
        <v>0.35</v>
      </c>
      <c r="S696" s="17">
        <f>Q696*(1-R696)</f>
        <v>561600</v>
      </c>
      <c r="T696" s="18">
        <f>S696/'Financial Inputs'!$B$3</f>
        <v>5.6160000000000003E-3</v>
      </c>
      <c r="U696" s="9" t="s">
        <v>52</v>
      </c>
      <c r="V696" s="3" t="s">
        <v>53</v>
      </c>
    </row>
    <row r="697" spans="1:22">
      <c r="A697" s="2" t="s">
        <v>2300</v>
      </c>
      <c r="B697" s="2" t="s">
        <v>2301</v>
      </c>
      <c r="C697" s="2" t="s">
        <v>2014</v>
      </c>
      <c r="D697" s="2" t="s">
        <v>72</v>
      </c>
      <c r="E697" s="2" t="s">
        <v>103</v>
      </c>
      <c r="F697" s="2" t="s">
        <v>117</v>
      </c>
      <c r="G697" s="2" t="s">
        <v>143</v>
      </c>
      <c r="H697" s="2" t="s">
        <v>46</v>
      </c>
      <c r="I697" s="2" t="s">
        <v>47</v>
      </c>
      <c r="J697" s="2" t="s">
        <v>2015</v>
      </c>
      <c r="K697" s="2" t="s">
        <v>2302</v>
      </c>
      <c r="L697" s="2" t="s">
        <v>478</v>
      </c>
      <c r="M697" s="2" t="s">
        <v>2017</v>
      </c>
      <c r="N697" s="16">
        <v>1.44E-2</v>
      </c>
      <c r="O697" s="17">
        <f>N697*'Financial Inputs'!$B$3</f>
        <v>1440000</v>
      </c>
      <c r="P697" s="18">
        <f>IF(I697="L",'Financial Inputs'!$B$4,IF(I697="M",'Financial Inputs'!$B$5,'Financial Inputs'!$B$6))</f>
        <v>0.4</v>
      </c>
      <c r="Q697" s="17">
        <f>O697*P697</f>
        <v>576000</v>
      </c>
      <c r="R697" s="16">
        <f>'Financial Inputs'!$B$7</f>
        <v>0.35</v>
      </c>
      <c r="S697" s="17">
        <f>Q697*(1-R697)</f>
        <v>374400</v>
      </c>
      <c r="T697" s="18">
        <f>S697/'Financial Inputs'!$B$3</f>
        <v>3.7439999999999999E-3</v>
      </c>
      <c r="U697" s="9" t="s">
        <v>52</v>
      </c>
      <c r="V697" s="3" t="s">
        <v>53</v>
      </c>
    </row>
    <row r="698" spans="1:22">
      <c r="A698" s="2" t="s">
        <v>2303</v>
      </c>
      <c r="B698" s="2" t="s">
        <v>2304</v>
      </c>
      <c r="C698" s="2" t="s">
        <v>2014</v>
      </c>
      <c r="D698" s="2" t="s">
        <v>80</v>
      </c>
      <c r="E698" s="2" t="s">
        <v>109</v>
      </c>
      <c r="F698" s="2" t="s">
        <v>90</v>
      </c>
      <c r="G698" s="2" t="s">
        <v>162</v>
      </c>
      <c r="H698" s="2" t="s">
        <v>46</v>
      </c>
      <c r="I698" s="2" t="s">
        <v>47</v>
      </c>
      <c r="J698" s="2" t="s">
        <v>2015</v>
      </c>
      <c r="K698" s="2" t="s">
        <v>2305</v>
      </c>
      <c r="L698" s="2" t="s">
        <v>482</v>
      </c>
      <c r="M698" s="2" t="s">
        <v>2017</v>
      </c>
      <c r="N698" s="16">
        <v>1.6199999999999999E-2</v>
      </c>
      <c r="O698" s="17">
        <f>N698*'Financial Inputs'!$B$3</f>
        <v>1620000</v>
      </c>
      <c r="P698" s="18">
        <f>IF(I698="L",'Financial Inputs'!$B$4,IF(I698="M",'Financial Inputs'!$B$5,'Financial Inputs'!$B$6))</f>
        <v>0.4</v>
      </c>
      <c r="Q698" s="17">
        <f>O698*P698</f>
        <v>648000</v>
      </c>
      <c r="R698" s="16">
        <f>'Financial Inputs'!$B$7</f>
        <v>0.35</v>
      </c>
      <c r="S698" s="17">
        <f>Q698*(1-R698)</f>
        <v>421200</v>
      </c>
      <c r="T698" s="18">
        <f>S698/'Financial Inputs'!$B$3</f>
        <v>4.2119999999999996E-3</v>
      </c>
      <c r="U698" s="9" t="s">
        <v>52</v>
      </c>
      <c r="V698" s="3" t="s">
        <v>53</v>
      </c>
    </row>
    <row r="699" spans="1:22">
      <c r="A699" s="2" t="s">
        <v>2306</v>
      </c>
      <c r="B699" s="2" t="s">
        <v>2307</v>
      </c>
      <c r="C699" s="2" t="s">
        <v>2014</v>
      </c>
      <c r="D699" s="2" t="s">
        <v>127</v>
      </c>
      <c r="E699" s="2" t="s">
        <v>116</v>
      </c>
      <c r="F699" s="2" t="s">
        <v>97</v>
      </c>
      <c r="G699" s="2" t="s">
        <v>45</v>
      </c>
      <c r="H699" s="2" t="s">
        <v>46</v>
      </c>
      <c r="I699" s="2" t="s">
        <v>47</v>
      </c>
      <c r="J699" s="2" t="s">
        <v>2015</v>
      </c>
      <c r="K699" s="2" t="s">
        <v>2308</v>
      </c>
      <c r="L699" s="2" t="s">
        <v>486</v>
      </c>
      <c r="M699" s="2" t="s">
        <v>2017</v>
      </c>
      <c r="N699" s="16">
        <v>1.7999999999999999E-2</v>
      </c>
      <c r="O699" s="17">
        <f>N699*'Financial Inputs'!$B$3</f>
        <v>1799999.9999999998</v>
      </c>
      <c r="P699" s="18">
        <f>IF(I699="L",'Financial Inputs'!$B$4,IF(I699="M",'Financial Inputs'!$B$5,'Financial Inputs'!$B$6))</f>
        <v>0.4</v>
      </c>
      <c r="Q699" s="17">
        <f>O699*P699</f>
        <v>720000</v>
      </c>
      <c r="R699" s="16">
        <f>'Financial Inputs'!$B$7</f>
        <v>0.35</v>
      </c>
      <c r="S699" s="17">
        <f>Q699*(1-R699)</f>
        <v>468000</v>
      </c>
      <c r="T699" s="18">
        <f>S699/'Financial Inputs'!$B$3</f>
        <v>4.6800000000000001E-3</v>
      </c>
      <c r="U699" s="9" t="s">
        <v>52</v>
      </c>
      <c r="V699" s="3" t="s">
        <v>53</v>
      </c>
    </row>
    <row r="700" spans="1:22">
      <c r="A700" s="2" t="s">
        <v>2309</v>
      </c>
      <c r="B700" s="2" t="s">
        <v>2310</v>
      </c>
      <c r="C700" s="2" t="s">
        <v>2014</v>
      </c>
      <c r="D700" s="2" t="s">
        <v>133</v>
      </c>
      <c r="E700" s="2" t="s">
        <v>215</v>
      </c>
      <c r="F700" s="2" t="s">
        <v>104</v>
      </c>
      <c r="G700" s="2" t="s">
        <v>59</v>
      </c>
      <c r="H700" s="2" t="s">
        <v>46</v>
      </c>
      <c r="I700" s="2" t="s">
        <v>47</v>
      </c>
      <c r="J700" s="2" t="s">
        <v>2015</v>
      </c>
      <c r="K700" s="2" t="s">
        <v>2311</v>
      </c>
      <c r="L700" s="2" t="s">
        <v>490</v>
      </c>
      <c r="M700" s="2" t="s">
        <v>2017</v>
      </c>
      <c r="N700" s="16">
        <v>1.9800000000000002E-2</v>
      </c>
      <c r="O700" s="17">
        <f>N700*'Financial Inputs'!$B$3</f>
        <v>1980000.0000000002</v>
      </c>
      <c r="P700" s="18">
        <f>IF(I700="L",'Financial Inputs'!$B$4,IF(I700="M",'Financial Inputs'!$B$5,'Financial Inputs'!$B$6))</f>
        <v>0.4</v>
      </c>
      <c r="Q700" s="17">
        <f>O700*P700</f>
        <v>792000.00000000012</v>
      </c>
      <c r="R700" s="16">
        <f>'Financial Inputs'!$B$7</f>
        <v>0.35</v>
      </c>
      <c r="S700" s="17">
        <f>Q700*(1-R700)</f>
        <v>514800.00000000012</v>
      </c>
      <c r="T700" s="18">
        <f>S700/'Financial Inputs'!$B$3</f>
        <v>5.1480000000000015E-3</v>
      </c>
      <c r="U700" s="9" t="s">
        <v>52</v>
      </c>
      <c r="V700" s="3" t="s">
        <v>53</v>
      </c>
    </row>
    <row r="701" spans="1:22">
      <c r="A701" s="2" t="s">
        <v>2312</v>
      </c>
      <c r="B701" s="2" t="s">
        <v>2313</v>
      </c>
      <c r="C701" s="2" t="s">
        <v>2014</v>
      </c>
      <c r="D701" s="2" t="s">
        <v>88</v>
      </c>
      <c r="E701" s="2" t="s">
        <v>220</v>
      </c>
      <c r="F701" s="2" t="s">
        <v>110</v>
      </c>
      <c r="G701" s="2" t="s">
        <v>67</v>
      </c>
      <c r="H701" s="2" t="s">
        <v>46</v>
      </c>
      <c r="I701" s="2" t="s">
        <v>47</v>
      </c>
      <c r="J701" s="2" t="s">
        <v>2015</v>
      </c>
      <c r="K701" s="2" t="s">
        <v>2314</v>
      </c>
      <c r="L701" s="2" t="s">
        <v>494</v>
      </c>
      <c r="M701" s="2" t="s">
        <v>2017</v>
      </c>
      <c r="N701" s="16">
        <v>2.1600000000000001E-2</v>
      </c>
      <c r="O701" s="17">
        <f>N701*'Financial Inputs'!$B$3</f>
        <v>2160000</v>
      </c>
      <c r="P701" s="18">
        <f>IF(I701="L",'Financial Inputs'!$B$4,IF(I701="M",'Financial Inputs'!$B$5,'Financial Inputs'!$B$6))</f>
        <v>0.4</v>
      </c>
      <c r="Q701" s="17">
        <f>O701*P701</f>
        <v>864000</v>
      </c>
      <c r="R701" s="16">
        <f>'Financial Inputs'!$B$7</f>
        <v>0.35</v>
      </c>
      <c r="S701" s="17">
        <f>Q701*(1-R701)</f>
        <v>561600</v>
      </c>
      <c r="T701" s="18">
        <f>S701/'Financial Inputs'!$B$3</f>
        <v>5.6160000000000003E-3</v>
      </c>
      <c r="U701" s="9" t="s">
        <v>52</v>
      </c>
      <c r="V701" s="3" t="s">
        <v>53</v>
      </c>
    </row>
    <row r="702" spans="1:22">
      <c r="A702" s="2" t="s">
        <v>2315</v>
      </c>
      <c r="B702" s="2" t="s">
        <v>2316</v>
      </c>
      <c r="C702" s="2" t="s">
        <v>2317</v>
      </c>
      <c r="D702" s="2" t="s">
        <v>42</v>
      </c>
      <c r="E702" s="2" t="s">
        <v>43</v>
      </c>
      <c r="F702" s="2" t="s">
        <v>44</v>
      </c>
      <c r="G702" s="2" t="s">
        <v>45</v>
      </c>
      <c r="H702" s="2" t="s">
        <v>2318</v>
      </c>
      <c r="I702" s="2" t="s">
        <v>47</v>
      </c>
      <c r="J702" s="2" t="s">
        <v>48</v>
      </c>
      <c r="K702" s="2" t="s">
        <v>2319</v>
      </c>
      <c r="L702" s="2" t="s">
        <v>50</v>
      </c>
      <c r="M702" s="2" t="s">
        <v>2320</v>
      </c>
      <c r="N702" s="16">
        <v>1.44E-2</v>
      </c>
      <c r="O702" s="17">
        <f>N702*'Financial Inputs'!$B$3</f>
        <v>1440000</v>
      </c>
      <c r="P702" s="18">
        <f>IF(I702="L",'Financial Inputs'!$B$4,IF(I702="M",'Financial Inputs'!$B$5,'Financial Inputs'!$B$6))</f>
        <v>0.4</v>
      </c>
      <c r="Q702" s="17">
        <f>O702*P702</f>
        <v>576000</v>
      </c>
      <c r="R702" s="16">
        <f>'Financial Inputs'!$B$7</f>
        <v>0.35</v>
      </c>
      <c r="S702" s="17">
        <f>Q702*(1-R702)</f>
        <v>374400</v>
      </c>
      <c r="T702" s="18">
        <f>S702/'Financial Inputs'!$B$3</f>
        <v>3.7439999999999999E-3</v>
      </c>
      <c r="U702" s="9" t="s">
        <v>52</v>
      </c>
      <c r="V702" s="3" t="s">
        <v>53</v>
      </c>
    </row>
    <row r="703" spans="1:22">
      <c r="A703" s="2" t="s">
        <v>2321</v>
      </c>
      <c r="B703" s="2" t="s">
        <v>2322</v>
      </c>
      <c r="C703" s="2" t="s">
        <v>2317</v>
      </c>
      <c r="D703" s="2" t="s">
        <v>56</v>
      </c>
      <c r="E703" s="2" t="s">
        <v>57</v>
      </c>
      <c r="F703" s="2" t="s">
        <v>58</v>
      </c>
      <c r="G703" s="2" t="s">
        <v>59</v>
      </c>
      <c r="H703" s="2" t="s">
        <v>2318</v>
      </c>
      <c r="I703" s="2" t="s">
        <v>47</v>
      </c>
      <c r="J703" s="2" t="s">
        <v>48</v>
      </c>
      <c r="K703" s="2" t="s">
        <v>2323</v>
      </c>
      <c r="L703" s="2" t="s">
        <v>61</v>
      </c>
      <c r="M703" s="2" t="s">
        <v>2320</v>
      </c>
      <c r="N703" s="16">
        <v>1.6199999999999999E-2</v>
      </c>
      <c r="O703" s="17">
        <f>N703*'Financial Inputs'!$B$3</f>
        <v>1620000</v>
      </c>
      <c r="P703" s="18">
        <f>IF(I703="L",'Financial Inputs'!$B$4,IF(I703="M",'Financial Inputs'!$B$5,'Financial Inputs'!$B$6))</f>
        <v>0.4</v>
      </c>
      <c r="Q703" s="17">
        <f>O703*P703</f>
        <v>648000</v>
      </c>
      <c r="R703" s="16">
        <f>'Financial Inputs'!$B$7</f>
        <v>0.35</v>
      </c>
      <c r="S703" s="17">
        <f>Q703*(1-R703)</f>
        <v>421200</v>
      </c>
      <c r="T703" s="18">
        <f>S703/'Financial Inputs'!$B$3</f>
        <v>4.2119999999999996E-3</v>
      </c>
      <c r="U703" s="9" t="s">
        <v>52</v>
      </c>
      <c r="V703" s="3" t="s">
        <v>53</v>
      </c>
    </row>
    <row r="704" spans="1:22">
      <c r="A704" s="2" t="s">
        <v>2324</v>
      </c>
      <c r="B704" s="2" t="s">
        <v>2325</v>
      </c>
      <c r="C704" s="2" t="s">
        <v>2317</v>
      </c>
      <c r="D704" s="2" t="s">
        <v>64</v>
      </c>
      <c r="E704" s="2" t="s">
        <v>65</v>
      </c>
      <c r="F704" s="2" t="s">
        <v>66</v>
      </c>
      <c r="G704" s="2" t="s">
        <v>67</v>
      </c>
      <c r="H704" s="2" t="s">
        <v>2318</v>
      </c>
      <c r="I704" s="2" t="s">
        <v>47</v>
      </c>
      <c r="J704" s="2" t="s">
        <v>48</v>
      </c>
      <c r="K704" s="2" t="s">
        <v>2326</v>
      </c>
      <c r="L704" s="2" t="s">
        <v>69</v>
      </c>
      <c r="M704" s="2" t="s">
        <v>2320</v>
      </c>
      <c r="N704" s="16">
        <v>1.7999999999999999E-2</v>
      </c>
      <c r="O704" s="17">
        <f>N704*'Financial Inputs'!$B$3</f>
        <v>1799999.9999999998</v>
      </c>
      <c r="P704" s="18">
        <f>IF(I704="L",'Financial Inputs'!$B$4,IF(I704="M",'Financial Inputs'!$B$5,'Financial Inputs'!$B$6))</f>
        <v>0.4</v>
      </c>
      <c r="Q704" s="17">
        <f>O704*P704</f>
        <v>720000</v>
      </c>
      <c r="R704" s="16">
        <f>'Financial Inputs'!$B$7</f>
        <v>0.35</v>
      </c>
      <c r="S704" s="17">
        <f>Q704*(1-R704)</f>
        <v>468000</v>
      </c>
      <c r="T704" s="18">
        <f>S704/'Financial Inputs'!$B$3</f>
        <v>4.6800000000000001E-3</v>
      </c>
      <c r="U704" s="9" t="s">
        <v>52</v>
      </c>
      <c r="V704" s="3" t="s">
        <v>53</v>
      </c>
    </row>
    <row r="705" spans="1:22">
      <c r="A705" s="2" t="s">
        <v>2327</v>
      </c>
      <c r="B705" s="2" t="s">
        <v>2328</v>
      </c>
      <c r="C705" s="2" t="s">
        <v>2317</v>
      </c>
      <c r="D705" s="2" t="s">
        <v>72</v>
      </c>
      <c r="E705" s="2" t="s">
        <v>73</v>
      </c>
      <c r="F705" s="2" t="s">
        <v>74</v>
      </c>
      <c r="G705" s="2" t="s">
        <v>75</v>
      </c>
      <c r="H705" s="2" t="s">
        <v>2318</v>
      </c>
      <c r="I705" s="2" t="s">
        <v>47</v>
      </c>
      <c r="J705" s="2" t="s">
        <v>48</v>
      </c>
      <c r="K705" s="2" t="s">
        <v>2329</v>
      </c>
      <c r="L705" s="2" t="s">
        <v>77</v>
      </c>
      <c r="M705" s="2" t="s">
        <v>2320</v>
      </c>
      <c r="N705" s="16">
        <v>1.9800000000000002E-2</v>
      </c>
      <c r="O705" s="17">
        <f>N705*'Financial Inputs'!$B$3</f>
        <v>1980000.0000000002</v>
      </c>
      <c r="P705" s="18">
        <f>IF(I705="L",'Financial Inputs'!$B$4,IF(I705="M",'Financial Inputs'!$B$5,'Financial Inputs'!$B$6))</f>
        <v>0.4</v>
      </c>
      <c r="Q705" s="17">
        <f>O705*P705</f>
        <v>792000.00000000012</v>
      </c>
      <c r="R705" s="16">
        <f>'Financial Inputs'!$B$7</f>
        <v>0.35</v>
      </c>
      <c r="S705" s="17">
        <f>Q705*(1-R705)</f>
        <v>514800.00000000012</v>
      </c>
      <c r="T705" s="18">
        <f>S705/'Financial Inputs'!$B$3</f>
        <v>5.1480000000000015E-3</v>
      </c>
      <c r="U705" s="9" t="s">
        <v>52</v>
      </c>
      <c r="V705" s="3" t="s">
        <v>53</v>
      </c>
    </row>
    <row r="706" spans="1:22">
      <c r="A706" s="2" t="s">
        <v>2330</v>
      </c>
      <c r="B706" s="2" t="s">
        <v>2331</v>
      </c>
      <c r="C706" s="2" t="s">
        <v>2317</v>
      </c>
      <c r="D706" s="2" t="s">
        <v>80</v>
      </c>
      <c r="E706" s="2" t="s">
        <v>81</v>
      </c>
      <c r="F706" s="2" t="s">
        <v>82</v>
      </c>
      <c r="G706" s="2" t="s">
        <v>83</v>
      </c>
      <c r="H706" s="2" t="s">
        <v>2318</v>
      </c>
      <c r="I706" s="2" t="s">
        <v>47</v>
      </c>
      <c r="J706" s="2" t="s">
        <v>48</v>
      </c>
      <c r="K706" s="2" t="s">
        <v>2332</v>
      </c>
      <c r="L706" s="2" t="s">
        <v>85</v>
      </c>
      <c r="M706" s="2" t="s">
        <v>2320</v>
      </c>
      <c r="N706" s="16">
        <v>2.1600000000000001E-2</v>
      </c>
      <c r="O706" s="17">
        <f>N706*'Financial Inputs'!$B$3</f>
        <v>2160000</v>
      </c>
      <c r="P706" s="18">
        <f>IF(I706="L",'Financial Inputs'!$B$4,IF(I706="M",'Financial Inputs'!$B$5,'Financial Inputs'!$B$6))</f>
        <v>0.4</v>
      </c>
      <c r="Q706" s="17">
        <f>O706*P706</f>
        <v>864000</v>
      </c>
      <c r="R706" s="16">
        <f>'Financial Inputs'!$B$7</f>
        <v>0.35</v>
      </c>
      <c r="S706" s="17">
        <f>Q706*(1-R706)</f>
        <v>561600</v>
      </c>
      <c r="T706" s="18">
        <f>S706/'Financial Inputs'!$B$3</f>
        <v>5.6160000000000003E-3</v>
      </c>
      <c r="U706" s="9" t="s">
        <v>52</v>
      </c>
      <c r="V706" s="3" t="s">
        <v>53</v>
      </c>
    </row>
    <row r="707" spans="1:22">
      <c r="A707" s="2" t="s">
        <v>2333</v>
      </c>
      <c r="B707" s="2" t="s">
        <v>2334</v>
      </c>
      <c r="C707" s="2" t="s">
        <v>2317</v>
      </c>
      <c r="D707" s="2" t="s">
        <v>88</v>
      </c>
      <c r="E707" s="2" t="s">
        <v>89</v>
      </c>
      <c r="F707" s="2" t="s">
        <v>90</v>
      </c>
      <c r="G707" s="2" t="s">
        <v>67</v>
      </c>
      <c r="H707" s="2" t="s">
        <v>2318</v>
      </c>
      <c r="I707" s="2" t="s">
        <v>47</v>
      </c>
      <c r="J707" s="2" t="s">
        <v>48</v>
      </c>
      <c r="K707" s="2" t="s">
        <v>2335</v>
      </c>
      <c r="L707" s="2" t="s">
        <v>92</v>
      </c>
      <c r="M707" s="2" t="s">
        <v>2320</v>
      </c>
      <c r="N707" s="16">
        <v>1.44E-2</v>
      </c>
      <c r="O707" s="17">
        <f>N707*'Financial Inputs'!$B$3</f>
        <v>1440000</v>
      </c>
      <c r="P707" s="18">
        <f>IF(I707="L",'Financial Inputs'!$B$4,IF(I707="M",'Financial Inputs'!$B$5,'Financial Inputs'!$B$6))</f>
        <v>0.4</v>
      </c>
      <c r="Q707" s="17">
        <f>O707*P707</f>
        <v>576000</v>
      </c>
      <c r="R707" s="16">
        <f>'Financial Inputs'!$B$7</f>
        <v>0.35</v>
      </c>
      <c r="S707" s="17">
        <f>Q707*(1-R707)</f>
        <v>374400</v>
      </c>
      <c r="T707" s="18">
        <f>S707/'Financial Inputs'!$B$3</f>
        <v>3.7439999999999999E-3</v>
      </c>
      <c r="U707" s="9" t="s">
        <v>52</v>
      </c>
      <c r="V707" s="3" t="s">
        <v>53</v>
      </c>
    </row>
    <row r="708" spans="1:22">
      <c r="A708" s="2" t="s">
        <v>2336</v>
      </c>
      <c r="B708" s="2" t="s">
        <v>2337</v>
      </c>
      <c r="C708" s="2" t="s">
        <v>2317</v>
      </c>
      <c r="D708" s="2" t="s">
        <v>95</v>
      </c>
      <c r="E708" s="2" t="s">
        <v>96</v>
      </c>
      <c r="F708" s="2" t="s">
        <v>97</v>
      </c>
      <c r="G708" s="2" t="s">
        <v>75</v>
      </c>
      <c r="H708" s="2" t="s">
        <v>2318</v>
      </c>
      <c r="I708" s="2" t="s">
        <v>47</v>
      </c>
      <c r="J708" s="2" t="s">
        <v>48</v>
      </c>
      <c r="K708" s="2" t="s">
        <v>2338</v>
      </c>
      <c r="L708" s="2" t="s">
        <v>99</v>
      </c>
      <c r="M708" s="2" t="s">
        <v>2320</v>
      </c>
      <c r="N708" s="16">
        <v>1.6199999999999999E-2</v>
      </c>
      <c r="O708" s="17">
        <f>N708*'Financial Inputs'!$B$3</f>
        <v>1620000</v>
      </c>
      <c r="P708" s="18">
        <f>IF(I708="L",'Financial Inputs'!$B$4,IF(I708="M",'Financial Inputs'!$B$5,'Financial Inputs'!$B$6))</f>
        <v>0.4</v>
      </c>
      <c r="Q708" s="17">
        <f>O708*P708</f>
        <v>648000</v>
      </c>
      <c r="R708" s="16">
        <f>'Financial Inputs'!$B$7</f>
        <v>0.35</v>
      </c>
      <c r="S708" s="17">
        <f>Q708*(1-R708)</f>
        <v>421200</v>
      </c>
      <c r="T708" s="18">
        <f>S708/'Financial Inputs'!$B$3</f>
        <v>4.2119999999999996E-3</v>
      </c>
      <c r="U708" s="9" t="s">
        <v>52</v>
      </c>
      <c r="V708" s="3" t="s">
        <v>53</v>
      </c>
    </row>
    <row r="709" spans="1:22">
      <c r="A709" s="2" t="s">
        <v>2339</v>
      </c>
      <c r="B709" s="2" t="s">
        <v>2340</v>
      </c>
      <c r="C709" s="2" t="s">
        <v>2317</v>
      </c>
      <c r="D709" s="2" t="s">
        <v>102</v>
      </c>
      <c r="E709" s="2" t="s">
        <v>103</v>
      </c>
      <c r="F709" s="2" t="s">
        <v>104</v>
      </c>
      <c r="G709" s="2" t="s">
        <v>83</v>
      </c>
      <c r="H709" s="2" t="s">
        <v>2318</v>
      </c>
      <c r="I709" s="2" t="s">
        <v>47</v>
      </c>
      <c r="J709" s="2" t="s">
        <v>48</v>
      </c>
      <c r="K709" s="2" t="s">
        <v>2341</v>
      </c>
      <c r="L709" s="2" t="s">
        <v>106</v>
      </c>
      <c r="M709" s="2" t="s">
        <v>2320</v>
      </c>
      <c r="N709" s="16">
        <v>1.7999999999999999E-2</v>
      </c>
      <c r="O709" s="17">
        <f>N709*'Financial Inputs'!$B$3</f>
        <v>1799999.9999999998</v>
      </c>
      <c r="P709" s="18">
        <f>IF(I709="L",'Financial Inputs'!$B$4,IF(I709="M",'Financial Inputs'!$B$5,'Financial Inputs'!$B$6))</f>
        <v>0.4</v>
      </c>
      <c r="Q709" s="17">
        <f>O709*P709</f>
        <v>720000</v>
      </c>
      <c r="R709" s="16">
        <f>'Financial Inputs'!$B$7</f>
        <v>0.35</v>
      </c>
      <c r="S709" s="17">
        <f>Q709*(1-R709)</f>
        <v>468000</v>
      </c>
      <c r="T709" s="18">
        <f>S709/'Financial Inputs'!$B$3</f>
        <v>4.6800000000000001E-3</v>
      </c>
      <c r="U709" s="9" t="s">
        <v>52</v>
      </c>
      <c r="V709" s="3" t="s">
        <v>53</v>
      </c>
    </row>
    <row r="710" spans="1:22">
      <c r="A710" s="2" t="s">
        <v>2342</v>
      </c>
      <c r="B710" s="2" t="s">
        <v>2343</v>
      </c>
      <c r="C710" s="2" t="s">
        <v>2317</v>
      </c>
      <c r="D710" s="2" t="s">
        <v>42</v>
      </c>
      <c r="E710" s="2" t="s">
        <v>109</v>
      </c>
      <c r="F710" s="2" t="s">
        <v>110</v>
      </c>
      <c r="G710" s="2" t="s">
        <v>111</v>
      </c>
      <c r="H710" s="2" t="s">
        <v>2318</v>
      </c>
      <c r="I710" s="2" t="s">
        <v>47</v>
      </c>
      <c r="J710" s="2" t="s">
        <v>48</v>
      </c>
      <c r="K710" s="2" t="s">
        <v>2344</v>
      </c>
      <c r="L710" s="2" t="s">
        <v>113</v>
      </c>
      <c r="M710" s="2" t="s">
        <v>2320</v>
      </c>
      <c r="N710" s="16">
        <v>1.9800000000000002E-2</v>
      </c>
      <c r="O710" s="17">
        <f>N710*'Financial Inputs'!$B$3</f>
        <v>1980000.0000000002</v>
      </c>
      <c r="P710" s="18">
        <f>IF(I710="L",'Financial Inputs'!$B$4,IF(I710="M",'Financial Inputs'!$B$5,'Financial Inputs'!$B$6))</f>
        <v>0.4</v>
      </c>
      <c r="Q710" s="17">
        <f>O710*P710</f>
        <v>792000.00000000012</v>
      </c>
      <c r="R710" s="16">
        <f>'Financial Inputs'!$B$7</f>
        <v>0.35</v>
      </c>
      <c r="S710" s="17">
        <f>Q710*(1-R710)</f>
        <v>514800.00000000012</v>
      </c>
      <c r="T710" s="18">
        <f>S710/'Financial Inputs'!$B$3</f>
        <v>5.1480000000000015E-3</v>
      </c>
      <c r="U710" s="9" t="s">
        <v>52</v>
      </c>
      <c r="V710" s="3" t="s">
        <v>53</v>
      </c>
    </row>
    <row r="711" spans="1:22">
      <c r="A711" s="2" t="s">
        <v>2345</v>
      </c>
      <c r="B711" s="2" t="s">
        <v>2346</v>
      </c>
      <c r="C711" s="2" t="s">
        <v>2317</v>
      </c>
      <c r="D711" s="2" t="s">
        <v>56</v>
      </c>
      <c r="E711" s="2" t="s">
        <v>116</v>
      </c>
      <c r="F711" s="2" t="s">
        <v>117</v>
      </c>
      <c r="G711" s="2" t="s">
        <v>56</v>
      </c>
      <c r="H711" s="2" t="s">
        <v>2318</v>
      </c>
      <c r="I711" s="2" t="s">
        <v>47</v>
      </c>
      <c r="J711" s="2" t="s">
        <v>48</v>
      </c>
      <c r="K711" s="2" t="s">
        <v>2347</v>
      </c>
      <c r="L711" s="2" t="s">
        <v>119</v>
      </c>
      <c r="M711" s="2" t="s">
        <v>2320</v>
      </c>
      <c r="N711" s="16">
        <v>2.1600000000000001E-2</v>
      </c>
      <c r="O711" s="17">
        <f>N711*'Financial Inputs'!$B$3</f>
        <v>2160000</v>
      </c>
      <c r="P711" s="18">
        <f>IF(I711="L",'Financial Inputs'!$B$4,IF(I711="M",'Financial Inputs'!$B$5,'Financial Inputs'!$B$6))</f>
        <v>0.4</v>
      </c>
      <c r="Q711" s="17">
        <f>O711*P711</f>
        <v>864000</v>
      </c>
      <c r="R711" s="16">
        <f>'Financial Inputs'!$B$7</f>
        <v>0.35</v>
      </c>
      <c r="S711" s="17">
        <f>Q711*(1-R711)</f>
        <v>561600</v>
      </c>
      <c r="T711" s="18">
        <f>S711/'Financial Inputs'!$B$3</f>
        <v>5.6160000000000003E-3</v>
      </c>
      <c r="U711" s="9" t="s">
        <v>52</v>
      </c>
      <c r="V711" s="3" t="s">
        <v>53</v>
      </c>
    </row>
    <row r="712" spans="1:22">
      <c r="A712" s="2" t="s">
        <v>2348</v>
      </c>
      <c r="B712" s="2" t="s">
        <v>2349</v>
      </c>
      <c r="C712" s="2" t="s">
        <v>2317</v>
      </c>
      <c r="D712" s="2" t="s">
        <v>80</v>
      </c>
      <c r="E712" s="2" t="s">
        <v>122</v>
      </c>
      <c r="F712" s="2" t="s">
        <v>58</v>
      </c>
      <c r="G712" s="2" t="s">
        <v>83</v>
      </c>
      <c r="H712" s="2" t="s">
        <v>2318</v>
      </c>
      <c r="I712" s="2" t="s">
        <v>47</v>
      </c>
      <c r="J712" s="2" t="s">
        <v>48</v>
      </c>
      <c r="K712" s="2" t="s">
        <v>2350</v>
      </c>
      <c r="L712" s="2" t="s">
        <v>124</v>
      </c>
      <c r="M712" s="2" t="s">
        <v>2320</v>
      </c>
      <c r="N712" s="16">
        <v>1.44E-2</v>
      </c>
      <c r="O712" s="17">
        <f>N712*'Financial Inputs'!$B$3</f>
        <v>1440000</v>
      </c>
      <c r="P712" s="18">
        <f>IF(I712="L",'Financial Inputs'!$B$4,IF(I712="M",'Financial Inputs'!$B$5,'Financial Inputs'!$B$6))</f>
        <v>0.4</v>
      </c>
      <c r="Q712" s="17">
        <f>O712*P712</f>
        <v>576000</v>
      </c>
      <c r="R712" s="16">
        <f>'Financial Inputs'!$B$7</f>
        <v>0.35</v>
      </c>
      <c r="S712" s="17">
        <f>Q712*(1-R712)</f>
        <v>374400</v>
      </c>
      <c r="T712" s="18">
        <f>S712/'Financial Inputs'!$B$3</f>
        <v>3.7439999999999999E-3</v>
      </c>
      <c r="U712" s="9" t="s">
        <v>52</v>
      </c>
      <c r="V712" s="3" t="s">
        <v>53</v>
      </c>
    </row>
    <row r="713" spans="1:22">
      <c r="A713" s="2" t="s">
        <v>2351</v>
      </c>
      <c r="B713" s="2" t="s">
        <v>2352</v>
      </c>
      <c r="C713" s="2" t="s">
        <v>2317</v>
      </c>
      <c r="D713" s="2" t="s">
        <v>127</v>
      </c>
      <c r="E713" s="2" t="s">
        <v>128</v>
      </c>
      <c r="F713" s="2" t="s">
        <v>66</v>
      </c>
      <c r="G713" s="2" t="s">
        <v>111</v>
      </c>
      <c r="H713" s="2" t="s">
        <v>2318</v>
      </c>
      <c r="I713" s="2" t="s">
        <v>47</v>
      </c>
      <c r="J713" s="2" t="s">
        <v>48</v>
      </c>
      <c r="K713" s="2" t="s">
        <v>2353</v>
      </c>
      <c r="L713" s="2" t="s">
        <v>130</v>
      </c>
      <c r="M713" s="2" t="s">
        <v>2320</v>
      </c>
      <c r="N713" s="16">
        <v>1.6199999999999999E-2</v>
      </c>
      <c r="O713" s="17">
        <f>N713*'Financial Inputs'!$B$3</f>
        <v>1620000</v>
      </c>
      <c r="P713" s="18">
        <f>IF(I713="L",'Financial Inputs'!$B$4,IF(I713="M",'Financial Inputs'!$B$5,'Financial Inputs'!$B$6))</f>
        <v>0.4</v>
      </c>
      <c r="Q713" s="17">
        <f>O713*P713</f>
        <v>648000</v>
      </c>
      <c r="R713" s="16">
        <f>'Financial Inputs'!$B$7</f>
        <v>0.35</v>
      </c>
      <c r="S713" s="17">
        <f>Q713*(1-R713)</f>
        <v>421200</v>
      </c>
      <c r="T713" s="18">
        <f>S713/'Financial Inputs'!$B$3</f>
        <v>4.2119999999999996E-3</v>
      </c>
      <c r="U713" s="9" t="s">
        <v>52</v>
      </c>
      <c r="V713" s="3" t="s">
        <v>53</v>
      </c>
    </row>
    <row r="714" spans="1:22">
      <c r="A714" s="2" t="s">
        <v>2354</v>
      </c>
      <c r="B714" s="2" t="s">
        <v>2355</v>
      </c>
      <c r="C714" s="2" t="s">
        <v>2317</v>
      </c>
      <c r="D714" s="2" t="s">
        <v>133</v>
      </c>
      <c r="E714" s="2" t="s">
        <v>43</v>
      </c>
      <c r="F714" s="2" t="s">
        <v>74</v>
      </c>
      <c r="G714" s="2" t="s">
        <v>56</v>
      </c>
      <c r="H714" s="2" t="s">
        <v>2318</v>
      </c>
      <c r="I714" s="2" t="s">
        <v>47</v>
      </c>
      <c r="J714" s="2" t="s">
        <v>48</v>
      </c>
      <c r="K714" s="2" t="s">
        <v>2356</v>
      </c>
      <c r="L714" s="2" t="s">
        <v>135</v>
      </c>
      <c r="M714" s="2" t="s">
        <v>2320</v>
      </c>
      <c r="N714" s="16">
        <v>1.7999999999999999E-2</v>
      </c>
      <c r="O714" s="17">
        <f>N714*'Financial Inputs'!$B$3</f>
        <v>1799999.9999999998</v>
      </c>
      <c r="P714" s="18">
        <f>IF(I714="L",'Financial Inputs'!$B$4,IF(I714="M",'Financial Inputs'!$B$5,'Financial Inputs'!$B$6))</f>
        <v>0.4</v>
      </c>
      <c r="Q714" s="17">
        <f>O714*P714</f>
        <v>720000</v>
      </c>
      <c r="R714" s="16">
        <f>'Financial Inputs'!$B$7</f>
        <v>0.35</v>
      </c>
      <c r="S714" s="17">
        <f>Q714*(1-R714)</f>
        <v>468000</v>
      </c>
      <c r="T714" s="18">
        <f>S714/'Financial Inputs'!$B$3</f>
        <v>4.6800000000000001E-3</v>
      </c>
      <c r="U714" s="9" t="s">
        <v>52</v>
      </c>
      <c r="V714" s="3" t="s">
        <v>53</v>
      </c>
    </row>
    <row r="715" spans="1:22">
      <c r="A715" s="2" t="s">
        <v>2357</v>
      </c>
      <c r="B715" s="2" t="s">
        <v>2358</v>
      </c>
      <c r="C715" s="2" t="s">
        <v>2317</v>
      </c>
      <c r="D715" s="2" t="s">
        <v>88</v>
      </c>
      <c r="E715" s="2" t="s">
        <v>57</v>
      </c>
      <c r="F715" s="2" t="s">
        <v>82</v>
      </c>
      <c r="G715" s="2" t="s">
        <v>138</v>
      </c>
      <c r="H715" s="2" t="s">
        <v>2318</v>
      </c>
      <c r="I715" s="2" t="s">
        <v>47</v>
      </c>
      <c r="J715" s="2" t="s">
        <v>48</v>
      </c>
      <c r="K715" s="2" t="s">
        <v>2359</v>
      </c>
      <c r="L715" s="2" t="s">
        <v>140</v>
      </c>
      <c r="M715" s="2" t="s">
        <v>2320</v>
      </c>
      <c r="N715" s="16">
        <v>1.9800000000000002E-2</v>
      </c>
      <c r="O715" s="17">
        <f>N715*'Financial Inputs'!$B$3</f>
        <v>1980000.0000000002</v>
      </c>
      <c r="P715" s="18">
        <f>IF(I715="L",'Financial Inputs'!$B$4,IF(I715="M",'Financial Inputs'!$B$5,'Financial Inputs'!$B$6))</f>
        <v>0.4</v>
      </c>
      <c r="Q715" s="17">
        <f>O715*P715</f>
        <v>792000.00000000012</v>
      </c>
      <c r="R715" s="16">
        <f>'Financial Inputs'!$B$7</f>
        <v>0.35</v>
      </c>
      <c r="S715" s="17">
        <f>Q715*(1-R715)</f>
        <v>514800.00000000012</v>
      </c>
      <c r="T715" s="18">
        <f>S715/'Financial Inputs'!$B$3</f>
        <v>5.1480000000000015E-3</v>
      </c>
      <c r="U715" s="9" t="s">
        <v>52</v>
      </c>
      <c r="V715" s="3" t="s">
        <v>53</v>
      </c>
    </row>
    <row r="716" spans="1:22">
      <c r="A716" s="2" t="s">
        <v>2360</v>
      </c>
      <c r="B716" s="2" t="s">
        <v>2361</v>
      </c>
      <c r="C716" s="2" t="s">
        <v>2317</v>
      </c>
      <c r="D716" s="2" t="s">
        <v>95</v>
      </c>
      <c r="E716" s="2" t="s">
        <v>65</v>
      </c>
      <c r="F716" s="2" t="s">
        <v>44</v>
      </c>
      <c r="G716" s="2" t="s">
        <v>143</v>
      </c>
      <c r="H716" s="2" t="s">
        <v>2318</v>
      </c>
      <c r="I716" s="2" t="s">
        <v>47</v>
      </c>
      <c r="J716" s="2" t="s">
        <v>48</v>
      </c>
      <c r="K716" s="2" t="s">
        <v>2362</v>
      </c>
      <c r="L716" s="2" t="s">
        <v>145</v>
      </c>
      <c r="M716" s="2" t="s">
        <v>2320</v>
      </c>
      <c r="N716" s="16">
        <v>2.1600000000000001E-2</v>
      </c>
      <c r="O716" s="17">
        <f>N716*'Financial Inputs'!$B$3</f>
        <v>2160000</v>
      </c>
      <c r="P716" s="18">
        <f>IF(I716="L",'Financial Inputs'!$B$4,IF(I716="M",'Financial Inputs'!$B$5,'Financial Inputs'!$B$6))</f>
        <v>0.4</v>
      </c>
      <c r="Q716" s="17">
        <f>O716*P716</f>
        <v>864000</v>
      </c>
      <c r="R716" s="16">
        <f>'Financial Inputs'!$B$7</f>
        <v>0.35</v>
      </c>
      <c r="S716" s="17">
        <f>Q716*(1-R716)</f>
        <v>561600</v>
      </c>
      <c r="T716" s="18">
        <f>S716/'Financial Inputs'!$B$3</f>
        <v>5.6160000000000003E-3</v>
      </c>
      <c r="U716" s="9" t="s">
        <v>52</v>
      </c>
      <c r="V716" s="3" t="s">
        <v>53</v>
      </c>
    </row>
    <row r="717" spans="1:22">
      <c r="A717" s="2" t="s">
        <v>2363</v>
      </c>
      <c r="B717" s="2" t="s">
        <v>2364</v>
      </c>
      <c r="C717" s="2" t="s">
        <v>2317</v>
      </c>
      <c r="D717" s="2" t="s">
        <v>56</v>
      </c>
      <c r="E717" s="2" t="s">
        <v>148</v>
      </c>
      <c r="F717" s="2" t="s">
        <v>97</v>
      </c>
      <c r="G717" s="2" t="s">
        <v>56</v>
      </c>
      <c r="H717" s="2" t="s">
        <v>2318</v>
      </c>
      <c r="I717" s="2" t="s">
        <v>47</v>
      </c>
      <c r="J717" s="2" t="s">
        <v>48</v>
      </c>
      <c r="K717" s="2" t="s">
        <v>2365</v>
      </c>
      <c r="L717" s="2" t="s">
        <v>150</v>
      </c>
      <c r="M717" s="2" t="s">
        <v>2320</v>
      </c>
      <c r="N717" s="16">
        <v>1.44E-2</v>
      </c>
      <c r="O717" s="17">
        <f>N717*'Financial Inputs'!$B$3</f>
        <v>1440000</v>
      </c>
      <c r="P717" s="18">
        <f>IF(I717="L",'Financial Inputs'!$B$4,IF(I717="M",'Financial Inputs'!$B$5,'Financial Inputs'!$B$6))</f>
        <v>0.4</v>
      </c>
      <c r="Q717" s="17">
        <f>O717*P717</f>
        <v>576000</v>
      </c>
      <c r="R717" s="16">
        <f>'Financial Inputs'!$B$7</f>
        <v>0.35</v>
      </c>
      <c r="S717" s="17">
        <f>Q717*(1-R717)</f>
        <v>374400</v>
      </c>
      <c r="T717" s="18">
        <f>S717/'Financial Inputs'!$B$3</f>
        <v>3.7439999999999999E-3</v>
      </c>
      <c r="U717" s="9" t="s">
        <v>52</v>
      </c>
      <c r="V717" s="3" t="s">
        <v>53</v>
      </c>
    </row>
    <row r="718" spans="1:22">
      <c r="A718" s="2" t="s">
        <v>2366</v>
      </c>
      <c r="B718" s="2" t="s">
        <v>2367</v>
      </c>
      <c r="C718" s="2" t="s">
        <v>2317</v>
      </c>
      <c r="D718" s="2" t="s">
        <v>64</v>
      </c>
      <c r="E718" s="2" t="s">
        <v>153</v>
      </c>
      <c r="F718" s="2" t="s">
        <v>104</v>
      </c>
      <c r="G718" s="2" t="s">
        <v>138</v>
      </c>
      <c r="H718" s="2" t="s">
        <v>2318</v>
      </c>
      <c r="I718" s="2" t="s">
        <v>47</v>
      </c>
      <c r="J718" s="2" t="s">
        <v>48</v>
      </c>
      <c r="K718" s="2" t="s">
        <v>2368</v>
      </c>
      <c r="L718" s="2" t="s">
        <v>155</v>
      </c>
      <c r="M718" s="2" t="s">
        <v>2320</v>
      </c>
      <c r="N718" s="16">
        <v>1.6199999999999999E-2</v>
      </c>
      <c r="O718" s="17">
        <f>N718*'Financial Inputs'!$B$3</f>
        <v>1620000</v>
      </c>
      <c r="P718" s="18">
        <f>IF(I718="L",'Financial Inputs'!$B$4,IF(I718="M",'Financial Inputs'!$B$5,'Financial Inputs'!$B$6))</f>
        <v>0.4</v>
      </c>
      <c r="Q718" s="17">
        <f>O718*P718</f>
        <v>648000</v>
      </c>
      <c r="R718" s="16">
        <f>'Financial Inputs'!$B$7</f>
        <v>0.35</v>
      </c>
      <c r="S718" s="17">
        <f>Q718*(1-R718)</f>
        <v>421200</v>
      </c>
      <c r="T718" s="18">
        <f>S718/'Financial Inputs'!$B$3</f>
        <v>4.2119999999999996E-3</v>
      </c>
      <c r="U718" s="9" t="s">
        <v>52</v>
      </c>
      <c r="V718" s="3" t="s">
        <v>53</v>
      </c>
    </row>
    <row r="719" spans="1:22">
      <c r="A719" s="2" t="s">
        <v>2369</v>
      </c>
      <c r="B719" s="2" t="s">
        <v>2370</v>
      </c>
      <c r="C719" s="2" t="s">
        <v>2317</v>
      </c>
      <c r="D719" s="2" t="s">
        <v>72</v>
      </c>
      <c r="E719" s="2" t="s">
        <v>89</v>
      </c>
      <c r="F719" s="2" t="s">
        <v>110</v>
      </c>
      <c r="G719" s="2" t="s">
        <v>143</v>
      </c>
      <c r="H719" s="2" t="s">
        <v>2318</v>
      </c>
      <c r="I719" s="2" t="s">
        <v>47</v>
      </c>
      <c r="J719" s="2" t="s">
        <v>48</v>
      </c>
      <c r="K719" s="2" t="s">
        <v>2371</v>
      </c>
      <c r="L719" s="2" t="s">
        <v>159</v>
      </c>
      <c r="M719" s="2" t="s">
        <v>2320</v>
      </c>
      <c r="N719" s="16">
        <v>1.7999999999999999E-2</v>
      </c>
      <c r="O719" s="17">
        <f>N719*'Financial Inputs'!$B$3</f>
        <v>1799999.9999999998</v>
      </c>
      <c r="P719" s="18">
        <f>IF(I719="L",'Financial Inputs'!$B$4,IF(I719="M",'Financial Inputs'!$B$5,'Financial Inputs'!$B$6))</f>
        <v>0.4</v>
      </c>
      <c r="Q719" s="17">
        <f>O719*P719</f>
        <v>720000</v>
      </c>
      <c r="R719" s="16">
        <f>'Financial Inputs'!$B$7</f>
        <v>0.35</v>
      </c>
      <c r="S719" s="17">
        <f>Q719*(1-R719)</f>
        <v>468000</v>
      </c>
      <c r="T719" s="18">
        <f>S719/'Financial Inputs'!$B$3</f>
        <v>4.6800000000000001E-3</v>
      </c>
      <c r="U719" s="9" t="s">
        <v>52</v>
      </c>
      <c r="V719" s="3" t="s">
        <v>53</v>
      </c>
    </row>
    <row r="720" spans="1:22">
      <c r="A720" s="2" t="s">
        <v>2372</v>
      </c>
      <c r="B720" s="2" t="s">
        <v>2373</v>
      </c>
      <c r="C720" s="2" t="s">
        <v>2317</v>
      </c>
      <c r="D720" s="2" t="s">
        <v>80</v>
      </c>
      <c r="E720" s="2" t="s">
        <v>96</v>
      </c>
      <c r="F720" s="2" t="s">
        <v>117</v>
      </c>
      <c r="G720" s="2" t="s">
        <v>162</v>
      </c>
      <c r="H720" s="2" t="s">
        <v>2318</v>
      </c>
      <c r="I720" s="2" t="s">
        <v>47</v>
      </c>
      <c r="J720" s="2" t="s">
        <v>48</v>
      </c>
      <c r="K720" s="2" t="s">
        <v>2374</v>
      </c>
      <c r="L720" s="2" t="s">
        <v>164</v>
      </c>
      <c r="M720" s="2" t="s">
        <v>2320</v>
      </c>
      <c r="N720" s="16">
        <v>1.9800000000000002E-2</v>
      </c>
      <c r="O720" s="17">
        <f>N720*'Financial Inputs'!$B$3</f>
        <v>1980000.0000000002</v>
      </c>
      <c r="P720" s="18">
        <f>IF(I720="L",'Financial Inputs'!$B$4,IF(I720="M",'Financial Inputs'!$B$5,'Financial Inputs'!$B$6))</f>
        <v>0.4</v>
      </c>
      <c r="Q720" s="17">
        <f>O720*P720</f>
        <v>792000.00000000012</v>
      </c>
      <c r="R720" s="16">
        <f>'Financial Inputs'!$B$7</f>
        <v>0.35</v>
      </c>
      <c r="S720" s="17">
        <f>Q720*(1-R720)</f>
        <v>514800.00000000012</v>
      </c>
      <c r="T720" s="18">
        <f>S720/'Financial Inputs'!$B$3</f>
        <v>5.1480000000000015E-3</v>
      </c>
      <c r="U720" s="9" t="s">
        <v>52</v>
      </c>
      <c r="V720" s="3" t="s">
        <v>53</v>
      </c>
    </row>
    <row r="721" spans="1:22">
      <c r="A721" s="2" t="s">
        <v>2375</v>
      </c>
      <c r="B721" s="2" t="s">
        <v>2376</v>
      </c>
      <c r="C721" s="2" t="s">
        <v>2317</v>
      </c>
      <c r="D721" s="2" t="s">
        <v>127</v>
      </c>
      <c r="E721" s="2" t="s">
        <v>103</v>
      </c>
      <c r="F721" s="2" t="s">
        <v>90</v>
      </c>
      <c r="G721" s="2" t="s">
        <v>45</v>
      </c>
      <c r="H721" s="2" t="s">
        <v>2318</v>
      </c>
      <c r="I721" s="2" t="s">
        <v>47</v>
      </c>
      <c r="J721" s="2" t="s">
        <v>48</v>
      </c>
      <c r="K721" s="2" t="s">
        <v>2377</v>
      </c>
      <c r="L721" s="2" t="s">
        <v>168</v>
      </c>
      <c r="M721" s="2" t="s">
        <v>2320</v>
      </c>
      <c r="N721" s="16">
        <v>2.1600000000000001E-2</v>
      </c>
      <c r="O721" s="17">
        <f>N721*'Financial Inputs'!$B$3</f>
        <v>2160000</v>
      </c>
      <c r="P721" s="18">
        <f>IF(I721="L",'Financial Inputs'!$B$4,IF(I721="M",'Financial Inputs'!$B$5,'Financial Inputs'!$B$6))</f>
        <v>0.4</v>
      </c>
      <c r="Q721" s="17">
        <f>O721*P721</f>
        <v>864000</v>
      </c>
      <c r="R721" s="16">
        <f>'Financial Inputs'!$B$7</f>
        <v>0.35</v>
      </c>
      <c r="S721" s="17">
        <f>Q721*(1-R721)</f>
        <v>561600</v>
      </c>
      <c r="T721" s="18">
        <f>S721/'Financial Inputs'!$B$3</f>
        <v>5.6160000000000003E-3</v>
      </c>
      <c r="U721" s="9" t="s">
        <v>52</v>
      </c>
      <c r="V721" s="3" t="s">
        <v>53</v>
      </c>
    </row>
    <row r="722" spans="1:22">
      <c r="A722" s="2" t="s">
        <v>2378</v>
      </c>
      <c r="B722" s="2" t="s">
        <v>2379</v>
      </c>
      <c r="C722" s="2" t="s">
        <v>2317</v>
      </c>
      <c r="D722" s="2" t="s">
        <v>95</v>
      </c>
      <c r="E722" s="2" t="s">
        <v>171</v>
      </c>
      <c r="F722" s="2" t="s">
        <v>66</v>
      </c>
      <c r="G722" s="2" t="s">
        <v>143</v>
      </c>
      <c r="H722" s="2" t="s">
        <v>2318</v>
      </c>
      <c r="I722" s="2" t="s">
        <v>47</v>
      </c>
      <c r="J722" s="2" t="s">
        <v>48</v>
      </c>
      <c r="K722" s="2" t="s">
        <v>2380</v>
      </c>
      <c r="L722" s="2" t="s">
        <v>173</v>
      </c>
      <c r="M722" s="2" t="s">
        <v>2320</v>
      </c>
      <c r="N722" s="16">
        <v>1.44E-2</v>
      </c>
      <c r="O722" s="17">
        <f>N722*'Financial Inputs'!$B$3</f>
        <v>1440000</v>
      </c>
      <c r="P722" s="18">
        <f>IF(I722="L",'Financial Inputs'!$B$4,IF(I722="M",'Financial Inputs'!$B$5,'Financial Inputs'!$B$6))</f>
        <v>0.4</v>
      </c>
      <c r="Q722" s="17">
        <f>O722*P722</f>
        <v>576000</v>
      </c>
      <c r="R722" s="16">
        <f>'Financial Inputs'!$B$7</f>
        <v>0.35</v>
      </c>
      <c r="S722" s="17">
        <f>Q722*(1-R722)</f>
        <v>374400</v>
      </c>
      <c r="T722" s="18">
        <f>S722/'Financial Inputs'!$B$3</f>
        <v>3.7439999999999999E-3</v>
      </c>
      <c r="U722" s="9" t="s">
        <v>52</v>
      </c>
      <c r="V722" s="3" t="s">
        <v>53</v>
      </c>
    </row>
    <row r="723" spans="1:22">
      <c r="A723" s="2" t="s">
        <v>2381</v>
      </c>
      <c r="B723" s="2" t="s">
        <v>2382</v>
      </c>
      <c r="C723" s="2" t="s">
        <v>2317</v>
      </c>
      <c r="D723" s="2" t="s">
        <v>102</v>
      </c>
      <c r="E723" s="2" t="s">
        <v>176</v>
      </c>
      <c r="F723" s="2" t="s">
        <v>74</v>
      </c>
      <c r="G723" s="2" t="s">
        <v>162</v>
      </c>
      <c r="H723" s="2" t="s">
        <v>2318</v>
      </c>
      <c r="I723" s="2" t="s">
        <v>47</v>
      </c>
      <c r="J723" s="2" t="s">
        <v>48</v>
      </c>
      <c r="K723" s="2" t="s">
        <v>2383</v>
      </c>
      <c r="L723" s="2" t="s">
        <v>178</v>
      </c>
      <c r="M723" s="2" t="s">
        <v>2320</v>
      </c>
      <c r="N723" s="16">
        <v>1.6199999999999999E-2</v>
      </c>
      <c r="O723" s="17">
        <f>N723*'Financial Inputs'!$B$3</f>
        <v>1620000</v>
      </c>
      <c r="P723" s="18">
        <f>IF(I723="L",'Financial Inputs'!$B$4,IF(I723="M",'Financial Inputs'!$B$5,'Financial Inputs'!$B$6))</f>
        <v>0.4</v>
      </c>
      <c r="Q723" s="17">
        <f>O723*P723</f>
        <v>648000</v>
      </c>
      <c r="R723" s="16">
        <f>'Financial Inputs'!$B$7</f>
        <v>0.35</v>
      </c>
      <c r="S723" s="17">
        <f>Q723*(1-R723)</f>
        <v>421200</v>
      </c>
      <c r="T723" s="18">
        <f>S723/'Financial Inputs'!$B$3</f>
        <v>4.2119999999999996E-3</v>
      </c>
      <c r="U723" s="9" t="s">
        <v>52</v>
      </c>
      <c r="V723" s="3" t="s">
        <v>53</v>
      </c>
    </row>
    <row r="724" spans="1:22">
      <c r="A724" s="2" t="s">
        <v>2384</v>
      </c>
      <c r="B724" s="2" t="s">
        <v>2385</v>
      </c>
      <c r="C724" s="2" t="s">
        <v>2317</v>
      </c>
      <c r="D724" s="2" t="s">
        <v>42</v>
      </c>
      <c r="E724" s="2" t="s">
        <v>122</v>
      </c>
      <c r="F724" s="2" t="s">
        <v>82</v>
      </c>
      <c r="G724" s="2" t="s">
        <v>45</v>
      </c>
      <c r="H724" s="2" t="s">
        <v>2318</v>
      </c>
      <c r="I724" s="2" t="s">
        <v>47</v>
      </c>
      <c r="J724" s="2" t="s">
        <v>48</v>
      </c>
      <c r="K724" s="2" t="s">
        <v>2386</v>
      </c>
      <c r="L724" s="2" t="s">
        <v>182</v>
      </c>
      <c r="M724" s="2" t="s">
        <v>2320</v>
      </c>
      <c r="N724" s="16">
        <v>1.7999999999999999E-2</v>
      </c>
      <c r="O724" s="17">
        <f>N724*'Financial Inputs'!$B$3</f>
        <v>1799999.9999999998</v>
      </c>
      <c r="P724" s="18">
        <f>IF(I724="L",'Financial Inputs'!$B$4,IF(I724="M",'Financial Inputs'!$B$5,'Financial Inputs'!$B$6))</f>
        <v>0.4</v>
      </c>
      <c r="Q724" s="17">
        <f>O724*P724</f>
        <v>720000</v>
      </c>
      <c r="R724" s="16">
        <f>'Financial Inputs'!$B$7</f>
        <v>0.35</v>
      </c>
      <c r="S724" s="17">
        <f>Q724*(1-R724)</f>
        <v>468000</v>
      </c>
      <c r="T724" s="18">
        <f>S724/'Financial Inputs'!$B$3</f>
        <v>4.6800000000000001E-3</v>
      </c>
      <c r="U724" s="9" t="s">
        <v>52</v>
      </c>
      <c r="V724" s="3" t="s">
        <v>53</v>
      </c>
    </row>
    <row r="725" spans="1:22">
      <c r="A725" s="2" t="s">
        <v>2387</v>
      </c>
      <c r="B725" s="2" t="s">
        <v>2388</v>
      </c>
      <c r="C725" s="2" t="s">
        <v>2317</v>
      </c>
      <c r="D725" s="2" t="s">
        <v>56</v>
      </c>
      <c r="E725" s="2" t="s">
        <v>128</v>
      </c>
      <c r="F725" s="2" t="s">
        <v>44</v>
      </c>
      <c r="G725" s="2" t="s">
        <v>59</v>
      </c>
      <c r="H725" s="2" t="s">
        <v>2318</v>
      </c>
      <c r="I725" s="2" t="s">
        <v>47</v>
      </c>
      <c r="J725" s="2" t="s">
        <v>48</v>
      </c>
      <c r="K725" s="2" t="s">
        <v>2389</v>
      </c>
      <c r="L725" s="2" t="s">
        <v>186</v>
      </c>
      <c r="M725" s="2" t="s">
        <v>2320</v>
      </c>
      <c r="N725" s="16">
        <v>1.9800000000000002E-2</v>
      </c>
      <c r="O725" s="17">
        <f>N725*'Financial Inputs'!$B$3</f>
        <v>1980000.0000000002</v>
      </c>
      <c r="P725" s="18">
        <f>IF(I725="L",'Financial Inputs'!$B$4,IF(I725="M",'Financial Inputs'!$B$5,'Financial Inputs'!$B$6))</f>
        <v>0.4</v>
      </c>
      <c r="Q725" s="17">
        <f>O725*P725</f>
        <v>792000.00000000012</v>
      </c>
      <c r="R725" s="16">
        <f>'Financial Inputs'!$B$7</f>
        <v>0.35</v>
      </c>
      <c r="S725" s="17">
        <f>Q725*(1-R725)</f>
        <v>514800.00000000012</v>
      </c>
      <c r="T725" s="18">
        <f>S725/'Financial Inputs'!$B$3</f>
        <v>5.1480000000000015E-3</v>
      </c>
      <c r="U725" s="9" t="s">
        <v>52</v>
      </c>
      <c r="V725" s="3" t="s">
        <v>53</v>
      </c>
    </row>
    <row r="726" spans="1:22">
      <c r="A726" s="2" t="s">
        <v>2390</v>
      </c>
      <c r="B726" s="2" t="s">
        <v>2391</v>
      </c>
      <c r="C726" s="2" t="s">
        <v>2317</v>
      </c>
      <c r="D726" s="2" t="s">
        <v>64</v>
      </c>
      <c r="E726" s="2" t="s">
        <v>43</v>
      </c>
      <c r="F726" s="2" t="s">
        <v>58</v>
      </c>
      <c r="G726" s="2" t="s">
        <v>67</v>
      </c>
      <c r="H726" s="2" t="s">
        <v>2318</v>
      </c>
      <c r="I726" s="2" t="s">
        <v>47</v>
      </c>
      <c r="J726" s="2" t="s">
        <v>48</v>
      </c>
      <c r="K726" s="2" t="s">
        <v>2392</v>
      </c>
      <c r="L726" s="2" t="s">
        <v>190</v>
      </c>
      <c r="M726" s="2" t="s">
        <v>2320</v>
      </c>
      <c r="N726" s="16">
        <v>2.1600000000000001E-2</v>
      </c>
      <c r="O726" s="17">
        <f>N726*'Financial Inputs'!$B$3</f>
        <v>2160000</v>
      </c>
      <c r="P726" s="18">
        <f>IF(I726="L",'Financial Inputs'!$B$4,IF(I726="M",'Financial Inputs'!$B$5,'Financial Inputs'!$B$6))</f>
        <v>0.4</v>
      </c>
      <c r="Q726" s="17">
        <f>O726*P726</f>
        <v>864000</v>
      </c>
      <c r="R726" s="16">
        <f>'Financial Inputs'!$B$7</f>
        <v>0.35</v>
      </c>
      <c r="S726" s="17">
        <f>Q726*(1-R726)</f>
        <v>561600</v>
      </c>
      <c r="T726" s="18">
        <f>S726/'Financial Inputs'!$B$3</f>
        <v>5.6160000000000003E-3</v>
      </c>
      <c r="U726" s="9" t="s">
        <v>52</v>
      </c>
      <c r="V726" s="3" t="s">
        <v>53</v>
      </c>
    </row>
    <row r="727" spans="1:22">
      <c r="A727" s="2" t="s">
        <v>2393</v>
      </c>
      <c r="B727" s="2" t="s">
        <v>2394</v>
      </c>
      <c r="C727" s="2" t="s">
        <v>2317</v>
      </c>
      <c r="D727" s="2" t="s">
        <v>127</v>
      </c>
      <c r="E727" s="2" t="s">
        <v>193</v>
      </c>
      <c r="F727" s="2" t="s">
        <v>104</v>
      </c>
      <c r="G727" s="2" t="s">
        <v>45</v>
      </c>
      <c r="H727" s="2" t="s">
        <v>2318</v>
      </c>
      <c r="I727" s="2" t="s">
        <v>47</v>
      </c>
      <c r="J727" s="2" t="s">
        <v>48</v>
      </c>
      <c r="K727" s="2" t="s">
        <v>2395</v>
      </c>
      <c r="L727" s="2" t="s">
        <v>195</v>
      </c>
      <c r="M727" s="2" t="s">
        <v>2320</v>
      </c>
      <c r="N727" s="16">
        <v>1.44E-2</v>
      </c>
      <c r="O727" s="17">
        <f>N727*'Financial Inputs'!$B$3</f>
        <v>1440000</v>
      </c>
      <c r="P727" s="18">
        <f>IF(I727="L",'Financial Inputs'!$B$4,IF(I727="M",'Financial Inputs'!$B$5,'Financial Inputs'!$B$6))</f>
        <v>0.4</v>
      </c>
      <c r="Q727" s="17">
        <f>O727*P727</f>
        <v>576000</v>
      </c>
      <c r="R727" s="16">
        <f>'Financial Inputs'!$B$7</f>
        <v>0.35</v>
      </c>
      <c r="S727" s="17">
        <f>Q727*(1-R727)</f>
        <v>374400</v>
      </c>
      <c r="T727" s="18">
        <f>S727/'Financial Inputs'!$B$3</f>
        <v>3.7439999999999999E-3</v>
      </c>
      <c r="U727" s="9" t="s">
        <v>52</v>
      </c>
      <c r="V727" s="3" t="s">
        <v>53</v>
      </c>
    </row>
    <row r="728" spans="1:22">
      <c r="A728" s="2" t="s">
        <v>2396</v>
      </c>
      <c r="B728" s="2" t="s">
        <v>2397</v>
      </c>
      <c r="C728" s="2" t="s">
        <v>2317</v>
      </c>
      <c r="D728" s="2" t="s">
        <v>133</v>
      </c>
      <c r="E728" s="2" t="s">
        <v>198</v>
      </c>
      <c r="F728" s="2" t="s">
        <v>110</v>
      </c>
      <c r="G728" s="2" t="s">
        <v>59</v>
      </c>
      <c r="H728" s="2" t="s">
        <v>2318</v>
      </c>
      <c r="I728" s="2" t="s">
        <v>47</v>
      </c>
      <c r="J728" s="2" t="s">
        <v>48</v>
      </c>
      <c r="K728" s="2" t="s">
        <v>2398</v>
      </c>
      <c r="L728" s="2" t="s">
        <v>200</v>
      </c>
      <c r="M728" s="2" t="s">
        <v>2320</v>
      </c>
      <c r="N728" s="16">
        <v>1.6199999999999999E-2</v>
      </c>
      <c r="O728" s="17">
        <f>N728*'Financial Inputs'!$B$3</f>
        <v>1620000</v>
      </c>
      <c r="P728" s="18">
        <f>IF(I728="L",'Financial Inputs'!$B$4,IF(I728="M",'Financial Inputs'!$B$5,'Financial Inputs'!$B$6))</f>
        <v>0.4</v>
      </c>
      <c r="Q728" s="17">
        <f>O728*P728</f>
        <v>648000</v>
      </c>
      <c r="R728" s="16">
        <f>'Financial Inputs'!$B$7</f>
        <v>0.35</v>
      </c>
      <c r="S728" s="17">
        <f>Q728*(1-R728)</f>
        <v>421200</v>
      </c>
      <c r="T728" s="18">
        <f>S728/'Financial Inputs'!$B$3</f>
        <v>4.2119999999999996E-3</v>
      </c>
      <c r="U728" s="9" t="s">
        <v>52</v>
      </c>
      <c r="V728" s="3" t="s">
        <v>53</v>
      </c>
    </row>
    <row r="729" spans="1:22">
      <c r="A729" s="2" t="s">
        <v>2399</v>
      </c>
      <c r="B729" s="2" t="s">
        <v>2400</v>
      </c>
      <c r="C729" s="2" t="s">
        <v>2317</v>
      </c>
      <c r="D729" s="2" t="s">
        <v>88</v>
      </c>
      <c r="E729" s="2" t="s">
        <v>148</v>
      </c>
      <c r="F729" s="2" t="s">
        <v>117</v>
      </c>
      <c r="G729" s="2" t="s">
        <v>67</v>
      </c>
      <c r="H729" s="2" t="s">
        <v>2318</v>
      </c>
      <c r="I729" s="2" t="s">
        <v>47</v>
      </c>
      <c r="J729" s="2" t="s">
        <v>48</v>
      </c>
      <c r="K729" s="2" t="s">
        <v>2401</v>
      </c>
      <c r="L729" s="2" t="s">
        <v>204</v>
      </c>
      <c r="M729" s="2" t="s">
        <v>2320</v>
      </c>
      <c r="N729" s="16">
        <v>1.7999999999999999E-2</v>
      </c>
      <c r="O729" s="17">
        <f>N729*'Financial Inputs'!$B$3</f>
        <v>1799999.9999999998</v>
      </c>
      <c r="P729" s="18">
        <f>IF(I729="L",'Financial Inputs'!$B$4,IF(I729="M",'Financial Inputs'!$B$5,'Financial Inputs'!$B$6))</f>
        <v>0.4</v>
      </c>
      <c r="Q729" s="17">
        <f>O729*P729</f>
        <v>720000</v>
      </c>
      <c r="R729" s="16">
        <f>'Financial Inputs'!$B$7</f>
        <v>0.35</v>
      </c>
      <c r="S729" s="17">
        <f>Q729*(1-R729)</f>
        <v>468000</v>
      </c>
      <c r="T729" s="18">
        <f>S729/'Financial Inputs'!$B$3</f>
        <v>4.6800000000000001E-3</v>
      </c>
      <c r="U729" s="9" t="s">
        <v>52</v>
      </c>
      <c r="V729" s="3" t="s">
        <v>53</v>
      </c>
    </row>
    <row r="730" spans="1:22">
      <c r="A730" s="2" t="s">
        <v>2402</v>
      </c>
      <c r="B730" s="2" t="s">
        <v>2403</v>
      </c>
      <c r="C730" s="2" t="s">
        <v>2317</v>
      </c>
      <c r="D730" s="2" t="s">
        <v>95</v>
      </c>
      <c r="E730" s="2" t="s">
        <v>153</v>
      </c>
      <c r="F730" s="2" t="s">
        <v>90</v>
      </c>
      <c r="G730" s="2" t="s">
        <v>75</v>
      </c>
      <c r="H730" s="2" t="s">
        <v>2318</v>
      </c>
      <c r="I730" s="2" t="s">
        <v>47</v>
      </c>
      <c r="J730" s="2" t="s">
        <v>48</v>
      </c>
      <c r="K730" s="2" t="s">
        <v>2404</v>
      </c>
      <c r="L730" s="2" t="s">
        <v>208</v>
      </c>
      <c r="M730" s="2" t="s">
        <v>2320</v>
      </c>
      <c r="N730" s="16">
        <v>1.9800000000000002E-2</v>
      </c>
      <c r="O730" s="17">
        <f>N730*'Financial Inputs'!$B$3</f>
        <v>1980000.0000000002</v>
      </c>
      <c r="P730" s="18">
        <f>IF(I730="L",'Financial Inputs'!$B$4,IF(I730="M",'Financial Inputs'!$B$5,'Financial Inputs'!$B$6))</f>
        <v>0.4</v>
      </c>
      <c r="Q730" s="17">
        <f>O730*P730</f>
        <v>792000.00000000012</v>
      </c>
      <c r="R730" s="16">
        <f>'Financial Inputs'!$B$7</f>
        <v>0.35</v>
      </c>
      <c r="S730" s="17">
        <f>Q730*(1-R730)</f>
        <v>514800.00000000012</v>
      </c>
      <c r="T730" s="18">
        <f>S730/'Financial Inputs'!$B$3</f>
        <v>5.1480000000000015E-3</v>
      </c>
      <c r="U730" s="9" t="s">
        <v>52</v>
      </c>
      <c r="V730" s="3" t="s">
        <v>53</v>
      </c>
    </row>
    <row r="731" spans="1:22">
      <c r="A731" s="2" t="s">
        <v>2405</v>
      </c>
      <c r="B731" s="2" t="s">
        <v>2406</v>
      </c>
      <c r="C731" s="2" t="s">
        <v>2317</v>
      </c>
      <c r="D731" s="2" t="s">
        <v>102</v>
      </c>
      <c r="E731" s="2" t="s">
        <v>89</v>
      </c>
      <c r="F731" s="2" t="s">
        <v>97</v>
      </c>
      <c r="G731" s="2" t="s">
        <v>83</v>
      </c>
      <c r="H731" s="2" t="s">
        <v>2318</v>
      </c>
      <c r="I731" s="2" t="s">
        <v>47</v>
      </c>
      <c r="J731" s="2" t="s">
        <v>48</v>
      </c>
      <c r="K731" s="2" t="s">
        <v>2407</v>
      </c>
      <c r="L731" s="2" t="s">
        <v>212</v>
      </c>
      <c r="M731" s="2" t="s">
        <v>2320</v>
      </c>
      <c r="N731" s="16">
        <v>2.1600000000000001E-2</v>
      </c>
      <c r="O731" s="17">
        <f>N731*'Financial Inputs'!$B$3</f>
        <v>2160000</v>
      </c>
      <c r="P731" s="18">
        <f>IF(I731="L",'Financial Inputs'!$B$4,IF(I731="M",'Financial Inputs'!$B$5,'Financial Inputs'!$B$6))</f>
        <v>0.4</v>
      </c>
      <c r="Q731" s="17">
        <f>O731*P731</f>
        <v>864000</v>
      </c>
      <c r="R731" s="16">
        <f>'Financial Inputs'!$B$7</f>
        <v>0.35</v>
      </c>
      <c r="S731" s="17">
        <f>Q731*(1-R731)</f>
        <v>561600</v>
      </c>
      <c r="T731" s="18">
        <f>S731/'Financial Inputs'!$B$3</f>
        <v>5.6160000000000003E-3</v>
      </c>
      <c r="U731" s="9" t="s">
        <v>52</v>
      </c>
      <c r="V731" s="3" t="s">
        <v>53</v>
      </c>
    </row>
    <row r="732" spans="1:22">
      <c r="A732" s="2" t="s">
        <v>2408</v>
      </c>
      <c r="B732" s="2" t="s">
        <v>2409</v>
      </c>
      <c r="C732" s="2" t="s">
        <v>2317</v>
      </c>
      <c r="D732" s="2" t="s">
        <v>64</v>
      </c>
      <c r="E732" s="2" t="s">
        <v>215</v>
      </c>
      <c r="F732" s="2" t="s">
        <v>74</v>
      </c>
      <c r="G732" s="2" t="s">
        <v>67</v>
      </c>
      <c r="H732" s="2" t="s">
        <v>2318</v>
      </c>
      <c r="I732" s="2" t="s">
        <v>47</v>
      </c>
      <c r="J732" s="2" t="s">
        <v>48</v>
      </c>
      <c r="K732" s="2" t="s">
        <v>2410</v>
      </c>
      <c r="L732" s="2" t="s">
        <v>217</v>
      </c>
      <c r="M732" s="2" t="s">
        <v>2320</v>
      </c>
      <c r="N732" s="16">
        <v>1.44E-2</v>
      </c>
      <c r="O732" s="17">
        <f>N732*'Financial Inputs'!$B$3</f>
        <v>1440000</v>
      </c>
      <c r="P732" s="18">
        <f>IF(I732="L",'Financial Inputs'!$B$4,IF(I732="M",'Financial Inputs'!$B$5,'Financial Inputs'!$B$6))</f>
        <v>0.4</v>
      </c>
      <c r="Q732" s="17">
        <f>O732*P732</f>
        <v>576000</v>
      </c>
      <c r="R732" s="16">
        <f>'Financial Inputs'!$B$7</f>
        <v>0.35</v>
      </c>
      <c r="S732" s="17">
        <f>Q732*(1-R732)</f>
        <v>374400</v>
      </c>
      <c r="T732" s="18">
        <f>S732/'Financial Inputs'!$B$3</f>
        <v>3.7439999999999999E-3</v>
      </c>
      <c r="U732" s="9" t="s">
        <v>52</v>
      </c>
      <c r="V732" s="3" t="s">
        <v>53</v>
      </c>
    </row>
    <row r="733" spans="1:22">
      <c r="A733" s="2" t="s">
        <v>2411</v>
      </c>
      <c r="B733" s="2" t="s">
        <v>2412</v>
      </c>
      <c r="C733" s="2" t="s">
        <v>2317</v>
      </c>
      <c r="D733" s="2" t="s">
        <v>72</v>
      </c>
      <c r="E733" s="2" t="s">
        <v>220</v>
      </c>
      <c r="F733" s="2" t="s">
        <v>82</v>
      </c>
      <c r="G733" s="2" t="s">
        <v>75</v>
      </c>
      <c r="H733" s="2" t="s">
        <v>2318</v>
      </c>
      <c r="I733" s="2" t="s">
        <v>47</v>
      </c>
      <c r="J733" s="2" t="s">
        <v>48</v>
      </c>
      <c r="K733" s="2" t="s">
        <v>2413</v>
      </c>
      <c r="L733" s="2" t="s">
        <v>222</v>
      </c>
      <c r="M733" s="2" t="s">
        <v>2320</v>
      </c>
      <c r="N733" s="16">
        <v>1.6199999999999999E-2</v>
      </c>
      <c r="O733" s="17">
        <f>N733*'Financial Inputs'!$B$3</f>
        <v>1620000</v>
      </c>
      <c r="P733" s="18">
        <f>IF(I733="L",'Financial Inputs'!$B$4,IF(I733="M",'Financial Inputs'!$B$5,'Financial Inputs'!$B$6))</f>
        <v>0.4</v>
      </c>
      <c r="Q733" s="17">
        <f>O733*P733</f>
        <v>648000</v>
      </c>
      <c r="R733" s="16">
        <f>'Financial Inputs'!$B$7</f>
        <v>0.35</v>
      </c>
      <c r="S733" s="17">
        <f>Q733*(1-R733)</f>
        <v>421200</v>
      </c>
      <c r="T733" s="18">
        <f>S733/'Financial Inputs'!$B$3</f>
        <v>4.2119999999999996E-3</v>
      </c>
      <c r="U733" s="9" t="s">
        <v>52</v>
      </c>
      <c r="V733" s="3" t="s">
        <v>53</v>
      </c>
    </row>
    <row r="734" spans="1:22">
      <c r="A734" s="2" t="s">
        <v>2414</v>
      </c>
      <c r="B734" s="2" t="s">
        <v>2415</v>
      </c>
      <c r="C734" s="2" t="s">
        <v>2317</v>
      </c>
      <c r="D734" s="2" t="s">
        <v>80</v>
      </c>
      <c r="E734" s="2" t="s">
        <v>171</v>
      </c>
      <c r="F734" s="2" t="s">
        <v>44</v>
      </c>
      <c r="G734" s="2" t="s">
        <v>83</v>
      </c>
      <c r="H734" s="2" t="s">
        <v>2318</v>
      </c>
      <c r="I734" s="2" t="s">
        <v>47</v>
      </c>
      <c r="J734" s="2" t="s">
        <v>48</v>
      </c>
      <c r="K734" s="2" t="s">
        <v>2416</v>
      </c>
      <c r="L734" s="2" t="s">
        <v>226</v>
      </c>
      <c r="M734" s="2" t="s">
        <v>2320</v>
      </c>
      <c r="N734" s="16">
        <v>1.7999999999999999E-2</v>
      </c>
      <c r="O734" s="17">
        <f>N734*'Financial Inputs'!$B$3</f>
        <v>1799999.9999999998</v>
      </c>
      <c r="P734" s="18">
        <f>IF(I734="L",'Financial Inputs'!$B$4,IF(I734="M",'Financial Inputs'!$B$5,'Financial Inputs'!$B$6))</f>
        <v>0.4</v>
      </c>
      <c r="Q734" s="17">
        <f>O734*P734</f>
        <v>720000</v>
      </c>
      <c r="R734" s="16">
        <f>'Financial Inputs'!$B$7</f>
        <v>0.35</v>
      </c>
      <c r="S734" s="17">
        <f>Q734*(1-R734)</f>
        <v>468000</v>
      </c>
      <c r="T734" s="18">
        <f>S734/'Financial Inputs'!$B$3</f>
        <v>4.6800000000000001E-3</v>
      </c>
      <c r="U734" s="9" t="s">
        <v>52</v>
      </c>
      <c r="V734" s="3" t="s">
        <v>53</v>
      </c>
    </row>
    <row r="735" spans="1:22">
      <c r="A735" s="2" t="s">
        <v>2417</v>
      </c>
      <c r="B735" s="2" t="s">
        <v>2418</v>
      </c>
      <c r="C735" s="2" t="s">
        <v>2317</v>
      </c>
      <c r="D735" s="2" t="s">
        <v>127</v>
      </c>
      <c r="E735" s="2" t="s">
        <v>176</v>
      </c>
      <c r="F735" s="2" t="s">
        <v>58</v>
      </c>
      <c r="G735" s="2" t="s">
        <v>111</v>
      </c>
      <c r="H735" s="2" t="s">
        <v>2318</v>
      </c>
      <c r="I735" s="2" t="s">
        <v>47</v>
      </c>
      <c r="J735" s="2" t="s">
        <v>48</v>
      </c>
      <c r="K735" s="2" t="s">
        <v>2419</v>
      </c>
      <c r="L735" s="2" t="s">
        <v>230</v>
      </c>
      <c r="M735" s="2" t="s">
        <v>2320</v>
      </c>
      <c r="N735" s="16">
        <v>1.9800000000000002E-2</v>
      </c>
      <c r="O735" s="17">
        <f>N735*'Financial Inputs'!$B$3</f>
        <v>1980000.0000000002</v>
      </c>
      <c r="P735" s="18">
        <f>IF(I735="L",'Financial Inputs'!$B$4,IF(I735="M",'Financial Inputs'!$B$5,'Financial Inputs'!$B$6))</f>
        <v>0.4</v>
      </c>
      <c r="Q735" s="17">
        <f>O735*P735</f>
        <v>792000.00000000012</v>
      </c>
      <c r="R735" s="16">
        <f>'Financial Inputs'!$B$7</f>
        <v>0.35</v>
      </c>
      <c r="S735" s="17">
        <f>Q735*(1-R735)</f>
        <v>514800.00000000012</v>
      </c>
      <c r="T735" s="18">
        <f>S735/'Financial Inputs'!$B$3</f>
        <v>5.1480000000000015E-3</v>
      </c>
      <c r="U735" s="9" t="s">
        <v>52</v>
      </c>
      <c r="V735" s="3" t="s">
        <v>53</v>
      </c>
    </row>
    <row r="736" spans="1:22">
      <c r="A736" s="2" t="s">
        <v>2420</v>
      </c>
      <c r="B736" s="2" t="s">
        <v>2421</v>
      </c>
      <c r="C736" s="2" t="s">
        <v>2317</v>
      </c>
      <c r="D736" s="2" t="s">
        <v>133</v>
      </c>
      <c r="E736" s="2" t="s">
        <v>122</v>
      </c>
      <c r="F736" s="2" t="s">
        <v>66</v>
      </c>
      <c r="G736" s="2" t="s">
        <v>56</v>
      </c>
      <c r="H736" s="2" t="s">
        <v>2318</v>
      </c>
      <c r="I736" s="2" t="s">
        <v>47</v>
      </c>
      <c r="J736" s="2" t="s">
        <v>48</v>
      </c>
      <c r="K736" s="2" t="s">
        <v>2422</v>
      </c>
      <c r="L736" s="2" t="s">
        <v>234</v>
      </c>
      <c r="M736" s="2" t="s">
        <v>2320</v>
      </c>
      <c r="N736" s="16">
        <v>2.1600000000000001E-2</v>
      </c>
      <c r="O736" s="17">
        <f>N736*'Financial Inputs'!$B$3</f>
        <v>2160000</v>
      </c>
      <c r="P736" s="18">
        <f>IF(I736="L",'Financial Inputs'!$B$4,IF(I736="M",'Financial Inputs'!$B$5,'Financial Inputs'!$B$6))</f>
        <v>0.4</v>
      </c>
      <c r="Q736" s="17">
        <f>O736*P736</f>
        <v>864000</v>
      </c>
      <c r="R736" s="16">
        <f>'Financial Inputs'!$B$7</f>
        <v>0.35</v>
      </c>
      <c r="S736" s="17">
        <f>Q736*(1-R736)</f>
        <v>561600</v>
      </c>
      <c r="T736" s="18">
        <f>S736/'Financial Inputs'!$B$3</f>
        <v>5.6160000000000003E-3</v>
      </c>
      <c r="U736" s="9" t="s">
        <v>52</v>
      </c>
      <c r="V736" s="3" t="s">
        <v>53</v>
      </c>
    </row>
    <row r="737" spans="1:22">
      <c r="A737" s="2" t="s">
        <v>2423</v>
      </c>
      <c r="B737" s="2" t="s">
        <v>2424</v>
      </c>
      <c r="C737" s="2" t="s">
        <v>2317</v>
      </c>
      <c r="D737" s="2" t="s">
        <v>102</v>
      </c>
      <c r="E737" s="2" t="s">
        <v>73</v>
      </c>
      <c r="F737" s="2" t="s">
        <v>110</v>
      </c>
      <c r="G737" s="2" t="s">
        <v>83</v>
      </c>
      <c r="H737" s="2" t="s">
        <v>2318</v>
      </c>
      <c r="I737" s="2" t="s">
        <v>47</v>
      </c>
      <c r="J737" s="2" t="s">
        <v>48</v>
      </c>
      <c r="K737" s="2" t="s">
        <v>2425</v>
      </c>
      <c r="L737" s="2" t="s">
        <v>238</v>
      </c>
      <c r="M737" s="2" t="s">
        <v>2320</v>
      </c>
      <c r="N737" s="16">
        <v>1.44E-2</v>
      </c>
      <c r="O737" s="17">
        <f>N737*'Financial Inputs'!$B$3</f>
        <v>1440000</v>
      </c>
      <c r="P737" s="18">
        <f>IF(I737="L",'Financial Inputs'!$B$4,IF(I737="M",'Financial Inputs'!$B$5,'Financial Inputs'!$B$6))</f>
        <v>0.4</v>
      </c>
      <c r="Q737" s="17">
        <f>O737*P737</f>
        <v>576000</v>
      </c>
      <c r="R737" s="16">
        <f>'Financial Inputs'!$B$7</f>
        <v>0.35</v>
      </c>
      <c r="S737" s="17">
        <f>Q737*(1-R737)</f>
        <v>374400</v>
      </c>
      <c r="T737" s="18">
        <f>S737/'Financial Inputs'!$B$3</f>
        <v>3.7439999999999999E-3</v>
      </c>
      <c r="U737" s="9" t="s">
        <v>52</v>
      </c>
      <c r="V737" s="3" t="s">
        <v>53</v>
      </c>
    </row>
    <row r="738" spans="1:22">
      <c r="A738" s="2" t="s">
        <v>2426</v>
      </c>
      <c r="B738" s="2" t="s">
        <v>2427</v>
      </c>
      <c r="C738" s="2" t="s">
        <v>2317</v>
      </c>
      <c r="D738" s="2" t="s">
        <v>42</v>
      </c>
      <c r="E738" s="2" t="s">
        <v>81</v>
      </c>
      <c r="F738" s="2" t="s">
        <v>117</v>
      </c>
      <c r="G738" s="2" t="s">
        <v>111</v>
      </c>
      <c r="H738" s="2" t="s">
        <v>2318</v>
      </c>
      <c r="I738" s="2" t="s">
        <v>47</v>
      </c>
      <c r="J738" s="2" t="s">
        <v>48</v>
      </c>
      <c r="K738" s="2" t="s">
        <v>2428</v>
      </c>
      <c r="L738" s="2" t="s">
        <v>242</v>
      </c>
      <c r="M738" s="2" t="s">
        <v>2320</v>
      </c>
      <c r="N738" s="16">
        <v>1.6199999999999999E-2</v>
      </c>
      <c r="O738" s="17">
        <f>N738*'Financial Inputs'!$B$3</f>
        <v>1620000</v>
      </c>
      <c r="P738" s="18">
        <f>IF(I738="L",'Financial Inputs'!$B$4,IF(I738="M",'Financial Inputs'!$B$5,'Financial Inputs'!$B$6))</f>
        <v>0.4</v>
      </c>
      <c r="Q738" s="17">
        <f>O738*P738</f>
        <v>648000</v>
      </c>
      <c r="R738" s="16">
        <f>'Financial Inputs'!$B$7</f>
        <v>0.35</v>
      </c>
      <c r="S738" s="17">
        <f>Q738*(1-R738)</f>
        <v>421200</v>
      </c>
      <c r="T738" s="18">
        <f>S738/'Financial Inputs'!$B$3</f>
        <v>4.2119999999999996E-3</v>
      </c>
      <c r="U738" s="9" t="s">
        <v>52</v>
      </c>
      <c r="V738" s="3" t="s">
        <v>53</v>
      </c>
    </row>
    <row r="739" spans="1:22">
      <c r="A739" s="2" t="s">
        <v>2429</v>
      </c>
      <c r="B739" s="2" t="s">
        <v>2430</v>
      </c>
      <c r="C739" s="2" t="s">
        <v>2317</v>
      </c>
      <c r="D739" s="2" t="s">
        <v>56</v>
      </c>
      <c r="E739" s="2" t="s">
        <v>193</v>
      </c>
      <c r="F739" s="2" t="s">
        <v>90</v>
      </c>
      <c r="G739" s="2" t="s">
        <v>56</v>
      </c>
      <c r="H739" s="2" t="s">
        <v>2318</v>
      </c>
      <c r="I739" s="2" t="s">
        <v>47</v>
      </c>
      <c r="J739" s="2" t="s">
        <v>48</v>
      </c>
      <c r="K739" s="2" t="s">
        <v>2431</v>
      </c>
      <c r="L739" s="2" t="s">
        <v>246</v>
      </c>
      <c r="M739" s="2" t="s">
        <v>2320</v>
      </c>
      <c r="N739" s="16">
        <v>1.7999999999999999E-2</v>
      </c>
      <c r="O739" s="17">
        <f>N739*'Financial Inputs'!$B$3</f>
        <v>1799999.9999999998</v>
      </c>
      <c r="P739" s="18">
        <f>IF(I739="L",'Financial Inputs'!$B$4,IF(I739="M",'Financial Inputs'!$B$5,'Financial Inputs'!$B$6))</f>
        <v>0.4</v>
      </c>
      <c r="Q739" s="17">
        <f>O739*P739</f>
        <v>720000</v>
      </c>
      <c r="R739" s="16">
        <f>'Financial Inputs'!$B$7</f>
        <v>0.35</v>
      </c>
      <c r="S739" s="17">
        <f>Q739*(1-R739)</f>
        <v>468000</v>
      </c>
      <c r="T739" s="18">
        <f>S739/'Financial Inputs'!$B$3</f>
        <v>4.6800000000000001E-3</v>
      </c>
      <c r="U739" s="9" t="s">
        <v>52</v>
      </c>
      <c r="V739" s="3" t="s">
        <v>53</v>
      </c>
    </row>
    <row r="740" spans="1:22">
      <c r="A740" s="2" t="s">
        <v>2432</v>
      </c>
      <c r="B740" s="2" t="s">
        <v>2433</v>
      </c>
      <c r="C740" s="2" t="s">
        <v>2317</v>
      </c>
      <c r="D740" s="2" t="s">
        <v>64</v>
      </c>
      <c r="E740" s="2" t="s">
        <v>198</v>
      </c>
      <c r="F740" s="2" t="s">
        <v>97</v>
      </c>
      <c r="G740" s="2" t="s">
        <v>138</v>
      </c>
      <c r="H740" s="2" t="s">
        <v>2318</v>
      </c>
      <c r="I740" s="2" t="s">
        <v>47</v>
      </c>
      <c r="J740" s="2" t="s">
        <v>48</v>
      </c>
      <c r="K740" s="2" t="s">
        <v>2434</v>
      </c>
      <c r="L740" s="2" t="s">
        <v>250</v>
      </c>
      <c r="M740" s="2" t="s">
        <v>2320</v>
      </c>
      <c r="N740" s="16">
        <v>1.9800000000000002E-2</v>
      </c>
      <c r="O740" s="17">
        <f>N740*'Financial Inputs'!$B$3</f>
        <v>1980000.0000000002</v>
      </c>
      <c r="P740" s="18">
        <f>IF(I740="L",'Financial Inputs'!$B$4,IF(I740="M",'Financial Inputs'!$B$5,'Financial Inputs'!$B$6))</f>
        <v>0.4</v>
      </c>
      <c r="Q740" s="17">
        <f>O740*P740</f>
        <v>792000.00000000012</v>
      </c>
      <c r="R740" s="16">
        <f>'Financial Inputs'!$B$7</f>
        <v>0.35</v>
      </c>
      <c r="S740" s="17">
        <f>Q740*(1-R740)</f>
        <v>514800.00000000012</v>
      </c>
      <c r="T740" s="18">
        <f>S740/'Financial Inputs'!$B$3</f>
        <v>5.1480000000000015E-3</v>
      </c>
      <c r="U740" s="9" t="s">
        <v>52</v>
      </c>
      <c r="V740" s="3" t="s">
        <v>53</v>
      </c>
    </row>
    <row r="741" spans="1:22">
      <c r="A741" s="2" t="s">
        <v>2435</v>
      </c>
      <c r="B741" s="2" t="s">
        <v>2436</v>
      </c>
      <c r="C741" s="2" t="s">
        <v>2317</v>
      </c>
      <c r="D741" s="2" t="s">
        <v>72</v>
      </c>
      <c r="E741" s="2" t="s">
        <v>148</v>
      </c>
      <c r="F741" s="2" t="s">
        <v>104</v>
      </c>
      <c r="G741" s="2" t="s">
        <v>143</v>
      </c>
      <c r="H741" s="2" t="s">
        <v>2318</v>
      </c>
      <c r="I741" s="2" t="s">
        <v>47</v>
      </c>
      <c r="J741" s="2" t="s">
        <v>48</v>
      </c>
      <c r="K741" s="2" t="s">
        <v>2437</v>
      </c>
      <c r="L741" s="2" t="s">
        <v>254</v>
      </c>
      <c r="M741" s="2" t="s">
        <v>2320</v>
      </c>
      <c r="N741" s="16">
        <v>2.1600000000000001E-2</v>
      </c>
      <c r="O741" s="17">
        <f>N741*'Financial Inputs'!$B$3</f>
        <v>2160000</v>
      </c>
      <c r="P741" s="18">
        <f>IF(I741="L",'Financial Inputs'!$B$4,IF(I741="M",'Financial Inputs'!$B$5,'Financial Inputs'!$B$6))</f>
        <v>0.4</v>
      </c>
      <c r="Q741" s="17">
        <f>O741*P741</f>
        <v>864000</v>
      </c>
      <c r="R741" s="16">
        <f>'Financial Inputs'!$B$7</f>
        <v>0.35</v>
      </c>
      <c r="S741" s="17">
        <f>Q741*(1-R741)</f>
        <v>561600</v>
      </c>
      <c r="T741" s="18">
        <f>S741/'Financial Inputs'!$B$3</f>
        <v>5.6160000000000003E-3</v>
      </c>
      <c r="U741" s="9" t="s">
        <v>52</v>
      </c>
      <c r="V741" s="3" t="s">
        <v>53</v>
      </c>
    </row>
    <row r="742" spans="1:22">
      <c r="A742" s="2" t="s">
        <v>2438</v>
      </c>
      <c r="B742" s="2" t="s">
        <v>2439</v>
      </c>
      <c r="C742" s="2" t="s">
        <v>2317</v>
      </c>
      <c r="D742" s="2" t="s">
        <v>133</v>
      </c>
      <c r="E742" s="2" t="s">
        <v>109</v>
      </c>
      <c r="F742" s="2" t="s">
        <v>82</v>
      </c>
      <c r="G742" s="2" t="s">
        <v>56</v>
      </c>
      <c r="H742" s="2" t="s">
        <v>2318</v>
      </c>
      <c r="I742" s="2" t="s">
        <v>47</v>
      </c>
      <c r="J742" s="2" t="s">
        <v>48</v>
      </c>
      <c r="K742" s="2" t="s">
        <v>2440</v>
      </c>
      <c r="L742" s="2" t="s">
        <v>258</v>
      </c>
      <c r="M742" s="2" t="s">
        <v>2320</v>
      </c>
      <c r="N742" s="16">
        <v>1.44E-2</v>
      </c>
      <c r="O742" s="17">
        <f>N742*'Financial Inputs'!$B$3</f>
        <v>1440000</v>
      </c>
      <c r="P742" s="18">
        <f>IF(I742="L",'Financial Inputs'!$B$4,IF(I742="M",'Financial Inputs'!$B$5,'Financial Inputs'!$B$6))</f>
        <v>0.4</v>
      </c>
      <c r="Q742" s="17">
        <f>O742*P742</f>
        <v>576000</v>
      </c>
      <c r="R742" s="16">
        <f>'Financial Inputs'!$B$7</f>
        <v>0.35</v>
      </c>
      <c r="S742" s="17">
        <f>Q742*(1-R742)</f>
        <v>374400</v>
      </c>
      <c r="T742" s="18">
        <f>S742/'Financial Inputs'!$B$3</f>
        <v>3.7439999999999999E-3</v>
      </c>
      <c r="U742" s="9" t="s">
        <v>52</v>
      </c>
      <c r="V742" s="3" t="s">
        <v>53</v>
      </c>
    </row>
    <row r="743" spans="1:22">
      <c r="A743" s="2" t="s">
        <v>2441</v>
      </c>
      <c r="B743" s="2" t="s">
        <v>2442</v>
      </c>
      <c r="C743" s="2" t="s">
        <v>2317</v>
      </c>
      <c r="D743" s="2" t="s">
        <v>88</v>
      </c>
      <c r="E743" s="2" t="s">
        <v>116</v>
      </c>
      <c r="F743" s="2" t="s">
        <v>44</v>
      </c>
      <c r="G743" s="2" t="s">
        <v>138</v>
      </c>
      <c r="H743" s="2" t="s">
        <v>2318</v>
      </c>
      <c r="I743" s="2" t="s">
        <v>47</v>
      </c>
      <c r="J743" s="2" t="s">
        <v>48</v>
      </c>
      <c r="K743" s="2" t="s">
        <v>2443</v>
      </c>
      <c r="L743" s="2" t="s">
        <v>262</v>
      </c>
      <c r="M743" s="2" t="s">
        <v>2320</v>
      </c>
      <c r="N743" s="16">
        <v>1.6199999999999999E-2</v>
      </c>
      <c r="O743" s="17">
        <f>N743*'Financial Inputs'!$B$3</f>
        <v>1620000</v>
      </c>
      <c r="P743" s="18">
        <f>IF(I743="L",'Financial Inputs'!$B$4,IF(I743="M",'Financial Inputs'!$B$5,'Financial Inputs'!$B$6))</f>
        <v>0.4</v>
      </c>
      <c r="Q743" s="17">
        <f>O743*P743</f>
        <v>648000</v>
      </c>
      <c r="R743" s="16">
        <f>'Financial Inputs'!$B$7</f>
        <v>0.35</v>
      </c>
      <c r="S743" s="17">
        <f>Q743*(1-R743)</f>
        <v>421200</v>
      </c>
      <c r="T743" s="18">
        <f>S743/'Financial Inputs'!$B$3</f>
        <v>4.2119999999999996E-3</v>
      </c>
      <c r="U743" s="9" t="s">
        <v>52</v>
      </c>
      <c r="V743" s="3" t="s">
        <v>53</v>
      </c>
    </row>
    <row r="744" spans="1:22">
      <c r="A744" s="2" t="s">
        <v>2444</v>
      </c>
      <c r="B744" s="2" t="s">
        <v>2445</v>
      </c>
      <c r="C744" s="2" t="s">
        <v>2317</v>
      </c>
      <c r="D744" s="2" t="s">
        <v>95</v>
      </c>
      <c r="E744" s="2" t="s">
        <v>215</v>
      </c>
      <c r="F744" s="2" t="s">
        <v>58</v>
      </c>
      <c r="G744" s="2" t="s">
        <v>143</v>
      </c>
      <c r="H744" s="2" t="s">
        <v>2318</v>
      </c>
      <c r="I744" s="2" t="s">
        <v>47</v>
      </c>
      <c r="J744" s="2" t="s">
        <v>48</v>
      </c>
      <c r="K744" s="2" t="s">
        <v>2446</v>
      </c>
      <c r="L744" s="2" t="s">
        <v>266</v>
      </c>
      <c r="M744" s="2" t="s">
        <v>2320</v>
      </c>
      <c r="N744" s="16">
        <v>1.7999999999999999E-2</v>
      </c>
      <c r="O744" s="17">
        <f>N744*'Financial Inputs'!$B$3</f>
        <v>1799999.9999999998</v>
      </c>
      <c r="P744" s="18">
        <f>IF(I744="L",'Financial Inputs'!$B$4,IF(I744="M",'Financial Inputs'!$B$5,'Financial Inputs'!$B$6))</f>
        <v>0.4</v>
      </c>
      <c r="Q744" s="17">
        <f>O744*P744</f>
        <v>720000</v>
      </c>
      <c r="R744" s="16">
        <f>'Financial Inputs'!$B$7</f>
        <v>0.35</v>
      </c>
      <c r="S744" s="17">
        <f>Q744*(1-R744)</f>
        <v>468000</v>
      </c>
      <c r="T744" s="18">
        <f>S744/'Financial Inputs'!$B$3</f>
        <v>4.6800000000000001E-3</v>
      </c>
      <c r="U744" s="9" t="s">
        <v>52</v>
      </c>
      <c r="V744" s="3" t="s">
        <v>53</v>
      </c>
    </row>
    <row r="745" spans="1:22">
      <c r="A745" s="2" t="s">
        <v>2447</v>
      </c>
      <c r="B745" s="2" t="s">
        <v>2448</v>
      </c>
      <c r="C745" s="2" t="s">
        <v>2317</v>
      </c>
      <c r="D745" s="2" t="s">
        <v>102</v>
      </c>
      <c r="E745" s="2" t="s">
        <v>220</v>
      </c>
      <c r="F745" s="2" t="s">
        <v>66</v>
      </c>
      <c r="G745" s="2" t="s">
        <v>162</v>
      </c>
      <c r="H745" s="2" t="s">
        <v>2318</v>
      </c>
      <c r="I745" s="2" t="s">
        <v>47</v>
      </c>
      <c r="J745" s="2" t="s">
        <v>48</v>
      </c>
      <c r="K745" s="2" t="s">
        <v>2449</v>
      </c>
      <c r="L745" s="2" t="s">
        <v>270</v>
      </c>
      <c r="M745" s="2" t="s">
        <v>2320</v>
      </c>
      <c r="N745" s="16">
        <v>1.9800000000000002E-2</v>
      </c>
      <c r="O745" s="17">
        <f>N745*'Financial Inputs'!$B$3</f>
        <v>1980000.0000000002</v>
      </c>
      <c r="P745" s="18">
        <f>IF(I745="L",'Financial Inputs'!$B$4,IF(I745="M",'Financial Inputs'!$B$5,'Financial Inputs'!$B$6))</f>
        <v>0.4</v>
      </c>
      <c r="Q745" s="17">
        <f>O745*P745</f>
        <v>792000.00000000012</v>
      </c>
      <c r="R745" s="16">
        <f>'Financial Inputs'!$B$7</f>
        <v>0.35</v>
      </c>
      <c r="S745" s="17">
        <f>Q745*(1-R745)</f>
        <v>514800.00000000012</v>
      </c>
      <c r="T745" s="18">
        <f>S745/'Financial Inputs'!$B$3</f>
        <v>5.1480000000000015E-3</v>
      </c>
      <c r="U745" s="9" t="s">
        <v>52</v>
      </c>
      <c r="V745" s="3" t="s">
        <v>53</v>
      </c>
    </row>
    <row r="746" spans="1:22">
      <c r="A746" s="2" t="s">
        <v>2450</v>
      </c>
      <c r="B746" s="2" t="s">
        <v>2451</v>
      </c>
      <c r="C746" s="2" t="s">
        <v>2317</v>
      </c>
      <c r="D746" s="2" t="s">
        <v>42</v>
      </c>
      <c r="E746" s="2" t="s">
        <v>171</v>
      </c>
      <c r="F746" s="2" t="s">
        <v>74</v>
      </c>
      <c r="G746" s="2" t="s">
        <v>45</v>
      </c>
      <c r="H746" s="2" t="s">
        <v>2318</v>
      </c>
      <c r="I746" s="2" t="s">
        <v>47</v>
      </c>
      <c r="J746" s="2" t="s">
        <v>48</v>
      </c>
      <c r="K746" s="2" t="s">
        <v>2452</v>
      </c>
      <c r="L746" s="2" t="s">
        <v>274</v>
      </c>
      <c r="M746" s="2" t="s">
        <v>2320</v>
      </c>
      <c r="N746" s="16">
        <v>2.1600000000000001E-2</v>
      </c>
      <c r="O746" s="17">
        <f>N746*'Financial Inputs'!$B$3</f>
        <v>2160000</v>
      </c>
      <c r="P746" s="18">
        <f>IF(I746="L",'Financial Inputs'!$B$4,IF(I746="M",'Financial Inputs'!$B$5,'Financial Inputs'!$B$6))</f>
        <v>0.4</v>
      </c>
      <c r="Q746" s="17">
        <f>O746*P746</f>
        <v>864000</v>
      </c>
      <c r="R746" s="16">
        <f>'Financial Inputs'!$B$7</f>
        <v>0.35</v>
      </c>
      <c r="S746" s="17">
        <f>Q746*(1-R746)</f>
        <v>561600</v>
      </c>
      <c r="T746" s="18">
        <f>S746/'Financial Inputs'!$B$3</f>
        <v>5.6160000000000003E-3</v>
      </c>
      <c r="U746" s="9" t="s">
        <v>52</v>
      </c>
      <c r="V746" s="3" t="s">
        <v>53</v>
      </c>
    </row>
    <row r="747" spans="1:22">
      <c r="A747" s="2" t="s">
        <v>2453</v>
      </c>
      <c r="B747" s="2" t="s">
        <v>2454</v>
      </c>
      <c r="C747" s="2" t="s">
        <v>2317</v>
      </c>
      <c r="D747" s="2" t="s">
        <v>72</v>
      </c>
      <c r="E747" s="2" t="s">
        <v>57</v>
      </c>
      <c r="F747" s="2" t="s">
        <v>117</v>
      </c>
      <c r="G747" s="2" t="s">
        <v>143</v>
      </c>
      <c r="H747" s="2" t="s">
        <v>2318</v>
      </c>
      <c r="I747" s="2" t="s">
        <v>47</v>
      </c>
      <c r="J747" s="2" t="s">
        <v>48</v>
      </c>
      <c r="K747" s="2" t="s">
        <v>2455</v>
      </c>
      <c r="L747" s="2" t="s">
        <v>278</v>
      </c>
      <c r="M747" s="2" t="s">
        <v>2320</v>
      </c>
      <c r="N747" s="16">
        <v>1.44E-2</v>
      </c>
      <c r="O747" s="17">
        <f>N747*'Financial Inputs'!$B$3</f>
        <v>1440000</v>
      </c>
      <c r="P747" s="18">
        <f>IF(I747="L",'Financial Inputs'!$B$4,IF(I747="M",'Financial Inputs'!$B$5,'Financial Inputs'!$B$6))</f>
        <v>0.4</v>
      </c>
      <c r="Q747" s="17">
        <f>O747*P747</f>
        <v>576000</v>
      </c>
      <c r="R747" s="16">
        <f>'Financial Inputs'!$B$7</f>
        <v>0.35</v>
      </c>
      <c r="S747" s="17">
        <f>Q747*(1-R747)</f>
        <v>374400</v>
      </c>
      <c r="T747" s="18">
        <f>S747/'Financial Inputs'!$B$3</f>
        <v>3.7439999999999999E-3</v>
      </c>
      <c r="U747" s="9" t="s">
        <v>52</v>
      </c>
      <c r="V747" s="3" t="s">
        <v>53</v>
      </c>
    </row>
    <row r="748" spans="1:22">
      <c r="A748" s="2" t="s">
        <v>2456</v>
      </c>
      <c r="B748" s="2" t="s">
        <v>2457</v>
      </c>
      <c r="C748" s="2" t="s">
        <v>2317</v>
      </c>
      <c r="D748" s="2" t="s">
        <v>80</v>
      </c>
      <c r="E748" s="2" t="s">
        <v>65</v>
      </c>
      <c r="F748" s="2" t="s">
        <v>90</v>
      </c>
      <c r="G748" s="2" t="s">
        <v>162</v>
      </c>
      <c r="H748" s="2" t="s">
        <v>2318</v>
      </c>
      <c r="I748" s="2" t="s">
        <v>47</v>
      </c>
      <c r="J748" s="2" t="s">
        <v>48</v>
      </c>
      <c r="K748" s="2" t="s">
        <v>2458</v>
      </c>
      <c r="L748" s="2" t="s">
        <v>282</v>
      </c>
      <c r="M748" s="2" t="s">
        <v>2320</v>
      </c>
      <c r="N748" s="16">
        <v>1.6199999999999999E-2</v>
      </c>
      <c r="O748" s="17">
        <f>N748*'Financial Inputs'!$B$3</f>
        <v>1620000</v>
      </c>
      <c r="P748" s="18">
        <f>IF(I748="L",'Financial Inputs'!$B$4,IF(I748="M",'Financial Inputs'!$B$5,'Financial Inputs'!$B$6))</f>
        <v>0.4</v>
      </c>
      <c r="Q748" s="17">
        <f>O748*P748</f>
        <v>648000</v>
      </c>
      <c r="R748" s="16">
        <f>'Financial Inputs'!$B$7</f>
        <v>0.35</v>
      </c>
      <c r="S748" s="17">
        <f>Q748*(1-R748)</f>
        <v>421200</v>
      </c>
      <c r="T748" s="18">
        <f>S748/'Financial Inputs'!$B$3</f>
        <v>4.2119999999999996E-3</v>
      </c>
      <c r="U748" s="9" t="s">
        <v>52</v>
      </c>
      <c r="V748" s="3" t="s">
        <v>53</v>
      </c>
    </row>
    <row r="749" spans="1:22">
      <c r="A749" s="2" t="s">
        <v>2459</v>
      </c>
      <c r="B749" s="2" t="s">
        <v>2460</v>
      </c>
      <c r="C749" s="2" t="s">
        <v>2317</v>
      </c>
      <c r="D749" s="2" t="s">
        <v>127</v>
      </c>
      <c r="E749" s="2" t="s">
        <v>73</v>
      </c>
      <c r="F749" s="2" t="s">
        <v>97</v>
      </c>
      <c r="G749" s="2" t="s">
        <v>45</v>
      </c>
      <c r="H749" s="2" t="s">
        <v>2318</v>
      </c>
      <c r="I749" s="2" t="s">
        <v>47</v>
      </c>
      <c r="J749" s="2" t="s">
        <v>48</v>
      </c>
      <c r="K749" s="2" t="s">
        <v>2461</v>
      </c>
      <c r="L749" s="2" t="s">
        <v>286</v>
      </c>
      <c r="M749" s="2" t="s">
        <v>2320</v>
      </c>
      <c r="N749" s="16">
        <v>1.7999999999999999E-2</v>
      </c>
      <c r="O749" s="17">
        <f>N749*'Financial Inputs'!$B$3</f>
        <v>1799999.9999999998</v>
      </c>
      <c r="P749" s="18">
        <f>IF(I749="L",'Financial Inputs'!$B$4,IF(I749="M",'Financial Inputs'!$B$5,'Financial Inputs'!$B$6))</f>
        <v>0.4</v>
      </c>
      <c r="Q749" s="17">
        <f>O749*P749</f>
        <v>720000</v>
      </c>
      <c r="R749" s="16">
        <f>'Financial Inputs'!$B$7</f>
        <v>0.35</v>
      </c>
      <c r="S749" s="17">
        <f>Q749*(1-R749)</f>
        <v>468000</v>
      </c>
      <c r="T749" s="18">
        <f>S749/'Financial Inputs'!$B$3</f>
        <v>4.6800000000000001E-3</v>
      </c>
      <c r="U749" s="9" t="s">
        <v>52</v>
      </c>
      <c r="V749" s="3" t="s">
        <v>53</v>
      </c>
    </row>
    <row r="750" spans="1:22">
      <c r="A750" s="2" t="s">
        <v>2462</v>
      </c>
      <c r="B750" s="2" t="s">
        <v>2463</v>
      </c>
      <c r="C750" s="2" t="s">
        <v>2317</v>
      </c>
      <c r="D750" s="2" t="s">
        <v>133</v>
      </c>
      <c r="E750" s="2" t="s">
        <v>81</v>
      </c>
      <c r="F750" s="2" t="s">
        <v>104</v>
      </c>
      <c r="G750" s="2" t="s">
        <v>59</v>
      </c>
      <c r="H750" s="2" t="s">
        <v>2318</v>
      </c>
      <c r="I750" s="2" t="s">
        <v>47</v>
      </c>
      <c r="J750" s="2" t="s">
        <v>48</v>
      </c>
      <c r="K750" s="2" t="s">
        <v>2464</v>
      </c>
      <c r="L750" s="2" t="s">
        <v>290</v>
      </c>
      <c r="M750" s="2" t="s">
        <v>2320</v>
      </c>
      <c r="N750" s="16">
        <v>1.9800000000000002E-2</v>
      </c>
      <c r="O750" s="17">
        <f>N750*'Financial Inputs'!$B$3</f>
        <v>1980000.0000000002</v>
      </c>
      <c r="P750" s="18">
        <f>IF(I750="L",'Financial Inputs'!$B$4,IF(I750="M",'Financial Inputs'!$B$5,'Financial Inputs'!$B$6))</f>
        <v>0.4</v>
      </c>
      <c r="Q750" s="17">
        <f>O750*P750</f>
        <v>792000.00000000012</v>
      </c>
      <c r="R750" s="16">
        <f>'Financial Inputs'!$B$7</f>
        <v>0.35</v>
      </c>
      <c r="S750" s="17">
        <f>Q750*(1-R750)</f>
        <v>514800.00000000012</v>
      </c>
      <c r="T750" s="18">
        <f>S750/'Financial Inputs'!$B$3</f>
        <v>5.1480000000000015E-3</v>
      </c>
      <c r="U750" s="9" t="s">
        <v>52</v>
      </c>
      <c r="V750" s="3" t="s">
        <v>53</v>
      </c>
    </row>
    <row r="751" spans="1:22">
      <c r="A751" s="2" t="s">
        <v>2465</v>
      </c>
      <c r="B751" s="2" t="s">
        <v>2466</v>
      </c>
      <c r="C751" s="2" t="s">
        <v>2317</v>
      </c>
      <c r="D751" s="2" t="s">
        <v>88</v>
      </c>
      <c r="E751" s="2" t="s">
        <v>193</v>
      </c>
      <c r="F751" s="2" t="s">
        <v>110</v>
      </c>
      <c r="G751" s="2" t="s">
        <v>67</v>
      </c>
      <c r="H751" s="2" t="s">
        <v>2318</v>
      </c>
      <c r="I751" s="2" t="s">
        <v>47</v>
      </c>
      <c r="J751" s="2" t="s">
        <v>48</v>
      </c>
      <c r="K751" s="2" t="s">
        <v>2467</v>
      </c>
      <c r="L751" s="2" t="s">
        <v>294</v>
      </c>
      <c r="M751" s="2" t="s">
        <v>2320</v>
      </c>
      <c r="N751" s="16">
        <v>2.1600000000000001E-2</v>
      </c>
      <c r="O751" s="17">
        <f>N751*'Financial Inputs'!$B$3</f>
        <v>2160000</v>
      </c>
      <c r="P751" s="18">
        <f>IF(I751="L",'Financial Inputs'!$B$4,IF(I751="M",'Financial Inputs'!$B$5,'Financial Inputs'!$B$6))</f>
        <v>0.4</v>
      </c>
      <c r="Q751" s="17">
        <f>O751*P751</f>
        <v>864000</v>
      </c>
      <c r="R751" s="16">
        <f>'Financial Inputs'!$B$7</f>
        <v>0.35</v>
      </c>
      <c r="S751" s="17">
        <f>Q751*(1-R751)</f>
        <v>561600</v>
      </c>
      <c r="T751" s="18">
        <f>S751/'Financial Inputs'!$B$3</f>
        <v>5.6160000000000003E-3</v>
      </c>
      <c r="U751" s="9" t="s">
        <v>52</v>
      </c>
      <c r="V751" s="3" t="s">
        <v>53</v>
      </c>
    </row>
    <row r="752" spans="1:22">
      <c r="A752" s="2" t="s">
        <v>2468</v>
      </c>
      <c r="B752" s="2" t="s">
        <v>2469</v>
      </c>
      <c r="C752" s="2" t="s">
        <v>2317</v>
      </c>
      <c r="D752" s="2" t="s">
        <v>42</v>
      </c>
      <c r="E752" s="2" t="s">
        <v>96</v>
      </c>
      <c r="F752" s="2" t="s">
        <v>44</v>
      </c>
      <c r="G752" s="2" t="s">
        <v>45</v>
      </c>
      <c r="H752" s="2" t="s">
        <v>2318</v>
      </c>
      <c r="I752" s="2" t="s">
        <v>47</v>
      </c>
      <c r="J752" s="2" t="s">
        <v>48</v>
      </c>
      <c r="K752" s="2" t="s">
        <v>2470</v>
      </c>
      <c r="L752" s="2" t="s">
        <v>298</v>
      </c>
      <c r="M752" s="2" t="s">
        <v>2320</v>
      </c>
      <c r="N752" s="16">
        <v>1.44E-2</v>
      </c>
      <c r="O752" s="17">
        <f>N752*'Financial Inputs'!$B$3</f>
        <v>1440000</v>
      </c>
      <c r="P752" s="18">
        <f>IF(I752="L",'Financial Inputs'!$B$4,IF(I752="M",'Financial Inputs'!$B$5,'Financial Inputs'!$B$6))</f>
        <v>0.4</v>
      </c>
      <c r="Q752" s="17">
        <f>O752*P752</f>
        <v>576000</v>
      </c>
      <c r="R752" s="16">
        <f>'Financial Inputs'!$B$7</f>
        <v>0.35</v>
      </c>
      <c r="S752" s="17">
        <f>Q752*(1-R752)</f>
        <v>374400</v>
      </c>
      <c r="T752" s="18">
        <f>S752/'Financial Inputs'!$B$3</f>
        <v>3.7439999999999999E-3</v>
      </c>
      <c r="U752" s="9" t="s">
        <v>52</v>
      </c>
      <c r="V752" s="3" t="s">
        <v>53</v>
      </c>
    </row>
    <row r="753" spans="1:22">
      <c r="A753" s="2" t="s">
        <v>2471</v>
      </c>
      <c r="B753" s="2" t="s">
        <v>2472</v>
      </c>
      <c r="C753" s="2" t="s">
        <v>2317</v>
      </c>
      <c r="D753" s="2" t="s">
        <v>56</v>
      </c>
      <c r="E753" s="2" t="s">
        <v>103</v>
      </c>
      <c r="F753" s="2" t="s">
        <v>58</v>
      </c>
      <c r="G753" s="2" t="s">
        <v>59</v>
      </c>
      <c r="H753" s="2" t="s">
        <v>2318</v>
      </c>
      <c r="I753" s="2" t="s">
        <v>47</v>
      </c>
      <c r="J753" s="2" t="s">
        <v>48</v>
      </c>
      <c r="K753" s="2" t="s">
        <v>2473</v>
      </c>
      <c r="L753" s="2" t="s">
        <v>302</v>
      </c>
      <c r="M753" s="2" t="s">
        <v>2320</v>
      </c>
      <c r="N753" s="16">
        <v>1.6199999999999999E-2</v>
      </c>
      <c r="O753" s="17">
        <f>N753*'Financial Inputs'!$B$3</f>
        <v>1620000</v>
      </c>
      <c r="P753" s="18">
        <f>IF(I753="L",'Financial Inputs'!$B$4,IF(I753="M",'Financial Inputs'!$B$5,'Financial Inputs'!$B$6))</f>
        <v>0.4</v>
      </c>
      <c r="Q753" s="17">
        <f>O753*P753</f>
        <v>648000</v>
      </c>
      <c r="R753" s="16">
        <f>'Financial Inputs'!$B$7</f>
        <v>0.35</v>
      </c>
      <c r="S753" s="17">
        <f>Q753*(1-R753)</f>
        <v>421200</v>
      </c>
      <c r="T753" s="18">
        <f>S753/'Financial Inputs'!$B$3</f>
        <v>4.2119999999999996E-3</v>
      </c>
      <c r="U753" s="9" t="s">
        <v>52</v>
      </c>
      <c r="V753" s="3" t="s">
        <v>53</v>
      </c>
    </row>
    <row r="754" spans="1:22">
      <c r="A754" s="2" t="s">
        <v>2474</v>
      </c>
      <c r="B754" s="2" t="s">
        <v>2475</v>
      </c>
      <c r="C754" s="2" t="s">
        <v>2317</v>
      </c>
      <c r="D754" s="2" t="s">
        <v>64</v>
      </c>
      <c r="E754" s="2" t="s">
        <v>109</v>
      </c>
      <c r="F754" s="2" t="s">
        <v>66</v>
      </c>
      <c r="G754" s="2" t="s">
        <v>67</v>
      </c>
      <c r="H754" s="2" t="s">
        <v>2318</v>
      </c>
      <c r="I754" s="2" t="s">
        <v>47</v>
      </c>
      <c r="J754" s="2" t="s">
        <v>48</v>
      </c>
      <c r="K754" s="2" t="s">
        <v>2476</v>
      </c>
      <c r="L754" s="2" t="s">
        <v>306</v>
      </c>
      <c r="M754" s="2" t="s">
        <v>2320</v>
      </c>
      <c r="N754" s="16">
        <v>1.7999999999999999E-2</v>
      </c>
      <c r="O754" s="17">
        <f>N754*'Financial Inputs'!$B$3</f>
        <v>1799999.9999999998</v>
      </c>
      <c r="P754" s="18">
        <f>IF(I754="L",'Financial Inputs'!$B$4,IF(I754="M",'Financial Inputs'!$B$5,'Financial Inputs'!$B$6))</f>
        <v>0.4</v>
      </c>
      <c r="Q754" s="17">
        <f>O754*P754</f>
        <v>720000</v>
      </c>
      <c r="R754" s="16">
        <f>'Financial Inputs'!$B$7</f>
        <v>0.35</v>
      </c>
      <c r="S754" s="17">
        <f>Q754*(1-R754)</f>
        <v>468000</v>
      </c>
      <c r="T754" s="18">
        <f>S754/'Financial Inputs'!$B$3</f>
        <v>4.6800000000000001E-3</v>
      </c>
      <c r="U754" s="9" t="s">
        <v>52</v>
      </c>
      <c r="V754" s="3" t="s">
        <v>53</v>
      </c>
    </row>
    <row r="755" spans="1:22">
      <c r="A755" s="2" t="s">
        <v>2477</v>
      </c>
      <c r="B755" s="2" t="s">
        <v>2478</v>
      </c>
      <c r="C755" s="2" t="s">
        <v>2317</v>
      </c>
      <c r="D755" s="2" t="s">
        <v>72</v>
      </c>
      <c r="E755" s="2" t="s">
        <v>116</v>
      </c>
      <c r="F755" s="2" t="s">
        <v>74</v>
      </c>
      <c r="G755" s="2" t="s">
        <v>75</v>
      </c>
      <c r="H755" s="2" t="s">
        <v>2318</v>
      </c>
      <c r="I755" s="2" t="s">
        <v>47</v>
      </c>
      <c r="J755" s="2" t="s">
        <v>48</v>
      </c>
      <c r="K755" s="2" t="s">
        <v>2479</v>
      </c>
      <c r="L755" s="2" t="s">
        <v>310</v>
      </c>
      <c r="M755" s="2" t="s">
        <v>2320</v>
      </c>
      <c r="N755" s="16">
        <v>1.9800000000000002E-2</v>
      </c>
      <c r="O755" s="17">
        <f>N755*'Financial Inputs'!$B$3</f>
        <v>1980000.0000000002</v>
      </c>
      <c r="P755" s="18">
        <f>IF(I755="L",'Financial Inputs'!$B$4,IF(I755="M",'Financial Inputs'!$B$5,'Financial Inputs'!$B$6))</f>
        <v>0.4</v>
      </c>
      <c r="Q755" s="17">
        <f>O755*P755</f>
        <v>792000.00000000012</v>
      </c>
      <c r="R755" s="16">
        <f>'Financial Inputs'!$B$7</f>
        <v>0.35</v>
      </c>
      <c r="S755" s="17">
        <f>Q755*(1-R755)</f>
        <v>514800.00000000012</v>
      </c>
      <c r="T755" s="18">
        <f>S755/'Financial Inputs'!$B$3</f>
        <v>5.1480000000000015E-3</v>
      </c>
      <c r="U755" s="9" t="s">
        <v>52</v>
      </c>
      <c r="V755" s="3" t="s">
        <v>53</v>
      </c>
    </row>
    <row r="756" spans="1:22">
      <c r="A756" s="2" t="s">
        <v>2480</v>
      </c>
      <c r="B756" s="2" t="s">
        <v>2481</v>
      </c>
      <c r="C756" s="2" t="s">
        <v>2317</v>
      </c>
      <c r="D756" s="2" t="s">
        <v>80</v>
      </c>
      <c r="E756" s="2" t="s">
        <v>215</v>
      </c>
      <c r="F756" s="2" t="s">
        <v>82</v>
      </c>
      <c r="G756" s="2" t="s">
        <v>83</v>
      </c>
      <c r="H756" s="2" t="s">
        <v>2318</v>
      </c>
      <c r="I756" s="2" t="s">
        <v>47</v>
      </c>
      <c r="J756" s="2" t="s">
        <v>48</v>
      </c>
      <c r="K756" s="2" t="s">
        <v>2482</v>
      </c>
      <c r="L756" s="2" t="s">
        <v>314</v>
      </c>
      <c r="M756" s="2" t="s">
        <v>2320</v>
      </c>
      <c r="N756" s="16">
        <v>2.1600000000000001E-2</v>
      </c>
      <c r="O756" s="17">
        <f>N756*'Financial Inputs'!$B$3</f>
        <v>2160000</v>
      </c>
      <c r="P756" s="18">
        <f>IF(I756="L",'Financial Inputs'!$B$4,IF(I756="M",'Financial Inputs'!$B$5,'Financial Inputs'!$B$6))</f>
        <v>0.4</v>
      </c>
      <c r="Q756" s="17">
        <f>O756*P756</f>
        <v>864000</v>
      </c>
      <c r="R756" s="16">
        <f>'Financial Inputs'!$B$7</f>
        <v>0.35</v>
      </c>
      <c r="S756" s="17">
        <f>Q756*(1-R756)</f>
        <v>561600</v>
      </c>
      <c r="T756" s="18">
        <f>S756/'Financial Inputs'!$B$3</f>
        <v>5.6160000000000003E-3</v>
      </c>
      <c r="U756" s="9" t="s">
        <v>52</v>
      </c>
      <c r="V756" s="3" t="s">
        <v>53</v>
      </c>
    </row>
    <row r="757" spans="1:22">
      <c r="A757" s="2" t="s">
        <v>2483</v>
      </c>
      <c r="B757" s="2" t="s">
        <v>2484</v>
      </c>
      <c r="C757" s="2" t="s">
        <v>2317</v>
      </c>
      <c r="D757" s="2" t="s">
        <v>88</v>
      </c>
      <c r="E757" s="2" t="s">
        <v>128</v>
      </c>
      <c r="F757" s="2" t="s">
        <v>90</v>
      </c>
      <c r="G757" s="2" t="s">
        <v>67</v>
      </c>
      <c r="H757" s="2" t="s">
        <v>2318</v>
      </c>
      <c r="I757" s="2" t="s">
        <v>47</v>
      </c>
      <c r="J757" s="2" t="s">
        <v>48</v>
      </c>
      <c r="K757" s="2" t="s">
        <v>2485</v>
      </c>
      <c r="L757" s="2" t="s">
        <v>318</v>
      </c>
      <c r="M757" s="2" t="s">
        <v>2320</v>
      </c>
      <c r="N757" s="16">
        <v>1.44E-2</v>
      </c>
      <c r="O757" s="17">
        <f>N757*'Financial Inputs'!$B$3</f>
        <v>1440000</v>
      </c>
      <c r="P757" s="18">
        <f>IF(I757="L",'Financial Inputs'!$B$4,IF(I757="M",'Financial Inputs'!$B$5,'Financial Inputs'!$B$6))</f>
        <v>0.4</v>
      </c>
      <c r="Q757" s="17">
        <f>O757*P757</f>
        <v>576000</v>
      </c>
      <c r="R757" s="16">
        <f>'Financial Inputs'!$B$7</f>
        <v>0.35</v>
      </c>
      <c r="S757" s="17">
        <f>Q757*(1-R757)</f>
        <v>374400</v>
      </c>
      <c r="T757" s="18">
        <f>S757/'Financial Inputs'!$B$3</f>
        <v>3.7439999999999999E-3</v>
      </c>
      <c r="U757" s="9" t="s">
        <v>52</v>
      </c>
      <c r="V757" s="3" t="s">
        <v>53</v>
      </c>
    </row>
    <row r="758" spans="1:22">
      <c r="A758" s="2" t="s">
        <v>2486</v>
      </c>
      <c r="B758" s="2" t="s">
        <v>2487</v>
      </c>
      <c r="C758" s="2" t="s">
        <v>2317</v>
      </c>
      <c r="D758" s="2" t="s">
        <v>95</v>
      </c>
      <c r="E758" s="2" t="s">
        <v>43</v>
      </c>
      <c r="F758" s="2" t="s">
        <v>97</v>
      </c>
      <c r="G758" s="2" t="s">
        <v>75</v>
      </c>
      <c r="H758" s="2" t="s">
        <v>2318</v>
      </c>
      <c r="I758" s="2" t="s">
        <v>47</v>
      </c>
      <c r="J758" s="2" t="s">
        <v>48</v>
      </c>
      <c r="K758" s="2" t="s">
        <v>2488</v>
      </c>
      <c r="L758" s="2" t="s">
        <v>322</v>
      </c>
      <c r="M758" s="2" t="s">
        <v>2320</v>
      </c>
      <c r="N758" s="16">
        <v>1.6199999999999999E-2</v>
      </c>
      <c r="O758" s="17">
        <f>N758*'Financial Inputs'!$B$3</f>
        <v>1620000</v>
      </c>
      <c r="P758" s="18">
        <f>IF(I758="L",'Financial Inputs'!$B$4,IF(I758="M",'Financial Inputs'!$B$5,'Financial Inputs'!$B$6))</f>
        <v>0.4</v>
      </c>
      <c r="Q758" s="17">
        <f>O758*P758</f>
        <v>648000</v>
      </c>
      <c r="R758" s="16">
        <f>'Financial Inputs'!$B$7</f>
        <v>0.35</v>
      </c>
      <c r="S758" s="17">
        <f>Q758*(1-R758)</f>
        <v>421200</v>
      </c>
      <c r="T758" s="18">
        <f>S758/'Financial Inputs'!$B$3</f>
        <v>4.2119999999999996E-3</v>
      </c>
      <c r="U758" s="9" t="s">
        <v>52</v>
      </c>
      <c r="V758" s="3" t="s">
        <v>53</v>
      </c>
    </row>
    <row r="759" spans="1:22">
      <c r="A759" s="2" t="s">
        <v>2489</v>
      </c>
      <c r="B759" s="2" t="s">
        <v>2490</v>
      </c>
      <c r="C759" s="2" t="s">
        <v>2317</v>
      </c>
      <c r="D759" s="2" t="s">
        <v>102</v>
      </c>
      <c r="E759" s="2" t="s">
        <v>57</v>
      </c>
      <c r="F759" s="2" t="s">
        <v>104</v>
      </c>
      <c r="G759" s="2" t="s">
        <v>83</v>
      </c>
      <c r="H759" s="2" t="s">
        <v>2318</v>
      </c>
      <c r="I759" s="2" t="s">
        <v>47</v>
      </c>
      <c r="J759" s="2" t="s">
        <v>48</v>
      </c>
      <c r="K759" s="2" t="s">
        <v>2491</v>
      </c>
      <c r="L759" s="2" t="s">
        <v>326</v>
      </c>
      <c r="M759" s="2" t="s">
        <v>2320</v>
      </c>
      <c r="N759" s="16">
        <v>1.7999999999999999E-2</v>
      </c>
      <c r="O759" s="17">
        <f>N759*'Financial Inputs'!$B$3</f>
        <v>1799999.9999999998</v>
      </c>
      <c r="P759" s="18">
        <f>IF(I759="L",'Financial Inputs'!$B$4,IF(I759="M",'Financial Inputs'!$B$5,'Financial Inputs'!$B$6))</f>
        <v>0.4</v>
      </c>
      <c r="Q759" s="17">
        <f>O759*P759</f>
        <v>720000</v>
      </c>
      <c r="R759" s="16">
        <f>'Financial Inputs'!$B$7</f>
        <v>0.35</v>
      </c>
      <c r="S759" s="17">
        <f>Q759*(1-R759)</f>
        <v>468000</v>
      </c>
      <c r="T759" s="18">
        <f>S759/'Financial Inputs'!$B$3</f>
        <v>4.6800000000000001E-3</v>
      </c>
      <c r="U759" s="9" t="s">
        <v>52</v>
      </c>
      <c r="V759" s="3" t="s">
        <v>53</v>
      </c>
    </row>
    <row r="760" spans="1:22">
      <c r="A760" s="2" t="s">
        <v>2492</v>
      </c>
      <c r="B760" s="2" t="s">
        <v>2493</v>
      </c>
      <c r="C760" s="2" t="s">
        <v>2317</v>
      </c>
      <c r="D760" s="2" t="s">
        <v>42</v>
      </c>
      <c r="E760" s="2" t="s">
        <v>65</v>
      </c>
      <c r="F760" s="2" t="s">
        <v>110</v>
      </c>
      <c r="G760" s="2" t="s">
        <v>111</v>
      </c>
      <c r="H760" s="2" t="s">
        <v>2318</v>
      </c>
      <c r="I760" s="2" t="s">
        <v>47</v>
      </c>
      <c r="J760" s="2" t="s">
        <v>48</v>
      </c>
      <c r="K760" s="2" t="s">
        <v>2494</v>
      </c>
      <c r="L760" s="2" t="s">
        <v>330</v>
      </c>
      <c r="M760" s="2" t="s">
        <v>2320</v>
      </c>
      <c r="N760" s="16">
        <v>1.9800000000000002E-2</v>
      </c>
      <c r="O760" s="17">
        <f>N760*'Financial Inputs'!$B$3</f>
        <v>1980000.0000000002</v>
      </c>
      <c r="P760" s="18">
        <f>IF(I760="L",'Financial Inputs'!$B$4,IF(I760="M",'Financial Inputs'!$B$5,'Financial Inputs'!$B$6))</f>
        <v>0.4</v>
      </c>
      <c r="Q760" s="17">
        <f>O760*P760</f>
        <v>792000.00000000012</v>
      </c>
      <c r="R760" s="16">
        <f>'Financial Inputs'!$B$7</f>
        <v>0.35</v>
      </c>
      <c r="S760" s="17">
        <f>Q760*(1-R760)</f>
        <v>514800.00000000012</v>
      </c>
      <c r="T760" s="18">
        <f>S760/'Financial Inputs'!$B$3</f>
        <v>5.1480000000000015E-3</v>
      </c>
      <c r="U760" s="9" t="s">
        <v>52</v>
      </c>
      <c r="V760" s="3" t="s">
        <v>53</v>
      </c>
    </row>
    <row r="761" spans="1:22">
      <c r="A761" s="2" t="s">
        <v>2495</v>
      </c>
      <c r="B761" s="2" t="s">
        <v>2496</v>
      </c>
      <c r="C761" s="2" t="s">
        <v>2317</v>
      </c>
      <c r="D761" s="2" t="s">
        <v>56</v>
      </c>
      <c r="E761" s="2" t="s">
        <v>73</v>
      </c>
      <c r="F761" s="2" t="s">
        <v>117</v>
      </c>
      <c r="G761" s="2" t="s">
        <v>56</v>
      </c>
      <c r="H761" s="2" t="s">
        <v>2318</v>
      </c>
      <c r="I761" s="2" t="s">
        <v>47</v>
      </c>
      <c r="J761" s="2" t="s">
        <v>48</v>
      </c>
      <c r="K761" s="2" t="s">
        <v>2497</v>
      </c>
      <c r="L761" s="2" t="s">
        <v>334</v>
      </c>
      <c r="M761" s="2" t="s">
        <v>2320</v>
      </c>
      <c r="N761" s="16">
        <v>2.1600000000000001E-2</v>
      </c>
      <c r="O761" s="17">
        <f>N761*'Financial Inputs'!$B$3</f>
        <v>2160000</v>
      </c>
      <c r="P761" s="18">
        <f>IF(I761="L",'Financial Inputs'!$B$4,IF(I761="M",'Financial Inputs'!$B$5,'Financial Inputs'!$B$6))</f>
        <v>0.4</v>
      </c>
      <c r="Q761" s="17">
        <f>O761*P761</f>
        <v>864000</v>
      </c>
      <c r="R761" s="16">
        <f>'Financial Inputs'!$B$7</f>
        <v>0.35</v>
      </c>
      <c r="S761" s="17">
        <f>Q761*(1-R761)</f>
        <v>561600</v>
      </c>
      <c r="T761" s="18">
        <f>S761/'Financial Inputs'!$B$3</f>
        <v>5.6160000000000003E-3</v>
      </c>
      <c r="U761" s="9" t="s">
        <v>52</v>
      </c>
      <c r="V761" s="3" t="s">
        <v>53</v>
      </c>
    </row>
    <row r="762" spans="1:22">
      <c r="A762" s="2" t="s">
        <v>2498</v>
      </c>
      <c r="B762" s="2" t="s">
        <v>2499</v>
      </c>
      <c r="C762" s="2" t="s">
        <v>2317</v>
      </c>
      <c r="D762" s="2" t="s">
        <v>80</v>
      </c>
      <c r="E762" s="2" t="s">
        <v>153</v>
      </c>
      <c r="F762" s="2" t="s">
        <v>58</v>
      </c>
      <c r="G762" s="2" t="s">
        <v>83</v>
      </c>
      <c r="H762" s="2" t="s">
        <v>2318</v>
      </c>
      <c r="I762" s="2" t="s">
        <v>47</v>
      </c>
      <c r="J762" s="2" t="s">
        <v>48</v>
      </c>
      <c r="K762" s="2" t="s">
        <v>2500</v>
      </c>
      <c r="L762" s="2" t="s">
        <v>338</v>
      </c>
      <c r="M762" s="2" t="s">
        <v>2320</v>
      </c>
      <c r="N762" s="16">
        <v>1.44E-2</v>
      </c>
      <c r="O762" s="17">
        <f>N762*'Financial Inputs'!$B$3</f>
        <v>1440000</v>
      </c>
      <c r="P762" s="18">
        <f>IF(I762="L",'Financial Inputs'!$B$4,IF(I762="M",'Financial Inputs'!$B$5,'Financial Inputs'!$B$6))</f>
        <v>0.4</v>
      </c>
      <c r="Q762" s="17">
        <f>O762*P762</f>
        <v>576000</v>
      </c>
      <c r="R762" s="16">
        <f>'Financial Inputs'!$B$7</f>
        <v>0.35</v>
      </c>
      <c r="S762" s="17">
        <f>Q762*(1-R762)</f>
        <v>374400</v>
      </c>
      <c r="T762" s="18">
        <f>S762/'Financial Inputs'!$B$3</f>
        <v>3.7439999999999999E-3</v>
      </c>
      <c r="U762" s="9" t="s">
        <v>52</v>
      </c>
      <c r="V762" s="3" t="s">
        <v>53</v>
      </c>
    </row>
    <row r="763" spans="1:22">
      <c r="A763" s="2" t="s">
        <v>2501</v>
      </c>
      <c r="B763" s="2" t="s">
        <v>2502</v>
      </c>
      <c r="C763" s="2" t="s">
        <v>2317</v>
      </c>
      <c r="D763" s="2" t="s">
        <v>127</v>
      </c>
      <c r="E763" s="2" t="s">
        <v>89</v>
      </c>
      <c r="F763" s="2" t="s">
        <v>66</v>
      </c>
      <c r="G763" s="2" t="s">
        <v>111</v>
      </c>
      <c r="H763" s="2" t="s">
        <v>2318</v>
      </c>
      <c r="I763" s="2" t="s">
        <v>47</v>
      </c>
      <c r="J763" s="2" t="s">
        <v>48</v>
      </c>
      <c r="K763" s="2" t="s">
        <v>2503</v>
      </c>
      <c r="L763" s="2" t="s">
        <v>342</v>
      </c>
      <c r="M763" s="2" t="s">
        <v>2320</v>
      </c>
      <c r="N763" s="16">
        <v>1.6199999999999999E-2</v>
      </c>
      <c r="O763" s="17">
        <f>N763*'Financial Inputs'!$B$3</f>
        <v>1620000</v>
      </c>
      <c r="P763" s="18">
        <f>IF(I763="L",'Financial Inputs'!$B$4,IF(I763="M",'Financial Inputs'!$B$5,'Financial Inputs'!$B$6))</f>
        <v>0.4</v>
      </c>
      <c r="Q763" s="17">
        <f>O763*P763</f>
        <v>648000</v>
      </c>
      <c r="R763" s="16">
        <f>'Financial Inputs'!$B$7</f>
        <v>0.35</v>
      </c>
      <c r="S763" s="17">
        <f>Q763*(1-R763)</f>
        <v>421200</v>
      </c>
      <c r="T763" s="18">
        <f>S763/'Financial Inputs'!$B$3</f>
        <v>4.2119999999999996E-3</v>
      </c>
      <c r="U763" s="9" t="s">
        <v>52</v>
      </c>
      <c r="V763" s="3" t="s">
        <v>53</v>
      </c>
    </row>
    <row r="764" spans="1:22">
      <c r="A764" s="2" t="s">
        <v>2504</v>
      </c>
      <c r="B764" s="2" t="s">
        <v>2505</v>
      </c>
      <c r="C764" s="2" t="s">
        <v>2317</v>
      </c>
      <c r="D764" s="2" t="s">
        <v>133</v>
      </c>
      <c r="E764" s="2" t="s">
        <v>96</v>
      </c>
      <c r="F764" s="2" t="s">
        <v>74</v>
      </c>
      <c r="G764" s="2" t="s">
        <v>56</v>
      </c>
      <c r="H764" s="2" t="s">
        <v>2318</v>
      </c>
      <c r="I764" s="2" t="s">
        <v>47</v>
      </c>
      <c r="J764" s="2" t="s">
        <v>48</v>
      </c>
      <c r="K764" s="2" t="s">
        <v>2506</v>
      </c>
      <c r="L764" s="2" t="s">
        <v>346</v>
      </c>
      <c r="M764" s="2" t="s">
        <v>2320</v>
      </c>
      <c r="N764" s="16">
        <v>1.7999999999999999E-2</v>
      </c>
      <c r="O764" s="17">
        <f>N764*'Financial Inputs'!$B$3</f>
        <v>1799999.9999999998</v>
      </c>
      <c r="P764" s="18">
        <f>IF(I764="L",'Financial Inputs'!$B$4,IF(I764="M",'Financial Inputs'!$B$5,'Financial Inputs'!$B$6))</f>
        <v>0.4</v>
      </c>
      <c r="Q764" s="17">
        <f>O764*P764</f>
        <v>720000</v>
      </c>
      <c r="R764" s="16">
        <f>'Financial Inputs'!$B$7</f>
        <v>0.35</v>
      </c>
      <c r="S764" s="17">
        <f>Q764*(1-R764)</f>
        <v>468000</v>
      </c>
      <c r="T764" s="18">
        <f>S764/'Financial Inputs'!$B$3</f>
        <v>4.6800000000000001E-3</v>
      </c>
      <c r="U764" s="9" t="s">
        <v>52</v>
      </c>
      <c r="V764" s="3" t="s">
        <v>53</v>
      </c>
    </row>
    <row r="765" spans="1:22">
      <c r="A765" s="2" t="s">
        <v>2507</v>
      </c>
      <c r="B765" s="2" t="s">
        <v>2508</v>
      </c>
      <c r="C765" s="2" t="s">
        <v>2317</v>
      </c>
      <c r="D765" s="2" t="s">
        <v>88</v>
      </c>
      <c r="E765" s="2" t="s">
        <v>103</v>
      </c>
      <c r="F765" s="2" t="s">
        <v>82</v>
      </c>
      <c r="G765" s="2" t="s">
        <v>138</v>
      </c>
      <c r="H765" s="2" t="s">
        <v>2318</v>
      </c>
      <c r="I765" s="2" t="s">
        <v>47</v>
      </c>
      <c r="J765" s="2" t="s">
        <v>48</v>
      </c>
      <c r="K765" s="2" t="s">
        <v>2509</v>
      </c>
      <c r="L765" s="2" t="s">
        <v>350</v>
      </c>
      <c r="M765" s="2" t="s">
        <v>2320</v>
      </c>
      <c r="N765" s="16">
        <v>1.9800000000000002E-2</v>
      </c>
      <c r="O765" s="17">
        <f>N765*'Financial Inputs'!$B$3</f>
        <v>1980000.0000000002</v>
      </c>
      <c r="P765" s="18">
        <f>IF(I765="L",'Financial Inputs'!$B$4,IF(I765="M",'Financial Inputs'!$B$5,'Financial Inputs'!$B$6))</f>
        <v>0.4</v>
      </c>
      <c r="Q765" s="17">
        <f>O765*P765</f>
        <v>792000.00000000012</v>
      </c>
      <c r="R765" s="16">
        <f>'Financial Inputs'!$B$7</f>
        <v>0.35</v>
      </c>
      <c r="S765" s="17">
        <f>Q765*(1-R765)</f>
        <v>514800.00000000012</v>
      </c>
      <c r="T765" s="18">
        <f>S765/'Financial Inputs'!$B$3</f>
        <v>5.1480000000000015E-3</v>
      </c>
      <c r="U765" s="9" t="s">
        <v>52</v>
      </c>
      <c r="V765" s="3" t="s">
        <v>53</v>
      </c>
    </row>
    <row r="766" spans="1:22">
      <c r="A766" s="2" t="s">
        <v>2510</v>
      </c>
      <c r="B766" s="2" t="s">
        <v>2511</v>
      </c>
      <c r="C766" s="2" t="s">
        <v>2317</v>
      </c>
      <c r="D766" s="2" t="s">
        <v>95</v>
      </c>
      <c r="E766" s="2" t="s">
        <v>109</v>
      </c>
      <c r="F766" s="2" t="s">
        <v>44</v>
      </c>
      <c r="G766" s="2" t="s">
        <v>143</v>
      </c>
      <c r="H766" s="2" t="s">
        <v>2318</v>
      </c>
      <c r="I766" s="2" t="s">
        <v>47</v>
      </c>
      <c r="J766" s="2" t="s">
        <v>48</v>
      </c>
      <c r="K766" s="2" t="s">
        <v>2512</v>
      </c>
      <c r="L766" s="2" t="s">
        <v>354</v>
      </c>
      <c r="M766" s="2" t="s">
        <v>2320</v>
      </c>
      <c r="N766" s="16">
        <v>2.1600000000000001E-2</v>
      </c>
      <c r="O766" s="17">
        <f>N766*'Financial Inputs'!$B$3</f>
        <v>2160000</v>
      </c>
      <c r="P766" s="18">
        <f>IF(I766="L",'Financial Inputs'!$B$4,IF(I766="M",'Financial Inputs'!$B$5,'Financial Inputs'!$B$6))</f>
        <v>0.4</v>
      </c>
      <c r="Q766" s="17">
        <f>O766*P766</f>
        <v>864000</v>
      </c>
      <c r="R766" s="16">
        <f>'Financial Inputs'!$B$7</f>
        <v>0.35</v>
      </c>
      <c r="S766" s="17">
        <f>Q766*(1-R766)</f>
        <v>561600</v>
      </c>
      <c r="T766" s="18">
        <f>S766/'Financial Inputs'!$B$3</f>
        <v>5.6160000000000003E-3</v>
      </c>
      <c r="U766" s="9" t="s">
        <v>52</v>
      </c>
      <c r="V766" s="3" t="s">
        <v>53</v>
      </c>
    </row>
    <row r="767" spans="1:22">
      <c r="A767" s="2" t="s">
        <v>2513</v>
      </c>
      <c r="B767" s="2" t="s">
        <v>2514</v>
      </c>
      <c r="C767" s="2" t="s">
        <v>2317</v>
      </c>
      <c r="D767" s="2" t="s">
        <v>56</v>
      </c>
      <c r="E767" s="2" t="s">
        <v>176</v>
      </c>
      <c r="F767" s="2" t="s">
        <v>97</v>
      </c>
      <c r="G767" s="2" t="s">
        <v>56</v>
      </c>
      <c r="H767" s="2" t="s">
        <v>2318</v>
      </c>
      <c r="I767" s="2" t="s">
        <v>47</v>
      </c>
      <c r="J767" s="2" t="s">
        <v>48</v>
      </c>
      <c r="K767" s="2" t="s">
        <v>2515</v>
      </c>
      <c r="L767" s="2" t="s">
        <v>358</v>
      </c>
      <c r="M767" s="2" t="s">
        <v>2320</v>
      </c>
      <c r="N767" s="16">
        <v>1.44E-2</v>
      </c>
      <c r="O767" s="17">
        <f>N767*'Financial Inputs'!$B$3</f>
        <v>1440000</v>
      </c>
      <c r="P767" s="18">
        <f>IF(I767="L",'Financial Inputs'!$B$4,IF(I767="M",'Financial Inputs'!$B$5,'Financial Inputs'!$B$6))</f>
        <v>0.4</v>
      </c>
      <c r="Q767" s="17">
        <f>O767*P767</f>
        <v>576000</v>
      </c>
      <c r="R767" s="16">
        <f>'Financial Inputs'!$B$7</f>
        <v>0.35</v>
      </c>
      <c r="S767" s="17">
        <f>Q767*(1-R767)</f>
        <v>374400</v>
      </c>
      <c r="T767" s="18">
        <f>S767/'Financial Inputs'!$B$3</f>
        <v>3.7439999999999999E-3</v>
      </c>
      <c r="U767" s="9" t="s">
        <v>52</v>
      </c>
      <c r="V767" s="3" t="s">
        <v>53</v>
      </c>
    </row>
    <row r="768" spans="1:22">
      <c r="A768" s="2" t="s">
        <v>2516</v>
      </c>
      <c r="B768" s="2" t="s">
        <v>2517</v>
      </c>
      <c r="C768" s="2" t="s">
        <v>2317</v>
      </c>
      <c r="D768" s="2" t="s">
        <v>64</v>
      </c>
      <c r="E768" s="2" t="s">
        <v>122</v>
      </c>
      <c r="F768" s="2" t="s">
        <v>104</v>
      </c>
      <c r="G768" s="2" t="s">
        <v>138</v>
      </c>
      <c r="H768" s="2" t="s">
        <v>2318</v>
      </c>
      <c r="I768" s="2" t="s">
        <v>47</v>
      </c>
      <c r="J768" s="2" t="s">
        <v>48</v>
      </c>
      <c r="K768" s="2" t="s">
        <v>2518</v>
      </c>
      <c r="L768" s="2" t="s">
        <v>362</v>
      </c>
      <c r="M768" s="2" t="s">
        <v>2320</v>
      </c>
      <c r="N768" s="16">
        <v>1.6199999999999999E-2</v>
      </c>
      <c r="O768" s="17">
        <f>N768*'Financial Inputs'!$B$3</f>
        <v>1620000</v>
      </c>
      <c r="P768" s="18">
        <f>IF(I768="L",'Financial Inputs'!$B$4,IF(I768="M",'Financial Inputs'!$B$5,'Financial Inputs'!$B$6))</f>
        <v>0.4</v>
      </c>
      <c r="Q768" s="17">
        <f>O768*P768</f>
        <v>648000</v>
      </c>
      <c r="R768" s="16">
        <f>'Financial Inputs'!$B$7</f>
        <v>0.35</v>
      </c>
      <c r="S768" s="17">
        <f>Q768*(1-R768)</f>
        <v>421200</v>
      </c>
      <c r="T768" s="18">
        <f>S768/'Financial Inputs'!$B$3</f>
        <v>4.2119999999999996E-3</v>
      </c>
      <c r="U768" s="9" t="s">
        <v>52</v>
      </c>
      <c r="V768" s="3" t="s">
        <v>53</v>
      </c>
    </row>
    <row r="769" spans="1:22">
      <c r="A769" s="2" t="s">
        <v>2519</v>
      </c>
      <c r="B769" s="2" t="s">
        <v>2520</v>
      </c>
      <c r="C769" s="2" t="s">
        <v>2317</v>
      </c>
      <c r="D769" s="2" t="s">
        <v>72</v>
      </c>
      <c r="E769" s="2" t="s">
        <v>128</v>
      </c>
      <c r="F769" s="2" t="s">
        <v>110</v>
      </c>
      <c r="G769" s="2" t="s">
        <v>143</v>
      </c>
      <c r="H769" s="2" t="s">
        <v>2318</v>
      </c>
      <c r="I769" s="2" t="s">
        <v>47</v>
      </c>
      <c r="J769" s="2" t="s">
        <v>48</v>
      </c>
      <c r="K769" s="2" t="s">
        <v>2521</v>
      </c>
      <c r="L769" s="2" t="s">
        <v>366</v>
      </c>
      <c r="M769" s="2" t="s">
        <v>2320</v>
      </c>
      <c r="N769" s="16">
        <v>1.7999999999999999E-2</v>
      </c>
      <c r="O769" s="17">
        <f>N769*'Financial Inputs'!$B$3</f>
        <v>1799999.9999999998</v>
      </c>
      <c r="P769" s="18">
        <f>IF(I769="L",'Financial Inputs'!$B$4,IF(I769="M",'Financial Inputs'!$B$5,'Financial Inputs'!$B$6))</f>
        <v>0.4</v>
      </c>
      <c r="Q769" s="17">
        <f>O769*P769</f>
        <v>720000</v>
      </c>
      <c r="R769" s="16">
        <f>'Financial Inputs'!$B$7</f>
        <v>0.35</v>
      </c>
      <c r="S769" s="17">
        <f>Q769*(1-R769)</f>
        <v>468000</v>
      </c>
      <c r="T769" s="18">
        <f>S769/'Financial Inputs'!$B$3</f>
        <v>4.6800000000000001E-3</v>
      </c>
      <c r="U769" s="9" t="s">
        <v>52</v>
      </c>
      <c r="V769" s="3" t="s">
        <v>53</v>
      </c>
    </row>
    <row r="770" spans="1:22">
      <c r="A770" s="2" t="s">
        <v>2522</v>
      </c>
      <c r="B770" s="2" t="s">
        <v>2523</v>
      </c>
      <c r="C770" s="2" t="s">
        <v>2317</v>
      </c>
      <c r="D770" s="2" t="s">
        <v>80</v>
      </c>
      <c r="E770" s="2" t="s">
        <v>43</v>
      </c>
      <c r="F770" s="2" t="s">
        <v>117</v>
      </c>
      <c r="G770" s="2" t="s">
        <v>162</v>
      </c>
      <c r="H770" s="2" t="s">
        <v>2318</v>
      </c>
      <c r="I770" s="2" t="s">
        <v>47</v>
      </c>
      <c r="J770" s="2" t="s">
        <v>48</v>
      </c>
      <c r="K770" s="2" t="s">
        <v>2524</v>
      </c>
      <c r="L770" s="2" t="s">
        <v>370</v>
      </c>
      <c r="M770" s="2" t="s">
        <v>2320</v>
      </c>
      <c r="N770" s="16">
        <v>1.9800000000000002E-2</v>
      </c>
      <c r="O770" s="17">
        <f>N770*'Financial Inputs'!$B$3</f>
        <v>1980000.0000000002</v>
      </c>
      <c r="P770" s="18">
        <f>IF(I770="L",'Financial Inputs'!$B$4,IF(I770="M",'Financial Inputs'!$B$5,'Financial Inputs'!$B$6))</f>
        <v>0.4</v>
      </c>
      <c r="Q770" s="17">
        <f>O770*P770</f>
        <v>792000.00000000012</v>
      </c>
      <c r="R770" s="16">
        <f>'Financial Inputs'!$B$7</f>
        <v>0.35</v>
      </c>
      <c r="S770" s="17">
        <f>Q770*(1-R770)</f>
        <v>514800.00000000012</v>
      </c>
      <c r="T770" s="18">
        <f>S770/'Financial Inputs'!$B$3</f>
        <v>5.1480000000000015E-3</v>
      </c>
      <c r="U770" s="9" t="s">
        <v>52</v>
      </c>
      <c r="V770" s="3" t="s">
        <v>53</v>
      </c>
    </row>
    <row r="771" spans="1:22">
      <c r="A771" s="2" t="s">
        <v>2525</v>
      </c>
      <c r="B771" s="2" t="s">
        <v>2526</v>
      </c>
      <c r="C771" s="2" t="s">
        <v>2317</v>
      </c>
      <c r="D771" s="2" t="s">
        <v>127</v>
      </c>
      <c r="E771" s="2" t="s">
        <v>57</v>
      </c>
      <c r="F771" s="2" t="s">
        <v>90</v>
      </c>
      <c r="G771" s="2" t="s">
        <v>45</v>
      </c>
      <c r="H771" s="2" t="s">
        <v>2318</v>
      </c>
      <c r="I771" s="2" t="s">
        <v>47</v>
      </c>
      <c r="J771" s="2" t="s">
        <v>48</v>
      </c>
      <c r="K771" s="2" t="s">
        <v>2527</v>
      </c>
      <c r="L771" s="2" t="s">
        <v>374</v>
      </c>
      <c r="M771" s="2" t="s">
        <v>2320</v>
      </c>
      <c r="N771" s="16">
        <v>2.1600000000000001E-2</v>
      </c>
      <c r="O771" s="17">
        <f>N771*'Financial Inputs'!$B$3</f>
        <v>2160000</v>
      </c>
      <c r="P771" s="18">
        <f>IF(I771="L",'Financial Inputs'!$B$4,IF(I771="M",'Financial Inputs'!$B$5,'Financial Inputs'!$B$6))</f>
        <v>0.4</v>
      </c>
      <c r="Q771" s="17">
        <f>O771*P771</f>
        <v>864000</v>
      </c>
      <c r="R771" s="16">
        <f>'Financial Inputs'!$B$7</f>
        <v>0.35</v>
      </c>
      <c r="S771" s="17">
        <f>Q771*(1-R771)</f>
        <v>561600</v>
      </c>
      <c r="T771" s="18">
        <f>S771/'Financial Inputs'!$B$3</f>
        <v>5.6160000000000003E-3</v>
      </c>
      <c r="U771" s="9" t="s">
        <v>52</v>
      </c>
      <c r="V771" s="3" t="s">
        <v>53</v>
      </c>
    </row>
    <row r="772" spans="1:22">
      <c r="A772" s="2" t="s">
        <v>2528</v>
      </c>
      <c r="B772" s="2" t="s">
        <v>2529</v>
      </c>
      <c r="C772" s="2" t="s">
        <v>2317</v>
      </c>
      <c r="D772" s="2" t="s">
        <v>95</v>
      </c>
      <c r="E772" s="2" t="s">
        <v>198</v>
      </c>
      <c r="F772" s="2" t="s">
        <v>66</v>
      </c>
      <c r="G772" s="2" t="s">
        <v>143</v>
      </c>
      <c r="H772" s="2" t="s">
        <v>2318</v>
      </c>
      <c r="I772" s="2" t="s">
        <v>47</v>
      </c>
      <c r="J772" s="2" t="s">
        <v>48</v>
      </c>
      <c r="K772" s="2" t="s">
        <v>2530</v>
      </c>
      <c r="L772" s="2" t="s">
        <v>378</v>
      </c>
      <c r="M772" s="2" t="s">
        <v>2320</v>
      </c>
      <c r="N772" s="16">
        <v>1.44E-2</v>
      </c>
      <c r="O772" s="17">
        <f>N772*'Financial Inputs'!$B$3</f>
        <v>1440000</v>
      </c>
      <c r="P772" s="18">
        <f>IF(I772="L",'Financial Inputs'!$B$4,IF(I772="M",'Financial Inputs'!$B$5,'Financial Inputs'!$B$6))</f>
        <v>0.4</v>
      </c>
      <c r="Q772" s="17">
        <f>O772*P772</f>
        <v>576000</v>
      </c>
      <c r="R772" s="16">
        <f>'Financial Inputs'!$B$7</f>
        <v>0.35</v>
      </c>
      <c r="S772" s="17">
        <f>Q772*(1-R772)</f>
        <v>374400</v>
      </c>
      <c r="T772" s="18">
        <f>S772/'Financial Inputs'!$B$3</f>
        <v>3.7439999999999999E-3</v>
      </c>
      <c r="U772" s="9" t="s">
        <v>52</v>
      </c>
      <c r="V772" s="3" t="s">
        <v>53</v>
      </c>
    </row>
    <row r="773" spans="1:22">
      <c r="A773" s="2" t="s">
        <v>2531</v>
      </c>
      <c r="B773" s="2" t="s">
        <v>2532</v>
      </c>
      <c r="C773" s="2" t="s">
        <v>2317</v>
      </c>
      <c r="D773" s="2" t="s">
        <v>102</v>
      </c>
      <c r="E773" s="2" t="s">
        <v>148</v>
      </c>
      <c r="F773" s="2" t="s">
        <v>74</v>
      </c>
      <c r="G773" s="2" t="s">
        <v>162</v>
      </c>
      <c r="H773" s="2" t="s">
        <v>2318</v>
      </c>
      <c r="I773" s="2" t="s">
        <v>47</v>
      </c>
      <c r="J773" s="2" t="s">
        <v>48</v>
      </c>
      <c r="K773" s="2" t="s">
        <v>2533</v>
      </c>
      <c r="L773" s="2" t="s">
        <v>382</v>
      </c>
      <c r="M773" s="2" t="s">
        <v>2320</v>
      </c>
      <c r="N773" s="16">
        <v>1.6199999999999999E-2</v>
      </c>
      <c r="O773" s="17">
        <f>N773*'Financial Inputs'!$B$3</f>
        <v>1620000</v>
      </c>
      <c r="P773" s="18">
        <f>IF(I773="L",'Financial Inputs'!$B$4,IF(I773="M",'Financial Inputs'!$B$5,'Financial Inputs'!$B$6))</f>
        <v>0.4</v>
      </c>
      <c r="Q773" s="17">
        <f>O773*P773</f>
        <v>648000</v>
      </c>
      <c r="R773" s="16">
        <f>'Financial Inputs'!$B$7</f>
        <v>0.35</v>
      </c>
      <c r="S773" s="17">
        <f>Q773*(1-R773)</f>
        <v>421200</v>
      </c>
      <c r="T773" s="18">
        <f>S773/'Financial Inputs'!$B$3</f>
        <v>4.2119999999999996E-3</v>
      </c>
      <c r="U773" s="9" t="s">
        <v>52</v>
      </c>
      <c r="V773" s="3" t="s">
        <v>53</v>
      </c>
    </row>
    <row r="774" spans="1:22">
      <c r="A774" s="2" t="s">
        <v>2534</v>
      </c>
      <c r="B774" s="2" t="s">
        <v>2535</v>
      </c>
      <c r="C774" s="2" t="s">
        <v>2317</v>
      </c>
      <c r="D774" s="2" t="s">
        <v>42</v>
      </c>
      <c r="E774" s="2" t="s">
        <v>153</v>
      </c>
      <c r="F774" s="2" t="s">
        <v>82</v>
      </c>
      <c r="G774" s="2" t="s">
        <v>45</v>
      </c>
      <c r="H774" s="2" t="s">
        <v>2318</v>
      </c>
      <c r="I774" s="2" t="s">
        <v>47</v>
      </c>
      <c r="J774" s="2" t="s">
        <v>48</v>
      </c>
      <c r="K774" s="2" t="s">
        <v>2536</v>
      </c>
      <c r="L774" s="2" t="s">
        <v>386</v>
      </c>
      <c r="M774" s="2" t="s">
        <v>2320</v>
      </c>
      <c r="N774" s="16">
        <v>1.7999999999999999E-2</v>
      </c>
      <c r="O774" s="17">
        <f>N774*'Financial Inputs'!$B$3</f>
        <v>1799999.9999999998</v>
      </c>
      <c r="P774" s="18">
        <f>IF(I774="L",'Financial Inputs'!$B$4,IF(I774="M",'Financial Inputs'!$B$5,'Financial Inputs'!$B$6))</f>
        <v>0.4</v>
      </c>
      <c r="Q774" s="17">
        <f>O774*P774</f>
        <v>720000</v>
      </c>
      <c r="R774" s="16">
        <f>'Financial Inputs'!$B$7</f>
        <v>0.35</v>
      </c>
      <c r="S774" s="17">
        <f>Q774*(1-R774)</f>
        <v>468000</v>
      </c>
      <c r="T774" s="18">
        <f>S774/'Financial Inputs'!$B$3</f>
        <v>4.6800000000000001E-3</v>
      </c>
      <c r="U774" s="9" t="s">
        <v>52</v>
      </c>
      <c r="V774" s="3" t="s">
        <v>53</v>
      </c>
    </row>
    <row r="775" spans="1:22">
      <c r="A775" s="2" t="s">
        <v>2537</v>
      </c>
      <c r="B775" s="2" t="s">
        <v>2538</v>
      </c>
      <c r="C775" s="2" t="s">
        <v>2317</v>
      </c>
      <c r="D775" s="2" t="s">
        <v>56</v>
      </c>
      <c r="E775" s="2" t="s">
        <v>89</v>
      </c>
      <c r="F775" s="2" t="s">
        <v>44</v>
      </c>
      <c r="G775" s="2" t="s">
        <v>59</v>
      </c>
      <c r="H775" s="2" t="s">
        <v>2318</v>
      </c>
      <c r="I775" s="2" t="s">
        <v>47</v>
      </c>
      <c r="J775" s="2" t="s">
        <v>48</v>
      </c>
      <c r="K775" s="2" t="s">
        <v>2539</v>
      </c>
      <c r="L775" s="2" t="s">
        <v>390</v>
      </c>
      <c r="M775" s="2" t="s">
        <v>2320</v>
      </c>
      <c r="N775" s="16">
        <v>1.9800000000000002E-2</v>
      </c>
      <c r="O775" s="17">
        <f>N775*'Financial Inputs'!$B$3</f>
        <v>1980000.0000000002</v>
      </c>
      <c r="P775" s="18">
        <f>IF(I775="L",'Financial Inputs'!$B$4,IF(I775="M",'Financial Inputs'!$B$5,'Financial Inputs'!$B$6))</f>
        <v>0.4</v>
      </c>
      <c r="Q775" s="17">
        <f>O775*P775</f>
        <v>792000.00000000012</v>
      </c>
      <c r="R775" s="16">
        <f>'Financial Inputs'!$B$7</f>
        <v>0.35</v>
      </c>
      <c r="S775" s="17">
        <f>Q775*(1-R775)</f>
        <v>514800.00000000012</v>
      </c>
      <c r="T775" s="18">
        <f>S775/'Financial Inputs'!$B$3</f>
        <v>5.1480000000000015E-3</v>
      </c>
      <c r="U775" s="9" t="s">
        <v>52</v>
      </c>
      <c r="V775" s="3" t="s">
        <v>53</v>
      </c>
    </row>
    <row r="776" spans="1:22">
      <c r="A776" s="2" t="s">
        <v>2540</v>
      </c>
      <c r="B776" s="2" t="s">
        <v>2541</v>
      </c>
      <c r="C776" s="2" t="s">
        <v>2317</v>
      </c>
      <c r="D776" s="2" t="s">
        <v>64</v>
      </c>
      <c r="E776" s="2" t="s">
        <v>96</v>
      </c>
      <c r="F776" s="2" t="s">
        <v>58</v>
      </c>
      <c r="G776" s="2" t="s">
        <v>67</v>
      </c>
      <c r="H776" s="2" t="s">
        <v>2318</v>
      </c>
      <c r="I776" s="2" t="s">
        <v>47</v>
      </c>
      <c r="J776" s="2" t="s">
        <v>48</v>
      </c>
      <c r="K776" s="2" t="s">
        <v>2542</v>
      </c>
      <c r="L776" s="2" t="s">
        <v>394</v>
      </c>
      <c r="M776" s="2" t="s">
        <v>2320</v>
      </c>
      <c r="N776" s="16">
        <v>2.1600000000000001E-2</v>
      </c>
      <c r="O776" s="17">
        <f>N776*'Financial Inputs'!$B$3</f>
        <v>2160000</v>
      </c>
      <c r="P776" s="18">
        <f>IF(I776="L",'Financial Inputs'!$B$4,IF(I776="M",'Financial Inputs'!$B$5,'Financial Inputs'!$B$6))</f>
        <v>0.4</v>
      </c>
      <c r="Q776" s="17">
        <f>O776*P776</f>
        <v>864000</v>
      </c>
      <c r="R776" s="16">
        <f>'Financial Inputs'!$B$7</f>
        <v>0.35</v>
      </c>
      <c r="S776" s="17">
        <f>Q776*(1-R776)</f>
        <v>561600</v>
      </c>
      <c r="T776" s="18">
        <f>S776/'Financial Inputs'!$B$3</f>
        <v>5.6160000000000003E-3</v>
      </c>
      <c r="U776" s="9" t="s">
        <v>52</v>
      </c>
      <c r="V776" s="3" t="s">
        <v>53</v>
      </c>
    </row>
    <row r="777" spans="1:22">
      <c r="A777" s="2" t="s">
        <v>2543</v>
      </c>
      <c r="B777" s="2" t="s">
        <v>2544</v>
      </c>
      <c r="C777" s="2" t="s">
        <v>2317</v>
      </c>
      <c r="D777" s="2" t="s">
        <v>127</v>
      </c>
      <c r="E777" s="2" t="s">
        <v>220</v>
      </c>
      <c r="F777" s="2" t="s">
        <v>104</v>
      </c>
      <c r="G777" s="2" t="s">
        <v>45</v>
      </c>
      <c r="H777" s="2" t="s">
        <v>2318</v>
      </c>
      <c r="I777" s="2" t="s">
        <v>47</v>
      </c>
      <c r="J777" s="2" t="s">
        <v>48</v>
      </c>
      <c r="K777" s="2" t="s">
        <v>2545</v>
      </c>
      <c r="L777" s="2" t="s">
        <v>398</v>
      </c>
      <c r="M777" s="2" t="s">
        <v>2320</v>
      </c>
      <c r="N777" s="16">
        <v>1.44E-2</v>
      </c>
      <c r="O777" s="17">
        <f>N777*'Financial Inputs'!$B$3</f>
        <v>1440000</v>
      </c>
      <c r="P777" s="18">
        <f>IF(I777="L",'Financial Inputs'!$B$4,IF(I777="M",'Financial Inputs'!$B$5,'Financial Inputs'!$B$6))</f>
        <v>0.4</v>
      </c>
      <c r="Q777" s="17">
        <f>O777*P777</f>
        <v>576000</v>
      </c>
      <c r="R777" s="16">
        <f>'Financial Inputs'!$B$7</f>
        <v>0.35</v>
      </c>
      <c r="S777" s="17">
        <f>Q777*(1-R777)</f>
        <v>374400</v>
      </c>
      <c r="T777" s="18">
        <f>S777/'Financial Inputs'!$B$3</f>
        <v>3.7439999999999999E-3</v>
      </c>
      <c r="U777" s="9" t="s">
        <v>52</v>
      </c>
      <c r="V777" s="3" t="s">
        <v>53</v>
      </c>
    </row>
    <row r="778" spans="1:22">
      <c r="A778" s="2" t="s">
        <v>2546</v>
      </c>
      <c r="B778" s="2" t="s">
        <v>2547</v>
      </c>
      <c r="C778" s="2" t="s">
        <v>2317</v>
      </c>
      <c r="D778" s="2" t="s">
        <v>133</v>
      </c>
      <c r="E778" s="2" t="s">
        <v>171</v>
      </c>
      <c r="F778" s="2" t="s">
        <v>110</v>
      </c>
      <c r="G778" s="2" t="s">
        <v>59</v>
      </c>
      <c r="H778" s="2" t="s">
        <v>2318</v>
      </c>
      <c r="I778" s="2" t="s">
        <v>47</v>
      </c>
      <c r="J778" s="2" t="s">
        <v>48</v>
      </c>
      <c r="K778" s="2" t="s">
        <v>2548</v>
      </c>
      <c r="L778" s="2" t="s">
        <v>402</v>
      </c>
      <c r="M778" s="2" t="s">
        <v>2320</v>
      </c>
      <c r="N778" s="16">
        <v>1.6199999999999999E-2</v>
      </c>
      <c r="O778" s="17">
        <f>N778*'Financial Inputs'!$B$3</f>
        <v>1620000</v>
      </c>
      <c r="P778" s="18">
        <f>IF(I778="L",'Financial Inputs'!$B$4,IF(I778="M",'Financial Inputs'!$B$5,'Financial Inputs'!$B$6))</f>
        <v>0.4</v>
      </c>
      <c r="Q778" s="17">
        <f>O778*P778</f>
        <v>648000</v>
      </c>
      <c r="R778" s="16">
        <f>'Financial Inputs'!$B$7</f>
        <v>0.35</v>
      </c>
      <c r="S778" s="17">
        <f>Q778*(1-R778)</f>
        <v>421200</v>
      </c>
      <c r="T778" s="18">
        <f>S778/'Financial Inputs'!$B$3</f>
        <v>4.2119999999999996E-3</v>
      </c>
      <c r="U778" s="9" t="s">
        <v>52</v>
      </c>
      <c r="V778" s="3" t="s">
        <v>53</v>
      </c>
    </row>
    <row r="779" spans="1:22">
      <c r="A779" s="2" t="s">
        <v>2549</v>
      </c>
      <c r="B779" s="2" t="s">
        <v>2550</v>
      </c>
      <c r="C779" s="2" t="s">
        <v>2317</v>
      </c>
      <c r="D779" s="2" t="s">
        <v>88</v>
      </c>
      <c r="E779" s="2" t="s">
        <v>176</v>
      </c>
      <c r="F779" s="2" t="s">
        <v>117</v>
      </c>
      <c r="G779" s="2" t="s">
        <v>67</v>
      </c>
      <c r="H779" s="2" t="s">
        <v>2318</v>
      </c>
      <c r="I779" s="2" t="s">
        <v>47</v>
      </c>
      <c r="J779" s="2" t="s">
        <v>48</v>
      </c>
      <c r="K779" s="2" t="s">
        <v>2551</v>
      </c>
      <c r="L779" s="2" t="s">
        <v>406</v>
      </c>
      <c r="M779" s="2" t="s">
        <v>2320</v>
      </c>
      <c r="N779" s="16">
        <v>1.7999999999999999E-2</v>
      </c>
      <c r="O779" s="17">
        <f>N779*'Financial Inputs'!$B$3</f>
        <v>1799999.9999999998</v>
      </c>
      <c r="P779" s="18">
        <f>IF(I779="L",'Financial Inputs'!$B$4,IF(I779="M",'Financial Inputs'!$B$5,'Financial Inputs'!$B$6))</f>
        <v>0.4</v>
      </c>
      <c r="Q779" s="17">
        <f>O779*P779</f>
        <v>720000</v>
      </c>
      <c r="R779" s="16">
        <f>'Financial Inputs'!$B$7</f>
        <v>0.35</v>
      </c>
      <c r="S779" s="17">
        <f>Q779*(1-R779)</f>
        <v>468000</v>
      </c>
      <c r="T779" s="18">
        <f>S779/'Financial Inputs'!$B$3</f>
        <v>4.6800000000000001E-3</v>
      </c>
      <c r="U779" s="9" t="s">
        <v>52</v>
      </c>
      <c r="V779" s="3" t="s">
        <v>53</v>
      </c>
    </row>
    <row r="780" spans="1:22">
      <c r="A780" s="2" t="s">
        <v>2552</v>
      </c>
      <c r="B780" s="2" t="s">
        <v>2553</v>
      </c>
      <c r="C780" s="2" t="s">
        <v>2317</v>
      </c>
      <c r="D780" s="2" t="s">
        <v>95</v>
      </c>
      <c r="E780" s="2" t="s">
        <v>122</v>
      </c>
      <c r="F780" s="2" t="s">
        <v>90</v>
      </c>
      <c r="G780" s="2" t="s">
        <v>75</v>
      </c>
      <c r="H780" s="2" t="s">
        <v>2318</v>
      </c>
      <c r="I780" s="2" t="s">
        <v>47</v>
      </c>
      <c r="J780" s="2" t="s">
        <v>48</v>
      </c>
      <c r="K780" s="2" t="s">
        <v>2554</v>
      </c>
      <c r="L780" s="2" t="s">
        <v>410</v>
      </c>
      <c r="M780" s="2" t="s">
        <v>2320</v>
      </c>
      <c r="N780" s="16">
        <v>1.9800000000000002E-2</v>
      </c>
      <c r="O780" s="17">
        <f>N780*'Financial Inputs'!$B$3</f>
        <v>1980000.0000000002</v>
      </c>
      <c r="P780" s="18">
        <f>IF(I780="L",'Financial Inputs'!$B$4,IF(I780="M",'Financial Inputs'!$B$5,'Financial Inputs'!$B$6))</f>
        <v>0.4</v>
      </c>
      <c r="Q780" s="17">
        <f>O780*P780</f>
        <v>792000.00000000012</v>
      </c>
      <c r="R780" s="16">
        <f>'Financial Inputs'!$B$7</f>
        <v>0.35</v>
      </c>
      <c r="S780" s="17">
        <f>Q780*(1-R780)</f>
        <v>514800.00000000012</v>
      </c>
      <c r="T780" s="18">
        <f>S780/'Financial Inputs'!$B$3</f>
        <v>5.1480000000000015E-3</v>
      </c>
      <c r="U780" s="9" t="s">
        <v>52</v>
      </c>
      <c r="V780" s="3" t="s">
        <v>53</v>
      </c>
    </row>
    <row r="781" spans="1:22">
      <c r="A781" s="2" t="s">
        <v>2555</v>
      </c>
      <c r="B781" s="2" t="s">
        <v>2556</v>
      </c>
      <c r="C781" s="2" t="s">
        <v>2317</v>
      </c>
      <c r="D781" s="2" t="s">
        <v>102</v>
      </c>
      <c r="E781" s="2" t="s">
        <v>128</v>
      </c>
      <c r="F781" s="2" t="s">
        <v>97</v>
      </c>
      <c r="G781" s="2" t="s">
        <v>83</v>
      </c>
      <c r="H781" s="2" t="s">
        <v>2318</v>
      </c>
      <c r="I781" s="2" t="s">
        <v>47</v>
      </c>
      <c r="J781" s="2" t="s">
        <v>48</v>
      </c>
      <c r="K781" s="2" t="s">
        <v>2557</v>
      </c>
      <c r="L781" s="2" t="s">
        <v>414</v>
      </c>
      <c r="M781" s="2" t="s">
        <v>2320</v>
      </c>
      <c r="N781" s="16">
        <v>2.1600000000000001E-2</v>
      </c>
      <c r="O781" s="17">
        <f>N781*'Financial Inputs'!$B$3</f>
        <v>2160000</v>
      </c>
      <c r="P781" s="18">
        <f>IF(I781="L",'Financial Inputs'!$B$4,IF(I781="M",'Financial Inputs'!$B$5,'Financial Inputs'!$B$6))</f>
        <v>0.4</v>
      </c>
      <c r="Q781" s="17">
        <f>O781*P781</f>
        <v>864000</v>
      </c>
      <c r="R781" s="16">
        <f>'Financial Inputs'!$B$7</f>
        <v>0.35</v>
      </c>
      <c r="S781" s="17">
        <f>Q781*(1-R781)</f>
        <v>561600</v>
      </c>
      <c r="T781" s="18">
        <f>S781/'Financial Inputs'!$B$3</f>
        <v>5.6160000000000003E-3</v>
      </c>
      <c r="U781" s="9" t="s">
        <v>52</v>
      </c>
      <c r="V781" s="3" t="s">
        <v>53</v>
      </c>
    </row>
    <row r="782" spans="1:22">
      <c r="A782" s="2" t="s">
        <v>2558</v>
      </c>
      <c r="B782" s="2" t="s">
        <v>2559</v>
      </c>
      <c r="C782" s="2" t="s">
        <v>2317</v>
      </c>
      <c r="D782" s="2" t="s">
        <v>64</v>
      </c>
      <c r="E782" s="2" t="s">
        <v>81</v>
      </c>
      <c r="F782" s="2" t="s">
        <v>74</v>
      </c>
      <c r="G782" s="2" t="s">
        <v>67</v>
      </c>
      <c r="H782" s="2" t="s">
        <v>2318</v>
      </c>
      <c r="I782" s="2" t="s">
        <v>47</v>
      </c>
      <c r="J782" s="2" t="s">
        <v>48</v>
      </c>
      <c r="K782" s="2" t="s">
        <v>2560</v>
      </c>
      <c r="L782" s="2" t="s">
        <v>418</v>
      </c>
      <c r="M782" s="2" t="s">
        <v>2320</v>
      </c>
      <c r="N782" s="16">
        <v>1.44E-2</v>
      </c>
      <c r="O782" s="17">
        <f>N782*'Financial Inputs'!$B$3</f>
        <v>1440000</v>
      </c>
      <c r="P782" s="18">
        <f>IF(I782="L",'Financial Inputs'!$B$4,IF(I782="M",'Financial Inputs'!$B$5,'Financial Inputs'!$B$6))</f>
        <v>0.4</v>
      </c>
      <c r="Q782" s="17">
        <f>O782*P782</f>
        <v>576000</v>
      </c>
      <c r="R782" s="16">
        <f>'Financial Inputs'!$B$7</f>
        <v>0.35</v>
      </c>
      <c r="S782" s="17">
        <f>Q782*(1-R782)</f>
        <v>374400</v>
      </c>
      <c r="T782" s="18">
        <f>S782/'Financial Inputs'!$B$3</f>
        <v>3.7439999999999999E-3</v>
      </c>
      <c r="U782" s="9" t="s">
        <v>52</v>
      </c>
      <c r="V782" s="3" t="s">
        <v>53</v>
      </c>
    </row>
    <row r="783" spans="1:22">
      <c r="A783" s="2" t="s">
        <v>2561</v>
      </c>
      <c r="B783" s="2" t="s">
        <v>2562</v>
      </c>
      <c r="C783" s="2" t="s">
        <v>2317</v>
      </c>
      <c r="D783" s="2" t="s">
        <v>72</v>
      </c>
      <c r="E783" s="2" t="s">
        <v>193</v>
      </c>
      <c r="F783" s="2" t="s">
        <v>82</v>
      </c>
      <c r="G783" s="2" t="s">
        <v>75</v>
      </c>
      <c r="H783" s="2" t="s">
        <v>2318</v>
      </c>
      <c r="I783" s="2" t="s">
        <v>47</v>
      </c>
      <c r="J783" s="2" t="s">
        <v>48</v>
      </c>
      <c r="K783" s="2" t="s">
        <v>2563</v>
      </c>
      <c r="L783" s="2" t="s">
        <v>422</v>
      </c>
      <c r="M783" s="2" t="s">
        <v>2320</v>
      </c>
      <c r="N783" s="16">
        <v>1.6199999999999999E-2</v>
      </c>
      <c r="O783" s="17">
        <f>N783*'Financial Inputs'!$B$3</f>
        <v>1620000</v>
      </c>
      <c r="P783" s="18">
        <f>IF(I783="L",'Financial Inputs'!$B$4,IF(I783="M",'Financial Inputs'!$B$5,'Financial Inputs'!$B$6))</f>
        <v>0.4</v>
      </c>
      <c r="Q783" s="17">
        <f>O783*P783</f>
        <v>648000</v>
      </c>
      <c r="R783" s="16">
        <f>'Financial Inputs'!$B$7</f>
        <v>0.35</v>
      </c>
      <c r="S783" s="17">
        <f>Q783*(1-R783)</f>
        <v>421200</v>
      </c>
      <c r="T783" s="18">
        <f>S783/'Financial Inputs'!$B$3</f>
        <v>4.2119999999999996E-3</v>
      </c>
      <c r="U783" s="9" t="s">
        <v>52</v>
      </c>
      <c r="V783" s="3" t="s">
        <v>53</v>
      </c>
    </row>
    <row r="784" spans="1:22">
      <c r="A784" s="2" t="s">
        <v>2564</v>
      </c>
      <c r="B784" s="2" t="s">
        <v>2565</v>
      </c>
      <c r="C784" s="2" t="s">
        <v>2317</v>
      </c>
      <c r="D784" s="2" t="s">
        <v>80</v>
      </c>
      <c r="E784" s="2" t="s">
        <v>198</v>
      </c>
      <c r="F784" s="2" t="s">
        <v>44</v>
      </c>
      <c r="G784" s="2" t="s">
        <v>83</v>
      </c>
      <c r="H784" s="2" t="s">
        <v>2318</v>
      </c>
      <c r="I784" s="2" t="s">
        <v>47</v>
      </c>
      <c r="J784" s="2" t="s">
        <v>48</v>
      </c>
      <c r="K784" s="2" t="s">
        <v>2566</v>
      </c>
      <c r="L784" s="2" t="s">
        <v>426</v>
      </c>
      <c r="M784" s="2" t="s">
        <v>2320</v>
      </c>
      <c r="N784" s="16">
        <v>1.7999999999999999E-2</v>
      </c>
      <c r="O784" s="17">
        <f>N784*'Financial Inputs'!$B$3</f>
        <v>1799999.9999999998</v>
      </c>
      <c r="P784" s="18">
        <f>IF(I784="L",'Financial Inputs'!$B$4,IF(I784="M",'Financial Inputs'!$B$5,'Financial Inputs'!$B$6))</f>
        <v>0.4</v>
      </c>
      <c r="Q784" s="17">
        <f>O784*P784</f>
        <v>720000</v>
      </c>
      <c r="R784" s="16">
        <f>'Financial Inputs'!$B$7</f>
        <v>0.35</v>
      </c>
      <c r="S784" s="17">
        <f>Q784*(1-R784)</f>
        <v>468000</v>
      </c>
      <c r="T784" s="18">
        <f>S784/'Financial Inputs'!$B$3</f>
        <v>4.6800000000000001E-3</v>
      </c>
      <c r="U784" s="9" t="s">
        <v>52</v>
      </c>
      <c r="V784" s="3" t="s">
        <v>53</v>
      </c>
    </row>
    <row r="785" spans="1:22">
      <c r="A785" s="2" t="s">
        <v>2567</v>
      </c>
      <c r="B785" s="2" t="s">
        <v>2568</v>
      </c>
      <c r="C785" s="2" t="s">
        <v>2317</v>
      </c>
      <c r="D785" s="2" t="s">
        <v>127</v>
      </c>
      <c r="E785" s="2" t="s">
        <v>148</v>
      </c>
      <c r="F785" s="2" t="s">
        <v>58</v>
      </c>
      <c r="G785" s="2" t="s">
        <v>111</v>
      </c>
      <c r="H785" s="2" t="s">
        <v>2318</v>
      </c>
      <c r="I785" s="2" t="s">
        <v>47</v>
      </c>
      <c r="J785" s="2" t="s">
        <v>48</v>
      </c>
      <c r="K785" s="2" t="s">
        <v>2569</v>
      </c>
      <c r="L785" s="2" t="s">
        <v>430</v>
      </c>
      <c r="M785" s="2" t="s">
        <v>2320</v>
      </c>
      <c r="N785" s="16">
        <v>1.9800000000000002E-2</v>
      </c>
      <c r="O785" s="17">
        <f>N785*'Financial Inputs'!$B$3</f>
        <v>1980000.0000000002</v>
      </c>
      <c r="P785" s="18">
        <f>IF(I785="L",'Financial Inputs'!$B$4,IF(I785="M",'Financial Inputs'!$B$5,'Financial Inputs'!$B$6))</f>
        <v>0.4</v>
      </c>
      <c r="Q785" s="17">
        <f>O785*P785</f>
        <v>792000.00000000012</v>
      </c>
      <c r="R785" s="16">
        <f>'Financial Inputs'!$B$7</f>
        <v>0.35</v>
      </c>
      <c r="S785" s="17">
        <f>Q785*(1-R785)</f>
        <v>514800.00000000012</v>
      </c>
      <c r="T785" s="18">
        <f>S785/'Financial Inputs'!$B$3</f>
        <v>5.1480000000000015E-3</v>
      </c>
      <c r="U785" s="9" t="s">
        <v>52</v>
      </c>
      <c r="V785" s="3" t="s">
        <v>53</v>
      </c>
    </row>
    <row r="786" spans="1:22">
      <c r="A786" s="2" t="s">
        <v>2570</v>
      </c>
      <c r="B786" s="2" t="s">
        <v>2571</v>
      </c>
      <c r="C786" s="2" t="s">
        <v>2317</v>
      </c>
      <c r="D786" s="2" t="s">
        <v>133</v>
      </c>
      <c r="E786" s="2" t="s">
        <v>153</v>
      </c>
      <c r="F786" s="2" t="s">
        <v>66</v>
      </c>
      <c r="G786" s="2" t="s">
        <v>56</v>
      </c>
      <c r="H786" s="2" t="s">
        <v>2318</v>
      </c>
      <c r="I786" s="2" t="s">
        <v>47</v>
      </c>
      <c r="J786" s="2" t="s">
        <v>48</v>
      </c>
      <c r="K786" s="2" t="s">
        <v>2572</v>
      </c>
      <c r="L786" s="2" t="s">
        <v>434</v>
      </c>
      <c r="M786" s="2" t="s">
        <v>2320</v>
      </c>
      <c r="N786" s="16">
        <v>2.1600000000000001E-2</v>
      </c>
      <c r="O786" s="17">
        <f>N786*'Financial Inputs'!$B$3</f>
        <v>2160000</v>
      </c>
      <c r="P786" s="18">
        <f>IF(I786="L",'Financial Inputs'!$B$4,IF(I786="M",'Financial Inputs'!$B$5,'Financial Inputs'!$B$6))</f>
        <v>0.4</v>
      </c>
      <c r="Q786" s="17">
        <f>O786*P786</f>
        <v>864000</v>
      </c>
      <c r="R786" s="16">
        <f>'Financial Inputs'!$B$7</f>
        <v>0.35</v>
      </c>
      <c r="S786" s="17">
        <f>Q786*(1-R786)</f>
        <v>561600</v>
      </c>
      <c r="T786" s="18">
        <f>S786/'Financial Inputs'!$B$3</f>
        <v>5.6160000000000003E-3</v>
      </c>
      <c r="U786" s="9" t="s">
        <v>52</v>
      </c>
      <c r="V786" s="3" t="s">
        <v>53</v>
      </c>
    </row>
    <row r="787" spans="1:22">
      <c r="A787" s="2" t="s">
        <v>2573</v>
      </c>
      <c r="B787" s="2" t="s">
        <v>2574</v>
      </c>
      <c r="C787" s="2" t="s">
        <v>2317</v>
      </c>
      <c r="D787" s="2" t="s">
        <v>102</v>
      </c>
      <c r="E787" s="2" t="s">
        <v>116</v>
      </c>
      <c r="F787" s="2" t="s">
        <v>110</v>
      </c>
      <c r="G787" s="2" t="s">
        <v>83</v>
      </c>
      <c r="H787" s="2" t="s">
        <v>2318</v>
      </c>
      <c r="I787" s="2" t="s">
        <v>47</v>
      </c>
      <c r="J787" s="2" t="s">
        <v>48</v>
      </c>
      <c r="K787" s="2" t="s">
        <v>2575</v>
      </c>
      <c r="L787" s="2" t="s">
        <v>438</v>
      </c>
      <c r="M787" s="2" t="s">
        <v>2320</v>
      </c>
      <c r="N787" s="16">
        <v>1.44E-2</v>
      </c>
      <c r="O787" s="17">
        <f>N787*'Financial Inputs'!$B$3</f>
        <v>1440000</v>
      </c>
      <c r="P787" s="18">
        <f>IF(I787="L",'Financial Inputs'!$B$4,IF(I787="M",'Financial Inputs'!$B$5,'Financial Inputs'!$B$6))</f>
        <v>0.4</v>
      </c>
      <c r="Q787" s="17">
        <f>O787*P787</f>
        <v>576000</v>
      </c>
      <c r="R787" s="16">
        <f>'Financial Inputs'!$B$7</f>
        <v>0.35</v>
      </c>
      <c r="S787" s="17">
        <f>Q787*(1-R787)</f>
        <v>374400</v>
      </c>
      <c r="T787" s="18">
        <f>S787/'Financial Inputs'!$B$3</f>
        <v>3.7439999999999999E-3</v>
      </c>
      <c r="U787" s="9" t="s">
        <v>52</v>
      </c>
      <c r="V787" s="3" t="s">
        <v>53</v>
      </c>
    </row>
    <row r="788" spans="1:22">
      <c r="A788" s="2" t="s">
        <v>2576</v>
      </c>
      <c r="B788" s="2" t="s">
        <v>2577</v>
      </c>
      <c r="C788" s="2" t="s">
        <v>2317</v>
      </c>
      <c r="D788" s="2" t="s">
        <v>42</v>
      </c>
      <c r="E788" s="2" t="s">
        <v>215</v>
      </c>
      <c r="F788" s="2" t="s">
        <v>117</v>
      </c>
      <c r="G788" s="2" t="s">
        <v>111</v>
      </c>
      <c r="H788" s="2" t="s">
        <v>2318</v>
      </c>
      <c r="I788" s="2" t="s">
        <v>47</v>
      </c>
      <c r="J788" s="2" t="s">
        <v>48</v>
      </c>
      <c r="K788" s="2" t="s">
        <v>2578</v>
      </c>
      <c r="L788" s="2" t="s">
        <v>442</v>
      </c>
      <c r="M788" s="2" t="s">
        <v>2320</v>
      </c>
      <c r="N788" s="16">
        <v>1.6199999999999999E-2</v>
      </c>
      <c r="O788" s="17">
        <f>N788*'Financial Inputs'!$B$3</f>
        <v>1620000</v>
      </c>
      <c r="P788" s="18">
        <f>IF(I788="L",'Financial Inputs'!$B$4,IF(I788="M",'Financial Inputs'!$B$5,'Financial Inputs'!$B$6))</f>
        <v>0.4</v>
      </c>
      <c r="Q788" s="17">
        <f>O788*P788</f>
        <v>648000</v>
      </c>
      <c r="R788" s="16">
        <f>'Financial Inputs'!$B$7</f>
        <v>0.35</v>
      </c>
      <c r="S788" s="17">
        <f>Q788*(1-R788)</f>
        <v>421200</v>
      </c>
      <c r="T788" s="18">
        <f>S788/'Financial Inputs'!$B$3</f>
        <v>4.2119999999999996E-3</v>
      </c>
      <c r="U788" s="9" t="s">
        <v>52</v>
      </c>
      <c r="V788" s="3" t="s">
        <v>53</v>
      </c>
    </row>
    <row r="789" spans="1:22">
      <c r="A789" s="2" t="s">
        <v>2579</v>
      </c>
      <c r="B789" s="2" t="s">
        <v>2580</v>
      </c>
      <c r="C789" s="2" t="s">
        <v>2317</v>
      </c>
      <c r="D789" s="2" t="s">
        <v>56</v>
      </c>
      <c r="E789" s="2" t="s">
        <v>220</v>
      </c>
      <c r="F789" s="2" t="s">
        <v>90</v>
      </c>
      <c r="G789" s="2" t="s">
        <v>56</v>
      </c>
      <c r="H789" s="2" t="s">
        <v>2318</v>
      </c>
      <c r="I789" s="2" t="s">
        <v>47</v>
      </c>
      <c r="J789" s="2" t="s">
        <v>48</v>
      </c>
      <c r="K789" s="2" t="s">
        <v>2581</v>
      </c>
      <c r="L789" s="2" t="s">
        <v>446</v>
      </c>
      <c r="M789" s="2" t="s">
        <v>2320</v>
      </c>
      <c r="N789" s="16">
        <v>1.7999999999999999E-2</v>
      </c>
      <c r="O789" s="17">
        <f>N789*'Financial Inputs'!$B$3</f>
        <v>1799999.9999999998</v>
      </c>
      <c r="P789" s="18">
        <f>IF(I789="L",'Financial Inputs'!$B$4,IF(I789="M",'Financial Inputs'!$B$5,'Financial Inputs'!$B$6))</f>
        <v>0.4</v>
      </c>
      <c r="Q789" s="17">
        <f>O789*P789</f>
        <v>720000</v>
      </c>
      <c r="R789" s="16">
        <f>'Financial Inputs'!$B$7</f>
        <v>0.35</v>
      </c>
      <c r="S789" s="17">
        <f>Q789*(1-R789)</f>
        <v>468000</v>
      </c>
      <c r="T789" s="18">
        <f>S789/'Financial Inputs'!$B$3</f>
        <v>4.6800000000000001E-3</v>
      </c>
      <c r="U789" s="9" t="s">
        <v>52</v>
      </c>
      <c r="V789" s="3" t="s">
        <v>53</v>
      </c>
    </row>
    <row r="790" spans="1:22">
      <c r="A790" s="2" t="s">
        <v>2582</v>
      </c>
      <c r="B790" s="2" t="s">
        <v>2583</v>
      </c>
      <c r="C790" s="2" t="s">
        <v>2317</v>
      </c>
      <c r="D790" s="2" t="s">
        <v>64</v>
      </c>
      <c r="E790" s="2" t="s">
        <v>171</v>
      </c>
      <c r="F790" s="2" t="s">
        <v>97</v>
      </c>
      <c r="G790" s="2" t="s">
        <v>138</v>
      </c>
      <c r="H790" s="2" t="s">
        <v>2318</v>
      </c>
      <c r="I790" s="2" t="s">
        <v>47</v>
      </c>
      <c r="J790" s="2" t="s">
        <v>48</v>
      </c>
      <c r="K790" s="2" t="s">
        <v>2584</v>
      </c>
      <c r="L790" s="2" t="s">
        <v>450</v>
      </c>
      <c r="M790" s="2" t="s">
        <v>2320</v>
      </c>
      <c r="N790" s="16">
        <v>1.9800000000000002E-2</v>
      </c>
      <c r="O790" s="17">
        <f>N790*'Financial Inputs'!$B$3</f>
        <v>1980000.0000000002</v>
      </c>
      <c r="P790" s="18">
        <f>IF(I790="L",'Financial Inputs'!$B$4,IF(I790="M",'Financial Inputs'!$B$5,'Financial Inputs'!$B$6))</f>
        <v>0.4</v>
      </c>
      <c r="Q790" s="17">
        <f>O790*P790</f>
        <v>792000.00000000012</v>
      </c>
      <c r="R790" s="16">
        <f>'Financial Inputs'!$B$7</f>
        <v>0.35</v>
      </c>
      <c r="S790" s="17">
        <f>Q790*(1-R790)</f>
        <v>514800.00000000012</v>
      </c>
      <c r="T790" s="18">
        <f>S790/'Financial Inputs'!$B$3</f>
        <v>5.1480000000000015E-3</v>
      </c>
      <c r="U790" s="9" t="s">
        <v>52</v>
      </c>
      <c r="V790" s="3" t="s">
        <v>53</v>
      </c>
    </row>
    <row r="791" spans="1:22">
      <c r="A791" s="2" t="s">
        <v>2585</v>
      </c>
      <c r="B791" s="2" t="s">
        <v>2586</v>
      </c>
      <c r="C791" s="2" t="s">
        <v>2317</v>
      </c>
      <c r="D791" s="2" t="s">
        <v>72</v>
      </c>
      <c r="E791" s="2" t="s">
        <v>176</v>
      </c>
      <c r="F791" s="2" t="s">
        <v>104</v>
      </c>
      <c r="G791" s="2" t="s">
        <v>143</v>
      </c>
      <c r="H791" s="2" t="s">
        <v>2318</v>
      </c>
      <c r="I791" s="2" t="s">
        <v>47</v>
      </c>
      <c r="J791" s="2" t="s">
        <v>48</v>
      </c>
      <c r="K791" s="2" t="s">
        <v>2587</v>
      </c>
      <c r="L791" s="2" t="s">
        <v>454</v>
      </c>
      <c r="M791" s="2" t="s">
        <v>2320</v>
      </c>
      <c r="N791" s="16">
        <v>2.1600000000000001E-2</v>
      </c>
      <c r="O791" s="17">
        <f>N791*'Financial Inputs'!$B$3</f>
        <v>2160000</v>
      </c>
      <c r="P791" s="18">
        <f>IF(I791="L",'Financial Inputs'!$B$4,IF(I791="M",'Financial Inputs'!$B$5,'Financial Inputs'!$B$6))</f>
        <v>0.4</v>
      </c>
      <c r="Q791" s="17">
        <f>O791*P791</f>
        <v>864000</v>
      </c>
      <c r="R791" s="16">
        <f>'Financial Inputs'!$B$7</f>
        <v>0.35</v>
      </c>
      <c r="S791" s="17">
        <f>Q791*(1-R791)</f>
        <v>561600</v>
      </c>
      <c r="T791" s="18">
        <f>S791/'Financial Inputs'!$B$3</f>
        <v>5.6160000000000003E-3</v>
      </c>
      <c r="U791" s="9" t="s">
        <v>52</v>
      </c>
      <c r="V791" s="3" t="s">
        <v>53</v>
      </c>
    </row>
    <row r="792" spans="1:22">
      <c r="A792" s="2" t="s">
        <v>2588</v>
      </c>
      <c r="B792" s="2" t="s">
        <v>2589</v>
      </c>
      <c r="C792" s="2" t="s">
        <v>2317</v>
      </c>
      <c r="D792" s="2" t="s">
        <v>133</v>
      </c>
      <c r="E792" s="2" t="s">
        <v>65</v>
      </c>
      <c r="F792" s="2" t="s">
        <v>82</v>
      </c>
      <c r="G792" s="2" t="s">
        <v>56</v>
      </c>
      <c r="H792" s="2" t="s">
        <v>2318</v>
      </c>
      <c r="I792" s="2" t="s">
        <v>47</v>
      </c>
      <c r="J792" s="2" t="s">
        <v>48</v>
      </c>
      <c r="K792" s="2" t="s">
        <v>2590</v>
      </c>
      <c r="L792" s="2" t="s">
        <v>458</v>
      </c>
      <c r="M792" s="2" t="s">
        <v>2320</v>
      </c>
      <c r="N792" s="16">
        <v>1.44E-2</v>
      </c>
      <c r="O792" s="17">
        <f>N792*'Financial Inputs'!$B$3</f>
        <v>1440000</v>
      </c>
      <c r="P792" s="18">
        <f>IF(I792="L",'Financial Inputs'!$B$4,IF(I792="M",'Financial Inputs'!$B$5,'Financial Inputs'!$B$6))</f>
        <v>0.4</v>
      </c>
      <c r="Q792" s="17">
        <f>O792*P792</f>
        <v>576000</v>
      </c>
      <c r="R792" s="16">
        <f>'Financial Inputs'!$B$7</f>
        <v>0.35</v>
      </c>
      <c r="S792" s="17">
        <f>Q792*(1-R792)</f>
        <v>374400</v>
      </c>
      <c r="T792" s="18">
        <f>S792/'Financial Inputs'!$B$3</f>
        <v>3.7439999999999999E-3</v>
      </c>
      <c r="U792" s="9" t="s">
        <v>52</v>
      </c>
      <c r="V792" s="3" t="s">
        <v>53</v>
      </c>
    </row>
    <row r="793" spans="1:22">
      <c r="A793" s="2" t="s">
        <v>2591</v>
      </c>
      <c r="B793" s="2" t="s">
        <v>2592</v>
      </c>
      <c r="C793" s="2" t="s">
        <v>2317</v>
      </c>
      <c r="D793" s="2" t="s">
        <v>88</v>
      </c>
      <c r="E793" s="2" t="s">
        <v>73</v>
      </c>
      <c r="F793" s="2" t="s">
        <v>44</v>
      </c>
      <c r="G793" s="2" t="s">
        <v>138</v>
      </c>
      <c r="H793" s="2" t="s">
        <v>2318</v>
      </c>
      <c r="I793" s="2" t="s">
        <v>47</v>
      </c>
      <c r="J793" s="2" t="s">
        <v>48</v>
      </c>
      <c r="K793" s="2" t="s">
        <v>2593</v>
      </c>
      <c r="L793" s="2" t="s">
        <v>462</v>
      </c>
      <c r="M793" s="2" t="s">
        <v>2320</v>
      </c>
      <c r="N793" s="16">
        <v>1.6199999999999999E-2</v>
      </c>
      <c r="O793" s="17">
        <f>N793*'Financial Inputs'!$B$3</f>
        <v>1620000</v>
      </c>
      <c r="P793" s="18">
        <f>IF(I793="L",'Financial Inputs'!$B$4,IF(I793="M",'Financial Inputs'!$B$5,'Financial Inputs'!$B$6))</f>
        <v>0.4</v>
      </c>
      <c r="Q793" s="17">
        <f>O793*P793</f>
        <v>648000</v>
      </c>
      <c r="R793" s="16">
        <f>'Financial Inputs'!$B$7</f>
        <v>0.35</v>
      </c>
      <c r="S793" s="17">
        <f>Q793*(1-R793)</f>
        <v>421200</v>
      </c>
      <c r="T793" s="18">
        <f>S793/'Financial Inputs'!$B$3</f>
        <v>4.2119999999999996E-3</v>
      </c>
      <c r="U793" s="9" t="s">
        <v>52</v>
      </c>
      <c r="V793" s="3" t="s">
        <v>53</v>
      </c>
    </row>
    <row r="794" spans="1:22">
      <c r="A794" s="2" t="s">
        <v>2594</v>
      </c>
      <c r="B794" s="2" t="s">
        <v>2595</v>
      </c>
      <c r="C794" s="2" t="s">
        <v>2317</v>
      </c>
      <c r="D794" s="2" t="s">
        <v>95</v>
      </c>
      <c r="E794" s="2" t="s">
        <v>81</v>
      </c>
      <c r="F794" s="2" t="s">
        <v>58</v>
      </c>
      <c r="G794" s="2" t="s">
        <v>143</v>
      </c>
      <c r="H794" s="2" t="s">
        <v>2318</v>
      </c>
      <c r="I794" s="2" t="s">
        <v>47</v>
      </c>
      <c r="J794" s="2" t="s">
        <v>48</v>
      </c>
      <c r="K794" s="2" t="s">
        <v>2596</v>
      </c>
      <c r="L794" s="2" t="s">
        <v>466</v>
      </c>
      <c r="M794" s="2" t="s">
        <v>2320</v>
      </c>
      <c r="N794" s="16">
        <v>1.7999999999999999E-2</v>
      </c>
      <c r="O794" s="17">
        <f>N794*'Financial Inputs'!$B$3</f>
        <v>1799999.9999999998</v>
      </c>
      <c r="P794" s="18">
        <f>IF(I794="L",'Financial Inputs'!$B$4,IF(I794="M",'Financial Inputs'!$B$5,'Financial Inputs'!$B$6))</f>
        <v>0.4</v>
      </c>
      <c r="Q794" s="17">
        <f>O794*P794</f>
        <v>720000</v>
      </c>
      <c r="R794" s="16">
        <f>'Financial Inputs'!$B$7</f>
        <v>0.35</v>
      </c>
      <c r="S794" s="17">
        <f>Q794*(1-R794)</f>
        <v>468000</v>
      </c>
      <c r="T794" s="18">
        <f>S794/'Financial Inputs'!$B$3</f>
        <v>4.6800000000000001E-3</v>
      </c>
      <c r="U794" s="9" t="s">
        <v>52</v>
      </c>
      <c r="V794" s="3" t="s">
        <v>53</v>
      </c>
    </row>
    <row r="795" spans="1:22">
      <c r="A795" s="2" t="s">
        <v>2597</v>
      </c>
      <c r="B795" s="2" t="s">
        <v>2598</v>
      </c>
      <c r="C795" s="2" t="s">
        <v>2317</v>
      </c>
      <c r="D795" s="2" t="s">
        <v>102</v>
      </c>
      <c r="E795" s="2" t="s">
        <v>193</v>
      </c>
      <c r="F795" s="2" t="s">
        <v>66</v>
      </c>
      <c r="G795" s="2" t="s">
        <v>162</v>
      </c>
      <c r="H795" s="2" t="s">
        <v>2318</v>
      </c>
      <c r="I795" s="2" t="s">
        <v>47</v>
      </c>
      <c r="J795" s="2" t="s">
        <v>48</v>
      </c>
      <c r="K795" s="2" t="s">
        <v>2599</v>
      </c>
      <c r="L795" s="2" t="s">
        <v>470</v>
      </c>
      <c r="M795" s="2" t="s">
        <v>2320</v>
      </c>
      <c r="N795" s="16">
        <v>1.9800000000000002E-2</v>
      </c>
      <c r="O795" s="17">
        <f>N795*'Financial Inputs'!$B$3</f>
        <v>1980000.0000000002</v>
      </c>
      <c r="P795" s="18">
        <f>IF(I795="L",'Financial Inputs'!$B$4,IF(I795="M",'Financial Inputs'!$B$5,'Financial Inputs'!$B$6))</f>
        <v>0.4</v>
      </c>
      <c r="Q795" s="17">
        <f>O795*P795</f>
        <v>792000.00000000012</v>
      </c>
      <c r="R795" s="16">
        <f>'Financial Inputs'!$B$7</f>
        <v>0.35</v>
      </c>
      <c r="S795" s="17">
        <f>Q795*(1-R795)</f>
        <v>514800.00000000012</v>
      </c>
      <c r="T795" s="18">
        <f>S795/'Financial Inputs'!$B$3</f>
        <v>5.1480000000000015E-3</v>
      </c>
      <c r="U795" s="9" t="s">
        <v>52</v>
      </c>
      <c r="V795" s="3" t="s">
        <v>53</v>
      </c>
    </row>
    <row r="796" spans="1:22">
      <c r="A796" s="2" t="s">
        <v>2600</v>
      </c>
      <c r="B796" s="2" t="s">
        <v>2601</v>
      </c>
      <c r="C796" s="2" t="s">
        <v>2317</v>
      </c>
      <c r="D796" s="2" t="s">
        <v>42</v>
      </c>
      <c r="E796" s="2" t="s">
        <v>198</v>
      </c>
      <c r="F796" s="2" t="s">
        <v>74</v>
      </c>
      <c r="G796" s="2" t="s">
        <v>45</v>
      </c>
      <c r="H796" s="2" t="s">
        <v>2318</v>
      </c>
      <c r="I796" s="2" t="s">
        <v>47</v>
      </c>
      <c r="J796" s="2" t="s">
        <v>48</v>
      </c>
      <c r="K796" s="2" t="s">
        <v>2602</v>
      </c>
      <c r="L796" s="2" t="s">
        <v>474</v>
      </c>
      <c r="M796" s="2" t="s">
        <v>2320</v>
      </c>
      <c r="N796" s="16">
        <v>2.1600000000000001E-2</v>
      </c>
      <c r="O796" s="17">
        <f>N796*'Financial Inputs'!$B$3</f>
        <v>2160000</v>
      </c>
      <c r="P796" s="18">
        <f>IF(I796="L",'Financial Inputs'!$B$4,IF(I796="M",'Financial Inputs'!$B$5,'Financial Inputs'!$B$6))</f>
        <v>0.4</v>
      </c>
      <c r="Q796" s="17">
        <f>O796*P796</f>
        <v>864000</v>
      </c>
      <c r="R796" s="16">
        <f>'Financial Inputs'!$B$7</f>
        <v>0.35</v>
      </c>
      <c r="S796" s="17">
        <f>Q796*(1-R796)</f>
        <v>561600</v>
      </c>
      <c r="T796" s="18">
        <f>S796/'Financial Inputs'!$B$3</f>
        <v>5.6160000000000003E-3</v>
      </c>
      <c r="U796" s="9" t="s">
        <v>52</v>
      </c>
      <c r="V796" s="3" t="s">
        <v>53</v>
      </c>
    </row>
    <row r="797" spans="1:22">
      <c r="A797" s="2" t="s">
        <v>2603</v>
      </c>
      <c r="B797" s="2" t="s">
        <v>2604</v>
      </c>
      <c r="C797" s="2" t="s">
        <v>2317</v>
      </c>
      <c r="D797" s="2" t="s">
        <v>72</v>
      </c>
      <c r="E797" s="2" t="s">
        <v>103</v>
      </c>
      <c r="F797" s="2" t="s">
        <v>117</v>
      </c>
      <c r="G797" s="2" t="s">
        <v>143</v>
      </c>
      <c r="H797" s="2" t="s">
        <v>2318</v>
      </c>
      <c r="I797" s="2" t="s">
        <v>47</v>
      </c>
      <c r="J797" s="2" t="s">
        <v>48</v>
      </c>
      <c r="K797" s="2" t="s">
        <v>2605</v>
      </c>
      <c r="L797" s="2" t="s">
        <v>478</v>
      </c>
      <c r="M797" s="2" t="s">
        <v>2320</v>
      </c>
      <c r="N797" s="16">
        <v>1.44E-2</v>
      </c>
      <c r="O797" s="17">
        <f>N797*'Financial Inputs'!$B$3</f>
        <v>1440000</v>
      </c>
      <c r="P797" s="18">
        <f>IF(I797="L",'Financial Inputs'!$B$4,IF(I797="M",'Financial Inputs'!$B$5,'Financial Inputs'!$B$6))</f>
        <v>0.4</v>
      </c>
      <c r="Q797" s="17">
        <f>O797*P797</f>
        <v>576000</v>
      </c>
      <c r="R797" s="16">
        <f>'Financial Inputs'!$B$7</f>
        <v>0.35</v>
      </c>
      <c r="S797" s="17">
        <f>Q797*(1-R797)</f>
        <v>374400</v>
      </c>
      <c r="T797" s="18">
        <f>S797/'Financial Inputs'!$B$3</f>
        <v>3.7439999999999999E-3</v>
      </c>
      <c r="U797" s="9" t="s">
        <v>52</v>
      </c>
      <c r="V797" s="3" t="s">
        <v>53</v>
      </c>
    </row>
    <row r="798" spans="1:22">
      <c r="A798" s="2" t="s">
        <v>2606</v>
      </c>
      <c r="B798" s="2" t="s">
        <v>2607</v>
      </c>
      <c r="C798" s="2" t="s">
        <v>2317</v>
      </c>
      <c r="D798" s="2" t="s">
        <v>80</v>
      </c>
      <c r="E798" s="2" t="s">
        <v>109</v>
      </c>
      <c r="F798" s="2" t="s">
        <v>90</v>
      </c>
      <c r="G798" s="2" t="s">
        <v>162</v>
      </c>
      <c r="H798" s="2" t="s">
        <v>2318</v>
      </c>
      <c r="I798" s="2" t="s">
        <v>47</v>
      </c>
      <c r="J798" s="2" t="s">
        <v>48</v>
      </c>
      <c r="K798" s="2" t="s">
        <v>2608</v>
      </c>
      <c r="L798" s="2" t="s">
        <v>482</v>
      </c>
      <c r="M798" s="2" t="s">
        <v>2320</v>
      </c>
      <c r="N798" s="16">
        <v>1.6199999999999999E-2</v>
      </c>
      <c r="O798" s="17">
        <f>N798*'Financial Inputs'!$B$3</f>
        <v>1620000</v>
      </c>
      <c r="P798" s="18">
        <f>IF(I798="L",'Financial Inputs'!$B$4,IF(I798="M",'Financial Inputs'!$B$5,'Financial Inputs'!$B$6))</f>
        <v>0.4</v>
      </c>
      <c r="Q798" s="17">
        <f>O798*P798</f>
        <v>648000</v>
      </c>
      <c r="R798" s="16">
        <f>'Financial Inputs'!$B$7</f>
        <v>0.35</v>
      </c>
      <c r="S798" s="17">
        <f>Q798*(1-R798)</f>
        <v>421200</v>
      </c>
      <c r="T798" s="18">
        <f>S798/'Financial Inputs'!$B$3</f>
        <v>4.2119999999999996E-3</v>
      </c>
      <c r="U798" s="9" t="s">
        <v>52</v>
      </c>
      <c r="V798" s="3" t="s">
        <v>53</v>
      </c>
    </row>
    <row r="799" spans="1:22">
      <c r="A799" s="2" t="s">
        <v>2609</v>
      </c>
      <c r="B799" s="2" t="s">
        <v>2610</v>
      </c>
      <c r="C799" s="2" t="s">
        <v>2317</v>
      </c>
      <c r="D799" s="2" t="s">
        <v>127</v>
      </c>
      <c r="E799" s="2" t="s">
        <v>116</v>
      </c>
      <c r="F799" s="2" t="s">
        <v>97</v>
      </c>
      <c r="G799" s="2" t="s">
        <v>45</v>
      </c>
      <c r="H799" s="2" t="s">
        <v>2318</v>
      </c>
      <c r="I799" s="2" t="s">
        <v>47</v>
      </c>
      <c r="J799" s="2" t="s">
        <v>48</v>
      </c>
      <c r="K799" s="2" t="s">
        <v>2611</v>
      </c>
      <c r="L799" s="2" t="s">
        <v>486</v>
      </c>
      <c r="M799" s="2" t="s">
        <v>2320</v>
      </c>
      <c r="N799" s="16">
        <v>1.7999999999999999E-2</v>
      </c>
      <c r="O799" s="17">
        <f>N799*'Financial Inputs'!$B$3</f>
        <v>1799999.9999999998</v>
      </c>
      <c r="P799" s="18">
        <f>IF(I799="L",'Financial Inputs'!$B$4,IF(I799="M",'Financial Inputs'!$B$5,'Financial Inputs'!$B$6))</f>
        <v>0.4</v>
      </c>
      <c r="Q799" s="17">
        <f>O799*P799</f>
        <v>720000</v>
      </c>
      <c r="R799" s="16">
        <f>'Financial Inputs'!$B$7</f>
        <v>0.35</v>
      </c>
      <c r="S799" s="17">
        <f>Q799*(1-R799)</f>
        <v>468000</v>
      </c>
      <c r="T799" s="18">
        <f>S799/'Financial Inputs'!$B$3</f>
        <v>4.6800000000000001E-3</v>
      </c>
      <c r="U799" s="9" t="s">
        <v>52</v>
      </c>
      <c r="V799" s="3" t="s">
        <v>53</v>
      </c>
    </row>
    <row r="800" spans="1:22">
      <c r="A800" s="2" t="s">
        <v>2612</v>
      </c>
      <c r="B800" s="2" t="s">
        <v>2613</v>
      </c>
      <c r="C800" s="2" t="s">
        <v>2317</v>
      </c>
      <c r="D800" s="2" t="s">
        <v>133</v>
      </c>
      <c r="E800" s="2" t="s">
        <v>215</v>
      </c>
      <c r="F800" s="2" t="s">
        <v>104</v>
      </c>
      <c r="G800" s="2" t="s">
        <v>59</v>
      </c>
      <c r="H800" s="2" t="s">
        <v>2318</v>
      </c>
      <c r="I800" s="2" t="s">
        <v>47</v>
      </c>
      <c r="J800" s="2" t="s">
        <v>48</v>
      </c>
      <c r="K800" s="2" t="s">
        <v>2614</v>
      </c>
      <c r="L800" s="2" t="s">
        <v>490</v>
      </c>
      <c r="M800" s="2" t="s">
        <v>2320</v>
      </c>
      <c r="N800" s="16">
        <v>1.9800000000000002E-2</v>
      </c>
      <c r="O800" s="17">
        <f>N800*'Financial Inputs'!$B$3</f>
        <v>1980000.0000000002</v>
      </c>
      <c r="P800" s="18">
        <f>IF(I800="L",'Financial Inputs'!$B$4,IF(I800="M",'Financial Inputs'!$B$5,'Financial Inputs'!$B$6))</f>
        <v>0.4</v>
      </c>
      <c r="Q800" s="17">
        <f>O800*P800</f>
        <v>792000.00000000012</v>
      </c>
      <c r="R800" s="16">
        <f>'Financial Inputs'!$B$7</f>
        <v>0.35</v>
      </c>
      <c r="S800" s="17">
        <f>Q800*(1-R800)</f>
        <v>514800.00000000012</v>
      </c>
      <c r="T800" s="18">
        <f>S800/'Financial Inputs'!$B$3</f>
        <v>5.1480000000000015E-3</v>
      </c>
      <c r="U800" s="9" t="s">
        <v>52</v>
      </c>
      <c r="V800" s="3" t="s">
        <v>53</v>
      </c>
    </row>
    <row r="801" spans="1:22">
      <c r="A801" s="2" t="s">
        <v>2615</v>
      </c>
      <c r="B801" s="2" t="s">
        <v>2616</v>
      </c>
      <c r="C801" s="2" t="s">
        <v>2317</v>
      </c>
      <c r="D801" s="2" t="s">
        <v>88</v>
      </c>
      <c r="E801" s="2" t="s">
        <v>220</v>
      </c>
      <c r="F801" s="2" t="s">
        <v>110</v>
      </c>
      <c r="G801" s="2" t="s">
        <v>67</v>
      </c>
      <c r="H801" s="2" t="s">
        <v>2318</v>
      </c>
      <c r="I801" s="2" t="s">
        <v>47</v>
      </c>
      <c r="J801" s="2" t="s">
        <v>48</v>
      </c>
      <c r="K801" s="2" t="s">
        <v>2617</v>
      </c>
      <c r="L801" s="2" t="s">
        <v>494</v>
      </c>
      <c r="M801" s="2" t="s">
        <v>2320</v>
      </c>
      <c r="N801" s="16">
        <v>2.1600000000000001E-2</v>
      </c>
      <c r="O801" s="17">
        <f>N801*'Financial Inputs'!$B$3</f>
        <v>2160000</v>
      </c>
      <c r="P801" s="18">
        <f>IF(I801="L",'Financial Inputs'!$B$4,IF(I801="M",'Financial Inputs'!$B$5,'Financial Inputs'!$B$6))</f>
        <v>0.4</v>
      </c>
      <c r="Q801" s="17">
        <f>O801*P801</f>
        <v>864000</v>
      </c>
      <c r="R801" s="16">
        <f>'Financial Inputs'!$B$7</f>
        <v>0.35</v>
      </c>
      <c r="S801" s="17">
        <f>Q801*(1-R801)</f>
        <v>561600</v>
      </c>
      <c r="T801" s="18">
        <f>S801/'Financial Inputs'!$B$3</f>
        <v>5.6160000000000003E-3</v>
      </c>
      <c r="U801" s="9" t="s">
        <v>52</v>
      </c>
      <c r="V801" s="3" t="s">
        <v>53</v>
      </c>
    </row>
    <row r="802" spans="1:22">
      <c r="A802" s="2" t="s">
        <v>2618</v>
      </c>
      <c r="B802" s="2" t="s">
        <v>2619</v>
      </c>
      <c r="C802" s="2" t="s">
        <v>2620</v>
      </c>
      <c r="D802" s="2" t="s">
        <v>42</v>
      </c>
      <c r="E802" s="2" t="s">
        <v>43</v>
      </c>
      <c r="F802" s="2" t="s">
        <v>44</v>
      </c>
      <c r="G802" s="2" t="s">
        <v>45</v>
      </c>
      <c r="H802" s="2" t="s">
        <v>46</v>
      </c>
      <c r="I802" s="2" t="s">
        <v>47</v>
      </c>
      <c r="J802" s="2" t="s">
        <v>2621</v>
      </c>
      <c r="K802" s="2" t="s">
        <v>2622</v>
      </c>
      <c r="L802" s="2" t="s">
        <v>50</v>
      </c>
      <c r="M802" s="2" t="s">
        <v>2623</v>
      </c>
      <c r="N802" s="16">
        <v>1.44E-2</v>
      </c>
      <c r="O802" s="17">
        <f>N802*'Financial Inputs'!$B$3</f>
        <v>1440000</v>
      </c>
      <c r="P802" s="18">
        <f>IF(I802="L",'Financial Inputs'!$B$4,IF(I802="M",'Financial Inputs'!$B$5,'Financial Inputs'!$B$6))</f>
        <v>0.4</v>
      </c>
      <c r="Q802" s="17">
        <f>O802*P802</f>
        <v>576000</v>
      </c>
      <c r="R802" s="16">
        <f>'Financial Inputs'!$B$7</f>
        <v>0.35</v>
      </c>
      <c r="S802" s="17">
        <f>Q802*(1-R802)</f>
        <v>374400</v>
      </c>
      <c r="T802" s="18">
        <f>S802/'Financial Inputs'!$B$3</f>
        <v>3.7439999999999999E-3</v>
      </c>
      <c r="U802" s="9" t="s">
        <v>52</v>
      </c>
      <c r="V802" s="3" t="s">
        <v>53</v>
      </c>
    </row>
    <row r="803" spans="1:22">
      <c r="A803" s="2" t="s">
        <v>2624</v>
      </c>
      <c r="B803" s="2" t="s">
        <v>2625</v>
      </c>
      <c r="C803" s="2" t="s">
        <v>2620</v>
      </c>
      <c r="D803" s="2" t="s">
        <v>56</v>
      </c>
      <c r="E803" s="2" t="s">
        <v>57</v>
      </c>
      <c r="F803" s="2" t="s">
        <v>58</v>
      </c>
      <c r="G803" s="2" t="s">
        <v>59</v>
      </c>
      <c r="H803" s="2" t="s">
        <v>46</v>
      </c>
      <c r="I803" s="2" t="s">
        <v>47</v>
      </c>
      <c r="J803" s="2" t="s">
        <v>2621</v>
      </c>
      <c r="K803" s="2" t="s">
        <v>2626</v>
      </c>
      <c r="L803" s="2" t="s">
        <v>61</v>
      </c>
      <c r="M803" s="2" t="s">
        <v>2623</v>
      </c>
      <c r="N803" s="16">
        <v>1.6199999999999999E-2</v>
      </c>
      <c r="O803" s="17">
        <f>N803*'Financial Inputs'!$B$3</f>
        <v>1620000</v>
      </c>
      <c r="P803" s="18">
        <f>IF(I803="L",'Financial Inputs'!$B$4,IF(I803="M",'Financial Inputs'!$B$5,'Financial Inputs'!$B$6))</f>
        <v>0.4</v>
      </c>
      <c r="Q803" s="17">
        <f>O803*P803</f>
        <v>648000</v>
      </c>
      <c r="R803" s="16">
        <f>'Financial Inputs'!$B$7</f>
        <v>0.35</v>
      </c>
      <c r="S803" s="17">
        <f>Q803*(1-R803)</f>
        <v>421200</v>
      </c>
      <c r="T803" s="18">
        <f>S803/'Financial Inputs'!$B$3</f>
        <v>4.2119999999999996E-3</v>
      </c>
      <c r="U803" s="9" t="s">
        <v>52</v>
      </c>
      <c r="V803" s="3" t="s">
        <v>53</v>
      </c>
    </row>
    <row r="804" spans="1:22">
      <c r="A804" s="2" t="s">
        <v>2627</v>
      </c>
      <c r="B804" s="2" t="s">
        <v>2628</v>
      </c>
      <c r="C804" s="2" t="s">
        <v>2620</v>
      </c>
      <c r="D804" s="2" t="s">
        <v>64</v>
      </c>
      <c r="E804" s="2" t="s">
        <v>65</v>
      </c>
      <c r="F804" s="2" t="s">
        <v>66</v>
      </c>
      <c r="G804" s="2" t="s">
        <v>67</v>
      </c>
      <c r="H804" s="2" t="s">
        <v>46</v>
      </c>
      <c r="I804" s="2" t="s">
        <v>47</v>
      </c>
      <c r="J804" s="2" t="s">
        <v>2621</v>
      </c>
      <c r="K804" s="2" t="s">
        <v>2629</v>
      </c>
      <c r="L804" s="2" t="s">
        <v>69</v>
      </c>
      <c r="M804" s="2" t="s">
        <v>2623</v>
      </c>
      <c r="N804" s="16">
        <v>1.7999999999999999E-2</v>
      </c>
      <c r="O804" s="17">
        <f>N804*'Financial Inputs'!$B$3</f>
        <v>1799999.9999999998</v>
      </c>
      <c r="P804" s="18">
        <f>IF(I804="L",'Financial Inputs'!$B$4,IF(I804="M",'Financial Inputs'!$B$5,'Financial Inputs'!$B$6))</f>
        <v>0.4</v>
      </c>
      <c r="Q804" s="17">
        <f>O804*P804</f>
        <v>720000</v>
      </c>
      <c r="R804" s="16">
        <f>'Financial Inputs'!$B$7</f>
        <v>0.35</v>
      </c>
      <c r="S804" s="17">
        <f>Q804*(1-R804)</f>
        <v>468000</v>
      </c>
      <c r="T804" s="18">
        <f>S804/'Financial Inputs'!$B$3</f>
        <v>4.6800000000000001E-3</v>
      </c>
      <c r="U804" s="9" t="s">
        <v>52</v>
      </c>
      <c r="V804" s="3" t="s">
        <v>53</v>
      </c>
    </row>
    <row r="805" spans="1:22">
      <c r="A805" s="2" t="s">
        <v>2630</v>
      </c>
      <c r="B805" s="2" t="s">
        <v>2631</v>
      </c>
      <c r="C805" s="2" t="s">
        <v>2620</v>
      </c>
      <c r="D805" s="2" t="s">
        <v>72</v>
      </c>
      <c r="E805" s="2" t="s">
        <v>73</v>
      </c>
      <c r="F805" s="2" t="s">
        <v>74</v>
      </c>
      <c r="G805" s="2" t="s">
        <v>75</v>
      </c>
      <c r="H805" s="2" t="s">
        <v>46</v>
      </c>
      <c r="I805" s="2" t="s">
        <v>47</v>
      </c>
      <c r="J805" s="2" t="s">
        <v>2621</v>
      </c>
      <c r="K805" s="2" t="s">
        <v>2632</v>
      </c>
      <c r="L805" s="2" t="s">
        <v>77</v>
      </c>
      <c r="M805" s="2" t="s">
        <v>2623</v>
      </c>
      <c r="N805" s="16">
        <v>1.9800000000000002E-2</v>
      </c>
      <c r="O805" s="17">
        <f>N805*'Financial Inputs'!$B$3</f>
        <v>1980000.0000000002</v>
      </c>
      <c r="P805" s="18">
        <f>IF(I805="L",'Financial Inputs'!$B$4,IF(I805="M",'Financial Inputs'!$B$5,'Financial Inputs'!$B$6))</f>
        <v>0.4</v>
      </c>
      <c r="Q805" s="17">
        <f>O805*P805</f>
        <v>792000.00000000012</v>
      </c>
      <c r="R805" s="16">
        <f>'Financial Inputs'!$B$7</f>
        <v>0.35</v>
      </c>
      <c r="S805" s="17">
        <f>Q805*(1-R805)</f>
        <v>514800.00000000012</v>
      </c>
      <c r="T805" s="18">
        <f>S805/'Financial Inputs'!$B$3</f>
        <v>5.1480000000000015E-3</v>
      </c>
      <c r="U805" s="9" t="s">
        <v>52</v>
      </c>
      <c r="V805" s="3" t="s">
        <v>53</v>
      </c>
    </row>
    <row r="806" spans="1:22">
      <c r="A806" s="2" t="s">
        <v>2633</v>
      </c>
      <c r="B806" s="2" t="s">
        <v>2634</v>
      </c>
      <c r="C806" s="2" t="s">
        <v>2620</v>
      </c>
      <c r="D806" s="2" t="s">
        <v>80</v>
      </c>
      <c r="E806" s="2" t="s">
        <v>81</v>
      </c>
      <c r="F806" s="2" t="s">
        <v>82</v>
      </c>
      <c r="G806" s="2" t="s">
        <v>83</v>
      </c>
      <c r="H806" s="2" t="s">
        <v>46</v>
      </c>
      <c r="I806" s="2" t="s">
        <v>47</v>
      </c>
      <c r="J806" s="2" t="s">
        <v>2621</v>
      </c>
      <c r="K806" s="2" t="s">
        <v>2635</v>
      </c>
      <c r="L806" s="2" t="s">
        <v>85</v>
      </c>
      <c r="M806" s="2" t="s">
        <v>2623</v>
      </c>
      <c r="N806" s="16">
        <v>2.1600000000000001E-2</v>
      </c>
      <c r="O806" s="17">
        <f>N806*'Financial Inputs'!$B$3</f>
        <v>2160000</v>
      </c>
      <c r="P806" s="18">
        <f>IF(I806="L",'Financial Inputs'!$B$4,IF(I806="M",'Financial Inputs'!$B$5,'Financial Inputs'!$B$6))</f>
        <v>0.4</v>
      </c>
      <c r="Q806" s="17">
        <f>O806*P806</f>
        <v>864000</v>
      </c>
      <c r="R806" s="16">
        <f>'Financial Inputs'!$B$7</f>
        <v>0.35</v>
      </c>
      <c r="S806" s="17">
        <f>Q806*(1-R806)</f>
        <v>561600</v>
      </c>
      <c r="T806" s="18">
        <f>S806/'Financial Inputs'!$B$3</f>
        <v>5.6160000000000003E-3</v>
      </c>
      <c r="U806" s="9" t="s">
        <v>52</v>
      </c>
      <c r="V806" s="3" t="s">
        <v>53</v>
      </c>
    </row>
    <row r="807" spans="1:22">
      <c r="A807" s="2" t="s">
        <v>2636</v>
      </c>
      <c r="B807" s="2" t="s">
        <v>2637</v>
      </c>
      <c r="C807" s="2" t="s">
        <v>2620</v>
      </c>
      <c r="D807" s="2" t="s">
        <v>88</v>
      </c>
      <c r="E807" s="2" t="s">
        <v>89</v>
      </c>
      <c r="F807" s="2" t="s">
        <v>90</v>
      </c>
      <c r="G807" s="2" t="s">
        <v>67</v>
      </c>
      <c r="H807" s="2" t="s">
        <v>46</v>
      </c>
      <c r="I807" s="2" t="s">
        <v>47</v>
      </c>
      <c r="J807" s="2" t="s">
        <v>2621</v>
      </c>
      <c r="K807" s="2" t="s">
        <v>2638</v>
      </c>
      <c r="L807" s="2" t="s">
        <v>92</v>
      </c>
      <c r="M807" s="2" t="s">
        <v>2623</v>
      </c>
      <c r="N807" s="16">
        <v>1.44E-2</v>
      </c>
      <c r="O807" s="17">
        <f>N807*'Financial Inputs'!$B$3</f>
        <v>1440000</v>
      </c>
      <c r="P807" s="18">
        <f>IF(I807="L",'Financial Inputs'!$B$4,IF(I807="M",'Financial Inputs'!$B$5,'Financial Inputs'!$B$6))</f>
        <v>0.4</v>
      </c>
      <c r="Q807" s="17">
        <f>O807*P807</f>
        <v>576000</v>
      </c>
      <c r="R807" s="16">
        <f>'Financial Inputs'!$B$7</f>
        <v>0.35</v>
      </c>
      <c r="S807" s="17">
        <f>Q807*(1-R807)</f>
        <v>374400</v>
      </c>
      <c r="T807" s="18">
        <f>S807/'Financial Inputs'!$B$3</f>
        <v>3.7439999999999999E-3</v>
      </c>
      <c r="U807" s="9" t="s">
        <v>52</v>
      </c>
      <c r="V807" s="3" t="s">
        <v>53</v>
      </c>
    </row>
    <row r="808" spans="1:22">
      <c r="A808" s="2" t="s">
        <v>2639</v>
      </c>
      <c r="B808" s="2" t="s">
        <v>2640</v>
      </c>
      <c r="C808" s="2" t="s">
        <v>2620</v>
      </c>
      <c r="D808" s="2" t="s">
        <v>95</v>
      </c>
      <c r="E808" s="2" t="s">
        <v>96</v>
      </c>
      <c r="F808" s="2" t="s">
        <v>97</v>
      </c>
      <c r="G808" s="2" t="s">
        <v>75</v>
      </c>
      <c r="H808" s="2" t="s">
        <v>46</v>
      </c>
      <c r="I808" s="2" t="s">
        <v>47</v>
      </c>
      <c r="J808" s="2" t="s">
        <v>2621</v>
      </c>
      <c r="K808" s="2" t="s">
        <v>2641</v>
      </c>
      <c r="L808" s="2" t="s">
        <v>99</v>
      </c>
      <c r="M808" s="2" t="s">
        <v>2623</v>
      </c>
      <c r="N808" s="16">
        <v>1.6199999999999999E-2</v>
      </c>
      <c r="O808" s="17">
        <f>N808*'Financial Inputs'!$B$3</f>
        <v>1620000</v>
      </c>
      <c r="P808" s="18">
        <f>IF(I808="L",'Financial Inputs'!$B$4,IF(I808="M",'Financial Inputs'!$B$5,'Financial Inputs'!$B$6))</f>
        <v>0.4</v>
      </c>
      <c r="Q808" s="17">
        <f>O808*P808</f>
        <v>648000</v>
      </c>
      <c r="R808" s="16">
        <f>'Financial Inputs'!$B$7</f>
        <v>0.35</v>
      </c>
      <c r="S808" s="17">
        <f>Q808*(1-R808)</f>
        <v>421200</v>
      </c>
      <c r="T808" s="18">
        <f>S808/'Financial Inputs'!$B$3</f>
        <v>4.2119999999999996E-3</v>
      </c>
      <c r="U808" s="9" t="s">
        <v>52</v>
      </c>
      <c r="V808" s="3" t="s">
        <v>53</v>
      </c>
    </row>
    <row r="809" spans="1:22">
      <c r="A809" s="2" t="s">
        <v>2642</v>
      </c>
      <c r="B809" s="2" t="s">
        <v>2643</v>
      </c>
      <c r="C809" s="2" t="s">
        <v>2620</v>
      </c>
      <c r="D809" s="2" t="s">
        <v>102</v>
      </c>
      <c r="E809" s="2" t="s">
        <v>103</v>
      </c>
      <c r="F809" s="2" t="s">
        <v>104</v>
      </c>
      <c r="G809" s="2" t="s">
        <v>83</v>
      </c>
      <c r="H809" s="2" t="s">
        <v>46</v>
      </c>
      <c r="I809" s="2" t="s">
        <v>47</v>
      </c>
      <c r="J809" s="2" t="s">
        <v>2621</v>
      </c>
      <c r="K809" s="2" t="s">
        <v>2644</v>
      </c>
      <c r="L809" s="2" t="s">
        <v>106</v>
      </c>
      <c r="M809" s="2" t="s">
        <v>2623</v>
      </c>
      <c r="N809" s="16">
        <v>1.7999999999999999E-2</v>
      </c>
      <c r="O809" s="17">
        <f>N809*'Financial Inputs'!$B$3</f>
        <v>1799999.9999999998</v>
      </c>
      <c r="P809" s="18">
        <f>IF(I809="L",'Financial Inputs'!$B$4,IF(I809="M",'Financial Inputs'!$B$5,'Financial Inputs'!$B$6))</f>
        <v>0.4</v>
      </c>
      <c r="Q809" s="17">
        <f>O809*P809</f>
        <v>720000</v>
      </c>
      <c r="R809" s="16">
        <f>'Financial Inputs'!$B$7</f>
        <v>0.35</v>
      </c>
      <c r="S809" s="17">
        <f>Q809*(1-R809)</f>
        <v>468000</v>
      </c>
      <c r="T809" s="18">
        <f>S809/'Financial Inputs'!$B$3</f>
        <v>4.6800000000000001E-3</v>
      </c>
      <c r="U809" s="9" t="s">
        <v>52</v>
      </c>
      <c r="V809" s="3" t="s">
        <v>53</v>
      </c>
    </row>
    <row r="810" spans="1:22">
      <c r="A810" s="2" t="s">
        <v>2645</v>
      </c>
      <c r="B810" s="2" t="s">
        <v>2646</v>
      </c>
      <c r="C810" s="2" t="s">
        <v>2620</v>
      </c>
      <c r="D810" s="2" t="s">
        <v>42</v>
      </c>
      <c r="E810" s="2" t="s">
        <v>109</v>
      </c>
      <c r="F810" s="2" t="s">
        <v>110</v>
      </c>
      <c r="G810" s="2" t="s">
        <v>111</v>
      </c>
      <c r="H810" s="2" t="s">
        <v>46</v>
      </c>
      <c r="I810" s="2" t="s">
        <v>47</v>
      </c>
      <c r="J810" s="2" t="s">
        <v>2621</v>
      </c>
      <c r="K810" s="2" t="s">
        <v>2647</v>
      </c>
      <c r="L810" s="2" t="s">
        <v>113</v>
      </c>
      <c r="M810" s="2" t="s">
        <v>2623</v>
      </c>
      <c r="N810" s="16">
        <v>1.9800000000000002E-2</v>
      </c>
      <c r="O810" s="17">
        <f>N810*'Financial Inputs'!$B$3</f>
        <v>1980000.0000000002</v>
      </c>
      <c r="P810" s="18">
        <f>IF(I810="L",'Financial Inputs'!$B$4,IF(I810="M",'Financial Inputs'!$B$5,'Financial Inputs'!$B$6))</f>
        <v>0.4</v>
      </c>
      <c r="Q810" s="17">
        <f>O810*P810</f>
        <v>792000.00000000012</v>
      </c>
      <c r="R810" s="16">
        <f>'Financial Inputs'!$B$7</f>
        <v>0.35</v>
      </c>
      <c r="S810" s="17">
        <f>Q810*(1-R810)</f>
        <v>514800.00000000012</v>
      </c>
      <c r="T810" s="18">
        <f>S810/'Financial Inputs'!$B$3</f>
        <v>5.1480000000000015E-3</v>
      </c>
      <c r="U810" s="9" t="s">
        <v>52</v>
      </c>
      <c r="V810" s="3" t="s">
        <v>53</v>
      </c>
    </row>
    <row r="811" spans="1:22">
      <c r="A811" s="2" t="s">
        <v>2648</v>
      </c>
      <c r="B811" s="2" t="s">
        <v>2649</v>
      </c>
      <c r="C811" s="2" t="s">
        <v>2620</v>
      </c>
      <c r="D811" s="2" t="s">
        <v>56</v>
      </c>
      <c r="E811" s="2" t="s">
        <v>116</v>
      </c>
      <c r="F811" s="2" t="s">
        <v>117</v>
      </c>
      <c r="G811" s="2" t="s">
        <v>56</v>
      </c>
      <c r="H811" s="2" t="s">
        <v>46</v>
      </c>
      <c r="I811" s="2" t="s">
        <v>47</v>
      </c>
      <c r="J811" s="2" t="s">
        <v>2621</v>
      </c>
      <c r="K811" s="2" t="s">
        <v>2650</v>
      </c>
      <c r="L811" s="2" t="s">
        <v>119</v>
      </c>
      <c r="M811" s="2" t="s">
        <v>2623</v>
      </c>
      <c r="N811" s="16">
        <v>2.1600000000000001E-2</v>
      </c>
      <c r="O811" s="17">
        <f>N811*'Financial Inputs'!$B$3</f>
        <v>2160000</v>
      </c>
      <c r="P811" s="18">
        <f>IF(I811="L",'Financial Inputs'!$B$4,IF(I811="M",'Financial Inputs'!$B$5,'Financial Inputs'!$B$6))</f>
        <v>0.4</v>
      </c>
      <c r="Q811" s="17">
        <f>O811*P811</f>
        <v>864000</v>
      </c>
      <c r="R811" s="16">
        <f>'Financial Inputs'!$B$7</f>
        <v>0.35</v>
      </c>
      <c r="S811" s="17">
        <f>Q811*(1-R811)</f>
        <v>561600</v>
      </c>
      <c r="T811" s="18">
        <f>S811/'Financial Inputs'!$B$3</f>
        <v>5.6160000000000003E-3</v>
      </c>
      <c r="U811" s="9" t="s">
        <v>52</v>
      </c>
      <c r="V811" s="3" t="s">
        <v>53</v>
      </c>
    </row>
    <row r="812" spans="1:22">
      <c r="A812" s="2" t="s">
        <v>2651</v>
      </c>
      <c r="B812" s="2" t="s">
        <v>2652</v>
      </c>
      <c r="C812" s="2" t="s">
        <v>2620</v>
      </c>
      <c r="D812" s="2" t="s">
        <v>80</v>
      </c>
      <c r="E812" s="2" t="s">
        <v>122</v>
      </c>
      <c r="F812" s="2" t="s">
        <v>58</v>
      </c>
      <c r="G812" s="2" t="s">
        <v>83</v>
      </c>
      <c r="H812" s="2" t="s">
        <v>46</v>
      </c>
      <c r="I812" s="2" t="s">
        <v>47</v>
      </c>
      <c r="J812" s="2" t="s">
        <v>2621</v>
      </c>
      <c r="K812" s="2" t="s">
        <v>2653</v>
      </c>
      <c r="L812" s="2" t="s">
        <v>124</v>
      </c>
      <c r="M812" s="2" t="s">
        <v>2623</v>
      </c>
      <c r="N812" s="16">
        <v>1.44E-2</v>
      </c>
      <c r="O812" s="17">
        <f>N812*'Financial Inputs'!$B$3</f>
        <v>1440000</v>
      </c>
      <c r="P812" s="18">
        <f>IF(I812="L",'Financial Inputs'!$B$4,IF(I812="M",'Financial Inputs'!$B$5,'Financial Inputs'!$B$6))</f>
        <v>0.4</v>
      </c>
      <c r="Q812" s="17">
        <f>O812*P812</f>
        <v>576000</v>
      </c>
      <c r="R812" s="16">
        <f>'Financial Inputs'!$B$7</f>
        <v>0.35</v>
      </c>
      <c r="S812" s="17">
        <f>Q812*(1-R812)</f>
        <v>374400</v>
      </c>
      <c r="T812" s="18">
        <f>S812/'Financial Inputs'!$B$3</f>
        <v>3.7439999999999999E-3</v>
      </c>
      <c r="U812" s="9" t="s">
        <v>52</v>
      </c>
      <c r="V812" s="3" t="s">
        <v>53</v>
      </c>
    </row>
    <row r="813" spans="1:22">
      <c r="A813" s="2" t="s">
        <v>2654</v>
      </c>
      <c r="B813" s="2" t="s">
        <v>2655</v>
      </c>
      <c r="C813" s="2" t="s">
        <v>2620</v>
      </c>
      <c r="D813" s="2" t="s">
        <v>127</v>
      </c>
      <c r="E813" s="2" t="s">
        <v>128</v>
      </c>
      <c r="F813" s="2" t="s">
        <v>66</v>
      </c>
      <c r="G813" s="2" t="s">
        <v>111</v>
      </c>
      <c r="H813" s="2" t="s">
        <v>46</v>
      </c>
      <c r="I813" s="2" t="s">
        <v>47</v>
      </c>
      <c r="J813" s="2" t="s">
        <v>2621</v>
      </c>
      <c r="K813" s="2" t="s">
        <v>2656</v>
      </c>
      <c r="L813" s="2" t="s">
        <v>130</v>
      </c>
      <c r="M813" s="2" t="s">
        <v>2623</v>
      </c>
      <c r="N813" s="16">
        <v>1.6199999999999999E-2</v>
      </c>
      <c r="O813" s="17">
        <f>N813*'Financial Inputs'!$B$3</f>
        <v>1620000</v>
      </c>
      <c r="P813" s="18">
        <f>IF(I813="L",'Financial Inputs'!$B$4,IF(I813="M",'Financial Inputs'!$B$5,'Financial Inputs'!$B$6))</f>
        <v>0.4</v>
      </c>
      <c r="Q813" s="17">
        <f>O813*P813</f>
        <v>648000</v>
      </c>
      <c r="R813" s="16">
        <f>'Financial Inputs'!$B$7</f>
        <v>0.35</v>
      </c>
      <c r="S813" s="17">
        <f>Q813*(1-R813)</f>
        <v>421200</v>
      </c>
      <c r="T813" s="18">
        <f>S813/'Financial Inputs'!$B$3</f>
        <v>4.2119999999999996E-3</v>
      </c>
      <c r="U813" s="9" t="s">
        <v>52</v>
      </c>
      <c r="V813" s="3" t="s">
        <v>53</v>
      </c>
    </row>
    <row r="814" spans="1:22">
      <c r="A814" s="2" t="s">
        <v>2657</v>
      </c>
      <c r="B814" s="2" t="s">
        <v>2658</v>
      </c>
      <c r="C814" s="2" t="s">
        <v>2620</v>
      </c>
      <c r="D814" s="2" t="s">
        <v>133</v>
      </c>
      <c r="E814" s="2" t="s">
        <v>43</v>
      </c>
      <c r="F814" s="2" t="s">
        <v>74</v>
      </c>
      <c r="G814" s="2" t="s">
        <v>56</v>
      </c>
      <c r="H814" s="2" t="s">
        <v>46</v>
      </c>
      <c r="I814" s="2" t="s">
        <v>47</v>
      </c>
      <c r="J814" s="2" t="s">
        <v>2621</v>
      </c>
      <c r="K814" s="2" t="s">
        <v>2659</v>
      </c>
      <c r="L814" s="2" t="s">
        <v>135</v>
      </c>
      <c r="M814" s="2" t="s">
        <v>2623</v>
      </c>
      <c r="N814" s="16">
        <v>1.7999999999999999E-2</v>
      </c>
      <c r="O814" s="17">
        <f>N814*'Financial Inputs'!$B$3</f>
        <v>1799999.9999999998</v>
      </c>
      <c r="P814" s="18">
        <f>IF(I814="L",'Financial Inputs'!$B$4,IF(I814="M",'Financial Inputs'!$B$5,'Financial Inputs'!$B$6))</f>
        <v>0.4</v>
      </c>
      <c r="Q814" s="17">
        <f>O814*P814</f>
        <v>720000</v>
      </c>
      <c r="R814" s="16">
        <f>'Financial Inputs'!$B$7</f>
        <v>0.35</v>
      </c>
      <c r="S814" s="17">
        <f>Q814*(1-R814)</f>
        <v>468000</v>
      </c>
      <c r="T814" s="18">
        <f>S814/'Financial Inputs'!$B$3</f>
        <v>4.6800000000000001E-3</v>
      </c>
      <c r="U814" s="9" t="s">
        <v>52</v>
      </c>
      <c r="V814" s="3" t="s">
        <v>53</v>
      </c>
    </row>
    <row r="815" spans="1:22">
      <c r="A815" s="2" t="s">
        <v>2660</v>
      </c>
      <c r="B815" s="2" t="s">
        <v>2661</v>
      </c>
      <c r="C815" s="2" t="s">
        <v>2620</v>
      </c>
      <c r="D815" s="2" t="s">
        <v>88</v>
      </c>
      <c r="E815" s="2" t="s">
        <v>57</v>
      </c>
      <c r="F815" s="2" t="s">
        <v>82</v>
      </c>
      <c r="G815" s="2" t="s">
        <v>138</v>
      </c>
      <c r="H815" s="2" t="s">
        <v>46</v>
      </c>
      <c r="I815" s="2" t="s">
        <v>47</v>
      </c>
      <c r="J815" s="2" t="s">
        <v>2621</v>
      </c>
      <c r="K815" s="2" t="s">
        <v>2662</v>
      </c>
      <c r="L815" s="2" t="s">
        <v>140</v>
      </c>
      <c r="M815" s="2" t="s">
        <v>2623</v>
      </c>
      <c r="N815" s="16">
        <v>1.9800000000000002E-2</v>
      </c>
      <c r="O815" s="17">
        <f>N815*'Financial Inputs'!$B$3</f>
        <v>1980000.0000000002</v>
      </c>
      <c r="P815" s="18">
        <f>IF(I815="L",'Financial Inputs'!$B$4,IF(I815="M",'Financial Inputs'!$B$5,'Financial Inputs'!$B$6))</f>
        <v>0.4</v>
      </c>
      <c r="Q815" s="17">
        <f>O815*P815</f>
        <v>792000.00000000012</v>
      </c>
      <c r="R815" s="16">
        <f>'Financial Inputs'!$B$7</f>
        <v>0.35</v>
      </c>
      <c r="S815" s="17">
        <f>Q815*(1-R815)</f>
        <v>514800.00000000012</v>
      </c>
      <c r="T815" s="18">
        <f>S815/'Financial Inputs'!$B$3</f>
        <v>5.1480000000000015E-3</v>
      </c>
      <c r="U815" s="9" t="s">
        <v>52</v>
      </c>
      <c r="V815" s="3" t="s">
        <v>53</v>
      </c>
    </row>
    <row r="816" spans="1:22">
      <c r="A816" s="2" t="s">
        <v>2663</v>
      </c>
      <c r="B816" s="2" t="s">
        <v>2664</v>
      </c>
      <c r="C816" s="2" t="s">
        <v>2620</v>
      </c>
      <c r="D816" s="2" t="s">
        <v>95</v>
      </c>
      <c r="E816" s="2" t="s">
        <v>65</v>
      </c>
      <c r="F816" s="2" t="s">
        <v>44</v>
      </c>
      <c r="G816" s="2" t="s">
        <v>143</v>
      </c>
      <c r="H816" s="2" t="s">
        <v>46</v>
      </c>
      <c r="I816" s="2" t="s">
        <v>47</v>
      </c>
      <c r="J816" s="2" t="s">
        <v>2621</v>
      </c>
      <c r="K816" s="2" t="s">
        <v>2665</v>
      </c>
      <c r="L816" s="2" t="s">
        <v>145</v>
      </c>
      <c r="M816" s="2" t="s">
        <v>2623</v>
      </c>
      <c r="N816" s="16">
        <v>2.1600000000000001E-2</v>
      </c>
      <c r="O816" s="17">
        <f>N816*'Financial Inputs'!$B$3</f>
        <v>2160000</v>
      </c>
      <c r="P816" s="18">
        <f>IF(I816="L",'Financial Inputs'!$B$4,IF(I816="M",'Financial Inputs'!$B$5,'Financial Inputs'!$B$6))</f>
        <v>0.4</v>
      </c>
      <c r="Q816" s="17">
        <f>O816*P816</f>
        <v>864000</v>
      </c>
      <c r="R816" s="16">
        <f>'Financial Inputs'!$B$7</f>
        <v>0.35</v>
      </c>
      <c r="S816" s="17">
        <f>Q816*(1-R816)</f>
        <v>561600</v>
      </c>
      <c r="T816" s="18">
        <f>S816/'Financial Inputs'!$B$3</f>
        <v>5.6160000000000003E-3</v>
      </c>
      <c r="U816" s="9" t="s">
        <v>52</v>
      </c>
      <c r="V816" s="3" t="s">
        <v>53</v>
      </c>
    </row>
    <row r="817" spans="1:22">
      <c r="A817" s="2" t="s">
        <v>2666</v>
      </c>
      <c r="B817" s="2" t="s">
        <v>2667</v>
      </c>
      <c r="C817" s="2" t="s">
        <v>2620</v>
      </c>
      <c r="D817" s="2" t="s">
        <v>56</v>
      </c>
      <c r="E817" s="2" t="s">
        <v>148</v>
      </c>
      <c r="F817" s="2" t="s">
        <v>97</v>
      </c>
      <c r="G817" s="2" t="s">
        <v>56</v>
      </c>
      <c r="H817" s="2" t="s">
        <v>46</v>
      </c>
      <c r="I817" s="2" t="s">
        <v>47</v>
      </c>
      <c r="J817" s="2" t="s">
        <v>2621</v>
      </c>
      <c r="K817" s="2" t="s">
        <v>2668</v>
      </c>
      <c r="L817" s="2" t="s">
        <v>150</v>
      </c>
      <c r="M817" s="2" t="s">
        <v>2623</v>
      </c>
      <c r="N817" s="16">
        <v>1.44E-2</v>
      </c>
      <c r="O817" s="17">
        <f>N817*'Financial Inputs'!$B$3</f>
        <v>1440000</v>
      </c>
      <c r="P817" s="18">
        <f>IF(I817="L",'Financial Inputs'!$B$4,IF(I817="M",'Financial Inputs'!$B$5,'Financial Inputs'!$B$6))</f>
        <v>0.4</v>
      </c>
      <c r="Q817" s="17">
        <f>O817*P817</f>
        <v>576000</v>
      </c>
      <c r="R817" s="16">
        <f>'Financial Inputs'!$B$7</f>
        <v>0.35</v>
      </c>
      <c r="S817" s="17">
        <f>Q817*(1-R817)</f>
        <v>374400</v>
      </c>
      <c r="T817" s="18">
        <f>S817/'Financial Inputs'!$B$3</f>
        <v>3.7439999999999999E-3</v>
      </c>
      <c r="U817" s="9" t="s">
        <v>52</v>
      </c>
      <c r="V817" s="3" t="s">
        <v>53</v>
      </c>
    </row>
    <row r="818" spans="1:22">
      <c r="A818" s="2" t="s">
        <v>2669</v>
      </c>
      <c r="B818" s="2" t="s">
        <v>2670</v>
      </c>
      <c r="C818" s="2" t="s">
        <v>2620</v>
      </c>
      <c r="D818" s="2" t="s">
        <v>64</v>
      </c>
      <c r="E818" s="2" t="s">
        <v>153</v>
      </c>
      <c r="F818" s="2" t="s">
        <v>104</v>
      </c>
      <c r="G818" s="2" t="s">
        <v>138</v>
      </c>
      <c r="H818" s="2" t="s">
        <v>46</v>
      </c>
      <c r="I818" s="2" t="s">
        <v>47</v>
      </c>
      <c r="J818" s="2" t="s">
        <v>2621</v>
      </c>
      <c r="K818" s="2" t="s">
        <v>2671</v>
      </c>
      <c r="L818" s="2" t="s">
        <v>155</v>
      </c>
      <c r="M818" s="2" t="s">
        <v>2623</v>
      </c>
      <c r="N818" s="16">
        <v>1.6199999999999999E-2</v>
      </c>
      <c r="O818" s="17">
        <f>N818*'Financial Inputs'!$B$3</f>
        <v>1620000</v>
      </c>
      <c r="P818" s="18">
        <f>IF(I818="L",'Financial Inputs'!$B$4,IF(I818="M",'Financial Inputs'!$B$5,'Financial Inputs'!$B$6))</f>
        <v>0.4</v>
      </c>
      <c r="Q818" s="17">
        <f>O818*P818</f>
        <v>648000</v>
      </c>
      <c r="R818" s="16">
        <f>'Financial Inputs'!$B$7</f>
        <v>0.35</v>
      </c>
      <c r="S818" s="17">
        <f>Q818*(1-R818)</f>
        <v>421200</v>
      </c>
      <c r="T818" s="18">
        <f>S818/'Financial Inputs'!$B$3</f>
        <v>4.2119999999999996E-3</v>
      </c>
      <c r="U818" s="9" t="s">
        <v>52</v>
      </c>
      <c r="V818" s="3" t="s">
        <v>53</v>
      </c>
    </row>
    <row r="819" spans="1:22">
      <c r="A819" s="2" t="s">
        <v>2672</v>
      </c>
      <c r="B819" s="2" t="s">
        <v>2673</v>
      </c>
      <c r="C819" s="2" t="s">
        <v>2620</v>
      </c>
      <c r="D819" s="2" t="s">
        <v>72</v>
      </c>
      <c r="E819" s="2" t="s">
        <v>89</v>
      </c>
      <c r="F819" s="2" t="s">
        <v>110</v>
      </c>
      <c r="G819" s="2" t="s">
        <v>143</v>
      </c>
      <c r="H819" s="2" t="s">
        <v>46</v>
      </c>
      <c r="I819" s="2" t="s">
        <v>47</v>
      </c>
      <c r="J819" s="2" t="s">
        <v>2621</v>
      </c>
      <c r="K819" s="2" t="s">
        <v>2674</v>
      </c>
      <c r="L819" s="2" t="s">
        <v>159</v>
      </c>
      <c r="M819" s="2" t="s">
        <v>2623</v>
      </c>
      <c r="N819" s="16">
        <v>1.7999999999999999E-2</v>
      </c>
      <c r="O819" s="17">
        <f>N819*'Financial Inputs'!$B$3</f>
        <v>1799999.9999999998</v>
      </c>
      <c r="P819" s="18">
        <f>IF(I819="L",'Financial Inputs'!$B$4,IF(I819="M",'Financial Inputs'!$B$5,'Financial Inputs'!$B$6))</f>
        <v>0.4</v>
      </c>
      <c r="Q819" s="17">
        <f>O819*P819</f>
        <v>720000</v>
      </c>
      <c r="R819" s="16">
        <f>'Financial Inputs'!$B$7</f>
        <v>0.35</v>
      </c>
      <c r="S819" s="17">
        <f>Q819*(1-R819)</f>
        <v>468000</v>
      </c>
      <c r="T819" s="18">
        <f>S819/'Financial Inputs'!$B$3</f>
        <v>4.6800000000000001E-3</v>
      </c>
      <c r="U819" s="9" t="s">
        <v>52</v>
      </c>
      <c r="V819" s="3" t="s">
        <v>53</v>
      </c>
    </row>
    <row r="820" spans="1:22">
      <c r="A820" s="2" t="s">
        <v>2675</v>
      </c>
      <c r="B820" s="2" t="s">
        <v>2676</v>
      </c>
      <c r="C820" s="2" t="s">
        <v>2620</v>
      </c>
      <c r="D820" s="2" t="s">
        <v>80</v>
      </c>
      <c r="E820" s="2" t="s">
        <v>96</v>
      </c>
      <c r="F820" s="2" t="s">
        <v>117</v>
      </c>
      <c r="G820" s="2" t="s">
        <v>162</v>
      </c>
      <c r="H820" s="2" t="s">
        <v>46</v>
      </c>
      <c r="I820" s="2" t="s">
        <v>47</v>
      </c>
      <c r="J820" s="2" t="s">
        <v>2621</v>
      </c>
      <c r="K820" s="2" t="s">
        <v>2677</v>
      </c>
      <c r="L820" s="2" t="s">
        <v>164</v>
      </c>
      <c r="M820" s="2" t="s">
        <v>2623</v>
      </c>
      <c r="N820" s="16">
        <v>1.9800000000000002E-2</v>
      </c>
      <c r="O820" s="17">
        <f>N820*'Financial Inputs'!$B$3</f>
        <v>1980000.0000000002</v>
      </c>
      <c r="P820" s="18">
        <f>IF(I820="L",'Financial Inputs'!$B$4,IF(I820="M",'Financial Inputs'!$B$5,'Financial Inputs'!$B$6))</f>
        <v>0.4</v>
      </c>
      <c r="Q820" s="17">
        <f>O820*P820</f>
        <v>792000.00000000012</v>
      </c>
      <c r="R820" s="16">
        <f>'Financial Inputs'!$B$7</f>
        <v>0.35</v>
      </c>
      <c r="S820" s="17">
        <f>Q820*(1-R820)</f>
        <v>514800.00000000012</v>
      </c>
      <c r="T820" s="18">
        <f>S820/'Financial Inputs'!$B$3</f>
        <v>5.1480000000000015E-3</v>
      </c>
      <c r="U820" s="9" t="s">
        <v>52</v>
      </c>
      <c r="V820" s="3" t="s">
        <v>53</v>
      </c>
    </row>
    <row r="821" spans="1:22">
      <c r="A821" s="2" t="s">
        <v>2678</v>
      </c>
      <c r="B821" s="2" t="s">
        <v>2679</v>
      </c>
      <c r="C821" s="2" t="s">
        <v>2620</v>
      </c>
      <c r="D821" s="2" t="s">
        <v>127</v>
      </c>
      <c r="E821" s="2" t="s">
        <v>103</v>
      </c>
      <c r="F821" s="2" t="s">
        <v>90</v>
      </c>
      <c r="G821" s="2" t="s">
        <v>45</v>
      </c>
      <c r="H821" s="2" t="s">
        <v>46</v>
      </c>
      <c r="I821" s="2" t="s">
        <v>47</v>
      </c>
      <c r="J821" s="2" t="s">
        <v>2621</v>
      </c>
      <c r="K821" s="2" t="s">
        <v>2680</v>
      </c>
      <c r="L821" s="2" t="s">
        <v>168</v>
      </c>
      <c r="M821" s="2" t="s">
        <v>2623</v>
      </c>
      <c r="N821" s="16">
        <v>2.1600000000000001E-2</v>
      </c>
      <c r="O821" s="17">
        <f>N821*'Financial Inputs'!$B$3</f>
        <v>2160000</v>
      </c>
      <c r="P821" s="18">
        <f>IF(I821="L",'Financial Inputs'!$B$4,IF(I821="M",'Financial Inputs'!$B$5,'Financial Inputs'!$B$6))</f>
        <v>0.4</v>
      </c>
      <c r="Q821" s="17">
        <f>O821*P821</f>
        <v>864000</v>
      </c>
      <c r="R821" s="16">
        <f>'Financial Inputs'!$B$7</f>
        <v>0.35</v>
      </c>
      <c r="S821" s="17">
        <f>Q821*(1-R821)</f>
        <v>561600</v>
      </c>
      <c r="T821" s="18">
        <f>S821/'Financial Inputs'!$B$3</f>
        <v>5.6160000000000003E-3</v>
      </c>
      <c r="U821" s="9" t="s">
        <v>52</v>
      </c>
      <c r="V821" s="3" t="s">
        <v>53</v>
      </c>
    </row>
    <row r="822" spans="1:22">
      <c r="A822" s="2" t="s">
        <v>2681</v>
      </c>
      <c r="B822" s="2" t="s">
        <v>2682</v>
      </c>
      <c r="C822" s="2" t="s">
        <v>2620</v>
      </c>
      <c r="D822" s="2" t="s">
        <v>95</v>
      </c>
      <c r="E822" s="2" t="s">
        <v>171</v>
      </c>
      <c r="F822" s="2" t="s">
        <v>66</v>
      </c>
      <c r="G822" s="2" t="s">
        <v>143</v>
      </c>
      <c r="H822" s="2" t="s">
        <v>46</v>
      </c>
      <c r="I822" s="2" t="s">
        <v>47</v>
      </c>
      <c r="J822" s="2" t="s">
        <v>2621</v>
      </c>
      <c r="K822" s="2" t="s">
        <v>2683</v>
      </c>
      <c r="L822" s="2" t="s">
        <v>173</v>
      </c>
      <c r="M822" s="2" t="s">
        <v>2623</v>
      </c>
      <c r="N822" s="16">
        <v>1.44E-2</v>
      </c>
      <c r="O822" s="17">
        <f>N822*'Financial Inputs'!$B$3</f>
        <v>1440000</v>
      </c>
      <c r="P822" s="18">
        <f>IF(I822="L",'Financial Inputs'!$B$4,IF(I822="M",'Financial Inputs'!$B$5,'Financial Inputs'!$B$6))</f>
        <v>0.4</v>
      </c>
      <c r="Q822" s="17">
        <f>O822*P822</f>
        <v>576000</v>
      </c>
      <c r="R822" s="16">
        <f>'Financial Inputs'!$B$7</f>
        <v>0.35</v>
      </c>
      <c r="S822" s="17">
        <f>Q822*(1-R822)</f>
        <v>374400</v>
      </c>
      <c r="T822" s="18">
        <f>S822/'Financial Inputs'!$B$3</f>
        <v>3.7439999999999999E-3</v>
      </c>
      <c r="U822" s="9" t="s">
        <v>52</v>
      </c>
      <c r="V822" s="3" t="s">
        <v>53</v>
      </c>
    </row>
    <row r="823" spans="1:22">
      <c r="A823" s="2" t="s">
        <v>2684</v>
      </c>
      <c r="B823" s="2" t="s">
        <v>2685</v>
      </c>
      <c r="C823" s="2" t="s">
        <v>2620</v>
      </c>
      <c r="D823" s="2" t="s">
        <v>102</v>
      </c>
      <c r="E823" s="2" t="s">
        <v>176</v>
      </c>
      <c r="F823" s="2" t="s">
        <v>74</v>
      </c>
      <c r="G823" s="2" t="s">
        <v>162</v>
      </c>
      <c r="H823" s="2" t="s">
        <v>46</v>
      </c>
      <c r="I823" s="2" t="s">
        <v>47</v>
      </c>
      <c r="J823" s="2" t="s">
        <v>2621</v>
      </c>
      <c r="K823" s="2" t="s">
        <v>2686</v>
      </c>
      <c r="L823" s="2" t="s">
        <v>178</v>
      </c>
      <c r="M823" s="2" t="s">
        <v>2623</v>
      </c>
      <c r="N823" s="16">
        <v>1.6199999999999999E-2</v>
      </c>
      <c r="O823" s="17">
        <f>N823*'Financial Inputs'!$B$3</f>
        <v>1620000</v>
      </c>
      <c r="P823" s="18">
        <f>IF(I823="L",'Financial Inputs'!$B$4,IF(I823="M",'Financial Inputs'!$B$5,'Financial Inputs'!$B$6))</f>
        <v>0.4</v>
      </c>
      <c r="Q823" s="17">
        <f>O823*P823</f>
        <v>648000</v>
      </c>
      <c r="R823" s="16">
        <f>'Financial Inputs'!$B$7</f>
        <v>0.35</v>
      </c>
      <c r="S823" s="17">
        <f>Q823*(1-R823)</f>
        <v>421200</v>
      </c>
      <c r="T823" s="18">
        <f>S823/'Financial Inputs'!$B$3</f>
        <v>4.2119999999999996E-3</v>
      </c>
      <c r="U823" s="9" t="s">
        <v>52</v>
      </c>
      <c r="V823" s="3" t="s">
        <v>53</v>
      </c>
    </row>
    <row r="824" spans="1:22">
      <c r="A824" s="2" t="s">
        <v>2687</v>
      </c>
      <c r="B824" s="2" t="s">
        <v>2688</v>
      </c>
      <c r="C824" s="2" t="s">
        <v>2620</v>
      </c>
      <c r="D824" s="2" t="s">
        <v>42</v>
      </c>
      <c r="E824" s="2" t="s">
        <v>122</v>
      </c>
      <c r="F824" s="2" t="s">
        <v>82</v>
      </c>
      <c r="G824" s="2" t="s">
        <v>45</v>
      </c>
      <c r="H824" s="2" t="s">
        <v>46</v>
      </c>
      <c r="I824" s="2" t="s">
        <v>47</v>
      </c>
      <c r="J824" s="2" t="s">
        <v>2621</v>
      </c>
      <c r="K824" s="2" t="s">
        <v>2689</v>
      </c>
      <c r="L824" s="2" t="s">
        <v>182</v>
      </c>
      <c r="M824" s="2" t="s">
        <v>2623</v>
      </c>
      <c r="N824" s="16">
        <v>1.7999999999999999E-2</v>
      </c>
      <c r="O824" s="17">
        <f>N824*'Financial Inputs'!$B$3</f>
        <v>1799999.9999999998</v>
      </c>
      <c r="P824" s="18">
        <f>IF(I824="L",'Financial Inputs'!$B$4,IF(I824="M",'Financial Inputs'!$B$5,'Financial Inputs'!$B$6))</f>
        <v>0.4</v>
      </c>
      <c r="Q824" s="17">
        <f>O824*P824</f>
        <v>720000</v>
      </c>
      <c r="R824" s="16">
        <f>'Financial Inputs'!$B$7</f>
        <v>0.35</v>
      </c>
      <c r="S824" s="17">
        <f>Q824*(1-R824)</f>
        <v>468000</v>
      </c>
      <c r="T824" s="18">
        <f>S824/'Financial Inputs'!$B$3</f>
        <v>4.6800000000000001E-3</v>
      </c>
      <c r="U824" s="9" t="s">
        <v>52</v>
      </c>
      <c r="V824" s="3" t="s">
        <v>53</v>
      </c>
    </row>
    <row r="825" spans="1:22">
      <c r="A825" s="2" t="s">
        <v>2690</v>
      </c>
      <c r="B825" s="2" t="s">
        <v>2691</v>
      </c>
      <c r="C825" s="2" t="s">
        <v>2620</v>
      </c>
      <c r="D825" s="2" t="s">
        <v>56</v>
      </c>
      <c r="E825" s="2" t="s">
        <v>128</v>
      </c>
      <c r="F825" s="2" t="s">
        <v>44</v>
      </c>
      <c r="G825" s="2" t="s">
        <v>59</v>
      </c>
      <c r="H825" s="2" t="s">
        <v>46</v>
      </c>
      <c r="I825" s="2" t="s">
        <v>47</v>
      </c>
      <c r="J825" s="2" t="s">
        <v>2621</v>
      </c>
      <c r="K825" s="2" t="s">
        <v>2692</v>
      </c>
      <c r="L825" s="2" t="s">
        <v>186</v>
      </c>
      <c r="M825" s="2" t="s">
        <v>2623</v>
      </c>
      <c r="N825" s="16">
        <v>1.9800000000000002E-2</v>
      </c>
      <c r="O825" s="17">
        <f>N825*'Financial Inputs'!$B$3</f>
        <v>1980000.0000000002</v>
      </c>
      <c r="P825" s="18">
        <f>IF(I825="L",'Financial Inputs'!$B$4,IF(I825="M",'Financial Inputs'!$B$5,'Financial Inputs'!$B$6))</f>
        <v>0.4</v>
      </c>
      <c r="Q825" s="17">
        <f>O825*P825</f>
        <v>792000.00000000012</v>
      </c>
      <c r="R825" s="16">
        <f>'Financial Inputs'!$B$7</f>
        <v>0.35</v>
      </c>
      <c r="S825" s="17">
        <f>Q825*(1-R825)</f>
        <v>514800.00000000012</v>
      </c>
      <c r="T825" s="18">
        <f>S825/'Financial Inputs'!$B$3</f>
        <v>5.1480000000000015E-3</v>
      </c>
      <c r="U825" s="9" t="s">
        <v>52</v>
      </c>
      <c r="V825" s="3" t="s">
        <v>53</v>
      </c>
    </row>
    <row r="826" spans="1:22">
      <c r="A826" s="2" t="s">
        <v>2693</v>
      </c>
      <c r="B826" s="2" t="s">
        <v>2694</v>
      </c>
      <c r="C826" s="2" t="s">
        <v>2620</v>
      </c>
      <c r="D826" s="2" t="s">
        <v>64</v>
      </c>
      <c r="E826" s="2" t="s">
        <v>43</v>
      </c>
      <c r="F826" s="2" t="s">
        <v>58</v>
      </c>
      <c r="G826" s="2" t="s">
        <v>67</v>
      </c>
      <c r="H826" s="2" t="s">
        <v>46</v>
      </c>
      <c r="I826" s="2" t="s">
        <v>47</v>
      </c>
      <c r="J826" s="2" t="s">
        <v>2621</v>
      </c>
      <c r="K826" s="2" t="s">
        <v>2695</v>
      </c>
      <c r="L826" s="2" t="s">
        <v>190</v>
      </c>
      <c r="M826" s="2" t="s">
        <v>2623</v>
      </c>
      <c r="N826" s="16">
        <v>2.1600000000000001E-2</v>
      </c>
      <c r="O826" s="17">
        <f>N826*'Financial Inputs'!$B$3</f>
        <v>2160000</v>
      </c>
      <c r="P826" s="18">
        <f>IF(I826="L",'Financial Inputs'!$B$4,IF(I826="M",'Financial Inputs'!$B$5,'Financial Inputs'!$B$6))</f>
        <v>0.4</v>
      </c>
      <c r="Q826" s="17">
        <f>O826*P826</f>
        <v>864000</v>
      </c>
      <c r="R826" s="16">
        <f>'Financial Inputs'!$B$7</f>
        <v>0.35</v>
      </c>
      <c r="S826" s="17">
        <f>Q826*(1-R826)</f>
        <v>561600</v>
      </c>
      <c r="T826" s="18">
        <f>S826/'Financial Inputs'!$B$3</f>
        <v>5.6160000000000003E-3</v>
      </c>
      <c r="U826" s="9" t="s">
        <v>52</v>
      </c>
      <c r="V826" s="3" t="s">
        <v>53</v>
      </c>
    </row>
    <row r="827" spans="1:22">
      <c r="A827" s="2" t="s">
        <v>2696</v>
      </c>
      <c r="B827" s="2" t="s">
        <v>2697</v>
      </c>
      <c r="C827" s="2" t="s">
        <v>2620</v>
      </c>
      <c r="D827" s="2" t="s">
        <v>127</v>
      </c>
      <c r="E827" s="2" t="s">
        <v>193</v>
      </c>
      <c r="F827" s="2" t="s">
        <v>104</v>
      </c>
      <c r="G827" s="2" t="s">
        <v>45</v>
      </c>
      <c r="H827" s="2" t="s">
        <v>46</v>
      </c>
      <c r="I827" s="2" t="s">
        <v>47</v>
      </c>
      <c r="J827" s="2" t="s">
        <v>2621</v>
      </c>
      <c r="K827" s="2" t="s">
        <v>2698</v>
      </c>
      <c r="L827" s="2" t="s">
        <v>195</v>
      </c>
      <c r="M827" s="2" t="s">
        <v>2623</v>
      </c>
      <c r="N827" s="16">
        <v>1.44E-2</v>
      </c>
      <c r="O827" s="17">
        <f>N827*'Financial Inputs'!$B$3</f>
        <v>1440000</v>
      </c>
      <c r="P827" s="18">
        <f>IF(I827="L",'Financial Inputs'!$B$4,IF(I827="M",'Financial Inputs'!$B$5,'Financial Inputs'!$B$6))</f>
        <v>0.4</v>
      </c>
      <c r="Q827" s="17">
        <f>O827*P827</f>
        <v>576000</v>
      </c>
      <c r="R827" s="16">
        <f>'Financial Inputs'!$B$7</f>
        <v>0.35</v>
      </c>
      <c r="S827" s="17">
        <f>Q827*(1-R827)</f>
        <v>374400</v>
      </c>
      <c r="T827" s="18">
        <f>S827/'Financial Inputs'!$B$3</f>
        <v>3.7439999999999999E-3</v>
      </c>
      <c r="U827" s="9" t="s">
        <v>52</v>
      </c>
      <c r="V827" s="3" t="s">
        <v>53</v>
      </c>
    </row>
    <row r="828" spans="1:22">
      <c r="A828" s="2" t="s">
        <v>2699</v>
      </c>
      <c r="B828" s="2" t="s">
        <v>2700</v>
      </c>
      <c r="C828" s="2" t="s">
        <v>2620</v>
      </c>
      <c r="D828" s="2" t="s">
        <v>133</v>
      </c>
      <c r="E828" s="2" t="s">
        <v>198</v>
      </c>
      <c r="F828" s="2" t="s">
        <v>110</v>
      </c>
      <c r="G828" s="2" t="s">
        <v>59</v>
      </c>
      <c r="H828" s="2" t="s">
        <v>46</v>
      </c>
      <c r="I828" s="2" t="s">
        <v>47</v>
      </c>
      <c r="J828" s="2" t="s">
        <v>2621</v>
      </c>
      <c r="K828" s="2" t="s">
        <v>2701</v>
      </c>
      <c r="L828" s="2" t="s">
        <v>200</v>
      </c>
      <c r="M828" s="2" t="s">
        <v>2623</v>
      </c>
      <c r="N828" s="16">
        <v>1.6199999999999999E-2</v>
      </c>
      <c r="O828" s="17">
        <f>N828*'Financial Inputs'!$B$3</f>
        <v>1620000</v>
      </c>
      <c r="P828" s="18">
        <f>IF(I828="L",'Financial Inputs'!$B$4,IF(I828="M",'Financial Inputs'!$B$5,'Financial Inputs'!$B$6))</f>
        <v>0.4</v>
      </c>
      <c r="Q828" s="17">
        <f>O828*P828</f>
        <v>648000</v>
      </c>
      <c r="R828" s="16">
        <f>'Financial Inputs'!$B$7</f>
        <v>0.35</v>
      </c>
      <c r="S828" s="17">
        <f>Q828*(1-R828)</f>
        <v>421200</v>
      </c>
      <c r="T828" s="18">
        <f>S828/'Financial Inputs'!$B$3</f>
        <v>4.2119999999999996E-3</v>
      </c>
      <c r="U828" s="9" t="s">
        <v>52</v>
      </c>
      <c r="V828" s="3" t="s">
        <v>53</v>
      </c>
    </row>
    <row r="829" spans="1:22">
      <c r="A829" s="2" t="s">
        <v>2702</v>
      </c>
      <c r="B829" s="2" t="s">
        <v>2703</v>
      </c>
      <c r="C829" s="2" t="s">
        <v>2620</v>
      </c>
      <c r="D829" s="2" t="s">
        <v>88</v>
      </c>
      <c r="E829" s="2" t="s">
        <v>148</v>
      </c>
      <c r="F829" s="2" t="s">
        <v>117</v>
      </c>
      <c r="G829" s="2" t="s">
        <v>67</v>
      </c>
      <c r="H829" s="2" t="s">
        <v>46</v>
      </c>
      <c r="I829" s="2" t="s">
        <v>47</v>
      </c>
      <c r="J829" s="2" t="s">
        <v>2621</v>
      </c>
      <c r="K829" s="2" t="s">
        <v>2704</v>
      </c>
      <c r="L829" s="2" t="s">
        <v>204</v>
      </c>
      <c r="M829" s="2" t="s">
        <v>2623</v>
      </c>
      <c r="N829" s="16">
        <v>1.7999999999999999E-2</v>
      </c>
      <c r="O829" s="17">
        <f>N829*'Financial Inputs'!$B$3</f>
        <v>1799999.9999999998</v>
      </c>
      <c r="P829" s="18">
        <f>IF(I829="L",'Financial Inputs'!$B$4,IF(I829="M",'Financial Inputs'!$B$5,'Financial Inputs'!$B$6))</f>
        <v>0.4</v>
      </c>
      <c r="Q829" s="17">
        <f>O829*P829</f>
        <v>720000</v>
      </c>
      <c r="R829" s="16">
        <f>'Financial Inputs'!$B$7</f>
        <v>0.35</v>
      </c>
      <c r="S829" s="17">
        <f>Q829*(1-R829)</f>
        <v>468000</v>
      </c>
      <c r="T829" s="18">
        <f>S829/'Financial Inputs'!$B$3</f>
        <v>4.6800000000000001E-3</v>
      </c>
      <c r="U829" s="9" t="s">
        <v>52</v>
      </c>
      <c r="V829" s="3" t="s">
        <v>53</v>
      </c>
    </row>
    <row r="830" spans="1:22">
      <c r="A830" s="2" t="s">
        <v>2705</v>
      </c>
      <c r="B830" s="2" t="s">
        <v>2706</v>
      </c>
      <c r="C830" s="2" t="s">
        <v>2620</v>
      </c>
      <c r="D830" s="2" t="s">
        <v>95</v>
      </c>
      <c r="E830" s="2" t="s">
        <v>153</v>
      </c>
      <c r="F830" s="2" t="s">
        <v>90</v>
      </c>
      <c r="G830" s="2" t="s">
        <v>75</v>
      </c>
      <c r="H830" s="2" t="s">
        <v>46</v>
      </c>
      <c r="I830" s="2" t="s">
        <v>47</v>
      </c>
      <c r="J830" s="2" t="s">
        <v>2621</v>
      </c>
      <c r="K830" s="2" t="s">
        <v>2707</v>
      </c>
      <c r="L830" s="2" t="s">
        <v>208</v>
      </c>
      <c r="M830" s="2" t="s">
        <v>2623</v>
      </c>
      <c r="N830" s="16">
        <v>1.9800000000000002E-2</v>
      </c>
      <c r="O830" s="17">
        <f>N830*'Financial Inputs'!$B$3</f>
        <v>1980000.0000000002</v>
      </c>
      <c r="P830" s="18">
        <f>IF(I830="L",'Financial Inputs'!$B$4,IF(I830="M",'Financial Inputs'!$B$5,'Financial Inputs'!$B$6))</f>
        <v>0.4</v>
      </c>
      <c r="Q830" s="17">
        <f>O830*P830</f>
        <v>792000.00000000012</v>
      </c>
      <c r="R830" s="16">
        <f>'Financial Inputs'!$B$7</f>
        <v>0.35</v>
      </c>
      <c r="S830" s="17">
        <f>Q830*(1-R830)</f>
        <v>514800.00000000012</v>
      </c>
      <c r="T830" s="18">
        <f>S830/'Financial Inputs'!$B$3</f>
        <v>5.1480000000000015E-3</v>
      </c>
      <c r="U830" s="9" t="s">
        <v>52</v>
      </c>
      <c r="V830" s="3" t="s">
        <v>53</v>
      </c>
    </row>
    <row r="831" spans="1:22">
      <c r="A831" s="2" t="s">
        <v>2708</v>
      </c>
      <c r="B831" s="2" t="s">
        <v>2709</v>
      </c>
      <c r="C831" s="2" t="s">
        <v>2620</v>
      </c>
      <c r="D831" s="2" t="s">
        <v>102</v>
      </c>
      <c r="E831" s="2" t="s">
        <v>89</v>
      </c>
      <c r="F831" s="2" t="s">
        <v>97</v>
      </c>
      <c r="G831" s="2" t="s">
        <v>83</v>
      </c>
      <c r="H831" s="2" t="s">
        <v>46</v>
      </c>
      <c r="I831" s="2" t="s">
        <v>47</v>
      </c>
      <c r="J831" s="2" t="s">
        <v>2621</v>
      </c>
      <c r="K831" s="2" t="s">
        <v>2710</v>
      </c>
      <c r="L831" s="2" t="s">
        <v>212</v>
      </c>
      <c r="M831" s="2" t="s">
        <v>2623</v>
      </c>
      <c r="N831" s="16">
        <v>2.1600000000000001E-2</v>
      </c>
      <c r="O831" s="17">
        <f>N831*'Financial Inputs'!$B$3</f>
        <v>2160000</v>
      </c>
      <c r="P831" s="18">
        <f>IF(I831="L",'Financial Inputs'!$B$4,IF(I831="M",'Financial Inputs'!$B$5,'Financial Inputs'!$B$6))</f>
        <v>0.4</v>
      </c>
      <c r="Q831" s="17">
        <f>O831*P831</f>
        <v>864000</v>
      </c>
      <c r="R831" s="16">
        <f>'Financial Inputs'!$B$7</f>
        <v>0.35</v>
      </c>
      <c r="S831" s="17">
        <f>Q831*(1-R831)</f>
        <v>561600</v>
      </c>
      <c r="T831" s="18">
        <f>S831/'Financial Inputs'!$B$3</f>
        <v>5.6160000000000003E-3</v>
      </c>
      <c r="U831" s="9" t="s">
        <v>52</v>
      </c>
      <c r="V831" s="3" t="s">
        <v>53</v>
      </c>
    </row>
    <row r="832" spans="1:22">
      <c r="A832" s="2" t="s">
        <v>2711</v>
      </c>
      <c r="B832" s="2" t="s">
        <v>2712</v>
      </c>
      <c r="C832" s="2" t="s">
        <v>2620</v>
      </c>
      <c r="D832" s="2" t="s">
        <v>64</v>
      </c>
      <c r="E832" s="2" t="s">
        <v>215</v>
      </c>
      <c r="F832" s="2" t="s">
        <v>74</v>
      </c>
      <c r="G832" s="2" t="s">
        <v>67</v>
      </c>
      <c r="H832" s="2" t="s">
        <v>46</v>
      </c>
      <c r="I832" s="2" t="s">
        <v>47</v>
      </c>
      <c r="J832" s="2" t="s">
        <v>2621</v>
      </c>
      <c r="K832" s="2" t="s">
        <v>2713</v>
      </c>
      <c r="L832" s="2" t="s">
        <v>217</v>
      </c>
      <c r="M832" s="2" t="s">
        <v>2623</v>
      </c>
      <c r="N832" s="16">
        <v>1.44E-2</v>
      </c>
      <c r="O832" s="17">
        <f>N832*'Financial Inputs'!$B$3</f>
        <v>1440000</v>
      </c>
      <c r="P832" s="18">
        <f>IF(I832="L",'Financial Inputs'!$B$4,IF(I832="M",'Financial Inputs'!$B$5,'Financial Inputs'!$B$6))</f>
        <v>0.4</v>
      </c>
      <c r="Q832" s="17">
        <f>O832*P832</f>
        <v>576000</v>
      </c>
      <c r="R832" s="16">
        <f>'Financial Inputs'!$B$7</f>
        <v>0.35</v>
      </c>
      <c r="S832" s="17">
        <f>Q832*(1-R832)</f>
        <v>374400</v>
      </c>
      <c r="T832" s="18">
        <f>S832/'Financial Inputs'!$B$3</f>
        <v>3.7439999999999999E-3</v>
      </c>
      <c r="U832" s="9" t="s">
        <v>52</v>
      </c>
      <c r="V832" s="3" t="s">
        <v>53</v>
      </c>
    </row>
    <row r="833" spans="1:22">
      <c r="A833" s="2" t="s">
        <v>2714</v>
      </c>
      <c r="B833" s="2" t="s">
        <v>2715</v>
      </c>
      <c r="C833" s="2" t="s">
        <v>2620</v>
      </c>
      <c r="D833" s="2" t="s">
        <v>72</v>
      </c>
      <c r="E833" s="2" t="s">
        <v>220</v>
      </c>
      <c r="F833" s="2" t="s">
        <v>82</v>
      </c>
      <c r="G833" s="2" t="s">
        <v>75</v>
      </c>
      <c r="H833" s="2" t="s">
        <v>46</v>
      </c>
      <c r="I833" s="2" t="s">
        <v>47</v>
      </c>
      <c r="J833" s="2" t="s">
        <v>2621</v>
      </c>
      <c r="K833" s="2" t="s">
        <v>2716</v>
      </c>
      <c r="L833" s="2" t="s">
        <v>222</v>
      </c>
      <c r="M833" s="2" t="s">
        <v>2623</v>
      </c>
      <c r="N833" s="16">
        <v>1.6199999999999999E-2</v>
      </c>
      <c r="O833" s="17">
        <f>N833*'Financial Inputs'!$B$3</f>
        <v>1620000</v>
      </c>
      <c r="P833" s="18">
        <f>IF(I833="L",'Financial Inputs'!$B$4,IF(I833="M",'Financial Inputs'!$B$5,'Financial Inputs'!$B$6))</f>
        <v>0.4</v>
      </c>
      <c r="Q833" s="17">
        <f>O833*P833</f>
        <v>648000</v>
      </c>
      <c r="R833" s="16">
        <f>'Financial Inputs'!$B$7</f>
        <v>0.35</v>
      </c>
      <c r="S833" s="17">
        <f>Q833*(1-R833)</f>
        <v>421200</v>
      </c>
      <c r="T833" s="18">
        <f>S833/'Financial Inputs'!$B$3</f>
        <v>4.2119999999999996E-3</v>
      </c>
      <c r="U833" s="9" t="s">
        <v>52</v>
      </c>
      <c r="V833" s="3" t="s">
        <v>53</v>
      </c>
    </row>
    <row r="834" spans="1:22">
      <c r="A834" s="2" t="s">
        <v>2717</v>
      </c>
      <c r="B834" s="2" t="s">
        <v>2718</v>
      </c>
      <c r="C834" s="2" t="s">
        <v>2620</v>
      </c>
      <c r="D834" s="2" t="s">
        <v>80</v>
      </c>
      <c r="E834" s="2" t="s">
        <v>171</v>
      </c>
      <c r="F834" s="2" t="s">
        <v>44</v>
      </c>
      <c r="G834" s="2" t="s">
        <v>83</v>
      </c>
      <c r="H834" s="2" t="s">
        <v>46</v>
      </c>
      <c r="I834" s="2" t="s">
        <v>47</v>
      </c>
      <c r="J834" s="2" t="s">
        <v>2621</v>
      </c>
      <c r="K834" s="2" t="s">
        <v>2719</v>
      </c>
      <c r="L834" s="2" t="s">
        <v>226</v>
      </c>
      <c r="M834" s="2" t="s">
        <v>2623</v>
      </c>
      <c r="N834" s="16">
        <v>1.7999999999999999E-2</v>
      </c>
      <c r="O834" s="17">
        <f>N834*'Financial Inputs'!$B$3</f>
        <v>1799999.9999999998</v>
      </c>
      <c r="P834" s="18">
        <f>IF(I834="L",'Financial Inputs'!$B$4,IF(I834="M",'Financial Inputs'!$B$5,'Financial Inputs'!$B$6))</f>
        <v>0.4</v>
      </c>
      <c r="Q834" s="17">
        <f>O834*P834</f>
        <v>720000</v>
      </c>
      <c r="R834" s="16">
        <f>'Financial Inputs'!$B$7</f>
        <v>0.35</v>
      </c>
      <c r="S834" s="17">
        <f>Q834*(1-R834)</f>
        <v>468000</v>
      </c>
      <c r="T834" s="18">
        <f>S834/'Financial Inputs'!$B$3</f>
        <v>4.6800000000000001E-3</v>
      </c>
      <c r="U834" s="9" t="s">
        <v>52</v>
      </c>
      <c r="V834" s="3" t="s">
        <v>53</v>
      </c>
    </row>
    <row r="835" spans="1:22">
      <c r="A835" s="2" t="s">
        <v>2720</v>
      </c>
      <c r="B835" s="2" t="s">
        <v>2721</v>
      </c>
      <c r="C835" s="2" t="s">
        <v>2620</v>
      </c>
      <c r="D835" s="2" t="s">
        <v>127</v>
      </c>
      <c r="E835" s="2" t="s">
        <v>176</v>
      </c>
      <c r="F835" s="2" t="s">
        <v>58</v>
      </c>
      <c r="G835" s="2" t="s">
        <v>111</v>
      </c>
      <c r="H835" s="2" t="s">
        <v>46</v>
      </c>
      <c r="I835" s="2" t="s">
        <v>47</v>
      </c>
      <c r="J835" s="2" t="s">
        <v>2621</v>
      </c>
      <c r="K835" s="2" t="s">
        <v>2722</v>
      </c>
      <c r="L835" s="2" t="s">
        <v>230</v>
      </c>
      <c r="M835" s="2" t="s">
        <v>2623</v>
      </c>
      <c r="N835" s="16">
        <v>1.9800000000000002E-2</v>
      </c>
      <c r="O835" s="17">
        <f>N835*'Financial Inputs'!$B$3</f>
        <v>1980000.0000000002</v>
      </c>
      <c r="P835" s="18">
        <f>IF(I835="L",'Financial Inputs'!$B$4,IF(I835="M",'Financial Inputs'!$B$5,'Financial Inputs'!$B$6))</f>
        <v>0.4</v>
      </c>
      <c r="Q835" s="17">
        <f>O835*P835</f>
        <v>792000.00000000012</v>
      </c>
      <c r="R835" s="16">
        <f>'Financial Inputs'!$B$7</f>
        <v>0.35</v>
      </c>
      <c r="S835" s="17">
        <f>Q835*(1-R835)</f>
        <v>514800.00000000012</v>
      </c>
      <c r="T835" s="18">
        <f>S835/'Financial Inputs'!$B$3</f>
        <v>5.1480000000000015E-3</v>
      </c>
      <c r="U835" s="9" t="s">
        <v>52</v>
      </c>
      <c r="V835" s="3" t="s">
        <v>53</v>
      </c>
    </row>
    <row r="836" spans="1:22">
      <c r="A836" s="2" t="s">
        <v>2723</v>
      </c>
      <c r="B836" s="2" t="s">
        <v>2724</v>
      </c>
      <c r="C836" s="2" t="s">
        <v>2620</v>
      </c>
      <c r="D836" s="2" t="s">
        <v>133</v>
      </c>
      <c r="E836" s="2" t="s">
        <v>122</v>
      </c>
      <c r="F836" s="2" t="s">
        <v>66</v>
      </c>
      <c r="G836" s="2" t="s">
        <v>56</v>
      </c>
      <c r="H836" s="2" t="s">
        <v>46</v>
      </c>
      <c r="I836" s="2" t="s">
        <v>47</v>
      </c>
      <c r="J836" s="2" t="s">
        <v>2621</v>
      </c>
      <c r="K836" s="2" t="s">
        <v>2725</v>
      </c>
      <c r="L836" s="2" t="s">
        <v>234</v>
      </c>
      <c r="M836" s="2" t="s">
        <v>2623</v>
      </c>
      <c r="N836" s="16">
        <v>2.1600000000000001E-2</v>
      </c>
      <c r="O836" s="17">
        <f>N836*'Financial Inputs'!$B$3</f>
        <v>2160000</v>
      </c>
      <c r="P836" s="18">
        <f>IF(I836="L",'Financial Inputs'!$B$4,IF(I836="M",'Financial Inputs'!$B$5,'Financial Inputs'!$B$6))</f>
        <v>0.4</v>
      </c>
      <c r="Q836" s="17">
        <f>O836*P836</f>
        <v>864000</v>
      </c>
      <c r="R836" s="16">
        <f>'Financial Inputs'!$B$7</f>
        <v>0.35</v>
      </c>
      <c r="S836" s="17">
        <f>Q836*(1-R836)</f>
        <v>561600</v>
      </c>
      <c r="T836" s="18">
        <f>S836/'Financial Inputs'!$B$3</f>
        <v>5.6160000000000003E-3</v>
      </c>
      <c r="U836" s="9" t="s">
        <v>52</v>
      </c>
      <c r="V836" s="3" t="s">
        <v>53</v>
      </c>
    </row>
    <row r="837" spans="1:22">
      <c r="A837" s="2" t="s">
        <v>2726</v>
      </c>
      <c r="B837" s="2" t="s">
        <v>2727</v>
      </c>
      <c r="C837" s="2" t="s">
        <v>2620</v>
      </c>
      <c r="D837" s="2" t="s">
        <v>102</v>
      </c>
      <c r="E837" s="2" t="s">
        <v>73</v>
      </c>
      <c r="F837" s="2" t="s">
        <v>110</v>
      </c>
      <c r="G837" s="2" t="s">
        <v>83</v>
      </c>
      <c r="H837" s="2" t="s">
        <v>46</v>
      </c>
      <c r="I837" s="2" t="s">
        <v>47</v>
      </c>
      <c r="J837" s="2" t="s">
        <v>2621</v>
      </c>
      <c r="K837" s="2" t="s">
        <v>2728</v>
      </c>
      <c r="L837" s="2" t="s">
        <v>238</v>
      </c>
      <c r="M837" s="2" t="s">
        <v>2623</v>
      </c>
      <c r="N837" s="16">
        <v>1.44E-2</v>
      </c>
      <c r="O837" s="17">
        <f>N837*'Financial Inputs'!$B$3</f>
        <v>1440000</v>
      </c>
      <c r="P837" s="18">
        <f>IF(I837="L",'Financial Inputs'!$B$4,IF(I837="M",'Financial Inputs'!$B$5,'Financial Inputs'!$B$6))</f>
        <v>0.4</v>
      </c>
      <c r="Q837" s="17">
        <f>O837*P837</f>
        <v>576000</v>
      </c>
      <c r="R837" s="16">
        <f>'Financial Inputs'!$B$7</f>
        <v>0.35</v>
      </c>
      <c r="S837" s="17">
        <f>Q837*(1-R837)</f>
        <v>374400</v>
      </c>
      <c r="T837" s="18">
        <f>S837/'Financial Inputs'!$B$3</f>
        <v>3.7439999999999999E-3</v>
      </c>
      <c r="U837" s="9" t="s">
        <v>52</v>
      </c>
      <c r="V837" s="3" t="s">
        <v>53</v>
      </c>
    </row>
    <row r="838" spans="1:22">
      <c r="A838" s="2" t="s">
        <v>2729</v>
      </c>
      <c r="B838" s="2" t="s">
        <v>2730</v>
      </c>
      <c r="C838" s="2" t="s">
        <v>2620</v>
      </c>
      <c r="D838" s="2" t="s">
        <v>42</v>
      </c>
      <c r="E838" s="2" t="s">
        <v>81</v>
      </c>
      <c r="F838" s="2" t="s">
        <v>117</v>
      </c>
      <c r="G838" s="2" t="s">
        <v>111</v>
      </c>
      <c r="H838" s="2" t="s">
        <v>46</v>
      </c>
      <c r="I838" s="2" t="s">
        <v>47</v>
      </c>
      <c r="J838" s="2" t="s">
        <v>2621</v>
      </c>
      <c r="K838" s="2" t="s">
        <v>2731</v>
      </c>
      <c r="L838" s="2" t="s">
        <v>242</v>
      </c>
      <c r="M838" s="2" t="s">
        <v>2623</v>
      </c>
      <c r="N838" s="16">
        <v>1.6199999999999999E-2</v>
      </c>
      <c r="O838" s="17">
        <f>N838*'Financial Inputs'!$B$3</f>
        <v>1620000</v>
      </c>
      <c r="P838" s="18">
        <f>IF(I838="L",'Financial Inputs'!$B$4,IF(I838="M",'Financial Inputs'!$B$5,'Financial Inputs'!$B$6))</f>
        <v>0.4</v>
      </c>
      <c r="Q838" s="17">
        <f>O838*P838</f>
        <v>648000</v>
      </c>
      <c r="R838" s="16">
        <f>'Financial Inputs'!$B$7</f>
        <v>0.35</v>
      </c>
      <c r="S838" s="17">
        <f>Q838*(1-R838)</f>
        <v>421200</v>
      </c>
      <c r="T838" s="18">
        <f>S838/'Financial Inputs'!$B$3</f>
        <v>4.2119999999999996E-3</v>
      </c>
      <c r="U838" s="9" t="s">
        <v>52</v>
      </c>
      <c r="V838" s="3" t="s">
        <v>53</v>
      </c>
    </row>
    <row r="839" spans="1:22">
      <c r="A839" s="2" t="s">
        <v>2732</v>
      </c>
      <c r="B839" s="2" t="s">
        <v>2733</v>
      </c>
      <c r="C839" s="2" t="s">
        <v>2620</v>
      </c>
      <c r="D839" s="2" t="s">
        <v>56</v>
      </c>
      <c r="E839" s="2" t="s">
        <v>193</v>
      </c>
      <c r="F839" s="2" t="s">
        <v>90</v>
      </c>
      <c r="G839" s="2" t="s">
        <v>56</v>
      </c>
      <c r="H839" s="2" t="s">
        <v>46</v>
      </c>
      <c r="I839" s="2" t="s">
        <v>47</v>
      </c>
      <c r="J839" s="2" t="s">
        <v>2621</v>
      </c>
      <c r="K839" s="2" t="s">
        <v>2734</v>
      </c>
      <c r="L839" s="2" t="s">
        <v>246</v>
      </c>
      <c r="M839" s="2" t="s">
        <v>2623</v>
      </c>
      <c r="N839" s="16">
        <v>1.7999999999999999E-2</v>
      </c>
      <c r="O839" s="17">
        <f>N839*'Financial Inputs'!$B$3</f>
        <v>1799999.9999999998</v>
      </c>
      <c r="P839" s="18">
        <f>IF(I839="L",'Financial Inputs'!$B$4,IF(I839="M",'Financial Inputs'!$B$5,'Financial Inputs'!$B$6))</f>
        <v>0.4</v>
      </c>
      <c r="Q839" s="17">
        <f>O839*P839</f>
        <v>720000</v>
      </c>
      <c r="R839" s="16">
        <f>'Financial Inputs'!$B$7</f>
        <v>0.35</v>
      </c>
      <c r="S839" s="17">
        <f>Q839*(1-R839)</f>
        <v>468000</v>
      </c>
      <c r="T839" s="18">
        <f>S839/'Financial Inputs'!$B$3</f>
        <v>4.6800000000000001E-3</v>
      </c>
      <c r="U839" s="9" t="s">
        <v>52</v>
      </c>
      <c r="V839" s="3" t="s">
        <v>53</v>
      </c>
    </row>
    <row r="840" spans="1:22">
      <c r="A840" s="2" t="s">
        <v>2735</v>
      </c>
      <c r="B840" s="2" t="s">
        <v>2736</v>
      </c>
      <c r="C840" s="2" t="s">
        <v>2620</v>
      </c>
      <c r="D840" s="2" t="s">
        <v>64</v>
      </c>
      <c r="E840" s="2" t="s">
        <v>198</v>
      </c>
      <c r="F840" s="2" t="s">
        <v>97</v>
      </c>
      <c r="G840" s="2" t="s">
        <v>138</v>
      </c>
      <c r="H840" s="2" t="s">
        <v>46</v>
      </c>
      <c r="I840" s="2" t="s">
        <v>47</v>
      </c>
      <c r="J840" s="2" t="s">
        <v>2621</v>
      </c>
      <c r="K840" s="2" t="s">
        <v>2737</v>
      </c>
      <c r="L840" s="2" t="s">
        <v>250</v>
      </c>
      <c r="M840" s="2" t="s">
        <v>2623</v>
      </c>
      <c r="N840" s="16">
        <v>1.9800000000000002E-2</v>
      </c>
      <c r="O840" s="17">
        <f>N840*'Financial Inputs'!$B$3</f>
        <v>1980000.0000000002</v>
      </c>
      <c r="P840" s="18">
        <f>IF(I840="L",'Financial Inputs'!$B$4,IF(I840="M",'Financial Inputs'!$B$5,'Financial Inputs'!$B$6))</f>
        <v>0.4</v>
      </c>
      <c r="Q840" s="17">
        <f>O840*P840</f>
        <v>792000.00000000012</v>
      </c>
      <c r="R840" s="16">
        <f>'Financial Inputs'!$B$7</f>
        <v>0.35</v>
      </c>
      <c r="S840" s="17">
        <f>Q840*(1-R840)</f>
        <v>514800.00000000012</v>
      </c>
      <c r="T840" s="18">
        <f>S840/'Financial Inputs'!$B$3</f>
        <v>5.1480000000000015E-3</v>
      </c>
      <c r="U840" s="9" t="s">
        <v>52</v>
      </c>
      <c r="V840" s="3" t="s">
        <v>53</v>
      </c>
    </row>
    <row r="841" spans="1:22">
      <c r="A841" s="2" t="s">
        <v>2738</v>
      </c>
      <c r="B841" s="2" t="s">
        <v>2739</v>
      </c>
      <c r="C841" s="2" t="s">
        <v>2620</v>
      </c>
      <c r="D841" s="2" t="s">
        <v>72</v>
      </c>
      <c r="E841" s="2" t="s">
        <v>148</v>
      </c>
      <c r="F841" s="2" t="s">
        <v>104</v>
      </c>
      <c r="G841" s="2" t="s">
        <v>143</v>
      </c>
      <c r="H841" s="2" t="s">
        <v>46</v>
      </c>
      <c r="I841" s="2" t="s">
        <v>47</v>
      </c>
      <c r="J841" s="2" t="s">
        <v>2621</v>
      </c>
      <c r="K841" s="2" t="s">
        <v>2740</v>
      </c>
      <c r="L841" s="2" t="s">
        <v>254</v>
      </c>
      <c r="M841" s="2" t="s">
        <v>2623</v>
      </c>
      <c r="N841" s="16">
        <v>2.1600000000000001E-2</v>
      </c>
      <c r="O841" s="17">
        <f>N841*'Financial Inputs'!$B$3</f>
        <v>2160000</v>
      </c>
      <c r="P841" s="18">
        <f>IF(I841="L",'Financial Inputs'!$B$4,IF(I841="M",'Financial Inputs'!$B$5,'Financial Inputs'!$B$6))</f>
        <v>0.4</v>
      </c>
      <c r="Q841" s="17">
        <f>O841*P841</f>
        <v>864000</v>
      </c>
      <c r="R841" s="16">
        <f>'Financial Inputs'!$B$7</f>
        <v>0.35</v>
      </c>
      <c r="S841" s="17">
        <f>Q841*(1-R841)</f>
        <v>561600</v>
      </c>
      <c r="T841" s="18">
        <f>S841/'Financial Inputs'!$B$3</f>
        <v>5.6160000000000003E-3</v>
      </c>
      <c r="U841" s="9" t="s">
        <v>52</v>
      </c>
      <c r="V841" s="3" t="s">
        <v>53</v>
      </c>
    </row>
    <row r="842" spans="1:22">
      <c r="A842" s="2" t="s">
        <v>2741</v>
      </c>
      <c r="B842" s="2" t="s">
        <v>2742</v>
      </c>
      <c r="C842" s="2" t="s">
        <v>2620</v>
      </c>
      <c r="D842" s="2" t="s">
        <v>133</v>
      </c>
      <c r="E842" s="2" t="s">
        <v>109</v>
      </c>
      <c r="F842" s="2" t="s">
        <v>82</v>
      </c>
      <c r="G842" s="2" t="s">
        <v>56</v>
      </c>
      <c r="H842" s="2" t="s">
        <v>46</v>
      </c>
      <c r="I842" s="2" t="s">
        <v>47</v>
      </c>
      <c r="J842" s="2" t="s">
        <v>2621</v>
      </c>
      <c r="K842" s="2" t="s">
        <v>2743</v>
      </c>
      <c r="L842" s="2" t="s">
        <v>258</v>
      </c>
      <c r="M842" s="2" t="s">
        <v>2623</v>
      </c>
      <c r="N842" s="16">
        <v>1.44E-2</v>
      </c>
      <c r="O842" s="17">
        <f>N842*'Financial Inputs'!$B$3</f>
        <v>1440000</v>
      </c>
      <c r="P842" s="18">
        <f>IF(I842="L",'Financial Inputs'!$B$4,IF(I842="M",'Financial Inputs'!$B$5,'Financial Inputs'!$B$6))</f>
        <v>0.4</v>
      </c>
      <c r="Q842" s="17">
        <f>O842*P842</f>
        <v>576000</v>
      </c>
      <c r="R842" s="16">
        <f>'Financial Inputs'!$B$7</f>
        <v>0.35</v>
      </c>
      <c r="S842" s="17">
        <f>Q842*(1-R842)</f>
        <v>374400</v>
      </c>
      <c r="T842" s="18">
        <f>S842/'Financial Inputs'!$B$3</f>
        <v>3.7439999999999999E-3</v>
      </c>
      <c r="U842" s="9" t="s">
        <v>52</v>
      </c>
      <c r="V842" s="3" t="s">
        <v>53</v>
      </c>
    </row>
    <row r="843" spans="1:22">
      <c r="A843" s="2" t="s">
        <v>2744</v>
      </c>
      <c r="B843" s="2" t="s">
        <v>2745</v>
      </c>
      <c r="C843" s="2" t="s">
        <v>2620</v>
      </c>
      <c r="D843" s="2" t="s">
        <v>88</v>
      </c>
      <c r="E843" s="2" t="s">
        <v>116</v>
      </c>
      <c r="F843" s="2" t="s">
        <v>44</v>
      </c>
      <c r="G843" s="2" t="s">
        <v>138</v>
      </c>
      <c r="H843" s="2" t="s">
        <v>46</v>
      </c>
      <c r="I843" s="2" t="s">
        <v>47</v>
      </c>
      <c r="J843" s="2" t="s">
        <v>2621</v>
      </c>
      <c r="K843" s="2" t="s">
        <v>2746</v>
      </c>
      <c r="L843" s="2" t="s">
        <v>262</v>
      </c>
      <c r="M843" s="2" t="s">
        <v>2623</v>
      </c>
      <c r="N843" s="16">
        <v>1.6199999999999999E-2</v>
      </c>
      <c r="O843" s="17">
        <f>N843*'Financial Inputs'!$B$3</f>
        <v>1620000</v>
      </c>
      <c r="P843" s="18">
        <f>IF(I843="L",'Financial Inputs'!$B$4,IF(I843="M",'Financial Inputs'!$B$5,'Financial Inputs'!$B$6))</f>
        <v>0.4</v>
      </c>
      <c r="Q843" s="17">
        <f>O843*P843</f>
        <v>648000</v>
      </c>
      <c r="R843" s="16">
        <f>'Financial Inputs'!$B$7</f>
        <v>0.35</v>
      </c>
      <c r="S843" s="17">
        <f>Q843*(1-R843)</f>
        <v>421200</v>
      </c>
      <c r="T843" s="18">
        <f>S843/'Financial Inputs'!$B$3</f>
        <v>4.2119999999999996E-3</v>
      </c>
      <c r="U843" s="9" t="s">
        <v>52</v>
      </c>
      <c r="V843" s="3" t="s">
        <v>53</v>
      </c>
    </row>
    <row r="844" spans="1:22">
      <c r="A844" s="2" t="s">
        <v>2747</v>
      </c>
      <c r="B844" s="2" t="s">
        <v>2748</v>
      </c>
      <c r="C844" s="2" t="s">
        <v>2620</v>
      </c>
      <c r="D844" s="2" t="s">
        <v>95</v>
      </c>
      <c r="E844" s="2" t="s">
        <v>215</v>
      </c>
      <c r="F844" s="2" t="s">
        <v>58</v>
      </c>
      <c r="G844" s="2" t="s">
        <v>143</v>
      </c>
      <c r="H844" s="2" t="s">
        <v>46</v>
      </c>
      <c r="I844" s="2" t="s">
        <v>47</v>
      </c>
      <c r="J844" s="2" t="s">
        <v>2621</v>
      </c>
      <c r="K844" s="2" t="s">
        <v>2749</v>
      </c>
      <c r="L844" s="2" t="s">
        <v>266</v>
      </c>
      <c r="M844" s="2" t="s">
        <v>2623</v>
      </c>
      <c r="N844" s="16">
        <v>1.7999999999999999E-2</v>
      </c>
      <c r="O844" s="17">
        <f>N844*'Financial Inputs'!$B$3</f>
        <v>1799999.9999999998</v>
      </c>
      <c r="P844" s="18">
        <f>IF(I844="L",'Financial Inputs'!$B$4,IF(I844="M",'Financial Inputs'!$B$5,'Financial Inputs'!$B$6))</f>
        <v>0.4</v>
      </c>
      <c r="Q844" s="17">
        <f>O844*P844</f>
        <v>720000</v>
      </c>
      <c r="R844" s="16">
        <f>'Financial Inputs'!$B$7</f>
        <v>0.35</v>
      </c>
      <c r="S844" s="17">
        <f>Q844*(1-R844)</f>
        <v>468000</v>
      </c>
      <c r="T844" s="18">
        <f>S844/'Financial Inputs'!$B$3</f>
        <v>4.6800000000000001E-3</v>
      </c>
      <c r="U844" s="9" t="s">
        <v>52</v>
      </c>
      <c r="V844" s="3" t="s">
        <v>53</v>
      </c>
    </row>
    <row r="845" spans="1:22">
      <c r="A845" s="2" t="s">
        <v>2750</v>
      </c>
      <c r="B845" s="2" t="s">
        <v>2751</v>
      </c>
      <c r="C845" s="2" t="s">
        <v>2620</v>
      </c>
      <c r="D845" s="2" t="s">
        <v>102</v>
      </c>
      <c r="E845" s="2" t="s">
        <v>220</v>
      </c>
      <c r="F845" s="2" t="s">
        <v>66</v>
      </c>
      <c r="G845" s="2" t="s">
        <v>162</v>
      </c>
      <c r="H845" s="2" t="s">
        <v>46</v>
      </c>
      <c r="I845" s="2" t="s">
        <v>47</v>
      </c>
      <c r="J845" s="2" t="s">
        <v>2621</v>
      </c>
      <c r="K845" s="2" t="s">
        <v>2752</v>
      </c>
      <c r="L845" s="2" t="s">
        <v>270</v>
      </c>
      <c r="M845" s="2" t="s">
        <v>2623</v>
      </c>
      <c r="N845" s="16">
        <v>1.9800000000000002E-2</v>
      </c>
      <c r="O845" s="17">
        <f>N845*'Financial Inputs'!$B$3</f>
        <v>1980000.0000000002</v>
      </c>
      <c r="P845" s="18">
        <f>IF(I845="L",'Financial Inputs'!$B$4,IF(I845="M",'Financial Inputs'!$B$5,'Financial Inputs'!$B$6))</f>
        <v>0.4</v>
      </c>
      <c r="Q845" s="17">
        <f>O845*P845</f>
        <v>792000.00000000012</v>
      </c>
      <c r="R845" s="16">
        <f>'Financial Inputs'!$B$7</f>
        <v>0.35</v>
      </c>
      <c r="S845" s="17">
        <f>Q845*(1-R845)</f>
        <v>514800.00000000012</v>
      </c>
      <c r="T845" s="18">
        <f>S845/'Financial Inputs'!$B$3</f>
        <v>5.1480000000000015E-3</v>
      </c>
      <c r="U845" s="9" t="s">
        <v>52</v>
      </c>
      <c r="V845" s="3" t="s">
        <v>53</v>
      </c>
    </row>
    <row r="846" spans="1:22">
      <c r="A846" s="2" t="s">
        <v>2753</v>
      </c>
      <c r="B846" s="2" t="s">
        <v>2754</v>
      </c>
      <c r="C846" s="2" t="s">
        <v>2620</v>
      </c>
      <c r="D846" s="2" t="s">
        <v>42</v>
      </c>
      <c r="E846" s="2" t="s">
        <v>171</v>
      </c>
      <c r="F846" s="2" t="s">
        <v>74</v>
      </c>
      <c r="G846" s="2" t="s">
        <v>45</v>
      </c>
      <c r="H846" s="2" t="s">
        <v>46</v>
      </c>
      <c r="I846" s="2" t="s">
        <v>47</v>
      </c>
      <c r="J846" s="2" t="s">
        <v>2621</v>
      </c>
      <c r="K846" s="2" t="s">
        <v>2755</v>
      </c>
      <c r="L846" s="2" t="s">
        <v>274</v>
      </c>
      <c r="M846" s="2" t="s">
        <v>2623</v>
      </c>
      <c r="N846" s="16">
        <v>2.1600000000000001E-2</v>
      </c>
      <c r="O846" s="17">
        <f>N846*'Financial Inputs'!$B$3</f>
        <v>2160000</v>
      </c>
      <c r="P846" s="18">
        <f>IF(I846="L",'Financial Inputs'!$B$4,IF(I846="M",'Financial Inputs'!$B$5,'Financial Inputs'!$B$6))</f>
        <v>0.4</v>
      </c>
      <c r="Q846" s="17">
        <f>O846*P846</f>
        <v>864000</v>
      </c>
      <c r="R846" s="16">
        <f>'Financial Inputs'!$B$7</f>
        <v>0.35</v>
      </c>
      <c r="S846" s="17">
        <f>Q846*(1-R846)</f>
        <v>561600</v>
      </c>
      <c r="T846" s="18">
        <f>S846/'Financial Inputs'!$B$3</f>
        <v>5.6160000000000003E-3</v>
      </c>
      <c r="U846" s="9" t="s">
        <v>52</v>
      </c>
      <c r="V846" s="3" t="s">
        <v>53</v>
      </c>
    </row>
    <row r="847" spans="1:22">
      <c r="A847" s="2" t="s">
        <v>2756</v>
      </c>
      <c r="B847" s="2" t="s">
        <v>2757</v>
      </c>
      <c r="C847" s="2" t="s">
        <v>2620</v>
      </c>
      <c r="D847" s="2" t="s">
        <v>72</v>
      </c>
      <c r="E847" s="2" t="s">
        <v>57</v>
      </c>
      <c r="F847" s="2" t="s">
        <v>117</v>
      </c>
      <c r="G847" s="2" t="s">
        <v>143</v>
      </c>
      <c r="H847" s="2" t="s">
        <v>46</v>
      </c>
      <c r="I847" s="2" t="s">
        <v>47</v>
      </c>
      <c r="J847" s="2" t="s">
        <v>2621</v>
      </c>
      <c r="K847" s="2" t="s">
        <v>2758</v>
      </c>
      <c r="L847" s="2" t="s">
        <v>278</v>
      </c>
      <c r="M847" s="2" t="s">
        <v>2623</v>
      </c>
      <c r="N847" s="16">
        <v>1.44E-2</v>
      </c>
      <c r="O847" s="17">
        <f>N847*'Financial Inputs'!$B$3</f>
        <v>1440000</v>
      </c>
      <c r="P847" s="18">
        <f>IF(I847="L",'Financial Inputs'!$B$4,IF(I847="M",'Financial Inputs'!$B$5,'Financial Inputs'!$B$6))</f>
        <v>0.4</v>
      </c>
      <c r="Q847" s="17">
        <f>O847*P847</f>
        <v>576000</v>
      </c>
      <c r="R847" s="16">
        <f>'Financial Inputs'!$B$7</f>
        <v>0.35</v>
      </c>
      <c r="S847" s="17">
        <f>Q847*(1-R847)</f>
        <v>374400</v>
      </c>
      <c r="T847" s="18">
        <f>S847/'Financial Inputs'!$B$3</f>
        <v>3.7439999999999999E-3</v>
      </c>
      <c r="U847" s="9" t="s">
        <v>52</v>
      </c>
      <c r="V847" s="3" t="s">
        <v>53</v>
      </c>
    </row>
    <row r="848" spans="1:22">
      <c r="A848" s="2" t="s">
        <v>2759</v>
      </c>
      <c r="B848" s="2" t="s">
        <v>2760</v>
      </c>
      <c r="C848" s="2" t="s">
        <v>2620</v>
      </c>
      <c r="D848" s="2" t="s">
        <v>80</v>
      </c>
      <c r="E848" s="2" t="s">
        <v>65</v>
      </c>
      <c r="F848" s="2" t="s">
        <v>90</v>
      </c>
      <c r="G848" s="2" t="s">
        <v>162</v>
      </c>
      <c r="H848" s="2" t="s">
        <v>46</v>
      </c>
      <c r="I848" s="2" t="s">
        <v>47</v>
      </c>
      <c r="J848" s="2" t="s">
        <v>2621</v>
      </c>
      <c r="K848" s="2" t="s">
        <v>2761</v>
      </c>
      <c r="L848" s="2" t="s">
        <v>282</v>
      </c>
      <c r="M848" s="2" t="s">
        <v>2623</v>
      </c>
      <c r="N848" s="16">
        <v>1.6199999999999999E-2</v>
      </c>
      <c r="O848" s="17">
        <f>N848*'Financial Inputs'!$B$3</f>
        <v>1620000</v>
      </c>
      <c r="P848" s="18">
        <f>IF(I848="L",'Financial Inputs'!$B$4,IF(I848="M",'Financial Inputs'!$B$5,'Financial Inputs'!$B$6))</f>
        <v>0.4</v>
      </c>
      <c r="Q848" s="17">
        <f>O848*P848</f>
        <v>648000</v>
      </c>
      <c r="R848" s="16">
        <f>'Financial Inputs'!$B$7</f>
        <v>0.35</v>
      </c>
      <c r="S848" s="17">
        <f>Q848*(1-R848)</f>
        <v>421200</v>
      </c>
      <c r="T848" s="18">
        <f>S848/'Financial Inputs'!$B$3</f>
        <v>4.2119999999999996E-3</v>
      </c>
      <c r="U848" s="9" t="s">
        <v>52</v>
      </c>
      <c r="V848" s="3" t="s">
        <v>53</v>
      </c>
    </row>
    <row r="849" spans="1:22">
      <c r="A849" s="2" t="s">
        <v>2762</v>
      </c>
      <c r="B849" s="2" t="s">
        <v>2763</v>
      </c>
      <c r="C849" s="2" t="s">
        <v>2620</v>
      </c>
      <c r="D849" s="2" t="s">
        <v>127</v>
      </c>
      <c r="E849" s="2" t="s">
        <v>73</v>
      </c>
      <c r="F849" s="2" t="s">
        <v>97</v>
      </c>
      <c r="G849" s="2" t="s">
        <v>45</v>
      </c>
      <c r="H849" s="2" t="s">
        <v>46</v>
      </c>
      <c r="I849" s="2" t="s">
        <v>47</v>
      </c>
      <c r="J849" s="2" t="s">
        <v>2621</v>
      </c>
      <c r="K849" s="2" t="s">
        <v>2764</v>
      </c>
      <c r="L849" s="2" t="s">
        <v>286</v>
      </c>
      <c r="M849" s="2" t="s">
        <v>2623</v>
      </c>
      <c r="N849" s="16">
        <v>1.7999999999999999E-2</v>
      </c>
      <c r="O849" s="17">
        <f>N849*'Financial Inputs'!$B$3</f>
        <v>1799999.9999999998</v>
      </c>
      <c r="P849" s="18">
        <f>IF(I849="L",'Financial Inputs'!$B$4,IF(I849="M",'Financial Inputs'!$B$5,'Financial Inputs'!$B$6))</f>
        <v>0.4</v>
      </c>
      <c r="Q849" s="17">
        <f>O849*P849</f>
        <v>720000</v>
      </c>
      <c r="R849" s="16">
        <f>'Financial Inputs'!$B$7</f>
        <v>0.35</v>
      </c>
      <c r="S849" s="17">
        <f>Q849*(1-R849)</f>
        <v>468000</v>
      </c>
      <c r="T849" s="18">
        <f>S849/'Financial Inputs'!$B$3</f>
        <v>4.6800000000000001E-3</v>
      </c>
      <c r="U849" s="9" t="s">
        <v>52</v>
      </c>
      <c r="V849" s="3" t="s">
        <v>53</v>
      </c>
    </row>
    <row r="850" spans="1:22">
      <c r="A850" s="2" t="s">
        <v>2765</v>
      </c>
      <c r="B850" s="2" t="s">
        <v>2766</v>
      </c>
      <c r="C850" s="2" t="s">
        <v>2620</v>
      </c>
      <c r="D850" s="2" t="s">
        <v>133</v>
      </c>
      <c r="E850" s="2" t="s">
        <v>81</v>
      </c>
      <c r="F850" s="2" t="s">
        <v>104</v>
      </c>
      <c r="G850" s="2" t="s">
        <v>59</v>
      </c>
      <c r="H850" s="2" t="s">
        <v>46</v>
      </c>
      <c r="I850" s="2" t="s">
        <v>47</v>
      </c>
      <c r="J850" s="2" t="s">
        <v>2621</v>
      </c>
      <c r="K850" s="2" t="s">
        <v>2767</v>
      </c>
      <c r="L850" s="2" t="s">
        <v>290</v>
      </c>
      <c r="M850" s="2" t="s">
        <v>2623</v>
      </c>
      <c r="N850" s="16">
        <v>1.9800000000000002E-2</v>
      </c>
      <c r="O850" s="17">
        <f>N850*'Financial Inputs'!$B$3</f>
        <v>1980000.0000000002</v>
      </c>
      <c r="P850" s="18">
        <f>IF(I850="L",'Financial Inputs'!$B$4,IF(I850="M",'Financial Inputs'!$B$5,'Financial Inputs'!$B$6))</f>
        <v>0.4</v>
      </c>
      <c r="Q850" s="17">
        <f>O850*P850</f>
        <v>792000.00000000012</v>
      </c>
      <c r="R850" s="16">
        <f>'Financial Inputs'!$B$7</f>
        <v>0.35</v>
      </c>
      <c r="S850" s="17">
        <f>Q850*(1-R850)</f>
        <v>514800.00000000012</v>
      </c>
      <c r="T850" s="18">
        <f>S850/'Financial Inputs'!$B$3</f>
        <v>5.1480000000000015E-3</v>
      </c>
      <c r="U850" s="9" t="s">
        <v>52</v>
      </c>
      <c r="V850" s="3" t="s">
        <v>53</v>
      </c>
    </row>
    <row r="851" spans="1:22">
      <c r="A851" s="2" t="s">
        <v>2768</v>
      </c>
      <c r="B851" s="2" t="s">
        <v>2769</v>
      </c>
      <c r="C851" s="2" t="s">
        <v>2620</v>
      </c>
      <c r="D851" s="2" t="s">
        <v>88</v>
      </c>
      <c r="E851" s="2" t="s">
        <v>193</v>
      </c>
      <c r="F851" s="2" t="s">
        <v>110</v>
      </c>
      <c r="G851" s="2" t="s">
        <v>67</v>
      </c>
      <c r="H851" s="2" t="s">
        <v>46</v>
      </c>
      <c r="I851" s="2" t="s">
        <v>47</v>
      </c>
      <c r="J851" s="2" t="s">
        <v>2621</v>
      </c>
      <c r="K851" s="2" t="s">
        <v>2770</v>
      </c>
      <c r="L851" s="2" t="s">
        <v>294</v>
      </c>
      <c r="M851" s="2" t="s">
        <v>2623</v>
      </c>
      <c r="N851" s="16">
        <v>2.1600000000000001E-2</v>
      </c>
      <c r="O851" s="17">
        <f>N851*'Financial Inputs'!$B$3</f>
        <v>2160000</v>
      </c>
      <c r="P851" s="18">
        <f>IF(I851="L",'Financial Inputs'!$B$4,IF(I851="M",'Financial Inputs'!$B$5,'Financial Inputs'!$B$6))</f>
        <v>0.4</v>
      </c>
      <c r="Q851" s="17">
        <f>O851*P851</f>
        <v>864000</v>
      </c>
      <c r="R851" s="16">
        <f>'Financial Inputs'!$B$7</f>
        <v>0.35</v>
      </c>
      <c r="S851" s="17">
        <f>Q851*(1-R851)</f>
        <v>561600</v>
      </c>
      <c r="T851" s="18">
        <f>S851/'Financial Inputs'!$B$3</f>
        <v>5.6160000000000003E-3</v>
      </c>
      <c r="U851" s="9" t="s">
        <v>52</v>
      </c>
      <c r="V851" s="3" t="s">
        <v>53</v>
      </c>
    </row>
    <row r="852" spans="1:22">
      <c r="A852" s="2" t="s">
        <v>2771</v>
      </c>
      <c r="B852" s="2" t="s">
        <v>2772</v>
      </c>
      <c r="C852" s="2" t="s">
        <v>2620</v>
      </c>
      <c r="D852" s="2" t="s">
        <v>42</v>
      </c>
      <c r="E852" s="2" t="s">
        <v>96</v>
      </c>
      <c r="F852" s="2" t="s">
        <v>44</v>
      </c>
      <c r="G852" s="2" t="s">
        <v>45</v>
      </c>
      <c r="H852" s="2" t="s">
        <v>46</v>
      </c>
      <c r="I852" s="2" t="s">
        <v>47</v>
      </c>
      <c r="J852" s="2" t="s">
        <v>2621</v>
      </c>
      <c r="K852" s="2" t="s">
        <v>2773</v>
      </c>
      <c r="L852" s="2" t="s">
        <v>298</v>
      </c>
      <c r="M852" s="2" t="s">
        <v>2623</v>
      </c>
      <c r="N852" s="16">
        <v>1.44E-2</v>
      </c>
      <c r="O852" s="17">
        <f>N852*'Financial Inputs'!$B$3</f>
        <v>1440000</v>
      </c>
      <c r="P852" s="18">
        <f>IF(I852="L",'Financial Inputs'!$B$4,IF(I852="M",'Financial Inputs'!$B$5,'Financial Inputs'!$B$6))</f>
        <v>0.4</v>
      </c>
      <c r="Q852" s="17">
        <f>O852*P852</f>
        <v>576000</v>
      </c>
      <c r="R852" s="16">
        <f>'Financial Inputs'!$B$7</f>
        <v>0.35</v>
      </c>
      <c r="S852" s="17">
        <f>Q852*(1-R852)</f>
        <v>374400</v>
      </c>
      <c r="T852" s="18">
        <f>S852/'Financial Inputs'!$B$3</f>
        <v>3.7439999999999999E-3</v>
      </c>
      <c r="U852" s="9" t="s">
        <v>52</v>
      </c>
      <c r="V852" s="3" t="s">
        <v>53</v>
      </c>
    </row>
    <row r="853" spans="1:22">
      <c r="A853" s="2" t="s">
        <v>2774</v>
      </c>
      <c r="B853" s="2" t="s">
        <v>2775</v>
      </c>
      <c r="C853" s="2" t="s">
        <v>2620</v>
      </c>
      <c r="D853" s="2" t="s">
        <v>56</v>
      </c>
      <c r="E853" s="2" t="s">
        <v>103</v>
      </c>
      <c r="F853" s="2" t="s">
        <v>58</v>
      </c>
      <c r="G853" s="2" t="s">
        <v>59</v>
      </c>
      <c r="H853" s="2" t="s">
        <v>46</v>
      </c>
      <c r="I853" s="2" t="s">
        <v>47</v>
      </c>
      <c r="J853" s="2" t="s">
        <v>2621</v>
      </c>
      <c r="K853" s="2" t="s">
        <v>2776</v>
      </c>
      <c r="L853" s="2" t="s">
        <v>302</v>
      </c>
      <c r="M853" s="2" t="s">
        <v>2623</v>
      </c>
      <c r="N853" s="16">
        <v>1.6199999999999999E-2</v>
      </c>
      <c r="O853" s="17">
        <f>N853*'Financial Inputs'!$B$3</f>
        <v>1620000</v>
      </c>
      <c r="P853" s="18">
        <f>IF(I853="L",'Financial Inputs'!$B$4,IF(I853="M",'Financial Inputs'!$B$5,'Financial Inputs'!$B$6))</f>
        <v>0.4</v>
      </c>
      <c r="Q853" s="17">
        <f>O853*P853</f>
        <v>648000</v>
      </c>
      <c r="R853" s="16">
        <f>'Financial Inputs'!$B$7</f>
        <v>0.35</v>
      </c>
      <c r="S853" s="17">
        <f>Q853*(1-R853)</f>
        <v>421200</v>
      </c>
      <c r="T853" s="18">
        <f>S853/'Financial Inputs'!$B$3</f>
        <v>4.2119999999999996E-3</v>
      </c>
      <c r="U853" s="9" t="s">
        <v>52</v>
      </c>
      <c r="V853" s="3" t="s">
        <v>53</v>
      </c>
    </row>
    <row r="854" spans="1:22">
      <c r="A854" s="2" t="s">
        <v>2777</v>
      </c>
      <c r="B854" s="2" t="s">
        <v>2778</v>
      </c>
      <c r="C854" s="2" t="s">
        <v>2620</v>
      </c>
      <c r="D854" s="2" t="s">
        <v>64</v>
      </c>
      <c r="E854" s="2" t="s">
        <v>109</v>
      </c>
      <c r="F854" s="2" t="s">
        <v>66</v>
      </c>
      <c r="G854" s="2" t="s">
        <v>67</v>
      </c>
      <c r="H854" s="2" t="s">
        <v>46</v>
      </c>
      <c r="I854" s="2" t="s">
        <v>47</v>
      </c>
      <c r="J854" s="2" t="s">
        <v>2621</v>
      </c>
      <c r="K854" s="2" t="s">
        <v>2779</v>
      </c>
      <c r="L854" s="2" t="s">
        <v>306</v>
      </c>
      <c r="M854" s="2" t="s">
        <v>2623</v>
      </c>
      <c r="N854" s="16">
        <v>1.7999999999999999E-2</v>
      </c>
      <c r="O854" s="17">
        <f>N854*'Financial Inputs'!$B$3</f>
        <v>1799999.9999999998</v>
      </c>
      <c r="P854" s="18">
        <f>IF(I854="L",'Financial Inputs'!$B$4,IF(I854="M",'Financial Inputs'!$B$5,'Financial Inputs'!$B$6))</f>
        <v>0.4</v>
      </c>
      <c r="Q854" s="17">
        <f>O854*P854</f>
        <v>720000</v>
      </c>
      <c r="R854" s="16">
        <f>'Financial Inputs'!$B$7</f>
        <v>0.35</v>
      </c>
      <c r="S854" s="17">
        <f>Q854*(1-R854)</f>
        <v>468000</v>
      </c>
      <c r="T854" s="18">
        <f>S854/'Financial Inputs'!$B$3</f>
        <v>4.6800000000000001E-3</v>
      </c>
      <c r="U854" s="9" t="s">
        <v>52</v>
      </c>
      <c r="V854" s="3" t="s">
        <v>53</v>
      </c>
    </row>
    <row r="855" spans="1:22">
      <c r="A855" s="2" t="s">
        <v>2780</v>
      </c>
      <c r="B855" s="2" t="s">
        <v>2781</v>
      </c>
      <c r="C855" s="2" t="s">
        <v>2620</v>
      </c>
      <c r="D855" s="2" t="s">
        <v>72</v>
      </c>
      <c r="E855" s="2" t="s">
        <v>116</v>
      </c>
      <c r="F855" s="2" t="s">
        <v>74</v>
      </c>
      <c r="G855" s="2" t="s">
        <v>75</v>
      </c>
      <c r="H855" s="2" t="s">
        <v>46</v>
      </c>
      <c r="I855" s="2" t="s">
        <v>47</v>
      </c>
      <c r="J855" s="2" t="s">
        <v>2621</v>
      </c>
      <c r="K855" s="2" t="s">
        <v>2782</v>
      </c>
      <c r="L855" s="2" t="s">
        <v>310</v>
      </c>
      <c r="M855" s="2" t="s">
        <v>2623</v>
      </c>
      <c r="N855" s="16">
        <v>1.9800000000000002E-2</v>
      </c>
      <c r="O855" s="17">
        <f>N855*'Financial Inputs'!$B$3</f>
        <v>1980000.0000000002</v>
      </c>
      <c r="P855" s="18">
        <f>IF(I855="L",'Financial Inputs'!$B$4,IF(I855="M",'Financial Inputs'!$B$5,'Financial Inputs'!$B$6))</f>
        <v>0.4</v>
      </c>
      <c r="Q855" s="17">
        <f>O855*P855</f>
        <v>792000.00000000012</v>
      </c>
      <c r="R855" s="16">
        <f>'Financial Inputs'!$B$7</f>
        <v>0.35</v>
      </c>
      <c r="S855" s="17">
        <f>Q855*(1-R855)</f>
        <v>514800.00000000012</v>
      </c>
      <c r="T855" s="18">
        <f>S855/'Financial Inputs'!$B$3</f>
        <v>5.1480000000000015E-3</v>
      </c>
      <c r="U855" s="9" t="s">
        <v>52</v>
      </c>
      <c r="V855" s="3" t="s">
        <v>53</v>
      </c>
    </row>
    <row r="856" spans="1:22">
      <c r="A856" s="2" t="s">
        <v>2783</v>
      </c>
      <c r="B856" s="2" t="s">
        <v>2784</v>
      </c>
      <c r="C856" s="2" t="s">
        <v>2620</v>
      </c>
      <c r="D856" s="2" t="s">
        <v>80</v>
      </c>
      <c r="E856" s="2" t="s">
        <v>215</v>
      </c>
      <c r="F856" s="2" t="s">
        <v>82</v>
      </c>
      <c r="G856" s="2" t="s">
        <v>83</v>
      </c>
      <c r="H856" s="2" t="s">
        <v>46</v>
      </c>
      <c r="I856" s="2" t="s">
        <v>47</v>
      </c>
      <c r="J856" s="2" t="s">
        <v>2621</v>
      </c>
      <c r="K856" s="2" t="s">
        <v>2785</v>
      </c>
      <c r="L856" s="2" t="s">
        <v>314</v>
      </c>
      <c r="M856" s="2" t="s">
        <v>2623</v>
      </c>
      <c r="N856" s="16">
        <v>2.1600000000000001E-2</v>
      </c>
      <c r="O856" s="17">
        <f>N856*'Financial Inputs'!$B$3</f>
        <v>2160000</v>
      </c>
      <c r="P856" s="18">
        <f>IF(I856="L",'Financial Inputs'!$B$4,IF(I856="M",'Financial Inputs'!$B$5,'Financial Inputs'!$B$6))</f>
        <v>0.4</v>
      </c>
      <c r="Q856" s="17">
        <f>O856*P856</f>
        <v>864000</v>
      </c>
      <c r="R856" s="16">
        <f>'Financial Inputs'!$B$7</f>
        <v>0.35</v>
      </c>
      <c r="S856" s="17">
        <f>Q856*(1-R856)</f>
        <v>561600</v>
      </c>
      <c r="T856" s="18">
        <f>S856/'Financial Inputs'!$B$3</f>
        <v>5.6160000000000003E-3</v>
      </c>
      <c r="U856" s="9" t="s">
        <v>52</v>
      </c>
      <c r="V856" s="3" t="s">
        <v>53</v>
      </c>
    </row>
    <row r="857" spans="1:22">
      <c r="A857" s="2" t="s">
        <v>2786</v>
      </c>
      <c r="B857" s="2" t="s">
        <v>2787</v>
      </c>
      <c r="C857" s="2" t="s">
        <v>2620</v>
      </c>
      <c r="D857" s="2" t="s">
        <v>88</v>
      </c>
      <c r="E857" s="2" t="s">
        <v>128</v>
      </c>
      <c r="F857" s="2" t="s">
        <v>90</v>
      </c>
      <c r="G857" s="2" t="s">
        <v>67</v>
      </c>
      <c r="H857" s="2" t="s">
        <v>46</v>
      </c>
      <c r="I857" s="2" t="s">
        <v>47</v>
      </c>
      <c r="J857" s="2" t="s">
        <v>2621</v>
      </c>
      <c r="K857" s="2" t="s">
        <v>2788</v>
      </c>
      <c r="L857" s="2" t="s">
        <v>318</v>
      </c>
      <c r="M857" s="2" t="s">
        <v>2623</v>
      </c>
      <c r="N857" s="16">
        <v>1.44E-2</v>
      </c>
      <c r="O857" s="17">
        <f>N857*'Financial Inputs'!$B$3</f>
        <v>1440000</v>
      </c>
      <c r="P857" s="18">
        <f>IF(I857="L",'Financial Inputs'!$B$4,IF(I857="M",'Financial Inputs'!$B$5,'Financial Inputs'!$B$6))</f>
        <v>0.4</v>
      </c>
      <c r="Q857" s="17">
        <f>O857*P857</f>
        <v>576000</v>
      </c>
      <c r="R857" s="16">
        <f>'Financial Inputs'!$B$7</f>
        <v>0.35</v>
      </c>
      <c r="S857" s="17">
        <f>Q857*(1-R857)</f>
        <v>374400</v>
      </c>
      <c r="T857" s="18">
        <f>S857/'Financial Inputs'!$B$3</f>
        <v>3.7439999999999999E-3</v>
      </c>
      <c r="U857" s="9" t="s">
        <v>52</v>
      </c>
      <c r="V857" s="3" t="s">
        <v>53</v>
      </c>
    </row>
    <row r="858" spans="1:22">
      <c r="A858" s="2" t="s">
        <v>2789</v>
      </c>
      <c r="B858" s="2" t="s">
        <v>2790</v>
      </c>
      <c r="C858" s="2" t="s">
        <v>2620</v>
      </c>
      <c r="D858" s="2" t="s">
        <v>95</v>
      </c>
      <c r="E858" s="2" t="s">
        <v>43</v>
      </c>
      <c r="F858" s="2" t="s">
        <v>97</v>
      </c>
      <c r="G858" s="2" t="s">
        <v>75</v>
      </c>
      <c r="H858" s="2" t="s">
        <v>46</v>
      </c>
      <c r="I858" s="2" t="s">
        <v>47</v>
      </c>
      <c r="J858" s="2" t="s">
        <v>2621</v>
      </c>
      <c r="K858" s="2" t="s">
        <v>2791</v>
      </c>
      <c r="L858" s="2" t="s">
        <v>322</v>
      </c>
      <c r="M858" s="2" t="s">
        <v>2623</v>
      </c>
      <c r="N858" s="16">
        <v>1.6199999999999999E-2</v>
      </c>
      <c r="O858" s="17">
        <f>N858*'Financial Inputs'!$B$3</f>
        <v>1620000</v>
      </c>
      <c r="P858" s="18">
        <f>IF(I858="L",'Financial Inputs'!$B$4,IF(I858="M",'Financial Inputs'!$B$5,'Financial Inputs'!$B$6))</f>
        <v>0.4</v>
      </c>
      <c r="Q858" s="17">
        <f>O858*P858</f>
        <v>648000</v>
      </c>
      <c r="R858" s="16">
        <f>'Financial Inputs'!$B$7</f>
        <v>0.35</v>
      </c>
      <c r="S858" s="17">
        <f>Q858*(1-R858)</f>
        <v>421200</v>
      </c>
      <c r="T858" s="18">
        <f>S858/'Financial Inputs'!$B$3</f>
        <v>4.2119999999999996E-3</v>
      </c>
      <c r="U858" s="9" t="s">
        <v>52</v>
      </c>
      <c r="V858" s="3" t="s">
        <v>53</v>
      </c>
    </row>
    <row r="859" spans="1:22">
      <c r="A859" s="2" t="s">
        <v>2792</v>
      </c>
      <c r="B859" s="2" t="s">
        <v>2793</v>
      </c>
      <c r="C859" s="2" t="s">
        <v>2620</v>
      </c>
      <c r="D859" s="2" t="s">
        <v>102</v>
      </c>
      <c r="E859" s="2" t="s">
        <v>57</v>
      </c>
      <c r="F859" s="2" t="s">
        <v>104</v>
      </c>
      <c r="G859" s="2" t="s">
        <v>83</v>
      </c>
      <c r="H859" s="2" t="s">
        <v>46</v>
      </c>
      <c r="I859" s="2" t="s">
        <v>47</v>
      </c>
      <c r="J859" s="2" t="s">
        <v>2621</v>
      </c>
      <c r="K859" s="2" t="s">
        <v>2794</v>
      </c>
      <c r="L859" s="2" t="s">
        <v>326</v>
      </c>
      <c r="M859" s="2" t="s">
        <v>2623</v>
      </c>
      <c r="N859" s="16">
        <v>1.7999999999999999E-2</v>
      </c>
      <c r="O859" s="17">
        <f>N859*'Financial Inputs'!$B$3</f>
        <v>1799999.9999999998</v>
      </c>
      <c r="P859" s="18">
        <f>IF(I859="L",'Financial Inputs'!$B$4,IF(I859="M",'Financial Inputs'!$B$5,'Financial Inputs'!$B$6))</f>
        <v>0.4</v>
      </c>
      <c r="Q859" s="17">
        <f>O859*P859</f>
        <v>720000</v>
      </c>
      <c r="R859" s="16">
        <f>'Financial Inputs'!$B$7</f>
        <v>0.35</v>
      </c>
      <c r="S859" s="17">
        <f>Q859*(1-R859)</f>
        <v>468000</v>
      </c>
      <c r="T859" s="18">
        <f>S859/'Financial Inputs'!$B$3</f>
        <v>4.6800000000000001E-3</v>
      </c>
      <c r="U859" s="9" t="s">
        <v>52</v>
      </c>
      <c r="V859" s="3" t="s">
        <v>53</v>
      </c>
    </row>
    <row r="860" spans="1:22">
      <c r="A860" s="2" t="s">
        <v>2795</v>
      </c>
      <c r="B860" s="2" t="s">
        <v>2796</v>
      </c>
      <c r="C860" s="2" t="s">
        <v>2620</v>
      </c>
      <c r="D860" s="2" t="s">
        <v>42</v>
      </c>
      <c r="E860" s="2" t="s">
        <v>65</v>
      </c>
      <c r="F860" s="2" t="s">
        <v>110</v>
      </c>
      <c r="G860" s="2" t="s">
        <v>111</v>
      </c>
      <c r="H860" s="2" t="s">
        <v>46</v>
      </c>
      <c r="I860" s="2" t="s">
        <v>47</v>
      </c>
      <c r="J860" s="2" t="s">
        <v>2621</v>
      </c>
      <c r="K860" s="2" t="s">
        <v>2797</v>
      </c>
      <c r="L860" s="2" t="s">
        <v>330</v>
      </c>
      <c r="M860" s="2" t="s">
        <v>2623</v>
      </c>
      <c r="N860" s="16">
        <v>1.9800000000000002E-2</v>
      </c>
      <c r="O860" s="17">
        <f>N860*'Financial Inputs'!$B$3</f>
        <v>1980000.0000000002</v>
      </c>
      <c r="P860" s="18">
        <f>IF(I860="L",'Financial Inputs'!$B$4,IF(I860="M",'Financial Inputs'!$B$5,'Financial Inputs'!$B$6))</f>
        <v>0.4</v>
      </c>
      <c r="Q860" s="17">
        <f>O860*P860</f>
        <v>792000.00000000012</v>
      </c>
      <c r="R860" s="16">
        <f>'Financial Inputs'!$B$7</f>
        <v>0.35</v>
      </c>
      <c r="S860" s="17">
        <f>Q860*(1-R860)</f>
        <v>514800.00000000012</v>
      </c>
      <c r="T860" s="18">
        <f>S860/'Financial Inputs'!$B$3</f>
        <v>5.1480000000000015E-3</v>
      </c>
      <c r="U860" s="9" t="s">
        <v>52</v>
      </c>
      <c r="V860" s="3" t="s">
        <v>53</v>
      </c>
    </row>
    <row r="861" spans="1:22">
      <c r="A861" s="2" t="s">
        <v>2798</v>
      </c>
      <c r="B861" s="2" t="s">
        <v>2799</v>
      </c>
      <c r="C861" s="2" t="s">
        <v>2620</v>
      </c>
      <c r="D861" s="2" t="s">
        <v>56</v>
      </c>
      <c r="E861" s="2" t="s">
        <v>73</v>
      </c>
      <c r="F861" s="2" t="s">
        <v>117</v>
      </c>
      <c r="G861" s="2" t="s">
        <v>56</v>
      </c>
      <c r="H861" s="2" t="s">
        <v>46</v>
      </c>
      <c r="I861" s="2" t="s">
        <v>47</v>
      </c>
      <c r="J861" s="2" t="s">
        <v>2621</v>
      </c>
      <c r="K861" s="2" t="s">
        <v>2800</v>
      </c>
      <c r="L861" s="2" t="s">
        <v>334</v>
      </c>
      <c r="M861" s="2" t="s">
        <v>2623</v>
      </c>
      <c r="N861" s="16">
        <v>2.1600000000000001E-2</v>
      </c>
      <c r="O861" s="17">
        <f>N861*'Financial Inputs'!$B$3</f>
        <v>2160000</v>
      </c>
      <c r="P861" s="18">
        <f>IF(I861="L",'Financial Inputs'!$B$4,IF(I861="M",'Financial Inputs'!$B$5,'Financial Inputs'!$B$6))</f>
        <v>0.4</v>
      </c>
      <c r="Q861" s="17">
        <f>O861*P861</f>
        <v>864000</v>
      </c>
      <c r="R861" s="16">
        <f>'Financial Inputs'!$B$7</f>
        <v>0.35</v>
      </c>
      <c r="S861" s="17">
        <f>Q861*(1-R861)</f>
        <v>561600</v>
      </c>
      <c r="T861" s="18">
        <f>S861/'Financial Inputs'!$B$3</f>
        <v>5.6160000000000003E-3</v>
      </c>
      <c r="U861" s="9" t="s">
        <v>52</v>
      </c>
      <c r="V861" s="3" t="s">
        <v>53</v>
      </c>
    </row>
    <row r="862" spans="1:22">
      <c r="A862" s="2" t="s">
        <v>2801</v>
      </c>
      <c r="B862" s="2" t="s">
        <v>2802</v>
      </c>
      <c r="C862" s="2" t="s">
        <v>2620</v>
      </c>
      <c r="D862" s="2" t="s">
        <v>80</v>
      </c>
      <c r="E862" s="2" t="s">
        <v>153</v>
      </c>
      <c r="F862" s="2" t="s">
        <v>58</v>
      </c>
      <c r="G862" s="2" t="s">
        <v>83</v>
      </c>
      <c r="H862" s="2" t="s">
        <v>46</v>
      </c>
      <c r="I862" s="2" t="s">
        <v>47</v>
      </c>
      <c r="J862" s="2" t="s">
        <v>2621</v>
      </c>
      <c r="K862" s="2" t="s">
        <v>2803</v>
      </c>
      <c r="L862" s="2" t="s">
        <v>338</v>
      </c>
      <c r="M862" s="2" t="s">
        <v>2623</v>
      </c>
      <c r="N862" s="16">
        <v>1.44E-2</v>
      </c>
      <c r="O862" s="17">
        <f>N862*'Financial Inputs'!$B$3</f>
        <v>1440000</v>
      </c>
      <c r="P862" s="18">
        <f>IF(I862="L",'Financial Inputs'!$B$4,IF(I862="M",'Financial Inputs'!$B$5,'Financial Inputs'!$B$6))</f>
        <v>0.4</v>
      </c>
      <c r="Q862" s="17">
        <f>O862*P862</f>
        <v>576000</v>
      </c>
      <c r="R862" s="16">
        <f>'Financial Inputs'!$B$7</f>
        <v>0.35</v>
      </c>
      <c r="S862" s="17">
        <f>Q862*(1-R862)</f>
        <v>374400</v>
      </c>
      <c r="T862" s="18">
        <f>S862/'Financial Inputs'!$B$3</f>
        <v>3.7439999999999999E-3</v>
      </c>
      <c r="U862" s="9" t="s">
        <v>52</v>
      </c>
      <c r="V862" s="3" t="s">
        <v>53</v>
      </c>
    </row>
    <row r="863" spans="1:22">
      <c r="A863" s="2" t="s">
        <v>2804</v>
      </c>
      <c r="B863" s="2" t="s">
        <v>2805</v>
      </c>
      <c r="C863" s="2" t="s">
        <v>2620</v>
      </c>
      <c r="D863" s="2" t="s">
        <v>127</v>
      </c>
      <c r="E863" s="2" t="s">
        <v>89</v>
      </c>
      <c r="F863" s="2" t="s">
        <v>66</v>
      </c>
      <c r="G863" s="2" t="s">
        <v>111</v>
      </c>
      <c r="H863" s="2" t="s">
        <v>46</v>
      </c>
      <c r="I863" s="2" t="s">
        <v>47</v>
      </c>
      <c r="J863" s="2" t="s">
        <v>2621</v>
      </c>
      <c r="K863" s="2" t="s">
        <v>2806</v>
      </c>
      <c r="L863" s="2" t="s">
        <v>342</v>
      </c>
      <c r="M863" s="2" t="s">
        <v>2623</v>
      </c>
      <c r="N863" s="16">
        <v>1.6199999999999999E-2</v>
      </c>
      <c r="O863" s="17">
        <f>N863*'Financial Inputs'!$B$3</f>
        <v>1620000</v>
      </c>
      <c r="P863" s="18">
        <f>IF(I863="L",'Financial Inputs'!$B$4,IF(I863="M",'Financial Inputs'!$B$5,'Financial Inputs'!$B$6))</f>
        <v>0.4</v>
      </c>
      <c r="Q863" s="17">
        <f>O863*P863</f>
        <v>648000</v>
      </c>
      <c r="R863" s="16">
        <f>'Financial Inputs'!$B$7</f>
        <v>0.35</v>
      </c>
      <c r="S863" s="17">
        <f>Q863*(1-R863)</f>
        <v>421200</v>
      </c>
      <c r="T863" s="18">
        <f>S863/'Financial Inputs'!$B$3</f>
        <v>4.2119999999999996E-3</v>
      </c>
      <c r="U863" s="9" t="s">
        <v>52</v>
      </c>
      <c r="V863" s="3" t="s">
        <v>53</v>
      </c>
    </row>
    <row r="864" spans="1:22">
      <c r="A864" s="2" t="s">
        <v>2807</v>
      </c>
      <c r="B864" s="2" t="s">
        <v>2808</v>
      </c>
      <c r="C864" s="2" t="s">
        <v>2620</v>
      </c>
      <c r="D864" s="2" t="s">
        <v>133</v>
      </c>
      <c r="E864" s="2" t="s">
        <v>96</v>
      </c>
      <c r="F864" s="2" t="s">
        <v>74</v>
      </c>
      <c r="G864" s="2" t="s">
        <v>56</v>
      </c>
      <c r="H864" s="2" t="s">
        <v>46</v>
      </c>
      <c r="I864" s="2" t="s">
        <v>47</v>
      </c>
      <c r="J864" s="2" t="s">
        <v>2621</v>
      </c>
      <c r="K864" s="2" t="s">
        <v>2809</v>
      </c>
      <c r="L864" s="2" t="s">
        <v>346</v>
      </c>
      <c r="M864" s="2" t="s">
        <v>2623</v>
      </c>
      <c r="N864" s="16">
        <v>1.7999999999999999E-2</v>
      </c>
      <c r="O864" s="17">
        <f>N864*'Financial Inputs'!$B$3</f>
        <v>1799999.9999999998</v>
      </c>
      <c r="P864" s="18">
        <f>IF(I864="L",'Financial Inputs'!$B$4,IF(I864="M",'Financial Inputs'!$B$5,'Financial Inputs'!$B$6))</f>
        <v>0.4</v>
      </c>
      <c r="Q864" s="17">
        <f>O864*P864</f>
        <v>720000</v>
      </c>
      <c r="R864" s="16">
        <f>'Financial Inputs'!$B$7</f>
        <v>0.35</v>
      </c>
      <c r="S864" s="17">
        <f>Q864*(1-R864)</f>
        <v>468000</v>
      </c>
      <c r="T864" s="18">
        <f>S864/'Financial Inputs'!$B$3</f>
        <v>4.6800000000000001E-3</v>
      </c>
      <c r="U864" s="9" t="s">
        <v>52</v>
      </c>
      <c r="V864" s="3" t="s">
        <v>53</v>
      </c>
    </row>
    <row r="865" spans="1:22">
      <c r="A865" s="2" t="s">
        <v>2810</v>
      </c>
      <c r="B865" s="2" t="s">
        <v>2811</v>
      </c>
      <c r="C865" s="2" t="s">
        <v>2620</v>
      </c>
      <c r="D865" s="2" t="s">
        <v>88</v>
      </c>
      <c r="E865" s="2" t="s">
        <v>103</v>
      </c>
      <c r="F865" s="2" t="s">
        <v>82</v>
      </c>
      <c r="G865" s="2" t="s">
        <v>138</v>
      </c>
      <c r="H865" s="2" t="s">
        <v>46</v>
      </c>
      <c r="I865" s="2" t="s">
        <v>47</v>
      </c>
      <c r="J865" s="2" t="s">
        <v>2621</v>
      </c>
      <c r="K865" s="2" t="s">
        <v>2812</v>
      </c>
      <c r="L865" s="2" t="s">
        <v>350</v>
      </c>
      <c r="M865" s="2" t="s">
        <v>2623</v>
      </c>
      <c r="N865" s="16">
        <v>1.9800000000000002E-2</v>
      </c>
      <c r="O865" s="17">
        <f>N865*'Financial Inputs'!$B$3</f>
        <v>1980000.0000000002</v>
      </c>
      <c r="P865" s="18">
        <f>IF(I865="L",'Financial Inputs'!$B$4,IF(I865="M",'Financial Inputs'!$B$5,'Financial Inputs'!$B$6))</f>
        <v>0.4</v>
      </c>
      <c r="Q865" s="17">
        <f>O865*P865</f>
        <v>792000.00000000012</v>
      </c>
      <c r="R865" s="16">
        <f>'Financial Inputs'!$B$7</f>
        <v>0.35</v>
      </c>
      <c r="S865" s="17">
        <f>Q865*(1-R865)</f>
        <v>514800.00000000012</v>
      </c>
      <c r="T865" s="18">
        <f>S865/'Financial Inputs'!$B$3</f>
        <v>5.1480000000000015E-3</v>
      </c>
      <c r="U865" s="9" t="s">
        <v>52</v>
      </c>
      <c r="V865" s="3" t="s">
        <v>53</v>
      </c>
    </row>
    <row r="866" spans="1:22">
      <c r="A866" s="2" t="s">
        <v>2813</v>
      </c>
      <c r="B866" s="2" t="s">
        <v>2814</v>
      </c>
      <c r="C866" s="2" t="s">
        <v>2620</v>
      </c>
      <c r="D866" s="2" t="s">
        <v>95</v>
      </c>
      <c r="E866" s="2" t="s">
        <v>109</v>
      </c>
      <c r="F866" s="2" t="s">
        <v>44</v>
      </c>
      <c r="G866" s="2" t="s">
        <v>143</v>
      </c>
      <c r="H866" s="2" t="s">
        <v>46</v>
      </c>
      <c r="I866" s="2" t="s">
        <v>47</v>
      </c>
      <c r="J866" s="2" t="s">
        <v>2621</v>
      </c>
      <c r="K866" s="2" t="s">
        <v>2815</v>
      </c>
      <c r="L866" s="2" t="s">
        <v>354</v>
      </c>
      <c r="M866" s="2" t="s">
        <v>2623</v>
      </c>
      <c r="N866" s="16">
        <v>2.1600000000000001E-2</v>
      </c>
      <c r="O866" s="17">
        <f>N866*'Financial Inputs'!$B$3</f>
        <v>2160000</v>
      </c>
      <c r="P866" s="18">
        <f>IF(I866="L",'Financial Inputs'!$B$4,IF(I866="M",'Financial Inputs'!$B$5,'Financial Inputs'!$B$6))</f>
        <v>0.4</v>
      </c>
      <c r="Q866" s="17">
        <f>O866*P866</f>
        <v>864000</v>
      </c>
      <c r="R866" s="16">
        <f>'Financial Inputs'!$B$7</f>
        <v>0.35</v>
      </c>
      <c r="S866" s="17">
        <f>Q866*(1-R866)</f>
        <v>561600</v>
      </c>
      <c r="T866" s="18">
        <f>S866/'Financial Inputs'!$B$3</f>
        <v>5.6160000000000003E-3</v>
      </c>
      <c r="U866" s="9" t="s">
        <v>52</v>
      </c>
      <c r="V866" s="3" t="s">
        <v>53</v>
      </c>
    </row>
    <row r="867" spans="1:22">
      <c r="A867" s="2" t="s">
        <v>2816</v>
      </c>
      <c r="B867" s="2" t="s">
        <v>2817</v>
      </c>
      <c r="C867" s="2" t="s">
        <v>2620</v>
      </c>
      <c r="D867" s="2" t="s">
        <v>56</v>
      </c>
      <c r="E867" s="2" t="s">
        <v>176</v>
      </c>
      <c r="F867" s="2" t="s">
        <v>97</v>
      </c>
      <c r="G867" s="2" t="s">
        <v>56</v>
      </c>
      <c r="H867" s="2" t="s">
        <v>46</v>
      </c>
      <c r="I867" s="2" t="s">
        <v>47</v>
      </c>
      <c r="J867" s="2" t="s">
        <v>2621</v>
      </c>
      <c r="K867" s="2" t="s">
        <v>2818</v>
      </c>
      <c r="L867" s="2" t="s">
        <v>358</v>
      </c>
      <c r="M867" s="2" t="s">
        <v>2623</v>
      </c>
      <c r="N867" s="16">
        <v>1.44E-2</v>
      </c>
      <c r="O867" s="17">
        <f>N867*'Financial Inputs'!$B$3</f>
        <v>1440000</v>
      </c>
      <c r="P867" s="18">
        <f>IF(I867="L",'Financial Inputs'!$B$4,IF(I867="M",'Financial Inputs'!$B$5,'Financial Inputs'!$B$6))</f>
        <v>0.4</v>
      </c>
      <c r="Q867" s="17">
        <f>O867*P867</f>
        <v>576000</v>
      </c>
      <c r="R867" s="16">
        <f>'Financial Inputs'!$B$7</f>
        <v>0.35</v>
      </c>
      <c r="S867" s="17">
        <f>Q867*(1-R867)</f>
        <v>374400</v>
      </c>
      <c r="T867" s="18">
        <f>S867/'Financial Inputs'!$B$3</f>
        <v>3.7439999999999999E-3</v>
      </c>
      <c r="U867" s="9" t="s">
        <v>52</v>
      </c>
      <c r="V867" s="3" t="s">
        <v>53</v>
      </c>
    </row>
    <row r="868" spans="1:22">
      <c r="A868" s="2" t="s">
        <v>2819</v>
      </c>
      <c r="B868" s="2" t="s">
        <v>2820</v>
      </c>
      <c r="C868" s="2" t="s">
        <v>2620</v>
      </c>
      <c r="D868" s="2" t="s">
        <v>64</v>
      </c>
      <c r="E868" s="2" t="s">
        <v>122</v>
      </c>
      <c r="F868" s="2" t="s">
        <v>104</v>
      </c>
      <c r="G868" s="2" t="s">
        <v>138</v>
      </c>
      <c r="H868" s="2" t="s">
        <v>46</v>
      </c>
      <c r="I868" s="2" t="s">
        <v>47</v>
      </c>
      <c r="J868" s="2" t="s">
        <v>2621</v>
      </c>
      <c r="K868" s="2" t="s">
        <v>2821</v>
      </c>
      <c r="L868" s="2" t="s">
        <v>362</v>
      </c>
      <c r="M868" s="2" t="s">
        <v>2623</v>
      </c>
      <c r="N868" s="16">
        <v>1.6199999999999999E-2</v>
      </c>
      <c r="O868" s="17">
        <f>N868*'Financial Inputs'!$B$3</f>
        <v>1620000</v>
      </c>
      <c r="P868" s="18">
        <f>IF(I868="L",'Financial Inputs'!$B$4,IF(I868="M",'Financial Inputs'!$B$5,'Financial Inputs'!$B$6))</f>
        <v>0.4</v>
      </c>
      <c r="Q868" s="17">
        <f>O868*P868</f>
        <v>648000</v>
      </c>
      <c r="R868" s="16">
        <f>'Financial Inputs'!$B$7</f>
        <v>0.35</v>
      </c>
      <c r="S868" s="17">
        <f>Q868*(1-R868)</f>
        <v>421200</v>
      </c>
      <c r="T868" s="18">
        <f>S868/'Financial Inputs'!$B$3</f>
        <v>4.2119999999999996E-3</v>
      </c>
      <c r="U868" s="9" t="s">
        <v>52</v>
      </c>
      <c r="V868" s="3" t="s">
        <v>53</v>
      </c>
    </row>
    <row r="869" spans="1:22">
      <c r="A869" s="2" t="s">
        <v>2822</v>
      </c>
      <c r="B869" s="2" t="s">
        <v>2823</v>
      </c>
      <c r="C869" s="2" t="s">
        <v>2620</v>
      </c>
      <c r="D869" s="2" t="s">
        <v>72</v>
      </c>
      <c r="E869" s="2" t="s">
        <v>128</v>
      </c>
      <c r="F869" s="2" t="s">
        <v>110</v>
      </c>
      <c r="G869" s="2" t="s">
        <v>143</v>
      </c>
      <c r="H869" s="2" t="s">
        <v>46</v>
      </c>
      <c r="I869" s="2" t="s">
        <v>47</v>
      </c>
      <c r="J869" s="2" t="s">
        <v>2621</v>
      </c>
      <c r="K869" s="2" t="s">
        <v>2824</v>
      </c>
      <c r="L869" s="2" t="s">
        <v>366</v>
      </c>
      <c r="M869" s="2" t="s">
        <v>2623</v>
      </c>
      <c r="N869" s="16">
        <v>1.7999999999999999E-2</v>
      </c>
      <c r="O869" s="17">
        <f>N869*'Financial Inputs'!$B$3</f>
        <v>1799999.9999999998</v>
      </c>
      <c r="P869" s="18">
        <f>IF(I869="L",'Financial Inputs'!$B$4,IF(I869="M",'Financial Inputs'!$B$5,'Financial Inputs'!$B$6))</f>
        <v>0.4</v>
      </c>
      <c r="Q869" s="17">
        <f>O869*P869</f>
        <v>720000</v>
      </c>
      <c r="R869" s="16">
        <f>'Financial Inputs'!$B$7</f>
        <v>0.35</v>
      </c>
      <c r="S869" s="17">
        <f>Q869*(1-R869)</f>
        <v>468000</v>
      </c>
      <c r="T869" s="18">
        <f>S869/'Financial Inputs'!$B$3</f>
        <v>4.6800000000000001E-3</v>
      </c>
      <c r="U869" s="9" t="s">
        <v>52</v>
      </c>
      <c r="V869" s="3" t="s">
        <v>53</v>
      </c>
    </row>
    <row r="870" spans="1:22">
      <c r="A870" s="2" t="s">
        <v>2825</v>
      </c>
      <c r="B870" s="2" t="s">
        <v>2826</v>
      </c>
      <c r="C870" s="2" t="s">
        <v>2620</v>
      </c>
      <c r="D870" s="2" t="s">
        <v>80</v>
      </c>
      <c r="E870" s="2" t="s">
        <v>43</v>
      </c>
      <c r="F870" s="2" t="s">
        <v>117</v>
      </c>
      <c r="G870" s="2" t="s">
        <v>162</v>
      </c>
      <c r="H870" s="2" t="s">
        <v>46</v>
      </c>
      <c r="I870" s="2" t="s">
        <v>47</v>
      </c>
      <c r="J870" s="2" t="s">
        <v>2621</v>
      </c>
      <c r="K870" s="2" t="s">
        <v>2827</v>
      </c>
      <c r="L870" s="2" t="s">
        <v>370</v>
      </c>
      <c r="M870" s="2" t="s">
        <v>2623</v>
      </c>
      <c r="N870" s="16">
        <v>1.9800000000000002E-2</v>
      </c>
      <c r="O870" s="17">
        <f>N870*'Financial Inputs'!$B$3</f>
        <v>1980000.0000000002</v>
      </c>
      <c r="P870" s="18">
        <f>IF(I870="L",'Financial Inputs'!$B$4,IF(I870="M",'Financial Inputs'!$B$5,'Financial Inputs'!$B$6))</f>
        <v>0.4</v>
      </c>
      <c r="Q870" s="17">
        <f>O870*P870</f>
        <v>792000.00000000012</v>
      </c>
      <c r="R870" s="16">
        <f>'Financial Inputs'!$B$7</f>
        <v>0.35</v>
      </c>
      <c r="S870" s="17">
        <f>Q870*(1-R870)</f>
        <v>514800.00000000012</v>
      </c>
      <c r="T870" s="18">
        <f>S870/'Financial Inputs'!$B$3</f>
        <v>5.1480000000000015E-3</v>
      </c>
      <c r="U870" s="9" t="s">
        <v>52</v>
      </c>
      <c r="V870" s="3" t="s">
        <v>53</v>
      </c>
    </row>
    <row r="871" spans="1:22">
      <c r="A871" s="2" t="s">
        <v>2828</v>
      </c>
      <c r="B871" s="2" t="s">
        <v>2829</v>
      </c>
      <c r="C871" s="2" t="s">
        <v>2620</v>
      </c>
      <c r="D871" s="2" t="s">
        <v>127</v>
      </c>
      <c r="E871" s="2" t="s">
        <v>57</v>
      </c>
      <c r="F871" s="2" t="s">
        <v>90</v>
      </c>
      <c r="G871" s="2" t="s">
        <v>45</v>
      </c>
      <c r="H871" s="2" t="s">
        <v>46</v>
      </c>
      <c r="I871" s="2" t="s">
        <v>47</v>
      </c>
      <c r="J871" s="2" t="s">
        <v>2621</v>
      </c>
      <c r="K871" s="2" t="s">
        <v>2830</v>
      </c>
      <c r="L871" s="2" t="s">
        <v>374</v>
      </c>
      <c r="M871" s="2" t="s">
        <v>2623</v>
      </c>
      <c r="N871" s="16">
        <v>2.1600000000000001E-2</v>
      </c>
      <c r="O871" s="17">
        <f>N871*'Financial Inputs'!$B$3</f>
        <v>2160000</v>
      </c>
      <c r="P871" s="18">
        <f>IF(I871="L",'Financial Inputs'!$B$4,IF(I871="M",'Financial Inputs'!$B$5,'Financial Inputs'!$B$6))</f>
        <v>0.4</v>
      </c>
      <c r="Q871" s="17">
        <f>O871*P871</f>
        <v>864000</v>
      </c>
      <c r="R871" s="16">
        <f>'Financial Inputs'!$B$7</f>
        <v>0.35</v>
      </c>
      <c r="S871" s="17">
        <f>Q871*(1-R871)</f>
        <v>561600</v>
      </c>
      <c r="T871" s="18">
        <f>S871/'Financial Inputs'!$B$3</f>
        <v>5.6160000000000003E-3</v>
      </c>
      <c r="U871" s="9" t="s">
        <v>52</v>
      </c>
      <c r="V871" s="3" t="s">
        <v>53</v>
      </c>
    </row>
    <row r="872" spans="1:22">
      <c r="A872" s="2" t="s">
        <v>2831</v>
      </c>
      <c r="B872" s="2" t="s">
        <v>2832</v>
      </c>
      <c r="C872" s="2" t="s">
        <v>2620</v>
      </c>
      <c r="D872" s="2" t="s">
        <v>95</v>
      </c>
      <c r="E872" s="2" t="s">
        <v>198</v>
      </c>
      <c r="F872" s="2" t="s">
        <v>66</v>
      </c>
      <c r="G872" s="2" t="s">
        <v>143</v>
      </c>
      <c r="H872" s="2" t="s">
        <v>46</v>
      </c>
      <c r="I872" s="2" t="s">
        <v>47</v>
      </c>
      <c r="J872" s="2" t="s">
        <v>2621</v>
      </c>
      <c r="K872" s="2" t="s">
        <v>2833</v>
      </c>
      <c r="L872" s="2" t="s">
        <v>378</v>
      </c>
      <c r="M872" s="2" t="s">
        <v>2623</v>
      </c>
      <c r="N872" s="16">
        <v>1.44E-2</v>
      </c>
      <c r="O872" s="17">
        <f>N872*'Financial Inputs'!$B$3</f>
        <v>1440000</v>
      </c>
      <c r="P872" s="18">
        <f>IF(I872="L",'Financial Inputs'!$B$4,IF(I872="M",'Financial Inputs'!$B$5,'Financial Inputs'!$B$6))</f>
        <v>0.4</v>
      </c>
      <c r="Q872" s="17">
        <f>O872*P872</f>
        <v>576000</v>
      </c>
      <c r="R872" s="16">
        <f>'Financial Inputs'!$B$7</f>
        <v>0.35</v>
      </c>
      <c r="S872" s="17">
        <f>Q872*(1-R872)</f>
        <v>374400</v>
      </c>
      <c r="T872" s="18">
        <f>S872/'Financial Inputs'!$B$3</f>
        <v>3.7439999999999999E-3</v>
      </c>
      <c r="U872" s="9" t="s">
        <v>52</v>
      </c>
      <c r="V872" s="3" t="s">
        <v>53</v>
      </c>
    </row>
    <row r="873" spans="1:22">
      <c r="A873" s="2" t="s">
        <v>2834</v>
      </c>
      <c r="B873" s="2" t="s">
        <v>2835</v>
      </c>
      <c r="C873" s="2" t="s">
        <v>2620</v>
      </c>
      <c r="D873" s="2" t="s">
        <v>102</v>
      </c>
      <c r="E873" s="2" t="s">
        <v>148</v>
      </c>
      <c r="F873" s="2" t="s">
        <v>74</v>
      </c>
      <c r="G873" s="2" t="s">
        <v>162</v>
      </c>
      <c r="H873" s="2" t="s">
        <v>46</v>
      </c>
      <c r="I873" s="2" t="s">
        <v>47</v>
      </c>
      <c r="J873" s="2" t="s">
        <v>2621</v>
      </c>
      <c r="K873" s="2" t="s">
        <v>2836</v>
      </c>
      <c r="L873" s="2" t="s">
        <v>382</v>
      </c>
      <c r="M873" s="2" t="s">
        <v>2623</v>
      </c>
      <c r="N873" s="16">
        <v>1.6199999999999999E-2</v>
      </c>
      <c r="O873" s="17">
        <f>N873*'Financial Inputs'!$B$3</f>
        <v>1620000</v>
      </c>
      <c r="P873" s="18">
        <f>IF(I873="L",'Financial Inputs'!$B$4,IF(I873="M",'Financial Inputs'!$B$5,'Financial Inputs'!$B$6))</f>
        <v>0.4</v>
      </c>
      <c r="Q873" s="17">
        <f>O873*P873</f>
        <v>648000</v>
      </c>
      <c r="R873" s="16">
        <f>'Financial Inputs'!$B$7</f>
        <v>0.35</v>
      </c>
      <c r="S873" s="17">
        <f>Q873*(1-R873)</f>
        <v>421200</v>
      </c>
      <c r="T873" s="18">
        <f>S873/'Financial Inputs'!$B$3</f>
        <v>4.2119999999999996E-3</v>
      </c>
      <c r="U873" s="9" t="s">
        <v>52</v>
      </c>
      <c r="V873" s="3" t="s">
        <v>53</v>
      </c>
    </row>
    <row r="874" spans="1:22">
      <c r="A874" s="2" t="s">
        <v>2837</v>
      </c>
      <c r="B874" s="2" t="s">
        <v>2838</v>
      </c>
      <c r="C874" s="2" t="s">
        <v>2620</v>
      </c>
      <c r="D874" s="2" t="s">
        <v>42</v>
      </c>
      <c r="E874" s="2" t="s">
        <v>153</v>
      </c>
      <c r="F874" s="2" t="s">
        <v>82</v>
      </c>
      <c r="G874" s="2" t="s">
        <v>45</v>
      </c>
      <c r="H874" s="2" t="s">
        <v>46</v>
      </c>
      <c r="I874" s="2" t="s">
        <v>47</v>
      </c>
      <c r="J874" s="2" t="s">
        <v>2621</v>
      </c>
      <c r="K874" s="2" t="s">
        <v>2839</v>
      </c>
      <c r="L874" s="2" t="s">
        <v>386</v>
      </c>
      <c r="M874" s="2" t="s">
        <v>2623</v>
      </c>
      <c r="N874" s="16">
        <v>1.7999999999999999E-2</v>
      </c>
      <c r="O874" s="17">
        <f>N874*'Financial Inputs'!$B$3</f>
        <v>1799999.9999999998</v>
      </c>
      <c r="P874" s="18">
        <f>IF(I874="L",'Financial Inputs'!$B$4,IF(I874="M",'Financial Inputs'!$B$5,'Financial Inputs'!$B$6))</f>
        <v>0.4</v>
      </c>
      <c r="Q874" s="17">
        <f>O874*P874</f>
        <v>720000</v>
      </c>
      <c r="R874" s="16">
        <f>'Financial Inputs'!$B$7</f>
        <v>0.35</v>
      </c>
      <c r="S874" s="17">
        <f>Q874*(1-R874)</f>
        <v>468000</v>
      </c>
      <c r="T874" s="18">
        <f>S874/'Financial Inputs'!$B$3</f>
        <v>4.6800000000000001E-3</v>
      </c>
      <c r="U874" s="9" t="s">
        <v>52</v>
      </c>
      <c r="V874" s="3" t="s">
        <v>53</v>
      </c>
    </row>
    <row r="875" spans="1:22">
      <c r="A875" s="2" t="s">
        <v>2840</v>
      </c>
      <c r="B875" s="2" t="s">
        <v>2841</v>
      </c>
      <c r="C875" s="2" t="s">
        <v>2620</v>
      </c>
      <c r="D875" s="2" t="s">
        <v>56</v>
      </c>
      <c r="E875" s="2" t="s">
        <v>89</v>
      </c>
      <c r="F875" s="2" t="s">
        <v>44</v>
      </c>
      <c r="G875" s="2" t="s">
        <v>59</v>
      </c>
      <c r="H875" s="2" t="s">
        <v>46</v>
      </c>
      <c r="I875" s="2" t="s">
        <v>47</v>
      </c>
      <c r="J875" s="2" t="s">
        <v>2621</v>
      </c>
      <c r="K875" s="2" t="s">
        <v>2842</v>
      </c>
      <c r="L875" s="2" t="s">
        <v>390</v>
      </c>
      <c r="M875" s="2" t="s">
        <v>2623</v>
      </c>
      <c r="N875" s="16">
        <v>1.9800000000000002E-2</v>
      </c>
      <c r="O875" s="17">
        <f>N875*'Financial Inputs'!$B$3</f>
        <v>1980000.0000000002</v>
      </c>
      <c r="P875" s="18">
        <f>IF(I875="L",'Financial Inputs'!$B$4,IF(I875="M",'Financial Inputs'!$B$5,'Financial Inputs'!$B$6))</f>
        <v>0.4</v>
      </c>
      <c r="Q875" s="17">
        <f>O875*P875</f>
        <v>792000.00000000012</v>
      </c>
      <c r="R875" s="16">
        <f>'Financial Inputs'!$B$7</f>
        <v>0.35</v>
      </c>
      <c r="S875" s="17">
        <f>Q875*(1-R875)</f>
        <v>514800.00000000012</v>
      </c>
      <c r="T875" s="18">
        <f>S875/'Financial Inputs'!$B$3</f>
        <v>5.1480000000000015E-3</v>
      </c>
      <c r="U875" s="9" t="s">
        <v>52</v>
      </c>
      <c r="V875" s="3" t="s">
        <v>53</v>
      </c>
    </row>
    <row r="876" spans="1:22">
      <c r="A876" s="2" t="s">
        <v>2843</v>
      </c>
      <c r="B876" s="2" t="s">
        <v>2844</v>
      </c>
      <c r="C876" s="2" t="s">
        <v>2620</v>
      </c>
      <c r="D876" s="2" t="s">
        <v>64</v>
      </c>
      <c r="E876" s="2" t="s">
        <v>96</v>
      </c>
      <c r="F876" s="2" t="s">
        <v>58</v>
      </c>
      <c r="G876" s="2" t="s">
        <v>67</v>
      </c>
      <c r="H876" s="2" t="s">
        <v>46</v>
      </c>
      <c r="I876" s="2" t="s">
        <v>47</v>
      </c>
      <c r="J876" s="2" t="s">
        <v>2621</v>
      </c>
      <c r="K876" s="2" t="s">
        <v>2845</v>
      </c>
      <c r="L876" s="2" t="s">
        <v>394</v>
      </c>
      <c r="M876" s="2" t="s">
        <v>2623</v>
      </c>
      <c r="N876" s="16">
        <v>2.1600000000000001E-2</v>
      </c>
      <c r="O876" s="17">
        <f>N876*'Financial Inputs'!$B$3</f>
        <v>2160000</v>
      </c>
      <c r="P876" s="18">
        <f>IF(I876="L",'Financial Inputs'!$B$4,IF(I876="M",'Financial Inputs'!$B$5,'Financial Inputs'!$B$6))</f>
        <v>0.4</v>
      </c>
      <c r="Q876" s="17">
        <f>O876*P876</f>
        <v>864000</v>
      </c>
      <c r="R876" s="16">
        <f>'Financial Inputs'!$B$7</f>
        <v>0.35</v>
      </c>
      <c r="S876" s="17">
        <f>Q876*(1-R876)</f>
        <v>561600</v>
      </c>
      <c r="T876" s="18">
        <f>S876/'Financial Inputs'!$B$3</f>
        <v>5.6160000000000003E-3</v>
      </c>
      <c r="U876" s="9" t="s">
        <v>52</v>
      </c>
      <c r="V876" s="3" t="s">
        <v>53</v>
      </c>
    </row>
    <row r="877" spans="1:22">
      <c r="A877" s="2" t="s">
        <v>2846</v>
      </c>
      <c r="B877" s="2" t="s">
        <v>2847</v>
      </c>
      <c r="C877" s="2" t="s">
        <v>2620</v>
      </c>
      <c r="D877" s="2" t="s">
        <v>127</v>
      </c>
      <c r="E877" s="2" t="s">
        <v>220</v>
      </c>
      <c r="F877" s="2" t="s">
        <v>104</v>
      </c>
      <c r="G877" s="2" t="s">
        <v>45</v>
      </c>
      <c r="H877" s="2" t="s">
        <v>46</v>
      </c>
      <c r="I877" s="2" t="s">
        <v>47</v>
      </c>
      <c r="J877" s="2" t="s">
        <v>2621</v>
      </c>
      <c r="K877" s="2" t="s">
        <v>2848</v>
      </c>
      <c r="L877" s="2" t="s">
        <v>398</v>
      </c>
      <c r="M877" s="2" t="s">
        <v>2623</v>
      </c>
      <c r="N877" s="16">
        <v>1.44E-2</v>
      </c>
      <c r="O877" s="17">
        <f>N877*'Financial Inputs'!$B$3</f>
        <v>1440000</v>
      </c>
      <c r="P877" s="18">
        <f>IF(I877="L",'Financial Inputs'!$B$4,IF(I877="M",'Financial Inputs'!$B$5,'Financial Inputs'!$B$6))</f>
        <v>0.4</v>
      </c>
      <c r="Q877" s="17">
        <f>O877*P877</f>
        <v>576000</v>
      </c>
      <c r="R877" s="16">
        <f>'Financial Inputs'!$B$7</f>
        <v>0.35</v>
      </c>
      <c r="S877" s="17">
        <f>Q877*(1-R877)</f>
        <v>374400</v>
      </c>
      <c r="T877" s="18">
        <f>S877/'Financial Inputs'!$B$3</f>
        <v>3.7439999999999999E-3</v>
      </c>
      <c r="U877" s="9" t="s">
        <v>52</v>
      </c>
      <c r="V877" s="3" t="s">
        <v>53</v>
      </c>
    </row>
    <row r="878" spans="1:22">
      <c r="A878" s="2" t="s">
        <v>2849</v>
      </c>
      <c r="B878" s="2" t="s">
        <v>2850</v>
      </c>
      <c r="C878" s="2" t="s">
        <v>2620</v>
      </c>
      <c r="D878" s="2" t="s">
        <v>133</v>
      </c>
      <c r="E878" s="2" t="s">
        <v>171</v>
      </c>
      <c r="F878" s="2" t="s">
        <v>110</v>
      </c>
      <c r="G878" s="2" t="s">
        <v>59</v>
      </c>
      <c r="H878" s="2" t="s">
        <v>46</v>
      </c>
      <c r="I878" s="2" t="s">
        <v>47</v>
      </c>
      <c r="J878" s="2" t="s">
        <v>2621</v>
      </c>
      <c r="K878" s="2" t="s">
        <v>2851</v>
      </c>
      <c r="L878" s="2" t="s">
        <v>402</v>
      </c>
      <c r="M878" s="2" t="s">
        <v>2623</v>
      </c>
      <c r="N878" s="16">
        <v>1.6199999999999999E-2</v>
      </c>
      <c r="O878" s="17">
        <f>N878*'Financial Inputs'!$B$3</f>
        <v>1620000</v>
      </c>
      <c r="P878" s="18">
        <f>IF(I878="L",'Financial Inputs'!$B$4,IF(I878="M",'Financial Inputs'!$B$5,'Financial Inputs'!$B$6))</f>
        <v>0.4</v>
      </c>
      <c r="Q878" s="17">
        <f>O878*P878</f>
        <v>648000</v>
      </c>
      <c r="R878" s="16">
        <f>'Financial Inputs'!$B$7</f>
        <v>0.35</v>
      </c>
      <c r="S878" s="17">
        <f>Q878*(1-R878)</f>
        <v>421200</v>
      </c>
      <c r="T878" s="18">
        <f>S878/'Financial Inputs'!$B$3</f>
        <v>4.2119999999999996E-3</v>
      </c>
      <c r="U878" s="9" t="s">
        <v>52</v>
      </c>
      <c r="V878" s="3" t="s">
        <v>53</v>
      </c>
    </row>
    <row r="879" spans="1:22">
      <c r="A879" s="2" t="s">
        <v>2852</v>
      </c>
      <c r="B879" s="2" t="s">
        <v>2853</v>
      </c>
      <c r="C879" s="2" t="s">
        <v>2620</v>
      </c>
      <c r="D879" s="2" t="s">
        <v>88</v>
      </c>
      <c r="E879" s="2" t="s">
        <v>176</v>
      </c>
      <c r="F879" s="2" t="s">
        <v>117</v>
      </c>
      <c r="G879" s="2" t="s">
        <v>67</v>
      </c>
      <c r="H879" s="2" t="s">
        <v>46</v>
      </c>
      <c r="I879" s="2" t="s">
        <v>47</v>
      </c>
      <c r="J879" s="2" t="s">
        <v>2621</v>
      </c>
      <c r="K879" s="2" t="s">
        <v>2854</v>
      </c>
      <c r="L879" s="2" t="s">
        <v>406</v>
      </c>
      <c r="M879" s="2" t="s">
        <v>2623</v>
      </c>
      <c r="N879" s="16">
        <v>1.7999999999999999E-2</v>
      </c>
      <c r="O879" s="17">
        <f>N879*'Financial Inputs'!$B$3</f>
        <v>1799999.9999999998</v>
      </c>
      <c r="P879" s="18">
        <f>IF(I879="L",'Financial Inputs'!$B$4,IF(I879="M",'Financial Inputs'!$B$5,'Financial Inputs'!$B$6))</f>
        <v>0.4</v>
      </c>
      <c r="Q879" s="17">
        <f>O879*P879</f>
        <v>720000</v>
      </c>
      <c r="R879" s="16">
        <f>'Financial Inputs'!$B$7</f>
        <v>0.35</v>
      </c>
      <c r="S879" s="17">
        <f>Q879*(1-R879)</f>
        <v>468000</v>
      </c>
      <c r="T879" s="18">
        <f>S879/'Financial Inputs'!$B$3</f>
        <v>4.6800000000000001E-3</v>
      </c>
      <c r="U879" s="9" t="s">
        <v>52</v>
      </c>
      <c r="V879" s="3" t="s">
        <v>53</v>
      </c>
    </row>
    <row r="880" spans="1:22">
      <c r="A880" s="2" t="s">
        <v>2855</v>
      </c>
      <c r="B880" s="2" t="s">
        <v>2856</v>
      </c>
      <c r="C880" s="2" t="s">
        <v>2620</v>
      </c>
      <c r="D880" s="2" t="s">
        <v>95</v>
      </c>
      <c r="E880" s="2" t="s">
        <v>122</v>
      </c>
      <c r="F880" s="2" t="s">
        <v>90</v>
      </c>
      <c r="G880" s="2" t="s">
        <v>75</v>
      </c>
      <c r="H880" s="2" t="s">
        <v>46</v>
      </c>
      <c r="I880" s="2" t="s">
        <v>47</v>
      </c>
      <c r="J880" s="2" t="s">
        <v>2621</v>
      </c>
      <c r="K880" s="2" t="s">
        <v>2857</v>
      </c>
      <c r="L880" s="2" t="s">
        <v>410</v>
      </c>
      <c r="M880" s="2" t="s">
        <v>2623</v>
      </c>
      <c r="N880" s="16">
        <v>1.9800000000000002E-2</v>
      </c>
      <c r="O880" s="17">
        <f>N880*'Financial Inputs'!$B$3</f>
        <v>1980000.0000000002</v>
      </c>
      <c r="P880" s="18">
        <f>IF(I880="L",'Financial Inputs'!$B$4,IF(I880="M",'Financial Inputs'!$B$5,'Financial Inputs'!$B$6))</f>
        <v>0.4</v>
      </c>
      <c r="Q880" s="17">
        <f>O880*P880</f>
        <v>792000.00000000012</v>
      </c>
      <c r="R880" s="16">
        <f>'Financial Inputs'!$B$7</f>
        <v>0.35</v>
      </c>
      <c r="S880" s="17">
        <f>Q880*(1-R880)</f>
        <v>514800.00000000012</v>
      </c>
      <c r="T880" s="18">
        <f>S880/'Financial Inputs'!$B$3</f>
        <v>5.1480000000000015E-3</v>
      </c>
      <c r="U880" s="9" t="s">
        <v>52</v>
      </c>
      <c r="V880" s="3" t="s">
        <v>53</v>
      </c>
    </row>
    <row r="881" spans="1:22">
      <c r="A881" s="2" t="s">
        <v>2858</v>
      </c>
      <c r="B881" s="2" t="s">
        <v>2859</v>
      </c>
      <c r="C881" s="2" t="s">
        <v>2620</v>
      </c>
      <c r="D881" s="2" t="s">
        <v>102</v>
      </c>
      <c r="E881" s="2" t="s">
        <v>128</v>
      </c>
      <c r="F881" s="2" t="s">
        <v>97</v>
      </c>
      <c r="G881" s="2" t="s">
        <v>83</v>
      </c>
      <c r="H881" s="2" t="s">
        <v>46</v>
      </c>
      <c r="I881" s="2" t="s">
        <v>47</v>
      </c>
      <c r="J881" s="2" t="s">
        <v>2621</v>
      </c>
      <c r="K881" s="2" t="s">
        <v>2860</v>
      </c>
      <c r="L881" s="2" t="s">
        <v>414</v>
      </c>
      <c r="M881" s="2" t="s">
        <v>2623</v>
      </c>
      <c r="N881" s="16">
        <v>2.1600000000000001E-2</v>
      </c>
      <c r="O881" s="17">
        <f>N881*'Financial Inputs'!$B$3</f>
        <v>2160000</v>
      </c>
      <c r="P881" s="18">
        <f>IF(I881="L",'Financial Inputs'!$B$4,IF(I881="M",'Financial Inputs'!$B$5,'Financial Inputs'!$B$6))</f>
        <v>0.4</v>
      </c>
      <c r="Q881" s="17">
        <f>O881*P881</f>
        <v>864000</v>
      </c>
      <c r="R881" s="16">
        <f>'Financial Inputs'!$B$7</f>
        <v>0.35</v>
      </c>
      <c r="S881" s="17">
        <f>Q881*(1-R881)</f>
        <v>561600</v>
      </c>
      <c r="T881" s="18">
        <f>S881/'Financial Inputs'!$B$3</f>
        <v>5.6160000000000003E-3</v>
      </c>
      <c r="U881" s="9" t="s">
        <v>52</v>
      </c>
      <c r="V881" s="3" t="s">
        <v>53</v>
      </c>
    </row>
    <row r="882" spans="1:22">
      <c r="A882" s="2" t="s">
        <v>2861</v>
      </c>
      <c r="B882" s="2" t="s">
        <v>2862</v>
      </c>
      <c r="C882" s="2" t="s">
        <v>2620</v>
      </c>
      <c r="D882" s="2" t="s">
        <v>64</v>
      </c>
      <c r="E882" s="2" t="s">
        <v>81</v>
      </c>
      <c r="F882" s="2" t="s">
        <v>74</v>
      </c>
      <c r="G882" s="2" t="s">
        <v>67</v>
      </c>
      <c r="H882" s="2" t="s">
        <v>46</v>
      </c>
      <c r="I882" s="2" t="s">
        <v>47</v>
      </c>
      <c r="J882" s="2" t="s">
        <v>2621</v>
      </c>
      <c r="K882" s="2" t="s">
        <v>2863</v>
      </c>
      <c r="L882" s="2" t="s">
        <v>418</v>
      </c>
      <c r="M882" s="2" t="s">
        <v>2623</v>
      </c>
      <c r="N882" s="16">
        <v>1.44E-2</v>
      </c>
      <c r="O882" s="17">
        <f>N882*'Financial Inputs'!$B$3</f>
        <v>1440000</v>
      </c>
      <c r="P882" s="18">
        <f>IF(I882="L",'Financial Inputs'!$B$4,IF(I882="M",'Financial Inputs'!$B$5,'Financial Inputs'!$B$6))</f>
        <v>0.4</v>
      </c>
      <c r="Q882" s="17">
        <f>O882*P882</f>
        <v>576000</v>
      </c>
      <c r="R882" s="16">
        <f>'Financial Inputs'!$B$7</f>
        <v>0.35</v>
      </c>
      <c r="S882" s="17">
        <f>Q882*(1-R882)</f>
        <v>374400</v>
      </c>
      <c r="T882" s="18">
        <f>S882/'Financial Inputs'!$B$3</f>
        <v>3.7439999999999999E-3</v>
      </c>
      <c r="U882" s="9" t="s">
        <v>52</v>
      </c>
      <c r="V882" s="3" t="s">
        <v>53</v>
      </c>
    </row>
    <row r="883" spans="1:22">
      <c r="A883" s="2" t="s">
        <v>2864</v>
      </c>
      <c r="B883" s="2" t="s">
        <v>2865</v>
      </c>
      <c r="C883" s="2" t="s">
        <v>2620</v>
      </c>
      <c r="D883" s="2" t="s">
        <v>72</v>
      </c>
      <c r="E883" s="2" t="s">
        <v>193</v>
      </c>
      <c r="F883" s="2" t="s">
        <v>82</v>
      </c>
      <c r="G883" s="2" t="s">
        <v>75</v>
      </c>
      <c r="H883" s="2" t="s">
        <v>46</v>
      </c>
      <c r="I883" s="2" t="s">
        <v>47</v>
      </c>
      <c r="J883" s="2" t="s">
        <v>2621</v>
      </c>
      <c r="K883" s="2" t="s">
        <v>2866</v>
      </c>
      <c r="L883" s="2" t="s">
        <v>422</v>
      </c>
      <c r="M883" s="2" t="s">
        <v>2623</v>
      </c>
      <c r="N883" s="16">
        <v>1.6199999999999999E-2</v>
      </c>
      <c r="O883" s="17">
        <f>N883*'Financial Inputs'!$B$3</f>
        <v>1620000</v>
      </c>
      <c r="P883" s="18">
        <f>IF(I883="L",'Financial Inputs'!$B$4,IF(I883="M",'Financial Inputs'!$B$5,'Financial Inputs'!$B$6))</f>
        <v>0.4</v>
      </c>
      <c r="Q883" s="17">
        <f>O883*P883</f>
        <v>648000</v>
      </c>
      <c r="R883" s="16">
        <f>'Financial Inputs'!$B$7</f>
        <v>0.35</v>
      </c>
      <c r="S883" s="17">
        <f>Q883*(1-R883)</f>
        <v>421200</v>
      </c>
      <c r="T883" s="18">
        <f>S883/'Financial Inputs'!$B$3</f>
        <v>4.2119999999999996E-3</v>
      </c>
      <c r="U883" s="9" t="s">
        <v>52</v>
      </c>
      <c r="V883" s="3" t="s">
        <v>53</v>
      </c>
    </row>
    <row r="884" spans="1:22">
      <c r="A884" s="2" t="s">
        <v>2867</v>
      </c>
      <c r="B884" s="2" t="s">
        <v>2868</v>
      </c>
      <c r="C884" s="2" t="s">
        <v>2620</v>
      </c>
      <c r="D884" s="2" t="s">
        <v>80</v>
      </c>
      <c r="E884" s="2" t="s">
        <v>198</v>
      </c>
      <c r="F884" s="2" t="s">
        <v>44</v>
      </c>
      <c r="G884" s="2" t="s">
        <v>83</v>
      </c>
      <c r="H884" s="2" t="s">
        <v>46</v>
      </c>
      <c r="I884" s="2" t="s">
        <v>47</v>
      </c>
      <c r="J884" s="2" t="s">
        <v>2621</v>
      </c>
      <c r="K884" s="2" t="s">
        <v>2869</v>
      </c>
      <c r="L884" s="2" t="s">
        <v>426</v>
      </c>
      <c r="M884" s="2" t="s">
        <v>2623</v>
      </c>
      <c r="N884" s="16">
        <v>1.7999999999999999E-2</v>
      </c>
      <c r="O884" s="17">
        <f>N884*'Financial Inputs'!$B$3</f>
        <v>1799999.9999999998</v>
      </c>
      <c r="P884" s="18">
        <f>IF(I884="L",'Financial Inputs'!$B$4,IF(I884="M",'Financial Inputs'!$B$5,'Financial Inputs'!$B$6))</f>
        <v>0.4</v>
      </c>
      <c r="Q884" s="17">
        <f>O884*P884</f>
        <v>720000</v>
      </c>
      <c r="R884" s="16">
        <f>'Financial Inputs'!$B$7</f>
        <v>0.35</v>
      </c>
      <c r="S884" s="17">
        <f>Q884*(1-R884)</f>
        <v>468000</v>
      </c>
      <c r="T884" s="18">
        <f>S884/'Financial Inputs'!$B$3</f>
        <v>4.6800000000000001E-3</v>
      </c>
      <c r="U884" s="9" t="s">
        <v>52</v>
      </c>
      <c r="V884" s="3" t="s">
        <v>53</v>
      </c>
    </row>
    <row r="885" spans="1:22">
      <c r="A885" s="2" t="s">
        <v>2870</v>
      </c>
      <c r="B885" s="2" t="s">
        <v>2871</v>
      </c>
      <c r="C885" s="2" t="s">
        <v>2620</v>
      </c>
      <c r="D885" s="2" t="s">
        <v>127</v>
      </c>
      <c r="E885" s="2" t="s">
        <v>148</v>
      </c>
      <c r="F885" s="2" t="s">
        <v>58</v>
      </c>
      <c r="G885" s="2" t="s">
        <v>111</v>
      </c>
      <c r="H885" s="2" t="s">
        <v>46</v>
      </c>
      <c r="I885" s="2" t="s">
        <v>47</v>
      </c>
      <c r="J885" s="2" t="s">
        <v>2621</v>
      </c>
      <c r="K885" s="2" t="s">
        <v>2872</v>
      </c>
      <c r="L885" s="2" t="s">
        <v>430</v>
      </c>
      <c r="M885" s="2" t="s">
        <v>2623</v>
      </c>
      <c r="N885" s="16">
        <v>1.9800000000000002E-2</v>
      </c>
      <c r="O885" s="17">
        <f>N885*'Financial Inputs'!$B$3</f>
        <v>1980000.0000000002</v>
      </c>
      <c r="P885" s="18">
        <f>IF(I885="L",'Financial Inputs'!$B$4,IF(I885="M",'Financial Inputs'!$B$5,'Financial Inputs'!$B$6))</f>
        <v>0.4</v>
      </c>
      <c r="Q885" s="17">
        <f>O885*P885</f>
        <v>792000.00000000012</v>
      </c>
      <c r="R885" s="16">
        <f>'Financial Inputs'!$B$7</f>
        <v>0.35</v>
      </c>
      <c r="S885" s="17">
        <f>Q885*(1-R885)</f>
        <v>514800.00000000012</v>
      </c>
      <c r="T885" s="18">
        <f>S885/'Financial Inputs'!$B$3</f>
        <v>5.1480000000000015E-3</v>
      </c>
      <c r="U885" s="9" t="s">
        <v>52</v>
      </c>
      <c r="V885" s="3" t="s">
        <v>53</v>
      </c>
    </row>
    <row r="886" spans="1:22">
      <c r="A886" s="2" t="s">
        <v>2873</v>
      </c>
      <c r="B886" s="2" t="s">
        <v>2874</v>
      </c>
      <c r="C886" s="2" t="s">
        <v>2620</v>
      </c>
      <c r="D886" s="2" t="s">
        <v>133</v>
      </c>
      <c r="E886" s="2" t="s">
        <v>153</v>
      </c>
      <c r="F886" s="2" t="s">
        <v>66</v>
      </c>
      <c r="G886" s="2" t="s">
        <v>56</v>
      </c>
      <c r="H886" s="2" t="s">
        <v>46</v>
      </c>
      <c r="I886" s="2" t="s">
        <v>47</v>
      </c>
      <c r="J886" s="2" t="s">
        <v>2621</v>
      </c>
      <c r="K886" s="2" t="s">
        <v>2875</v>
      </c>
      <c r="L886" s="2" t="s">
        <v>434</v>
      </c>
      <c r="M886" s="2" t="s">
        <v>2623</v>
      </c>
      <c r="N886" s="16">
        <v>2.1600000000000001E-2</v>
      </c>
      <c r="O886" s="17">
        <f>N886*'Financial Inputs'!$B$3</f>
        <v>2160000</v>
      </c>
      <c r="P886" s="18">
        <f>IF(I886="L",'Financial Inputs'!$B$4,IF(I886="M",'Financial Inputs'!$B$5,'Financial Inputs'!$B$6))</f>
        <v>0.4</v>
      </c>
      <c r="Q886" s="17">
        <f>O886*P886</f>
        <v>864000</v>
      </c>
      <c r="R886" s="16">
        <f>'Financial Inputs'!$B$7</f>
        <v>0.35</v>
      </c>
      <c r="S886" s="17">
        <f>Q886*(1-R886)</f>
        <v>561600</v>
      </c>
      <c r="T886" s="18">
        <f>S886/'Financial Inputs'!$B$3</f>
        <v>5.6160000000000003E-3</v>
      </c>
      <c r="U886" s="9" t="s">
        <v>52</v>
      </c>
      <c r="V886" s="3" t="s">
        <v>53</v>
      </c>
    </row>
    <row r="887" spans="1:22">
      <c r="A887" s="2" t="s">
        <v>2876</v>
      </c>
      <c r="B887" s="2" t="s">
        <v>2877</v>
      </c>
      <c r="C887" s="2" t="s">
        <v>2620</v>
      </c>
      <c r="D887" s="2" t="s">
        <v>102</v>
      </c>
      <c r="E887" s="2" t="s">
        <v>116</v>
      </c>
      <c r="F887" s="2" t="s">
        <v>110</v>
      </c>
      <c r="G887" s="2" t="s">
        <v>83</v>
      </c>
      <c r="H887" s="2" t="s">
        <v>46</v>
      </c>
      <c r="I887" s="2" t="s">
        <v>47</v>
      </c>
      <c r="J887" s="2" t="s">
        <v>2621</v>
      </c>
      <c r="K887" s="2" t="s">
        <v>2878</v>
      </c>
      <c r="L887" s="2" t="s">
        <v>438</v>
      </c>
      <c r="M887" s="2" t="s">
        <v>2623</v>
      </c>
      <c r="N887" s="16">
        <v>1.44E-2</v>
      </c>
      <c r="O887" s="17">
        <f>N887*'Financial Inputs'!$B$3</f>
        <v>1440000</v>
      </c>
      <c r="P887" s="18">
        <f>IF(I887="L",'Financial Inputs'!$B$4,IF(I887="M",'Financial Inputs'!$B$5,'Financial Inputs'!$B$6))</f>
        <v>0.4</v>
      </c>
      <c r="Q887" s="17">
        <f>O887*P887</f>
        <v>576000</v>
      </c>
      <c r="R887" s="16">
        <f>'Financial Inputs'!$B$7</f>
        <v>0.35</v>
      </c>
      <c r="S887" s="17">
        <f>Q887*(1-R887)</f>
        <v>374400</v>
      </c>
      <c r="T887" s="18">
        <f>S887/'Financial Inputs'!$B$3</f>
        <v>3.7439999999999999E-3</v>
      </c>
      <c r="U887" s="9" t="s">
        <v>52</v>
      </c>
      <c r="V887" s="3" t="s">
        <v>53</v>
      </c>
    </row>
    <row r="888" spans="1:22">
      <c r="A888" s="2" t="s">
        <v>2879</v>
      </c>
      <c r="B888" s="2" t="s">
        <v>2880</v>
      </c>
      <c r="C888" s="2" t="s">
        <v>2620</v>
      </c>
      <c r="D888" s="2" t="s">
        <v>42</v>
      </c>
      <c r="E888" s="2" t="s">
        <v>215</v>
      </c>
      <c r="F888" s="2" t="s">
        <v>117</v>
      </c>
      <c r="G888" s="2" t="s">
        <v>111</v>
      </c>
      <c r="H888" s="2" t="s">
        <v>46</v>
      </c>
      <c r="I888" s="2" t="s">
        <v>47</v>
      </c>
      <c r="J888" s="2" t="s">
        <v>2621</v>
      </c>
      <c r="K888" s="2" t="s">
        <v>2881</v>
      </c>
      <c r="L888" s="2" t="s">
        <v>442</v>
      </c>
      <c r="M888" s="2" t="s">
        <v>2623</v>
      </c>
      <c r="N888" s="16">
        <v>1.6199999999999999E-2</v>
      </c>
      <c r="O888" s="17">
        <f>N888*'Financial Inputs'!$B$3</f>
        <v>1620000</v>
      </c>
      <c r="P888" s="18">
        <f>IF(I888="L",'Financial Inputs'!$B$4,IF(I888="M",'Financial Inputs'!$B$5,'Financial Inputs'!$B$6))</f>
        <v>0.4</v>
      </c>
      <c r="Q888" s="17">
        <f>O888*P888</f>
        <v>648000</v>
      </c>
      <c r="R888" s="16">
        <f>'Financial Inputs'!$B$7</f>
        <v>0.35</v>
      </c>
      <c r="S888" s="17">
        <f>Q888*(1-R888)</f>
        <v>421200</v>
      </c>
      <c r="T888" s="18">
        <f>S888/'Financial Inputs'!$B$3</f>
        <v>4.2119999999999996E-3</v>
      </c>
      <c r="U888" s="9" t="s">
        <v>52</v>
      </c>
      <c r="V888" s="3" t="s">
        <v>53</v>
      </c>
    </row>
    <row r="889" spans="1:22">
      <c r="A889" s="2" t="s">
        <v>2882</v>
      </c>
      <c r="B889" s="2" t="s">
        <v>2883</v>
      </c>
      <c r="C889" s="2" t="s">
        <v>2620</v>
      </c>
      <c r="D889" s="2" t="s">
        <v>56</v>
      </c>
      <c r="E889" s="2" t="s">
        <v>220</v>
      </c>
      <c r="F889" s="2" t="s">
        <v>90</v>
      </c>
      <c r="G889" s="2" t="s">
        <v>56</v>
      </c>
      <c r="H889" s="2" t="s">
        <v>46</v>
      </c>
      <c r="I889" s="2" t="s">
        <v>47</v>
      </c>
      <c r="J889" s="2" t="s">
        <v>2621</v>
      </c>
      <c r="K889" s="2" t="s">
        <v>2884</v>
      </c>
      <c r="L889" s="2" t="s">
        <v>446</v>
      </c>
      <c r="M889" s="2" t="s">
        <v>2623</v>
      </c>
      <c r="N889" s="16">
        <v>1.7999999999999999E-2</v>
      </c>
      <c r="O889" s="17">
        <f>N889*'Financial Inputs'!$B$3</f>
        <v>1799999.9999999998</v>
      </c>
      <c r="P889" s="18">
        <f>IF(I889="L",'Financial Inputs'!$B$4,IF(I889="M",'Financial Inputs'!$B$5,'Financial Inputs'!$B$6))</f>
        <v>0.4</v>
      </c>
      <c r="Q889" s="17">
        <f>O889*P889</f>
        <v>720000</v>
      </c>
      <c r="R889" s="16">
        <f>'Financial Inputs'!$B$7</f>
        <v>0.35</v>
      </c>
      <c r="S889" s="17">
        <f>Q889*(1-R889)</f>
        <v>468000</v>
      </c>
      <c r="T889" s="18">
        <f>S889/'Financial Inputs'!$B$3</f>
        <v>4.6800000000000001E-3</v>
      </c>
      <c r="U889" s="9" t="s">
        <v>52</v>
      </c>
      <c r="V889" s="3" t="s">
        <v>53</v>
      </c>
    </row>
    <row r="890" spans="1:22">
      <c r="A890" s="2" t="s">
        <v>2885</v>
      </c>
      <c r="B890" s="2" t="s">
        <v>2886</v>
      </c>
      <c r="C890" s="2" t="s">
        <v>2620</v>
      </c>
      <c r="D890" s="2" t="s">
        <v>64</v>
      </c>
      <c r="E890" s="2" t="s">
        <v>171</v>
      </c>
      <c r="F890" s="2" t="s">
        <v>97</v>
      </c>
      <c r="G890" s="2" t="s">
        <v>138</v>
      </c>
      <c r="H890" s="2" t="s">
        <v>46</v>
      </c>
      <c r="I890" s="2" t="s">
        <v>47</v>
      </c>
      <c r="J890" s="2" t="s">
        <v>2621</v>
      </c>
      <c r="K890" s="2" t="s">
        <v>2887</v>
      </c>
      <c r="L890" s="2" t="s">
        <v>450</v>
      </c>
      <c r="M890" s="2" t="s">
        <v>2623</v>
      </c>
      <c r="N890" s="16">
        <v>1.9800000000000002E-2</v>
      </c>
      <c r="O890" s="17">
        <f>N890*'Financial Inputs'!$B$3</f>
        <v>1980000.0000000002</v>
      </c>
      <c r="P890" s="18">
        <f>IF(I890="L",'Financial Inputs'!$B$4,IF(I890="M",'Financial Inputs'!$B$5,'Financial Inputs'!$B$6))</f>
        <v>0.4</v>
      </c>
      <c r="Q890" s="17">
        <f>O890*P890</f>
        <v>792000.00000000012</v>
      </c>
      <c r="R890" s="16">
        <f>'Financial Inputs'!$B$7</f>
        <v>0.35</v>
      </c>
      <c r="S890" s="17">
        <f>Q890*(1-R890)</f>
        <v>514800.00000000012</v>
      </c>
      <c r="T890" s="18">
        <f>S890/'Financial Inputs'!$B$3</f>
        <v>5.1480000000000015E-3</v>
      </c>
      <c r="U890" s="9" t="s">
        <v>52</v>
      </c>
      <c r="V890" s="3" t="s">
        <v>53</v>
      </c>
    </row>
    <row r="891" spans="1:22">
      <c r="A891" s="2" t="s">
        <v>2888</v>
      </c>
      <c r="B891" s="2" t="s">
        <v>2889</v>
      </c>
      <c r="C891" s="2" t="s">
        <v>2620</v>
      </c>
      <c r="D891" s="2" t="s">
        <v>72</v>
      </c>
      <c r="E891" s="2" t="s">
        <v>176</v>
      </c>
      <c r="F891" s="2" t="s">
        <v>104</v>
      </c>
      <c r="G891" s="2" t="s">
        <v>143</v>
      </c>
      <c r="H891" s="2" t="s">
        <v>46</v>
      </c>
      <c r="I891" s="2" t="s">
        <v>47</v>
      </c>
      <c r="J891" s="2" t="s">
        <v>2621</v>
      </c>
      <c r="K891" s="2" t="s">
        <v>2890</v>
      </c>
      <c r="L891" s="2" t="s">
        <v>454</v>
      </c>
      <c r="M891" s="2" t="s">
        <v>2623</v>
      </c>
      <c r="N891" s="16">
        <v>2.1600000000000001E-2</v>
      </c>
      <c r="O891" s="17">
        <f>N891*'Financial Inputs'!$B$3</f>
        <v>2160000</v>
      </c>
      <c r="P891" s="18">
        <f>IF(I891="L",'Financial Inputs'!$B$4,IF(I891="M",'Financial Inputs'!$B$5,'Financial Inputs'!$B$6))</f>
        <v>0.4</v>
      </c>
      <c r="Q891" s="17">
        <f>O891*P891</f>
        <v>864000</v>
      </c>
      <c r="R891" s="16">
        <f>'Financial Inputs'!$B$7</f>
        <v>0.35</v>
      </c>
      <c r="S891" s="17">
        <f>Q891*(1-R891)</f>
        <v>561600</v>
      </c>
      <c r="T891" s="18">
        <f>S891/'Financial Inputs'!$B$3</f>
        <v>5.6160000000000003E-3</v>
      </c>
      <c r="U891" s="9" t="s">
        <v>52</v>
      </c>
      <c r="V891" s="3" t="s">
        <v>53</v>
      </c>
    </row>
    <row r="892" spans="1:22">
      <c r="A892" s="2" t="s">
        <v>2891</v>
      </c>
      <c r="B892" s="2" t="s">
        <v>2892</v>
      </c>
      <c r="C892" s="2" t="s">
        <v>2620</v>
      </c>
      <c r="D892" s="2" t="s">
        <v>133</v>
      </c>
      <c r="E892" s="2" t="s">
        <v>65</v>
      </c>
      <c r="F892" s="2" t="s">
        <v>82</v>
      </c>
      <c r="G892" s="2" t="s">
        <v>56</v>
      </c>
      <c r="H892" s="2" t="s">
        <v>46</v>
      </c>
      <c r="I892" s="2" t="s">
        <v>47</v>
      </c>
      <c r="J892" s="2" t="s">
        <v>2621</v>
      </c>
      <c r="K892" s="2" t="s">
        <v>2893</v>
      </c>
      <c r="L892" s="2" t="s">
        <v>458</v>
      </c>
      <c r="M892" s="2" t="s">
        <v>2623</v>
      </c>
      <c r="N892" s="16">
        <v>1.44E-2</v>
      </c>
      <c r="O892" s="17">
        <f>N892*'Financial Inputs'!$B$3</f>
        <v>1440000</v>
      </c>
      <c r="P892" s="18">
        <f>IF(I892="L",'Financial Inputs'!$B$4,IF(I892="M",'Financial Inputs'!$B$5,'Financial Inputs'!$B$6))</f>
        <v>0.4</v>
      </c>
      <c r="Q892" s="17">
        <f>O892*P892</f>
        <v>576000</v>
      </c>
      <c r="R892" s="16">
        <f>'Financial Inputs'!$B$7</f>
        <v>0.35</v>
      </c>
      <c r="S892" s="17">
        <f>Q892*(1-R892)</f>
        <v>374400</v>
      </c>
      <c r="T892" s="18">
        <f>S892/'Financial Inputs'!$B$3</f>
        <v>3.7439999999999999E-3</v>
      </c>
      <c r="U892" s="9" t="s">
        <v>52</v>
      </c>
      <c r="V892" s="3" t="s">
        <v>53</v>
      </c>
    </row>
    <row r="893" spans="1:22">
      <c r="A893" s="2" t="s">
        <v>2894</v>
      </c>
      <c r="B893" s="2" t="s">
        <v>2895</v>
      </c>
      <c r="C893" s="2" t="s">
        <v>2620</v>
      </c>
      <c r="D893" s="2" t="s">
        <v>88</v>
      </c>
      <c r="E893" s="2" t="s">
        <v>73</v>
      </c>
      <c r="F893" s="2" t="s">
        <v>44</v>
      </c>
      <c r="G893" s="2" t="s">
        <v>138</v>
      </c>
      <c r="H893" s="2" t="s">
        <v>46</v>
      </c>
      <c r="I893" s="2" t="s">
        <v>47</v>
      </c>
      <c r="J893" s="2" t="s">
        <v>2621</v>
      </c>
      <c r="K893" s="2" t="s">
        <v>2896</v>
      </c>
      <c r="L893" s="2" t="s">
        <v>462</v>
      </c>
      <c r="M893" s="2" t="s">
        <v>2623</v>
      </c>
      <c r="N893" s="16">
        <v>1.6199999999999999E-2</v>
      </c>
      <c r="O893" s="17">
        <f>N893*'Financial Inputs'!$B$3</f>
        <v>1620000</v>
      </c>
      <c r="P893" s="18">
        <f>IF(I893="L",'Financial Inputs'!$B$4,IF(I893="M",'Financial Inputs'!$B$5,'Financial Inputs'!$B$6))</f>
        <v>0.4</v>
      </c>
      <c r="Q893" s="17">
        <f>O893*P893</f>
        <v>648000</v>
      </c>
      <c r="R893" s="16">
        <f>'Financial Inputs'!$B$7</f>
        <v>0.35</v>
      </c>
      <c r="S893" s="17">
        <f>Q893*(1-R893)</f>
        <v>421200</v>
      </c>
      <c r="T893" s="18">
        <f>S893/'Financial Inputs'!$B$3</f>
        <v>4.2119999999999996E-3</v>
      </c>
      <c r="U893" s="9" t="s">
        <v>52</v>
      </c>
      <c r="V893" s="3" t="s">
        <v>53</v>
      </c>
    </row>
    <row r="894" spans="1:22">
      <c r="A894" s="2" t="s">
        <v>2897</v>
      </c>
      <c r="B894" s="2" t="s">
        <v>2898</v>
      </c>
      <c r="C894" s="2" t="s">
        <v>2620</v>
      </c>
      <c r="D894" s="2" t="s">
        <v>95</v>
      </c>
      <c r="E894" s="2" t="s">
        <v>81</v>
      </c>
      <c r="F894" s="2" t="s">
        <v>58</v>
      </c>
      <c r="G894" s="2" t="s">
        <v>143</v>
      </c>
      <c r="H894" s="2" t="s">
        <v>46</v>
      </c>
      <c r="I894" s="2" t="s">
        <v>47</v>
      </c>
      <c r="J894" s="2" t="s">
        <v>2621</v>
      </c>
      <c r="K894" s="2" t="s">
        <v>2899</v>
      </c>
      <c r="L894" s="2" t="s">
        <v>466</v>
      </c>
      <c r="M894" s="2" t="s">
        <v>2623</v>
      </c>
      <c r="N894" s="16">
        <v>1.7999999999999999E-2</v>
      </c>
      <c r="O894" s="17">
        <f>N894*'Financial Inputs'!$B$3</f>
        <v>1799999.9999999998</v>
      </c>
      <c r="P894" s="18">
        <f>IF(I894="L",'Financial Inputs'!$B$4,IF(I894="M",'Financial Inputs'!$B$5,'Financial Inputs'!$B$6))</f>
        <v>0.4</v>
      </c>
      <c r="Q894" s="17">
        <f>O894*P894</f>
        <v>720000</v>
      </c>
      <c r="R894" s="16">
        <f>'Financial Inputs'!$B$7</f>
        <v>0.35</v>
      </c>
      <c r="S894" s="17">
        <f>Q894*(1-R894)</f>
        <v>468000</v>
      </c>
      <c r="T894" s="18">
        <f>S894/'Financial Inputs'!$B$3</f>
        <v>4.6800000000000001E-3</v>
      </c>
      <c r="U894" s="9" t="s">
        <v>52</v>
      </c>
      <c r="V894" s="3" t="s">
        <v>53</v>
      </c>
    </row>
    <row r="895" spans="1:22">
      <c r="A895" s="2" t="s">
        <v>2900</v>
      </c>
      <c r="B895" s="2" t="s">
        <v>2901</v>
      </c>
      <c r="C895" s="2" t="s">
        <v>2620</v>
      </c>
      <c r="D895" s="2" t="s">
        <v>102</v>
      </c>
      <c r="E895" s="2" t="s">
        <v>193</v>
      </c>
      <c r="F895" s="2" t="s">
        <v>66</v>
      </c>
      <c r="G895" s="2" t="s">
        <v>162</v>
      </c>
      <c r="H895" s="2" t="s">
        <v>46</v>
      </c>
      <c r="I895" s="2" t="s">
        <v>47</v>
      </c>
      <c r="J895" s="2" t="s">
        <v>2621</v>
      </c>
      <c r="K895" s="2" t="s">
        <v>2902</v>
      </c>
      <c r="L895" s="2" t="s">
        <v>470</v>
      </c>
      <c r="M895" s="2" t="s">
        <v>2623</v>
      </c>
      <c r="N895" s="16">
        <v>1.9800000000000002E-2</v>
      </c>
      <c r="O895" s="17">
        <f>N895*'Financial Inputs'!$B$3</f>
        <v>1980000.0000000002</v>
      </c>
      <c r="P895" s="18">
        <f>IF(I895="L",'Financial Inputs'!$B$4,IF(I895="M",'Financial Inputs'!$B$5,'Financial Inputs'!$B$6))</f>
        <v>0.4</v>
      </c>
      <c r="Q895" s="17">
        <f>O895*P895</f>
        <v>792000.00000000012</v>
      </c>
      <c r="R895" s="16">
        <f>'Financial Inputs'!$B$7</f>
        <v>0.35</v>
      </c>
      <c r="S895" s="17">
        <f>Q895*(1-R895)</f>
        <v>514800.00000000012</v>
      </c>
      <c r="T895" s="18">
        <f>S895/'Financial Inputs'!$B$3</f>
        <v>5.1480000000000015E-3</v>
      </c>
      <c r="U895" s="9" t="s">
        <v>52</v>
      </c>
      <c r="V895" s="3" t="s">
        <v>53</v>
      </c>
    </row>
    <row r="896" spans="1:22">
      <c r="A896" s="2" t="s">
        <v>2903</v>
      </c>
      <c r="B896" s="2" t="s">
        <v>2904</v>
      </c>
      <c r="C896" s="2" t="s">
        <v>2620</v>
      </c>
      <c r="D896" s="2" t="s">
        <v>42</v>
      </c>
      <c r="E896" s="2" t="s">
        <v>198</v>
      </c>
      <c r="F896" s="2" t="s">
        <v>74</v>
      </c>
      <c r="G896" s="2" t="s">
        <v>45</v>
      </c>
      <c r="H896" s="2" t="s">
        <v>46</v>
      </c>
      <c r="I896" s="2" t="s">
        <v>47</v>
      </c>
      <c r="J896" s="2" t="s">
        <v>2621</v>
      </c>
      <c r="K896" s="2" t="s">
        <v>2905</v>
      </c>
      <c r="L896" s="2" t="s">
        <v>474</v>
      </c>
      <c r="M896" s="2" t="s">
        <v>2623</v>
      </c>
      <c r="N896" s="16">
        <v>2.1600000000000001E-2</v>
      </c>
      <c r="O896" s="17">
        <f>N896*'Financial Inputs'!$B$3</f>
        <v>2160000</v>
      </c>
      <c r="P896" s="18">
        <f>IF(I896="L",'Financial Inputs'!$B$4,IF(I896="M",'Financial Inputs'!$B$5,'Financial Inputs'!$B$6))</f>
        <v>0.4</v>
      </c>
      <c r="Q896" s="17">
        <f>O896*P896</f>
        <v>864000</v>
      </c>
      <c r="R896" s="16">
        <f>'Financial Inputs'!$B$7</f>
        <v>0.35</v>
      </c>
      <c r="S896" s="17">
        <f>Q896*(1-R896)</f>
        <v>561600</v>
      </c>
      <c r="T896" s="18">
        <f>S896/'Financial Inputs'!$B$3</f>
        <v>5.6160000000000003E-3</v>
      </c>
      <c r="U896" s="9" t="s">
        <v>52</v>
      </c>
      <c r="V896" s="3" t="s">
        <v>53</v>
      </c>
    </row>
    <row r="897" spans="1:22">
      <c r="A897" s="2" t="s">
        <v>2906</v>
      </c>
      <c r="B897" s="2" t="s">
        <v>2907</v>
      </c>
      <c r="C897" s="2" t="s">
        <v>2620</v>
      </c>
      <c r="D897" s="2" t="s">
        <v>72</v>
      </c>
      <c r="E897" s="2" t="s">
        <v>103</v>
      </c>
      <c r="F897" s="2" t="s">
        <v>117</v>
      </c>
      <c r="G897" s="2" t="s">
        <v>143</v>
      </c>
      <c r="H897" s="2" t="s">
        <v>46</v>
      </c>
      <c r="I897" s="2" t="s">
        <v>47</v>
      </c>
      <c r="J897" s="2" t="s">
        <v>2621</v>
      </c>
      <c r="K897" s="2" t="s">
        <v>2908</v>
      </c>
      <c r="L897" s="2" t="s">
        <v>478</v>
      </c>
      <c r="M897" s="2" t="s">
        <v>2623</v>
      </c>
      <c r="N897" s="16">
        <v>1.44E-2</v>
      </c>
      <c r="O897" s="17">
        <f>N897*'Financial Inputs'!$B$3</f>
        <v>1440000</v>
      </c>
      <c r="P897" s="18">
        <f>IF(I897="L",'Financial Inputs'!$B$4,IF(I897="M",'Financial Inputs'!$B$5,'Financial Inputs'!$B$6))</f>
        <v>0.4</v>
      </c>
      <c r="Q897" s="17">
        <f>O897*P897</f>
        <v>576000</v>
      </c>
      <c r="R897" s="16">
        <f>'Financial Inputs'!$B$7</f>
        <v>0.35</v>
      </c>
      <c r="S897" s="17">
        <f>Q897*(1-R897)</f>
        <v>374400</v>
      </c>
      <c r="T897" s="18">
        <f>S897/'Financial Inputs'!$B$3</f>
        <v>3.7439999999999999E-3</v>
      </c>
      <c r="U897" s="9" t="s">
        <v>52</v>
      </c>
      <c r="V897" s="3" t="s">
        <v>53</v>
      </c>
    </row>
    <row r="898" spans="1:22">
      <c r="A898" s="2" t="s">
        <v>2909</v>
      </c>
      <c r="B898" s="2" t="s">
        <v>2910</v>
      </c>
      <c r="C898" s="2" t="s">
        <v>2620</v>
      </c>
      <c r="D898" s="2" t="s">
        <v>80</v>
      </c>
      <c r="E898" s="2" t="s">
        <v>109</v>
      </c>
      <c r="F898" s="2" t="s">
        <v>90</v>
      </c>
      <c r="G898" s="2" t="s">
        <v>162</v>
      </c>
      <c r="H898" s="2" t="s">
        <v>46</v>
      </c>
      <c r="I898" s="2" t="s">
        <v>47</v>
      </c>
      <c r="J898" s="2" t="s">
        <v>2621</v>
      </c>
      <c r="K898" s="2" t="s">
        <v>2911</v>
      </c>
      <c r="L898" s="2" t="s">
        <v>482</v>
      </c>
      <c r="M898" s="2" t="s">
        <v>2623</v>
      </c>
      <c r="N898" s="16">
        <v>1.6199999999999999E-2</v>
      </c>
      <c r="O898" s="17">
        <f>N898*'Financial Inputs'!$B$3</f>
        <v>1620000</v>
      </c>
      <c r="P898" s="18">
        <f>IF(I898="L",'Financial Inputs'!$B$4,IF(I898="M",'Financial Inputs'!$B$5,'Financial Inputs'!$B$6))</f>
        <v>0.4</v>
      </c>
      <c r="Q898" s="17">
        <f>O898*P898</f>
        <v>648000</v>
      </c>
      <c r="R898" s="16">
        <f>'Financial Inputs'!$B$7</f>
        <v>0.35</v>
      </c>
      <c r="S898" s="17">
        <f>Q898*(1-R898)</f>
        <v>421200</v>
      </c>
      <c r="T898" s="18">
        <f>S898/'Financial Inputs'!$B$3</f>
        <v>4.2119999999999996E-3</v>
      </c>
      <c r="U898" s="9" t="s">
        <v>52</v>
      </c>
      <c r="V898" s="3" t="s">
        <v>53</v>
      </c>
    </row>
    <row r="899" spans="1:22">
      <c r="A899" s="2" t="s">
        <v>2912</v>
      </c>
      <c r="B899" s="2" t="s">
        <v>2913</v>
      </c>
      <c r="C899" s="2" t="s">
        <v>2620</v>
      </c>
      <c r="D899" s="2" t="s">
        <v>127</v>
      </c>
      <c r="E899" s="2" t="s">
        <v>116</v>
      </c>
      <c r="F899" s="2" t="s">
        <v>97</v>
      </c>
      <c r="G899" s="2" t="s">
        <v>45</v>
      </c>
      <c r="H899" s="2" t="s">
        <v>46</v>
      </c>
      <c r="I899" s="2" t="s">
        <v>47</v>
      </c>
      <c r="J899" s="2" t="s">
        <v>2621</v>
      </c>
      <c r="K899" s="2" t="s">
        <v>2914</v>
      </c>
      <c r="L899" s="2" t="s">
        <v>486</v>
      </c>
      <c r="M899" s="2" t="s">
        <v>2623</v>
      </c>
      <c r="N899" s="16">
        <v>1.7999999999999999E-2</v>
      </c>
      <c r="O899" s="17">
        <f>N899*'Financial Inputs'!$B$3</f>
        <v>1799999.9999999998</v>
      </c>
      <c r="P899" s="18">
        <f>IF(I899="L",'Financial Inputs'!$B$4,IF(I899="M",'Financial Inputs'!$B$5,'Financial Inputs'!$B$6))</f>
        <v>0.4</v>
      </c>
      <c r="Q899" s="17">
        <f>O899*P899</f>
        <v>720000</v>
      </c>
      <c r="R899" s="16">
        <f>'Financial Inputs'!$B$7</f>
        <v>0.35</v>
      </c>
      <c r="S899" s="17">
        <f>Q899*(1-R899)</f>
        <v>468000</v>
      </c>
      <c r="T899" s="18">
        <f>S899/'Financial Inputs'!$B$3</f>
        <v>4.6800000000000001E-3</v>
      </c>
      <c r="U899" s="9" t="s">
        <v>52</v>
      </c>
      <c r="V899" s="3" t="s">
        <v>53</v>
      </c>
    </row>
    <row r="900" spans="1:22">
      <c r="A900" s="2" t="s">
        <v>2915</v>
      </c>
      <c r="B900" s="2" t="s">
        <v>2916</v>
      </c>
      <c r="C900" s="2" t="s">
        <v>2620</v>
      </c>
      <c r="D900" s="2" t="s">
        <v>133</v>
      </c>
      <c r="E900" s="2" t="s">
        <v>215</v>
      </c>
      <c r="F900" s="2" t="s">
        <v>104</v>
      </c>
      <c r="G900" s="2" t="s">
        <v>59</v>
      </c>
      <c r="H900" s="2" t="s">
        <v>46</v>
      </c>
      <c r="I900" s="2" t="s">
        <v>47</v>
      </c>
      <c r="J900" s="2" t="s">
        <v>2621</v>
      </c>
      <c r="K900" s="2" t="s">
        <v>2917</v>
      </c>
      <c r="L900" s="2" t="s">
        <v>490</v>
      </c>
      <c r="M900" s="2" t="s">
        <v>2623</v>
      </c>
      <c r="N900" s="16">
        <v>1.9800000000000002E-2</v>
      </c>
      <c r="O900" s="17">
        <f>N900*'Financial Inputs'!$B$3</f>
        <v>1980000.0000000002</v>
      </c>
      <c r="P900" s="18">
        <f>IF(I900="L",'Financial Inputs'!$B$4,IF(I900="M",'Financial Inputs'!$B$5,'Financial Inputs'!$B$6))</f>
        <v>0.4</v>
      </c>
      <c r="Q900" s="17">
        <f>O900*P900</f>
        <v>792000.00000000012</v>
      </c>
      <c r="R900" s="16">
        <f>'Financial Inputs'!$B$7</f>
        <v>0.35</v>
      </c>
      <c r="S900" s="17">
        <f>Q900*(1-R900)</f>
        <v>514800.00000000012</v>
      </c>
      <c r="T900" s="18">
        <f>S900/'Financial Inputs'!$B$3</f>
        <v>5.1480000000000015E-3</v>
      </c>
      <c r="U900" s="9" t="s">
        <v>52</v>
      </c>
      <c r="V900" s="3" t="s">
        <v>53</v>
      </c>
    </row>
    <row r="901" spans="1:22">
      <c r="A901" s="2" t="s">
        <v>2918</v>
      </c>
      <c r="B901" s="2" t="s">
        <v>2919</v>
      </c>
      <c r="C901" s="2" t="s">
        <v>2620</v>
      </c>
      <c r="D901" s="2" t="s">
        <v>88</v>
      </c>
      <c r="E901" s="2" t="s">
        <v>220</v>
      </c>
      <c r="F901" s="2" t="s">
        <v>110</v>
      </c>
      <c r="G901" s="2" t="s">
        <v>67</v>
      </c>
      <c r="H901" s="2" t="s">
        <v>46</v>
      </c>
      <c r="I901" s="2" t="s">
        <v>47</v>
      </c>
      <c r="J901" s="2" t="s">
        <v>2621</v>
      </c>
      <c r="K901" s="2" t="s">
        <v>2920</v>
      </c>
      <c r="L901" s="2" t="s">
        <v>494</v>
      </c>
      <c r="M901" s="2" t="s">
        <v>2623</v>
      </c>
      <c r="N901" s="16">
        <v>2.1600000000000001E-2</v>
      </c>
      <c r="O901" s="17">
        <f>N901*'Financial Inputs'!$B$3</f>
        <v>2160000</v>
      </c>
      <c r="P901" s="18">
        <f>IF(I901="L",'Financial Inputs'!$B$4,IF(I901="M",'Financial Inputs'!$B$5,'Financial Inputs'!$B$6))</f>
        <v>0.4</v>
      </c>
      <c r="Q901" s="17">
        <f>O901*P901</f>
        <v>864000</v>
      </c>
      <c r="R901" s="16">
        <f>'Financial Inputs'!$B$7</f>
        <v>0.35</v>
      </c>
      <c r="S901" s="17">
        <f>Q901*(1-R901)</f>
        <v>561600</v>
      </c>
      <c r="T901" s="18">
        <f>S901/'Financial Inputs'!$B$3</f>
        <v>5.6160000000000003E-3</v>
      </c>
      <c r="U901" s="9" t="s">
        <v>52</v>
      </c>
      <c r="V901" s="3" t="s">
        <v>53</v>
      </c>
    </row>
    <row r="902" spans="1:22">
      <c r="A902" s="2" t="s">
        <v>2921</v>
      </c>
      <c r="B902" s="2" t="s">
        <v>2922</v>
      </c>
      <c r="C902" s="2" t="s">
        <v>2923</v>
      </c>
      <c r="D902" s="2" t="s">
        <v>42</v>
      </c>
      <c r="E902" s="2" t="s">
        <v>43</v>
      </c>
      <c r="F902" s="2" t="s">
        <v>44</v>
      </c>
      <c r="G902" s="2" t="s">
        <v>45</v>
      </c>
      <c r="H902" s="2" t="s">
        <v>2318</v>
      </c>
      <c r="I902" s="2" t="s">
        <v>499</v>
      </c>
      <c r="J902" s="2" t="s">
        <v>500</v>
      </c>
      <c r="K902" s="2" t="s">
        <v>2924</v>
      </c>
      <c r="L902" s="2" t="s">
        <v>50</v>
      </c>
      <c r="M902" s="2" t="s">
        <v>2925</v>
      </c>
      <c r="N902" s="16">
        <v>0.02</v>
      </c>
      <c r="O902" s="17">
        <f>N902*'Financial Inputs'!$B$3</f>
        <v>2000000</v>
      </c>
      <c r="P902" s="18">
        <f>IF(I902="L",'Financial Inputs'!$B$4,IF(I902="M",'Financial Inputs'!$B$5,'Financial Inputs'!$B$6))</f>
        <v>0.7</v>
      </c>
      <c r="Q902" s="17">
        <f>O902*P902</f>
        <v>1400000</v>
      </c>
      <c r="R902" s="16">
        <f>'Financial Inputs'!$B$7</f>
        <v>0.35</v>
      </c>
      <c r="S902" s="17">
        <f>Q902*(1-R902)</f>
        <v>910000</v>
      </c>
      <c r="T902" s="18">
        <f>S902/'Financial Inputs'!$B$3</f>
        <v>9.1000000000000004E-3</v>
      </c>
      <c r="U902" s="9" t="s">
        <v>52</v>
      </c>
      <c r="V902" s="3" t="s">
        <v>53</v>
      </c>
    </row>
    <row r="903" spans="1:22">
      <c r="A903" s="2" t="s">
        <v>2926</v>
      </c>
      <c r="B903" s="2" t="s">
        <v>2927</v>
      </c>
      <c r="C903" s="2" t="s">
        <v>2923</v>
      </c>
      <c r="D903" s="2" t="s">
        <v>56</v>
      </c>
      <c r="E903" s="2" t="s">
        <v>57</v>
      </c>
      <c r="F903" s="2" t="s">
        <v>58</v>
      </c>
      <c r="G903" s="2" t="s">
        <v>59</v>
      </c>
      <c r="H903" s="2" t="s">
        <v>2318</v>
      </c>
      <c r="I903" s="2" t="s">
        <v>499</v>
      </c>
      <c r="J903" s="2" t="s">
        <v>500</v>
      </c>
      <c r="K903" s="2" t="s">
        <v>2928</v>
      </c>
      <c r="L903" s="2" t="s">
        <v>61</v>
      </c>
      <c r="M903" s="2" t="s">
        <v>2925</v>
      </c>
      <c r="N903" s="16">
        <v>2.2499999999999999E-2</v>
      </c>
      <c r="O903" s="17">
        <f>N903*'Financial Inputs'!$B$3</f>
        <v>2250000</v>
      </c>
      <c r="P903" s="18">
        <f>IF(I903="L",'Financial Inputs'!$B$4,IF(I903="M",'Financial Inputs'!$B$5,'Financial Inputs'!$B$6))</f>
        <v>0.7</v>
      </c>
      <c r="Q903" s="17">
        <f>O903*P903</f>
        <v>1575000</v>
      </c>
      <c r="R903" s="16">
        <f>'Financial Inputs'!$B$7</f>
        <v>0.35</v>
      </c>
      <c r="S903" s="17">
        <f>Q903*(1-R903)</f>
        <v>1023750</v>
      </c>
      <c r="T903" s="18">
        <f>S903/'Financial Inputs'!$B$3</f>
        <v>1.02375E-2</v>
      </c>
      <c r="U903" s="9" t="s">
        <v>52</v>
      </c>
      <c r="V903" s="3" t="s">
        <v>53</v>
      </c>
    </row>
    <row r="904" spans="1:22">
      <c r="A904" s="2" t="s">
        <v>2929</v>
      </c>
      <c r="B904" s="2" t="s">
        <v>2930</v>
      </c>
      <c r="C904" s="2" t="s">
        <v>2923</v>
      </c>
      <c r="D904" s="2" t="s">
        <v>64</v>
      </c>
      <c r="E904" s="2" t="s">
        <v>65</v>
      </c>
      <c r="F904" s="2" t="s">
        <v>66</v>
      </c>
      <c r="G904" s="2" t="s">
        <v>67</v>
      </c>
      <c r="H904" s="2" t="s">
        <v>2318</v>
      </c>
      <c r="I904" s="2" t="s">
        <v>499</v>
      </c>
      <c r="J904" s="2" t="s">
        <v>500</v>
      </c>
      <c r="K904" s="2" t="s">
        <v>2931</v>
      </c>
      <c r="L904" s="2" t="s">
        <v>69</v>
      </c>
      <c r="M904" s="2" t="s">
        <v>2925</v>
      </c>
      <c r="N904" s="16">
        <v>2.5000000000000001E-2</v>
      </c>
      <c r="O904" s="17">
        <f>N904*'Financial Inputs'!$B$3</f>
        <v>2500000</v>
      </c>
      <c r="P904" s="18">
        <f>IF(I904="L",'Financial Inputs'!$B$4,IF(I904="M",'Financial Inputs'!$B$5,'Financial Inputs'!$B$6))</f>
        <v>0.7</v>
      </c>
      <c r="Q904" s="17">
        <f>O904*P904</f>
        <v>1750000</v>
      </c>
      <c r="R904" s="16">
        <f>'Financial Inputs'!$B$7</f>
        <v>0.35</v>
      </c>
      <c r="S904" s="17">
        <f>Q904*(1-R904)</f>
        <v>1137500</v>
      </c>
      <c r="T904" s="18">
        <f>S904/'Financial Inputs'!$B$3</f>
        <v>1.1375E-2</v>
      </c>
      <c r="U904" s="9" t="s">
        <v>52</v>
      </c>
      <c r="V904" s="3" t="s">
        <v>53</v>
      </c>
    </row>
    <row r="905" spans="1:22">
      <c r="A905" s="2" t="s">
        <v>2932</v>
      </c>
      <c r="B905" s="2" t="s">
        <v>2933</v>
      </c>
      <c r="C905" s="2" t="s">
        <v>2923</v>
      </c>
      <c r="D905" s="2" t="s">
        <v>72</v>
      </c>
      <c r="E905" s="2" t="s">
        <v>73</v>
      </c>
      <c r="F905" s="2" t="s">
        <v>74</v>
      </c>
      <c r="G905" s="2" t="s">
        <v>75</v>
      </c>
      <c r="H905" s="2" t="s">
        <v>2318</v>
      </c>
      <c r="I905" s="2" t="s">
        <v>499</v>
      </c>
      <c r="J905" s="2" t="s">
        <v>500</v>
      </c>
      <c r="K905" s="2" t="s">
        <v>2934</v>
      </c>
      <c r="L905" s="2" t="s">
        <v>77</v>
      </c>
      <c r="M905" s="2" t="s">
        <v>2925</v>
      </c>
      <c r="N905" s="16">
        <v>2.75E-2</v>
      </c>
      <c r="O905" s="17">
        <f>N905*'Financial Inputs'!$B$3</f>
        <v>2750000</v>
      </c>
      <c r="P905" s="18">
        <f>IF(I905="L",'Financial Inputs'!$B$4,IF(I905="M",'Financial Inputs'!$B$5,'Financial Inputs'!$B$6))</f>
        <v>0.7</v>
      </c>
      <c r="Q905" s="17">
        <f>O905*P905</f>
        <v>1924999.9999999998</v>
      </c>
      <c r="R905" s="16">
        <f>'Financial Inputs'!$B$7</f>
        <v>0.35</v>
      </c>
      <c r="S905" s="17">
        <f>Q905*(1-R905)</f>
        <v>1251250</v>
      </c>
      <c r="T905" s="18">
        <f>S905/'Financial Inputs'!$B$3</f>
        <v>1.2512499999999999E-2</v>
      </c>
      <c r="U905" s="9" t="s">
        <v>52</v>
      </c>
      <c r="V905" s="3" t="s">
        <v>53</v>
      </c>
    </row>
    <row r="906" spans="1:22">
      <c r="A906" s="2" t="s">
        <v>2935</v>
      </c>
      <c r="B906" s="2" t="s">
        <v>2936</v>
      </c>
      <c r="C906" s="2" t="s">
        <v>2923</v>
      </c>
      <c r="D906" s="2" t="s">
        <v>80</v>
      </c>
      <c r="E906" s="2" t="s">
        <v>81</v>
      </c>
      <c r="F906" s="2" t="s">
        <v>82</v>
      </c>
      <c r="G906" s="2" t="s">
        <v>83</v>
      </c>
      <c r="H906" s="2" t="s">
        <v>2318</v>
      </c>
      <c r="I906" s="2" t="s">
        <v>499</v>
      </c>
      <c r="J906" s="2" t="s">
        <v>500</v>
      </c>
      <c r="K906" s="2" t="s">
        <v>2937</v>
      </c>
      <c r="L906" s="2" t="s">
        <v>85</v>
      </c>
      <c r="M906" s="2" t="s">
        <v>2925</v>
      </c>
      <c r="N906" s="16">
        <v>3.0000000000000009E-2</v>
      </c>
      <c r="O906" s="17">
        <f>N906*'Financial Inputs'!$B$3</f>
        <v>3000000.0000000009</v>
      </c>
      <c r="P906" s="18">
        <f>IF(I906="L",'Financial Inputs'!$B$4,IF(I906="M",'Financial Inputs'!$B$5,'Financial Inputs'!$B$6))</f>
        <v>0.7</v>
      </c>
      <c r="Q906" s="17">
        <f>O906*P906</f>
        <v>2100000.0000000005</v>
      </c>
      <c r="R906" s="16">
        <f>'Financial Inputs'!$B$7</f>
        <v>0.35</v>
      </c>
      <c r="S906" s="17">
        <f>Q906*(1-R906)</f>
        <v>1365000.0000000005</v>
      </c>
      <c r="T906" s="18">
        <f>S906/'Financial Inputs'!$B$3</f>
        <v>1.3650000000000004E-2</v>
      </c>
      <c r="U906" s="9" t="s">
        <v>52</v>
      </c>
      <c r="V906" s="3" t="s">
        <v>53</v>
      </c>
    </row>
    <row r="907" spans="1:22">
      <c r="A907" s="2" t="s">
        <v>2938</v>
      </c>
      <c r="B907" s="2" t="s">
        <v>2939</v>
      </c>
      <c r="C907" s="2" t="s">
        <v>2923</v>
      </c>
      <c r="D907" s="2" t="s">
        <v>88</v>
      </c>
      <c r="E907" s="2" t="s">
        <v>89</v>
      </c>
      <c r="F907" s="2" t="s">
        <v>90</v>
      </c>
      <c r="G907" s="2" t="s">
        <v>67</v>
      </c>
      <c r="H907" s="2" t="s">
        <v>2318</v>
      </c>
      <c r="I907" s="2" t="s">
        <v>499</v>
      </c>
      <c r="J907" s="2" t="s">
        <v>500</v>
      </c>
      <c r="K907" s="2" t="s">
        <v>2940</v>
      </c>
      <c r="L907" s="2" t="s">
        <v>92</v>
      </c>
      <c r="M907" s="2" t="s">
        <v>2925</v>
      </c>
      <c r="N907" s="16">
        <v>0.02</v>
      </c>
      <c r="O907" s="17">
        <f>N907*'Financial Inputs'!$B$3</f>
        <v>2000000</v>
      </c>
      <c r="P907" s="18">
        <f>IF(I907="L",'Financial Inputs'!$B$4,IF(I907="M",'Financial Inputs'!$B$5,'Financial Inputs'!$B$6))</f>
        <v>0.7</v>
      </c>
      <c r="Q907" s="17">
        <f>O907*P907</f>
        <v>1400000</v>
      </c>
      <c r="R907" s="16">
        <f>'Financial Inputs'!$B$7</f>
        <v>0.35</v>
      </c>
      <c r="S907" s="17">
        <f>Q907*(1-R907)</f>
        <v>910000</v>
      </c>
      <c r="T907" s="18">
        <f>S907/'Financial Inputs'!$B$3</f>
        <v>9.1000000000000004E-3</v>
      </c>
      <c r="U907" s="9" t="s">
        <v>52</v>
      </c>
      <c r="V907" s="3" t="s">
        <v>53</v>
      </c>
    </row>
    <row r="908" spans="1:22">
      <c r="A908" s="2" t="s">
        <v>2941</v>
      </c>
      <c r="B908" s="2" t="s">
        <v>2942</v>
      </c>
      <c r="C908" s="2" t="s">
        <v>2923</v>
      </c>
      <c r="D908" s="2" t="s">
        <v>95</v>
      </c>
      <c r="E908" s="2" t="s">
        <v>96</v>
      </c>
      <c r="F908" s="2" t="s">
        <v>97</v>
      </c>
      <c r="G908" s="2" t="s">
        <v>75</v>
      </c>
      <c r="H908" s="2" t="s">
        <v>2318</v>
      </c>
      <c r="I908" s="2" t="s">
        <v>499</v>
      </c>
      <c r="J908" s="2" t="s">
        <v>500</v>
      </c>
      <c r="K908" s="2" t="s">
        <v>2943</v>
      </c>
      <c r="L908" s="2" t="s">
        <v>99</v>
      </c>
      <c r="M908" s="2" t="s">
        <v>2925</v>
      </c>
      <c r="N908" s="16">
        <v>2.2499999999999999E-2</v>
      </c>
      <c r="O908" s="17">
        <f>N908*'Financial Inputs'!$B$3</f>
        <v>2250000</v>
      </c>
      <c r="P908" s="18">
        <f>IF(I908="L",'Financial Inputs'!$B$4,IF(I908="M",'Financial Inputs'!$B$5,'Financial Inputs'!$B$6))</f>
        <v>0.7</v>
      </c>
      <c r="Q908" s="17">
        <f>O908*P908</f>
        <v>1575000</v>
      </c>
      <c r="R908" s="16">
        <f>'Financial Inputs'!$B$7</f>
        <v>0.35</v>
      </c>
      <c r="S908" s="17">
        <f>Q908*(1-R908)</f>
        <v>1023750</v>
      </c>
      <c r="T908" s="18">
        <f>S908/'Financial Inputs'!$B$3</f>
        <v>1.02375E-2</v>
      </c>
      <c r="U908" s="9" t="s">
        <v>52</v>
      </c>
      <c r="V908" s="3" t="s">
        <v>53</v>
      </c>
    </row>
    <row r="909" spans="1:22">
      <c r="A909" s="2" t="s">
        <v>2944</v>
      </c>
      <c r="B909" s="2" t="s">
        <v>2945</v>
      </c>
      <c r="C909" s="2" t="s">
        <v>2923</v>
      </c>
      <c r="D909" s="2" t="s">
        <v>102</v>
      </c>
      <c r="E909" s="2" t="s">
        <v>103</v>
      </c>
      <c r="F909" s="2" t="s">
        <v>104</v>
      </c>
      <c r="G909" s="2" t="s">
        <v>83</v>
      </c>
      <c r="H909" s="2" t="s">
        <v>2318</v>
      </c>
      <c r="I909" s="2" t="s">
        <v>499</v>
      </c>
      <c r="J909" s="2" t="s">
        <v>500</v>
      </c>
      <c r="K909" s="2" t="s">
        <v>2946</v>
      </c>
      <c r="L909" s="2" t="s">
        <v>106</v>
      </c>
      <c r="M909" s="2" t="s">
        <v>2925</v>
      </c>
      <c r="N909" s="16">
        <v>2.5000000000000001E-2</v>
      </c>
      <c r="O909" s="17">
        <f>N909*'Financial Inputs'!$B$3</f>
        <v>2500000</v>
      </c>
      <c r="P909" s="18">
        <f>IF(I909="L",'Financial Inputs'!$B$4,IF(I909="M",'Financial Inputs'!$B$5,'Financial Inputs'!$B$6))</f>
        <v>0.7</v>
      </c>
      <c r="Q909" s="17">
        <f>O909*P909</f>
        <v>1750000</v>
      </c>
      <c r="R909" s="16">
        <f>'Financial Inputs'!$B$7</f>
        <v>0.35</v>
      </c>
      <c r="S909" s="17">
        <f>Q909*(1-R909)</f>
        <v>1137500</v>
      </c>
      <c r="T909" s="18">
        <f>S909/'Financial Inputs'!$B$3</f>
        <v>1.1375E-2</v>
      </c>
      <c r="U909" s="9" t="s">
        <v>52</v>
      </c>
      <c r="V909" s="3" t="s">
        <v>53</v>
      </c>
    </row>
    <row r="910" spans="1:22">
      <c r="A910" s="2" t="s">
        <v>2947</v>
      </c>
      <c r="B910" s="2" t="s">
        <v>2948</v>
      </c>
      <c r="C910" s="2" t="s">
        <v>2923</v>
      </c>
      <c r="D910" s="2" t="s">
        <v>42</v>
      </c>
      <c r="E910" s="2" t="s">
        <v>109</v>
      </c>
      <c r="F910" s="2" t="s">
        <v>110</v>
      </c>
      <c r="G910" s="2" t="s">
        <v>111</v>
      </c>
      <c r="H910" s="2" t="s">
        <v>2318</v>
      </c>
      <c r="I910" s="2" t="s">
        <v>499</v>
      </c>
      <c r="J910" s="2" t="s">
        <v>500</v>
      </c>
      <c r="K910" s="2" t="s">
        <v>2949</v>
      </c>
      <c r="L910" s="2" t="s">
        <v>113</v>
      </c>
      <c r="M910" s="2" t="s">
        <v>2925</v>
      </c>
      <c r="N910" s="16">
        <v>2.75E-2</v>
      </c>
      <c r="O910" s="17">
        <f>N910*'Financial Inputs'!$B$3</f>
        <v>2750000</v>
      </c>
      <c r="P910" s="18">
        <f>IF(I910="L",'Financial Inputs'!$B$4,IF(I910="M",'Financial Inputs'!$B$5,'Financial Inputs'!$B$6))</f>
        <v>0.7</v>
      </c>
      <c r="Q910" s="17">
        <f>O910*P910</f>
        <v>1924999.9999999998</v>
      </c>
      <c r="R910" s="16">
        <f>'Financial Inputs'!$B$7</f>
        <v>0.35</v>
      </c>
      <c r="S910" s="17">
        <f>Q910*(1-R910)</f>
        <v>1251250</v>
      </c>
      <c r="T910" s="18">
        <f>S910/'Financial Inputs'!$B$3</f>
        <v>1.2512499999999999E-2</v>
      </c>
      <c r="U910" s="9" t="s">
        <v>52</v>
      </c>
      <c r="V910" s="3" t="s">
        <v>53</v>
      </c>
    </row>
    <row r="911" spans="1:22">
      <c r="A911" s="2" t="s">
        <v>2950</v>
      </c>
      <c r="B911" s="2" t="s">
        <v>2951</v>
      </c>
      <c r="C911" s="2" t="s">
        <v>2923</v>
      </c>
      <c r="D911" s="2" t="s">
        <v>56</v>
      </c>
      <c r="E911" s="2" t="s">
        <v>116</v>
      </c>
      <c r="F911" s="2" t="s">
        <v>117</v>
      </c>
      <c r="G911" s="2" t="s">
        <v>56</v>
      </c>
      <c r="H911" s="2" t="s">
        <v>2318</v>
      </c>
      <c r="I911" s="2" t="s">
        <v>499</v>
      </c>
      <c r="J911" s="2" t="s">
        <v>500</v>
      </c>
      <c r="K911" s="2" t="s">
        <v>2952</v>
      </c>
      <c r="L911" s="2" t="s">
        <v>119</v>
      </c>
      <c r="M911" s="2" t="s">
        <v>2925</v>
      </c>
      <c r="N911" s="16">
        <v>3.0000000000000009E-2</v>
      </c>
      <c r="O911" s="17">
        <f>N911*'Financial Inputs'!$B$3</f>
        <v>3000000.0000000009</v>
      </c>
      <c r="P911" s="18">
        <f>IF(I911="L",'Financial Inputs'!$B$4,IF(I911="M",'Financial Inputs'!$B$5,'Financial Inputs'!$B$6))</f>
        <v>0.7</v>
      </c>
      <c r="Q911" s="17">
        <f>O911*P911</f>
        <v>2100000.0000000005</v>
      </c>
      <c r="R911" s="16">
        <f>'Financial Inputs'!$B$7</f>
        <v>0.35</v>
      </c>
      <c r="S911" s="17">
        <f>Q911*(1-R911)</f>
        <v>1365000.0000000005</v>
      </c>
      <c r="T911" s="18">
        <f>S911/'Financial Inputs'!$B$3</f>
        <v>1.3650000000000004E-2</v>
      </c>
      <c r="U911" s="9" t="s">
        <v>52</v>
      </c>
      <c r="V911" s="3" t="s">
        <v>53</v>
      </c>
    </row>
    <row r="912" spans="1:22">
      <c r="A912" s="2" t="s">
        <v>2953</v>
      </c>
      <c r="B912" s="2" t="s">
        <v>2954</v>
      </c>
      <c r="C912" s="2" t="s">
        <v>2923</v>
      </c>
      <c r="D912" s="2" t="s">
        <v>80</v>
      </c>
      <c r="E912" s="2" t="s">
        <v>122</v>
      </c>
      <c r="F912" s="2" t="s">
        <v>58</v>
      </c>
      <c r="G912" s="2" t="s">
        <v>83</v>
      </c>
      <c r="H912" s="2" t="s">
        <v>2318</v>
      </c>
      <c r="I912" s="2" t="s">
        <v>499</v>
      </c>
      <c r="J912" s="2" t="s">
        <v>500</v>
      </c>
      <c r="K912" s="2" t="s">
        <v>2955</v>
      </c>
      <c r="L912" s="2" t="s">
        <v>124</v>
      </c>
      <c r="M912" s="2" t="s">
        <v>2925</v>
      </c>
      <c r="N912" s="16">
        <v>0.02</v>
      </c>
      <c r="O912" s="17">
        <f>N912*'Financial Inputs'!$B$3</f>
        <v>2000000</v>
      </c>
      <c r="P912" s="18">
        <f>IF(I912="L",'Financial Inputs'!$B$4,IF(I912="M",'Financial Inputs'!$B$5,'Financial Inputs'!$B$6))</f>
        <v>0.7</v>
      </c>
      <c r="Q912" s="17">
        <f>O912*P912</f>
        <v>1400000</v>
      </c>
      <c r="R912" s="16">
        <f>'Financial Inputs'!$B$7</f>
        <v>0.35</v>
      </c>
      <c r="S912" s="17">
        <f>Q912*(1-R912)</f>
        <v>910000</v>
      </c>
      <c r="T912" s="18">
        <f>S912/'Financial Inputs'!$B$3</f>
        <v>9.1000000000000004E-3</v>
      </c>
      <c r="U912" s="9" t="s">
        <v>52</v>
      </c>
      <c r="V912" s="3" t="s">
        <v>53</v>
      </c>
    </row>
    <row r="913" spans="1:22">
      <c r="A913" s="2" t="s">
        <v>2956</v>
      </c>
      <c r="B913" s="2" t="s">
        <v>2957</v>
      </c>
      <c r="C913" s="2" t="s">
        <v>2923</v>
      </c>
      <c r="D913" s="2" t="s">
        <v>127</v>
      </c>
      <c r="E913" s="2" t="s">
        <v>128</v>
      </c>
      <c r="F913" s="2" t="s">
        <v>66</v>
      </c>
      <c r="G913" s="2" t="s">
        <v>111</v>
      </c>
      <c r="H913" s="2" t="s">
        <v>2318</v>
      </c>
      <c r="I913" s="2" t="s">
        <v>499</v>
      </c>
      <c r="J913" s="2" t="s">
        <v>500</v>
      </c>
      <c r="K913" s="2" t="s">
        <v>2958</v>
      </c>
      <c r="L913" s="2" t="s">
        <v>130</v>
      </c>
      <c r="M913" s="2" t="s">
        <v>2925</v>
      </c>
      <c r="N913" s="16">
        <v>2.2499999999999999E-2</v>
      </c>
      <c r="O913" s="17">
        <f>N913*'Financial Inputs'!$B$3</f>
        <v>2250000</v>
      </c>
      <c r="P913" s="18">
        <f>IF(I913="L",'Financial Inputs'!$B$4,IF(I913="M",'Financial Inputs'!$B$5,'Financial Inputs'!$B$6))</f>
        <v>0.7</v>
      </c>
      <c r="Q913" s="17">
        <f>O913*P913</f>
        <v>1575000</v>
      </c>
      <c r="R913" s="16">
        <f>'Financial Inputs'!$B$7</f>
        <v>0.35</v>
      </c>
      <c r="S913" s="17">
        <f>Q913*(1-R913)</f>
        <v>1023750</v>
      </c>
      <c r="T913" s="18">
        <f>S913/'Financial Inputs'!$B$3</f>
        <v>1.02375E-2</v>
      </c>
      <c r="U913" s="9" t="s">
        <v>52</v>
      </c>
      <c r="V913" s="3" t="s">
        <v>53</v>
      </c>
    </row>
    <row r="914" spans="1:22">
      <c r="A914" s="2" t="s">
        <v>2959</v>
      </c>
      <c r="B914" s="2" t="s">
        <v>2960</v>
      </c>
      <c r="C914" s="2" t="s">
        <v>2923</v>
      </c>
      <c r="D914" s="2" t="s">
        <v>133</v>
      </c>
      <c r="E914" s="2" t="s">
        <v>43</v>
      </c>
      <c r="F914" s="2" t="s">
        <v>74</v>
      </c>
      <c r="G914" s="2" t="s">
        <v>56</v>
      </c>
      <c r="H914" s="2" t="s">
        <v>2318</v>
      </c>
      <c r="I914" s="2" t="s">
        <v>499</v>
      </c>
      <c r="J914" s="2" t="s">
        <v>500</v>
      </c>
      <c r="K914" s="2" t="s">
        <v>2961</v>
      </c>
      <c r="L914" s="2" t="s">
        <v>135</v>
      </c>
      <c r="M914" s="2" t="s">
        <v>2925</v>
      </c>
      <c r="N914" s="16">
        <v>2.5000000000000001E-2</v>
      </c>
      <c r="O914" s="17">
        <f>N914*'Financial Inputs'!$B$3</f>
        <v>2500000</v>
      </c>
      <c r="P914" s="18">
        <f>IF(I914="L",'Financial Inputs'!$B$4,IF(I914="M",'Financial Inputs'!$B$5,'Financial Inputs'!$B$6))</f>
        <v>0.7</v>
      </c>
      <c r="Q914" s="17">
        <f>O914*P914</f>
        <v>1750000</v>
      </c>
      <c r="R914" s="16">
        <f>'Financial Inputs'!$B$7</f>
        <v>0.35</v>
      </c>
      <c r="S914" s="17">
        <f>Q914*(1-R914)</f>
        <v>1137500</v>
      </c>
      <c r="T914" s="18">
        <f>S914/'Financial Inputs'!$B$3</f>
        <v>1.1375E-2</v>
      </c>
      <c r="U914" s="9" t="s">
        <v>52</v>
      </c>
      <c r="V914" s="3" t="s">
        <v>53</v>
      </c>
    </row>
    <row r="915" spans="1:22">
      <c r="A915" s="2" t="s">
        <v>2962</v>
      </c>
      <c r="B915" s="2" t="s">
        <v>2963</v>
      </c>
      <c r="C915" s="2" t="s">
        <v>2923</v>
      </c>
      <c r="D915" s="2" t="s">
        <v>88</v>
      </c>
      <c r="E915" s="2" t="s">
        <v>57</v>
      </c>
      <c r="F915" s="2" t="s">
        <v>82</v>
      </c>
      <c r="G915" s="2" t="s">
        <v>138</v>
      </c>
      <c r="H915" s="2" t="s">
        <v>2318</v>
      </c>
      <c r="I915" s="2" t="s">
        <v>499</v>
      </c>
      <c r="J915" s="2" t="s">
        <v>500</v>
      </c>
      <c r="K915" s="2" t="s">
        <v>2964</v>
      </c>
      <c r="L915" s="2" t="s">
        <v>140</v>
      </c>
      <c r="M915" s="2" t="s">
        <v>2925</v>
      </c>
      <c r="N915" s="16">
        <v>2.75E-2</v>
      </c>
      <c r="O915" s="17">
        <f>N915*'Financial Inputs'!$B$3</f>
        <v>2750000</v>
      </c>
      <c r="P915" s="18">
        <f>IF(I915="L",'Financial Inputs'!$B$4,IF(I915="M",'Financial Inputs'!$B$5,'Financial Inputs'!$B$6))</f>
        <v>0.7</v>
      </c>
      <c r="Q915" s="17">
        <f>O915*P915</f>
        <v>1924999.9999999998</v>
      </c>
      <c r="R915" s="16">
        <f>'Financial Inputs'!$B$7</f>
        <v>0.35</v>
      </c>
      <c r="S915" s="17">
        <f>Q915*(1-R915)</f>
        <v>1251250</v>
      </c>
      <c r="T915" s="18">
        <f>S915/'Financial Inputs'!$B$3</f>
        <v>1.2512499999999999E-2</v>
      </c>
      <c r="U915" s="9" t="s">
        <v>52</v>
      </c>
      <c r="V915" s="3" t="s">
        <v>53</v>
      </c>
    </row>
    <row r="916" spans="1:22">
      <c r="A916" s="2" t="s">
        <v>2965</v>
      </c>
      <c r="B916" s="2" t="s">
        <v>2966</v>
      </c>
      <c r="C916" s="2" t="s">
        <v>2923</v>
      </c>
      <c r="D916" s="2" t="s">
        <v>95</v>
      </c>
      <c r="E916" s="2" t="s">
        <v>65</v>
      </c>
      <c r="F916" s="2" t="s">
        <v>44</v>
      </c>
      <c r="G916" s="2" t="s">
        <v>143</v>
      </c>
      <c r="H916" s="2" t="s">
        <v>2318</v>
      </c>
      <c r="I916" s="2" t="s">
        <v>499</v>
      </c>
      <c r="J916" s="2" t="s">
        <v>500</v>
      </c>
      <c r="K916" s="2" t="s">
        <v>2967</v>
      </c>
      <c r="L916" s="2" t="s">
        <v>145</v>
      </c>
      <c r="M916" s="2" t="s">
        <v>2925</v>
      </c>
      <c r="N916" s="16">
        <v>3.0000000000000009E-2</v>
      </c>
      <c r="O916" s="17">
        <f>N916*'Financial Inputs'!$B$3</f>
        <v>3000000.0000000009</v>
      </c>
      <c r="P916" s="18">
        <f>IF(I916="L",'Financial Inputs'!$B$4,IF(I916="M",'Financial Inputs'!$B$5,'Financial Inputs'!$B$6))</f>
        <v>0.7</v>
      </c>
      <c r="Q916" s="17">
        <f>O916*P916</f>
        <v>2100000.0000000005</v>
      </c>
      <c r="R916" s="16">
        <f>'Financial Inputs'!$B$7</f>
        <v>0.35</v>
      </c>
      <c r="S916" s="17">
        <f>Q916*(1-R916)</f>
        <v>1365000.0000000005</v>
      </c>
      <c r="T916" s="18">
        <f>S916/'Financial Inputs'!$B$3</f>
        <v>1.3650000000000004E-2</v>
      </c>
      <c r="U916" s="9" t="s">
        <v>52</v>
      </c>
      <c r="V916" s="3" t="s">
        <v>53</v>
      </c>
    </row>
    <row r="917" spans="1:22">
      <c r="A917" s="2" t="s">
        <v>2968</v>
      </c>
      <c r="B917" s="2" t="s">
        <v>2969</v>
      </c>
      <c r="C917" s="2" t="s">
        <v>2923</v>
      </c>
      <c r="D917" s="2" t="s">
        <v>56</v>
      </c>
      <c r="E917" s="2" t="s">
        <v>148</v>
      </c>
      <c r="F917" s="2" t="s">
        <v>97</v>
      </c>
      <c r="G917" s="2" t="s">
        <v>56</v>
      </c>
      <c r="H917" s="2" t="s">
        <v>2318</v>
      </c>
      <c r="I917" s="2" t="s">
        <v>499</v>
      </c>
      <c r="J917" s="2" t="s">
        <v>500</v>
      </c>
      <c r="K917" s="2" t="s">
        <v>2970</v>
      </c>
      <c r="L917" s="2" t="s">
        <v>150</v>
      </c>
      <c r="M917" s="2" t="s">
        <v>2925</v>
      </c>
      <c r="N917" s="16">
        <v>0.02</v>
      </c>
      <c r="O917" s="17">
        <f>N917*'Financial Inputs'!$B$3</f>
        <v>2000000</v>
      </c>
      <c r="P917" s="18">
        <f>IF(I917="L",'Financial Inputs'!$B$4,IF(I917="M",'Financial Inputs'!$B$5,'Financial Inputs'!$B$6))</f>
        <v>0.7</v>
      </c>
      <c r="Q917" s="17">
        <f>O917*P917</f>
        <v>1400000</v>
      </c>
      <c r="R917" s="16">
        <f>'Financial Inputs'!$B$7</f>
        <v>0.35</v>
      </c>
      <c r="S917" s="17">
        <f>Q917*(1-R917)</f>
        <v>910000</v>
      </c>
      <c r="T917" s="18">
        <f>S917/'Financial Inputs'!$B$3</f>
        <v>9.1000000000000004E-3</v>
      </c>
      <c r="U917" s="9" t="s">
        <v>52</v>
      </c>
      <c r="V917" s="3" t="s">
        <v>53</v>
      </c>
    </row>
    <row r="918" spans="1:22">
      <c r="A918" s="2" t="s">
        <v>2971</v>
      </c>
      <c r="B918" s="2" t="s">
        <v>2972</v>
      </c>
      <c r="C918" s="2" t="s">
        <v>2923</v>
      </c>
      <c r="D918" s="2" t="s">
        <v>64</v>
      </c>
      <c r="E918" s="2" t="s">
        <v>153</v>
      </c>
      <c r="F918" s="2" t="s">
        <v>104</v>
      </c>
      <c r="G918" s="2" t="s">
        <v>138</v>
      </c>
      <c r="H918" s="2" t="s">
        <v>2318</v>
      </c>
      <c r="I918" s="2" t="s">
        <v>499</v>
      </c>
      <c r="J918" s="2" t="s">
        <v>500</v>
      </c>
      <c r="K918" s="2" t="s">
        <v>2973</v>
      </c>
      <c r="L918" s="2" t="s">
        <v>155</v>
      </c>
      <c r="M918" s="2" t="s">
        <v>2925</v>
      </c>
      <c r="N918" s="16">
        <v>2.2499999999999999E-2</v>
      </c>
      <c r="O918" s="17">
        <f>N918*'Financial Inputs'!$B$3</f>
        <v>2250000</v>
      </c>
      <c r="P918" s="18">
        <f>IF(I918="L",'Financial Inputs'!$B$4,IF(I918="M",'Financial Inputs'!$B$5,'Financial Inputs'!$B$6))</f>
        <v>0.7</v>
      </c>
      <c r="Q918" s="17">
        <f>O918*P918</f>
        <v>1575000</v>
      </c>
      <c r="R918" s="16">
        <f>'Financial Inputs'!$B$7</f>
        <v>0.35</v>
      </c>
      <c r="S918" s="17">
        <f>Q918*(1-R918)</f>
        <v>1023750</v>
      </c>
      <c r="T918" s="18">
        <f>S918/'Financial Inputs'!$B$3</f>
        <v>1.02375E-2</v>
      </c>
      <c r="U918" s="9" t="s">
        <v>52</v>
      </c>
      <c r="V918" s="3" t="s">
        <v>53</v>
      </c>
    </row>
    <row r="919" spans="1:22">
      <c r="A919" s="2" t="s">
        <v>2974</v>
      </c>
      <c r="B919" s="2" t="s">
        <v>2975</v>
      </c>
      <c r="C919" s="2" t="s">
        <v>2923</v>
      </c>
      <c r="D919" s="2" t="s">
        <v>72</v>
      </c>
      <c r="E919" s="2" t="s">
        <v>89</v>
      </c>
      <c r="F919" s="2" t="s">
        <v>110</v>
      </c>
      <c r="G919" s="2" t="s">
        <v>143</v>
      </c>
      <c r="H919" s="2" t="s">
        <v>2318</v>
      </c>
      <c r="I919" s="2" t="s">
        <v>499</v>
      </c>
      <c r="J919" s="2" t="s">
        <v>500</v>
      </c>
      <c r="K919" s="2" t="s">
        <v>2976</v>
      </c>
      <c r="L919" s="2" t="s">
        <v>159</v>
      </c>
      <c r="M919" s="2" t="s">
        <v>2925</v>
      </c>
      <c r="N919" s="16">
        <v>2.5000000000000001E-2</v>
      </c>
      <c r="O919" s="17">
        <f>N919*'Financial Inputs'!$B$3</f>
        <v>2500000</v>
      </c>
      <c r="P919" s="18">
        <f>IF(I919="L",'Financial Inputs'!$B$4,IF(I919="M",'Financial Inputs'!$B$5,'Financial Inputs'!$B$6))</f>
        <v>0.7</v>
      </c>
      <c r="Q919" s="17">
        <f>O919*P919</f>
        <v>1750000</v>
      </c>
      <c r="R919" s="16">
        <f>'Financial Inputs'!$B$7</f>
        <v>0.35</v>
      </c>
      <c r="S919" s="17">
        <f>Q919*(1-R919)</f>
        <v>1137500</v>
      </c>
      <c r="T919" s="18">
        <f>S919/'Financial Inputs'!$B$3</f>
        <v>1.1375E-2</v>
      </c>
      <c r="U919" s="9" t="s">
        <v>52</v>
      </c>
      <c r="V919" s="3" t="s">
        <v>53</v>
      </c>
    </row>
    <row r="920" spans="1:22">
      <c r="A920" s="2" t="s">
        <v>2977</v>
      </c>
      <c r="B920" s="2" t="s">
        <v>2978</v>
      </c>
      <c r="C920" s="2" t="s">
        <v>2923</v>
      </c>
      <c r="D920" s="2" t="s">
        <v>80</v>
      </c>
      <c r="E920" s="2" t="s">
        <v>96</v>
      </c>
      <c r="F920" s="2" t="s">
        <v>117</v>
      </c>
      <c r="G920" s="2" t="s">
        <v>162</v>
      </c>
      <c r="H920" s="2" t="s">
        <v>2318</v>
      </c>
      <c r="I920" s="2" t="s">
        <v>499</v>
      </c>
      <c r="J920" s="2" t="s">
        <v>500</v>
      </c>
      <c r="K920" s="2" t="s">
        <v>2979</v>
      </c>
      <c r="L920" s="2" t="s">
        <v>164</v>
      </c>
      <c r="M920" s="2" t="s">
        <v>2925</v>
      </c>
      <c r="N920" s="16">
        <v>2.75E-2</v>
      </c>
      <c r="O920" s="17">
        <f>N920*'Financial Inputs'!$B$3</f>
        <v>2750000</v>
      </c>
      <c r="P920" s="18">
        <f>IF(I920="L",'Financial Inputs'!$B$4,IF(I920="M",'Financial Inputs'!$B$5,'Financial Inputs'!$B$6))</f>
        <v>0.7</v>
      </c>
      <c r="Q920" s="17">
        <f>O920*P920</f>
        <v>1924999.9999999998</v>
      </c>
      <c r="R920" s="16">
        <f>'Financial Inputs'!$B$7</f>
        <v>0.35</v>
      </c>
      <c r="S920" s="17">
        <f>Q920*(1-R920)</f>
        <v>1251250</v>
      </c>
      <c r="T920" s="18">
        <f>S920/'Financial Inputs'!$B$3</f>
        <v>1.2512499999999999E-2</v>
      </c>
      <c r="U920" s="9" t="s">
        <v>52</v>
      </c>
      <c r="V920" s="3" t="s">
        <v>53</v>
      </c>
    </row>
    <row r="921" spans="1:22">
      <c r="A921" s="2" t="s">
        <v>2980</v>
      </c>
      <c r="B921" s="2" t="s">
        <v>2981</v>
      </c>
      <c r="C921" s="2" t="s">
        <v>2923</v>
      </c>
      <c r="D921" s="2" t="s">
        <v>127</v>
      </c>
      <c r="E921" s="2" t="s">
        <v>103</v>
      </c>
      <c r="F921" s="2" t="s">
        <v>90</v>
      </c>
      <c r="G921" s="2" t="s">
        <v>45</v>
      </c>
      <c r="H921" s="2" t="s">
        <v>2318</v>
      </c>
      <c r="I921" s="2" t="s">
        <v>499</v>
      </c>
      <c r="J921" s="2" t="s">
        <v>500</v>
      </c>
      <c r="K921" s="2" t="s">
        <v>2982</v>
      </c>
      <c r="L921" s="2" t="s">
        <v>168</v>
      </c>
      <c r="M921" s="2" t="s">
        <v>2925</v>
      </c>
      <c r="N921" s="16">
        <v>3.0000000000000009E-2</v>
      </c>
      <c r="O921" s="17">
        <f>N921*'Financial Inputs'!$B$3</f>
        <v>3000000.0000000009</v>
      </c>
      <c r="P921" s="18">
        <f>IF(I921="L",'Financial Inputs'!$B$4,IF(I921="M",'Financial Inputs'!$B$5,'Financial Inputs'!$B$6))</f>
        <v>0.7</v>
      </c>
      <c r="Q921" s="17">
        <f>O921*P921</f>
        <v>2100000.0000000005</v>
      </c>
      <c r="R921" s="16">
        <f>'Financial Inputs'!$B$7</f>
        <v>0.35</v>
      </c>
      <c r="S921" s="17">
        <f>Q921*(1-R921)</f>
        <v>1365000.0000000005</v>
      </c>
      <c r="T921" s="18">
        <f>S921/'Financial Inputs'!$B$3</f>
        <v>1.3650000000000004E-2</v>
      </c>
      <c r="U921" s="9" t="s">
        <v>52</v>
      </c>
      <c r="V921" s="3" t="s">
        <v>53</v>
      </c>
    </row>
    <row r="922" spans="1:22">
      <c r="A922" s="2" t="s">
        <v>2983</v>
      </c>
      <c r="B922" s="2" t="s">
        <v>2984</v>
      </c>
      <c r="C922" s="2" t="s">
        <v>2923</v>
      </c>
      <c r="D922" s="2" t="s">
        <v>95</v>
      </c>
      <c r="E922" s="2" t="s">
        <v>171</v>
      </c>
      <c r="F922" s="2" t="s">
        <v>66</v>
      </c>
      <c r="G922" s="2" t="s">
        <v>143</v>
      </c>
      <c r="H922" s="2" t="s">
        <v>2318</v>
      </c>
      <c r="I922" s="2" t="s">
        <v>499</v>
      </c>
      <c r="J922" s="2" t="s">
        <v>500</v>
      </c>
      <c r="K922" s="2" t="s">
        <v>2985</v>
      </c>
      <c r="L922" s="2" t="s">
        <v>173</v>
      </c>
      <c r="M922" s="2" t="s">
        <v>2925</v>
      </c>
      <c r="N922" s="16">
        <v>0.02</v>
      </c>
      <c r="O922" s="17">
        <f>N922*'Financial Inputs'!$B$3</f>
        <v>2000000</v>
      </c>
      <c r="P922" s="18">
        <f>IF(I922="L",'Financial Inputs'!$B$4,IF(I922="M",'Financial Inputs'!$B$5,'Financial Inputs'!$B$6))</f>
        <v>0.7</v>
      </c>
      <c r="Q922" s="17">
        <f>O922*P922</f>
        <v>1400000</v>
      </c>
      <c r="R922" s="16">
        <f>'Financial Inputs'!$B$7</f>
        <v>0.35</v>
      </c>
      <c r="S922" s="17">
        <f>Q922*(1-R922)</f>
        <v>910000</v>
      </c>
      <c r="T922" s="18">
        <f>S922/'Financial Inputs'!$B$3</f>
        <v>9.1000000000000004E-3</v>
      </c>
      <c r="U922" s="9" t="s">
        <v>52</v>
      </c>
      <c r="V922" s="3" t="s">
        <v>53</v>
      </c>
    </row>
    <row r="923" spans="1:22">
      <c r="A923" s="2" t="s">
        <v>2986</v>
      </c>
      <c r="B923" s="2" t="s">
        <v>2987</v>
      </c>
      <c r="C923" s="2" t="s">
        <v>2923</v>
      </c>
      <c r="D923" s="2" t="s">
        <v>102</v>
      </c>
      <c r="E923" s="2" t="s">
        <v>176</v>
      </c>
      <c r="F923" s="2" t="s">
        <v>74</v>
      </c>
      <c r="G923" s="2" t="s">
        <v>162</v>
      </c>
      <c r="H923" s="2" t="s">
        <v>2318</v>
      </c>
      <c r="I923" s="2" t="s">
        <v>499</v>
      </c>
      <c r="J923" s="2" t="s">
        <v>500</v>
      </c>
      <c r="K923" s="2" t="s">
        <v>2988</v>
      </c>
      <c r="L923" s="2" t="s">
        <v>178</v>
      </c>
      <c r="M923" s="2" t="s">
        <v>2925</v>
      </c>
      <c r="N923" s="16">
        <v>2.2499999999999999E-2</v>
      </c>
      <c r="O923" s="17">
        <f>N923*'Financial Inputs'!$B$3</f>
        <v>2250000</v>
      </c>
      <c r="P923" s="18">
        <f>IF(I923="L",'Financial Inputs'!$B$4,IF(I923="M",'Financial Inputs'!$B$5,'Financial Inputs'!$B$6))</f>
        <v>0.7</v>
      </c>
      <c r="Q923" s="17">
        <f>O923*P923</f>
        <v>1575000</v>
      </c>
      <c r="R923" s="16">
        <f>'Financial Inputs'!$B$7</f>
        <v>0.35</v>
      </c>
      <c r="S923" s="17">
        <f>Q923*(1-R923)</f>
        <v>1023750</v>
      </c>
      <c r="T923" s="18">
        <f>S923/'Financial Inputs'!$B$3</f>
        <v>1.02375E-2</v>
      </c>
      <c r="U923" s="9" t="s">
        <v>52</v>
      </c>
      <c r="V923" s="3" t="s">
        <v>53</v>
      </c>
    </row>
    <row r="924" spans="1:22">
      <c r="A924" s="2" t="s">
        <v>2989</v>
      </c>
      <c r="B924" s="2" t="s">
        <v>2990</v>
      </c>
      <c r="C924" s="2" t="s">
        <v>2923</v>
      </c>
      <c r="D924" s="2" t="s">
        <v>42</v>
      </c>
      <c r="E924" s="2" t="s">
        <v>122</v>
      </c>
      <c r="F924" s="2" t="s">
        <v>82</v>
      </c>
      <c r="G924" s="2" t="s">
        <v>45</v>
      </c>
      <c r="H924" s="2" t="s">
        <v>2318</v>
      </c>
      <c r="I924" s="2" t="s">
        <v>499</v>
      </c>
      <c r="J924" s="2" t="s">
        <v>500</v>
      </c>
      <c r="K924" s="2" t="s">
        <v>2991</v>
      </c>
      <c r="L924" s="2" t="s">
        <v>182</v>
      </c>
      <c r="M924" s="2" t="s">
        <v>2925</v>
      </c>
      <c r="N924" s="16">
        <v>2.5000000000000001E-2</v>
      </c>
      <c r="O924" s="17">
        <f>N924*'Financial Inputs'!$B$3</f>
        <v>2500000</v>
      </c>
      <c r="P924" s="18">
        <f>IF(I924="L",'Financial Inputs'!$B$4,IF(I924="M",'Financial Inputs'!$B$5,'Financial Inputs'!$B$6))</f>
        <v>0.7</v>
      </c>
      <c r="Q924" s="17">
        <f>O924*P924</f>
        <v>1750000</v>
      </c>
      <c r="R924" s="16">
        <f>'Financial Inputs'!$B$7</f>
        <v>0.35</v>
      </c>
      <c r="S924" s="17">
        <f>Q924*(1-R924)</f>
        <v>1137500</v>
      </c>
      <c r="T924" s="18">
        <f>S924/'Financial Inputs'!$B$3</f>
        <v>1.1375E-2</v>
      </c>
      <c r="U924" s="9" t="s">
        <v>52</v>
      </c>
      <c r="V924" s="3" t="s">
        <v>53</v>
      </c>
    </row>
    <row r="925" spans="1:22">
      <c r="A925" s="2" t="s">
        <v>2992</v>
      </c>
      <c r="B925" s="2" t="s">
        <v>2993</v>
      </c>
      <c r="C925" s="2" t="s">
        <v>2923</v>
      </c>
      <c r="D925" s="2" t="s">
        <v>56</v>
      </c>
      <c r="E925" s="2" t="s">
        <v>128</v>
      </c>
      <c r="F925" s="2" t="s">
        <v>44</v>
      </c>
      <c r="G925" s="2" t="s">
        <v>59</v>
      </c>
      <c r="H925" s="2" t="s">
        <v>2318</v>
      </c>
      <c r="I925" s="2" t="s">
        <v>499</v>
      </c>
      <c r="J925" s="2" t="s">
        <v>500</v>
      </c>
      <c r="K925" s="2" t="s">
        <v>2994</v>
      </c>
      <c r="L925" s="2" t="s">
        <v>186</v>
      </c>
      <c r="M925" s="2" t="s">
        <v>2925</v>
      </c>
      <c r="N925" s="16">
        <v>2.75E-2</v>
      </c>
      <c r="O925" s="17">
        <f>N925*'Financial Inputs'!$B$3</f>
        <v>2750000</v>
      </c>
      <c r="P925" s="18">
        <f>IF(I925="L",'Financial Inputs'!$B$4,IF(I925="M",'Financial Inputs'!$B$5,'Financial Inputs'!$B$6))</f>
        <v>0.7</v>
      </c>
      <c r="Q925" s="17">
        <f>O925*P925</f>
        <v>1924999.9999999998</v>
      </c>
      <c r="R925" s="16">
        <f>'Financial Inputs'!$B$7</f>
        <v>0.35</v>
      </c>
      <c r="S925" s="17">
        <f>Q925*(1-R925)</f>
        <v>1251250</v>
      </c>
      <c r="T925" s="18">
        <f>S925/'Financial Inputs'!$B$3</f>
        <v>1.2512499999999999E-2</v>
      </c>
      <c r="U925" s="9" t="s">
        <v>52</v>
      </c>
      <c r="V925" s="3" t="s">
        <v>53</v>
      </c>
    </row>
    <row r="926" spans="1:22">
      <c r="A926" s="2" t="s">
        <v>2995</v>
      </c>
      <c r="B926" s="2" t="s">
        <v>2996</v>
      </c>
      <c r="C926" s="2" t="s">
        <v>2923</v>
      </c>
      <c r="D926" s="2" t="s">
        <v>64</v>
      </c>
      <c r="E926" s="2" t="s">
        <v>43</v>
      </c>
      <c r="F926" s="2" t="s">
        <v>58</v>
      </c>
      <c r="G926" s="2" t="s">
        <v>67</v>
      </c>
      <c r="H926" s="2" t="s">
        <v>2318</v>
      </c>
      <c r="I926" s="2" t="s">
        <v>499</v>
      </c>
      <c r="J926" s="2" t="s">
        <v>500</v>
      </c>
      <c r="K926" s="2" t="s">
        <v>2997</v>
      </c>
      <c r="L926" s="2" t="s">
        <v>190</v>
      </c>
      <c r="M926" s="2" t="s">
        <v>2925</v>
      </c>
      <c r="N926" s="16">
        <v>3.0000000000000009E-2</v>
      </c>
      <c r="O926" s="17">
        <f>N926*'Financial Inputs'!$B$3</f>
        <v>3000000.0000000009</v>
      </c>
      <c r="P926" s="18">
        <f>IF(I926="L",'Financial Inputs'!$B$4,IF(I926="M",'Financial Inputs'!$B$5,'Financial Inputs'!$B$6))</f>
        <v>0.7</v>
      </c>
      <c r="Q926" s="17">
        <f>O926*P926</f>
        <v>2100000.0000000005</v>
      </c>
      <c r="R926" s="16">
        <f>'Financial Inputs'!$B$7</f>
        <v>0.35</v>
      </c>
      <c r="S926" s="17">
        <f>Q926*(1-R926)</f>
        <v>1365000.0000000005</v>
      </c>
      <c r="T926" s="18">
        <f>S926/'Financial Inputs'!$B$3</f>
        <v>1.3650000000000004E-2</v>
      </c>
      <c r="U926" s="9" t="s">
        <v>52</v>
      </c>
      <c r="V926" s="3" t="s">
        <v>53</v>
      </c>
    </row>
    <row r="927" spans="1:22">
      <c r="A927" s="2" t="s">
        <v>2998</v>
      </c>
      <c r="B927" s="2" t="s">
        <v>2999</v>
      </c>
      <c r="C927" s="2" t="s">
        <v>2923</v>
      </c>
      <c r="D927" s="2" t="s">
        <v>127</v>
      </c>
      <c r="E927" s="2" t="s">
        <v>193</v>
      </c>
      <c r="F927" s="2" t="s">
        <v>104</v>
      </c>
      <c r="G927" s="2" t="s">
        <v>45</v>
      </c>
      <c r="H927" s="2" t="s">
        <v>2318</v>
      </c>
      <c r="I927" s="2" t="s">
        <v>499</v>
      </c>
      <c r="J927" s="2" t="s">
        <v>500</v>
      </c>
      <c r="K927" s="2" t="s">
        <v>3000</v>
      </c>
      <c r="L927" s="2" t="s">
        <v>195</v>
      </c>
      <c r="M927" s="2" t="s">
        <v>2925</v>
      </c>
      <c r="N927" s="16">
        <v>0.02</v>
      </c>
      <c r="O927" s="17">
        <f>N927*'Financial Inputs'!$B$3</f>
        <v>2000000</v>
      </c>
      <c r="P927" s="18">
        <f>IF(I927="L",'Financial Inputs'!$B$4,IF(I927="M",'Financial Inputs'!$B$5,'Financial Inputs'!$B$6))</f>
        <v>0.7</v>
      </c>
      <c r="Q927" s="17">
        <f>O927*P927</f>
        <v>1400000</v>
      </c>
      <c r="R927" s="16">
        <f>'Financial Inputs'!$B$7</f>
        <v>0.35</v>
      </c>
      <c r="S927" s="17">
        <f>Q927*(1-R927)</f>
        <v>910000</v>
      </c>
      <c r="T927" s="18">
        <f>S927/'Financial Inputs'!$B$3</f>
        <v>9.1000000000000004E-3</v>
      </c>
      <c r="U927" s="9" t="s">
        <v>52</v>
      </c>
      <c r="V927" s="3" t="s">
        <v>53</v>
      </c>
    </row>
    <row r="928" spans="1:22">
      <c r="A928" s="2" t="s">
        <v>3001</v>
      </c>
      <c r="B928" s="2" t="s">
        <v>3002</v>
      </c>
      <c r="C928" s="2" t="s">
        <v>2923</v>
      </c>
      <c r="D928" s="2" t="s">
        <v>133</v>
      </c>
      <c r="E928" s="2" t="s">
        <v>198</v>
      </c>
      <c r="F928" s="2" t="s">
        <v>110</v>
      </c>
      <c r="G928" s="2" t="s">
        <v>59</v>
      </c>
      <c r="H928" s="2" t="s">
        <v>2318</v>
      </c>
      <c r="I928" s="2" t="s">
        <v>499</v>
      </c>
      <c r="J928" s="2" t="s">
        <v>500</v>
      </c>
      <c r="K928" s="2" t="s">
        <v>3003</v>
      </c>
      <c r="L928" s="2" t="s">
        <v>200</v>
      </c>
      <c r="M928" s="2" t="s">
        <v>2925</v>
      </c>
      <c r="N928" s="16">
        <v>2.2499999999999999E-2</v>
      </c>
      <c r="O928" s="17">
        <f>N928*'Financial Inputs'!$B$3</f>
        <v>2250000</v>
      </c>
      <c r="P928" s="18">
        <f>IF(I928="L",'Financial Inputs'!$B$4,IF(I928="M",'Financial Inputs'!$B$5,'Financial Inputs'!$B$6))</f>
        <v>0.7</v>
      </c>
      <c r="Q928" s="17">
        <f>O928*P928</f>
        <v>1575000</v>
      </c>
      <c r="R928" s="16">
        <f>'Financial Inputs'!$B$7</f>
        <v>0.35</v>
      </c>
      <c r="S928" s="17">
        <f>Q928*(1-R928)</f>
        <v>1023750</v>
      </c>
      <c r="T928" s="18">
        <f>S928/'Financial Inputs'!$B$3</f>
        <v>1.02375E-2</v>
      </c>
      <c r="U928" s="9" t="s">
        <v>52</v>
      </c>
      <c r="V928" s="3" t="s">
        <v>53</v>
      </c>
    </row>
    <row r="929" spans="1:22">
      <c r="A929" s="2" t="s">
        <v>3004</v>
      </c>
      <c r="B929" s="2" t="s">
        <v>3005</v>
      </c>
      <c r="C929" s="2" t="s">
        <v>2923</v>
      </c>
      <c r="D929" s="2" t="s">
        <v>88</v>
      </c>
      <c r="E929" s="2" t="s">
        <v>148</v>
      </c>
      <c r="F929" s="2" t="s">
        <v>117</v>
      </c>
      <c r="G929" s="2" t="s">
        <v>67</v>
      </c>
      <c r="H929" s="2" t="s">
        <v>2318</v>
      </c>
      <c r="I929" s="2" t="s">
        <v>499</v>
      </c>
      <c r="J929" s="2" t="s">
        <v>500</v>
      </c>
      <c r="K929" s="2" t="s">
        <v>3006</v>
      </c>
      <c r="L929" s="2" t="s">
        <v>204</v>
      </c>
      <c r="M929" s="2" t="s">
        <v>2925</v>
      </c>
      <c r="N929" s="16">
        <v>2.5000000000000001E-2</v>
      </c>
      <c r="O929" s="17">
        <f>N929*'Financial Inputs'!$B$3</f>
        <v>2500000</v>
      </c>
      <c r="P929" s="18">
        <f>IF(I929="L",'Financial Inputs'!$B$4,IF(I929="M",'Financial Inputs'!$B$5,'Financial Inputs'!$B$6))</f>
        <v>0.7</v>
      </c>
      <c r="Q929" s="17">
        <f>O929*P929</f>
        <v>1750000</v>
      </c>
      <c r="R929" s="16">
        <f>'Financial Inputs'!$B$7</f>
        <v>0.35</v>
      </c>
      <c r="S929" s="17">
        <f>Q929*(1-R929)</f>
        <v>1137500</v>
      </c>
      <c r="T929" s="18">
        <f>S929/'Financial Inputs'!$B$3</f>
        <v>1.1375E-2</v>
      </c>
      <c r="U929" s="9" t="s">
        <v>52</v>
      </c>
      <c r="V929" s="3" t="s">
        <v>53</v>
      </c>
    </row>
    <row r="930" spans="1:22">
      <c r="A930" s="2" t="s">
        <v>3007</v>
      </c>
      <c r="B930" s="2" t="s">
        <v>3008</v>
      </c>
      <c r="C930" s="2" t="s">
        <v>2923</v>
      </c>
      <c r="D930" s="2" t="s">
        <v>95</v>
      </c>
      <c r="E930" s="2" t="s">
        <v>153</v>
      </c>
      <c r="F930" s="2" t="s">
        <v>90</v>
      </c>
      <c r="G930" s="2" t="s">
        <v>75</v>
      </c>
      <c r="H930" s="2" t="s">
        <v>2318</v>
      </c>
      <c r="I930" s="2" t="s">
        <v>499</v>
      </c>
      <c r="J930" s="2" t="s">
        <v>500</v>
      </c>
      <c r="K930" s="2" t="s">
        <v>3009</v>
      </c>
      <c r="L930" s="2" t="s">
        <v>208</v>
      </c>
      <c r="M930" s="2" t="s">
        <v>2925</v>
      </c>
      <c r="N930" s="16">
        <v>2.75E-2</v>
      </c>
      <c r="O930" s="17">
        <f>N930*'Financial Inputs'!$B$3</f>
        <v>2750000</v>
      </c>
      <c r="P930" s="18">
        <f>IF(I930="L",'Financial Inputs'!$B$4,IF(I930="M",'Financial Inputs'!$B$5,'Financial Inputs'!$B$6))</f>
        <v>0.7</v>
      </c>
      <c r="Q930" s="17">
        <f>O930*P930</f>
        <v>1924999.9999999998</v>
      </c>
      <c r="R930" s="16">
        <f>'Financial Inputs'!$B$7</f>
        <v>0.35</v>
      </c>
      <c r="S930" s="17">
        <f>Q930*(1-R930)</f>
        <v>1251250</v>
      </c>
      <c r="T930" s="18">
        <f>S930/'Financial Inputs'!$B$3</f>
        <v>1.2512499999999999E-2</v>
      </c>
      <c r="U930" s="9" t="s">
        <v>52</v>
      </c>
      <c r="V930" s="3" t="s">
        <v>53</v>
      </c>
    </row>
    <row r="931" spans="1:22">
      <c r="A931" s="2" t="s">
        <v>3010</v>
      </c>
      <c r="B931" s="2" t="s">
        <v>3011</v>
      </c>
      <c r="C931" s="2" t="s">
        <v>2923</v>
      </c>
      <c r="D931" s="2" t="s">
        <v>102</v>
      </c>
      <c r="E931" s="2" t="s">
        <v>89</v>
      </c>
      <c r="F931" s="2" t="s">
        <v>97</v>
      </c>
      <c r="G931" s="2" t="s">
        <v>83</v>
      </c>
      <c r="H931" s="2" t="s">
        <v>2318</v>
      </c>
      <c r="I931" s="2" t="s">
        <v>499</v>
      </c>
      <c r="J931" s="2" t="s">
        <v>500</v>
      </c>
      <c r="K931" s="2" t="s">
        <v>3012</v>
      </c>
      <c r="L931" s="2" t="s">
        <v>212</v>
      </c>
      <c r="M931" s="2" t="s">
        <v>2925</v>
      </c>
      <c r="N931" s="16">
        <v>3.0000000000000009E-2</v>
      </c>
      <c r="O931" s="17">
        <f>N931*'Financial Inputs'!$B$3</f>
        <v>3000000.0000000009</v>
      </c>
      <c r="P931" s="18">
        <f>IF(I931="L",'Financial Inputs'!$B$4,IF(I931="M",'Financial Inputs'!$B$5,'Financial Inputs'!$B$6))</f>
        <v>0.7</v>
      </c>
      <c r="Q931" s="17">
        <f>O931*P931</f>
        <v>2100000.0000000005</v>
      </c>
      <c r="R931" s="16">
        <f>'Financial Inputs'!$B$7</f>
        <v>0.35</v>
      </c>
      <c r="S931" s="17">
        <f>Q931*(1-R931)</f>
        <v>1365000.0000000005</v>
      </c>
      <c r="T931" s="18">
        <f>S931/'Financial Inputs'!$B$3</f>
        <v>1.3650000000000004E-2</v>
      </c>
      <c r="U931" s="9" t="s">
        <v>52</v>
      </c>
      <c r="V931" s="3" t="s">
        <v>53</v>
      </c>
    </row>
    <row r="932" spans="1:22">
      <c r="A932" s="2" t="s">
        <v>3013</v>
      </c>
      <c r="B932" s="2" t="s">
        <v>3014</v>
      </c>
      <c r="C932" s="2" t="s">
        <v>2923</v>
      </c>
      <c r="D932" s="2" t="s">
        <v>64</v>
      </c>
      <c r="E932" s="2" t="s">
        <v>215</v>
      </c>
      <c r="F932" s="2" t="s">
        <v>74</v>
      </c>
      <c r="G932" s="2" t="s">
        <v>67</v>
      </c>
      <c r="H932" s="2" t="s">
        <v>2318</v>
      </c>
      <c r="I932" s="2" t="s">
        <v>499</v>
      </c>
      <c r="J932" s="2" t="s">
        <v>500</v>
      </c>
      <c r="K932" s="2" t="s">
        <v>3015</v>
      </c>
      <c r="L932" s="2" t="s">
        <v>217</v>
      </c>
      <c r="M932" s="2" t="s">
        <v>2925</v>
      </c>
      <c r="N932" s="16">
        <v>0.02</v>
      </c>
      <c r="O932" s="17">
        <f>N932*'Financial Inputs'!$B$3</f>
        <v>2000000</v>
      </c>
      <c r="P932" s="18">
        <f>IF(I932="L",'Financial Inputs'!$B$4,IF(I932="M",'Financial Inputs'!$B$5,'Financial Inputs'!$B$6))</f>
        <v>0.7</v>
      </c>
      <c r="Q932" s="17">
        <f>O932*P932</f>
        <v>1400000</v>
      </c>
      <c r="R932" s="16">
        <f>'Financial Inputs'!$B$7</f>
        <v>0.35</v>
      </c>
      <c r="S932" s="17">
        <f>Q932*(1-R932)</f>
        <v>910000</v>
      </c>
      <c r="T932" s="18">
        <f>S932/'Financial Inputs'!$B$3</f>
        <v>9.1000000000000004E-3</v>
      </c>
      <c r="U932" s="9" t="s">
        <v>52</v>
      </c>
      <c r="V932" s="3" t="s">
        <v>53</v>
      </c>
    </row>
    <row r="933" spans="1:22">
      <c r="A933" s="2" t="s">
        <v>3016</v>
      </c>
      <c r="B933" s="2" t="s">
        <v>3017</v>
      </c>
      <c r="C933" s="2" t="s">
        <v>2923</v>
      </c>
      <c r="D933" s="2" t="s">
        <v>72</v>
      </c>
      <c r="E933" s="2" t="s">
        <v>220</v>
      </c>
      <c r="F933" s="2" t="s">
        <v>82</v>
      </c>
      <c r="G933" s="2" t="s">
        <v>75</v>
      </c>
      <c r="H933" s="2" t="s">
        <v>2318</v>
      </c>
      <c r="I933" s="2" t="s">
        <v>499</v>
      </c>
      <c r="J933" s="2" t="s">
        <v>500</v>
      </c>
      <c r="K933" s="2" t="s">
        <v>3018</v>
      </c>
      <c r="L933" s="2" t="s">
        <v>222</v>
      </c>
      <c r="M933" s="2" t="s">
        <v>2925</v>
      </c>
      <c r="N933" s="16">
        <v>2.2499999999999999E-2</v>
      </c>
      <c r="O933" s="17">
        <f>N933*'Financial Inputs'!$B$3</f>
        <v>2250000</v>
      </c>
      <c r="P933" s="18">
        <f>IF(I933="L",'Financial Inputs'!$B$4,IF(I933="M",'Financial Inputs'!$B$5,'Financial Inputs'!$B$6))</f>
        <v>0.7</v>
      </c>
      <c r="Q933" s="17">
        <f>O933*P933</f>
        <v>1575000</v>
      </c>
      <c r="R933" s="16">
        <f>'Financial Inputs'!$B$7</f>
        <v>0.35</v>
      </c>
      <c r="S933" s="17">
        <f>Q933*(1-R933)</f>
        <v>1023750</v>
      </c>
      <c r="T933" s="18">
        <f>S933/'Financial Inputs'!$B$3</f>
        <v>1.02375E-2</v>
      </c>
      <c r="U933" s="9" t="s">
        <v>52</v>
      </c>
      <c r="V933" s="3" t="s">
        <v>53</v>
      </c>
    </row>
    <row r="934" spans="1:22">
      <c r="A934" s="2" t="s">
        <v>3019</v>
      </c>
      <c r="B934" s="2" t="s">
        <v>3020</v>
      </c>
      <c r="C934" s="2" t="s">
        <v>2923</v>
      </c>
      <c r="D934" s="2" t="s">
        <v>80</v>
      </c>
      <c r="E934" s="2" t="s">
        <v>171</v>
      </c>
      <c r="F934" s="2" t="s">
        <v>44</v>
      </c>
      <c r="G934" s="2" t="s">
        <v>83</v>
      </c>
      <c r="H934" s="2" t="s">
        <v>2318</v>
      </c>
      <c r="I934" s="2" t="s">
        <v>499</v>
      </c>
      <c r="J934" s="2" t="s">
        <v>500</v>
      </c>
      <c r="K934" s="2" t="s">
        <v>3021</v>
      </c>
      <c r="L934" s="2" t="s">
        <v>226</v>
      </c>
      <c r="M934" s="2" t="s">
        <v>2925</v>
      </c>
      <c r="N934" s="16">
        <v>2.5000000000000001E-2</v>
      </c>
      <c r="O934" s="17">
        <f>N934*'Financial Inputs'!$B$3</f>
        <v>2500000</v>
      </c>
      <c r="P934" s="18">
        <f>IF(I934="L",'Financial Inputs'!$B$4,IF(I934="M",'Financial Inputs'!$B$5,'Financial Inputs'!$B$6))</f>
        <v>0.7</v>
      </c>
      <c r="Q934" s="17">
        <f>O934*P934</f>
        <v>1750000</v>
      </c>
      <c r="R934" s="16">
        <f>'Financial Inputs'!$B$7</f>
        <v>0.35</v>
      </c>
      <c r="S934" s="17">
        <f>Q934*(1-R934)</f>
        <v>1137500</v>
      </c>
      <c r="T934" s="18">
        <f>S934/'Financial Inputs'!$B$3</f>
        <v>1.1375E-2</v>
      </c>
      <c r="U934" s="9" t="s">
        <v>52</v>
      </c>
      <c r="V934" s="3" t="s">
        <v>53</v>
      </c>
    </row>
    <row r="935" spans="1:22">
      <c r="A935" s="2" t="s">
        <v>3022</v>
      </c>
      <c r="B935" s="2" t="s">
        <v>3023</v>
      </c>
      <c r="C935" s="2" t="s">
        <v>2923</v>
      </c>
      <c r="D935" s="2" t="s">
        <v>127</v>
      </c>
      <c r="E935" s="2" t="s">
        <v>176</v>
      </c>
      <c r="F935" s="2" t="s">
        <v>58</v>
      </c>
      <c r="G935" s="2" t="s">
        <v>111</v>
      </c>
      <c r="H935" s="2" t="s">
        <v>2318</v>
      </c>
      <c r="I935" s="2" t="s">
        <v>499</v>
      </c>
      <c r="J935" s="2" t="s">
        <v>500</v>
      </c>
      <c r="K935" s="2" t="s">
        <v>3024</v>
      </c>
      <c r="L935" s="2" t="s">
        <v>230</v>
      </c>
      <c r="M935" s="2" t="s">
        <v>2925</v>
      </c>
      <c r="N935" s="16">
        <v>2.75E-2</v>
      </c>
      <c r="O935" s="17">
        <f>N935*'Financial Inputs'!$B$3</f>
        <v>2750000</v>
      </c>
      <c r="P935" s="18">
        <f>IF(I935="L",'Financial Inputs'!$B$4,IF(I935="M",'Financial Inputs'!$B$5,'Financial Inputs'!$B$6))</f>
        <v>0.7</v>
      </c>
      <c r="Q935" s="17">
        <f>O935*P935</f>
        <v>1924999.9999999998</v>
      </c>
      <c r="R935" s="16">
        <f>'Financial Inputs'!$B$7</f>
        <v>0.35</v>
      </c>
      <c r="S935" s="17">
        <f>Q935*(1-R935)</f>
        <v>1251250</v>
      </c>
      <c r="T935" s="18">
        <f>S935/'Financial Inputs'!$B$3</f>
        <v>1.2512499999999999E-2</v>
      </c>
      <c r="U935" s="9" t="s">
        <v>52</v>
      </c>
      <c r="V935" s="3" t="s">
        <v>53</v>
      </c>
    </row>
    <row r="936" spans="1:22">
      <c r="A936" s="2" t="s">
        <v>3025</v>
      </c>
      <c r="B936" s="2" t="s">
        <v>3026</v>
      </c>
      <c r="C936" s="2" t="s">
        <v>2923</v>
      </c>
      <c r="D936" s="2" t="s">
        <v>133</v>
      </c>
      <c r="E936" s="2" t="s">
        <v>122</v>
      </c>
      <c r="F936" s="2" t="s">
        <v>66</v>
      </c>
      <c r="G936" s="2" t="s">
        <v>56</v>
      </c>
      <c r="H936" s="2" t="s">
        <v>2318</v>
      </c>
      <c r="I936" s="2" t="s">
        <v>499</v>
      </c>
      <c r="J936" s="2" t="s">
        <v>500</v>
      </c>
      <c r="K936" s="2" t="s">
        <v>3027</v>
      </c>
      <c r="L936" s="2" t="s">
        <v>234</v>
      </c>
      <c r="M936" s="2" t="s">
        <v>2925</v>
      </c>
      <c r="N936" s="16">
        <v>3.0000000000000009E-2</v>
      </c>
      <c r="O936" s="17">
        <f>N936*'Financial Inputs'!$B$3</f>
        <v>3000000.0000000009</v>
      </c>
      <c r="P936" s="18">
        <f>IF(I936="L",'Financial Inputs'!$B$4,IF(I936="M",'Financial Inputs'!$B$5,'Financial Inputs'!$B$6))</f>
        <v>0.7</v>
      </c>
      <c r="Q936" s="17">
        <f>O936*P936</f>
        <v>2100000.0000000005</v>
      </c>
      <c r="R936" s="16">
        <f>'Financial Inputs'!$B$7</f>
        <v>0.35</v>
      </c>
      <c r="S936" s="17">
        <f>Q936*(1-R936)</f>
        <v>1365000.0000000005</v>
      </c>
      <c r="T936" s="18">
        <f>S936/'Financial Inputs'!$B$3</f>
        <v>1.3650000000000004E-2</v>
      </c>
      <c r="U936" s="9" t="s">
        <v>52</v>
      </c>
      <c r="V936" s="3" t="s">
        <v>53</v>
      </c>
    </row>
    <row r="937" spans="1:22">
      <c r="A937" s="2" t="s">
        <v>3028</v>
      </c>
      <c r="B937" s="2" t="s">
        <v>3029</v>
      </c>
      <c r="C937" s="2" t="s">
        <v>2923</v>
      </c>
      <c r="D937" s="2" t="s">
        <v>102</v>
      </c>
      <c r="E937" s="2" t="s">
        <v>73</v>
      </c>
      <c r="F937" s="2" t="s">
        <v>110</v>
      </c>
      <c r="G937" s="2" t="s">
        <v>83</v>
      </c>
      <c r="H937" s="2" t="s">
        <v>2318</v>
      </c>
      <c r="I937" s="2" t="s">
        <v>499</v>
      </c>
      <c r="J937" s="2" t="s">
        <v>500</v>
      </c>
      <c r="K937" s="2" t="s">
        <v>3030</v>
      </c>
      <c r="L937" s="2" t="s">
        <v>238</v>
      </c>
      <c r="M937" s="2" t="s">
        <v>2925</v>
      </c>
      <c r="N937" s="16">
        <v>0.02</v>
      </c>
      <c r="O937" s="17">
        <f>N937*'Financial Inputs'!$B$3</f>
        <v>2000000</v>
      </c>
      <c r="P937" s="18">
        <f>IF(I937="L",'Financial Inputs'!$B$4,IF(I937="M",'Financial Inputs'!$B$5,'Financial Inputs'!$B$6))</f>
        <v>0.7</v>
      </c>
      <c r="Q937" s="17">
        <f>O937*P937</f>
        <v>1400000</v>
      </c>
      <c r="R937" s="16">
        <f>'Financial Inputs'!$B$7</f>
        <v>0.35</v>
      </c>
      <c r="S937" s="17">
        <f>Q937*(1-R937)</f>
        <v>910000</v>
      </c>
      <c r="T937" s="18">
        <f>S937/'Financial Inputs'!$B$3</f>
        <v>9.1000000000000004E-3</v>
      </c>
      <c r="U937" s="9" t="s">
        <v>52</v>
      </c>
      <c r="V937" s="3" t="s">
        <v>53</v>
      </c>
    </row>
    <row r="938" spans="1:22">
      <c r="A938" s="2" t="s">
        <v>3031</v>
      </c>
      <c r="B938" s="2" t="s">
        <v>3032</v>
      </c>
      <c r="C938" s="2" t="s">
        <v>2923</v>
      </c>
      <c r="D938" s="2" t="s">
        <v>42</v>
      </c>
      <c r="E938" s="2" t="s">
        <v>81</v>
      </c>
      <c r="F938" s="2" t="s">
        <v>117</v>
      </c>
      <c r="G938" s="2" t="s">
        <v>111</v>
      </c>
      <c r="H938" s="2" t="s">
        <v>2318</v>
      </c>
      <c r="I938" s="2" t="s">
        <v>499</v>
      </c>
      <c r="J938" s="2" t="s">
        <v>500</v>
      </c>
      <c r="K938" s="2" t="s">
        <v>3033</v>
      </c>
      <c r="L938" s="2" t="s">
        <v>242</v>
      </c>
      <c r="M938" s="2" t="s">
        <v>2925</v>
      </c>
      <c r="N938" s="16">
        <v>2.2499999999999999E-2</v>
      </c>
      <c r="O938" s="17">
        <f>N938*'Financial Inputs'!$B$3</f>
        <v>2250000</v>
      </c>
      <c r="P938" s="18">
        <f>IF(I938="L",'Financial Inputs'!$B$4,IF(I938="M",'Financial Inputs'!$B$5,'Financial Inputs'!$B$6))</f>
        <v>0.7</v>
      </c>
      <c r="Q938" s="17">
        <f>O938*P938</f>
        <v>1575000</v>
      </c>
      <c r="R938" s="16">
        <f>'Financial Inputs'!$B$7</f>
        <v>0.35</v>
      </c>
      <c r="S938" s="17">
        <f>Q938*(1-R938)</f>
        <v>1023750</v>
      </c>
      <c r="T938" s="18">
        <f>S938/'Financial Inputs'!$B$3</f>
        <v>1.02375E-2</v>
      </c>
      <c r="U938" s="9" t="s">
        <v>52</v>
      </c>
      <c r="V938" s="3" t="s">
        <v>53</v>
      </c>
    </row>
    <row r="939" spans="1:22">
      <c r="A939" s="2" t="s">
        <v>3034</v>
      </c>
      <c r="B939" s="2" t="s">
        <v>3035</v>
      </c>
      <c r="C939" s="2" t="s">
        <v>2923</v>
      </c>
      <c r="D939" s="2" t="s">
        <v>56</v>
      </c>
      <c r="E939" s="2" t="s">
        <v>193</v>
      </c>
      <c r="F939" s="2" t="s">
        <v>90</v>
      </c>
      <c r="G939" s="2" t="s">
        <v>56</v>
      </c>
      <c r="H939" s="2" t="s">
        <v>2318</v>
      </c>
      <c r="I939" s="2" t="s">
        <v>499</v>
      </c>
      <c r="J939" s="2" t="s">
        <v>500</v>
      </c>
      <c r="K939" s="2" t="s">
        <v>3036</v>
      </c>
      <c r="L939" s="2" t="s">
        <v>246</v>
      </c>
      <c r="M939" s="2" t="s">
        <v>2925</v>
      </c>
      <c r="N939" s="16">
        <v>2.5000000000000001E-2</v>
      </c>
      <c r="O939" s="17">
        <f>N939*'Financial Inputs'!$B$3</f>
        <v>2500000</v>
      </c>
      <c r="P939" s="18">
        <f>IF(I939="L",'Financial Inputs'!$B$4,IF(I939="M",'Financial Inputs'!$B$5,'Financial Inputs'!$B$6))</f>
        <v>0.7</v>
      </c>
      <c r="Q939" s="17">
        <f>O939*P939</f>
        <v>1750000</v>
      </c>
      <c r="R939" s="16">
        <f>'Financial Inputs'!$B$7</f>
        <v>0.35</v>
      </c>
      <c r="S939" s="17">
        <f>Q939*(1-R939)</f>
        <v>1137500</v>
      </c>
      <c r="T939" s="18">
        <f>S939/'Financial Inputs'!$B$3</f>
        <v>1.1375E-2</v>
      </c>
      <c r="U939" s="9" t="s">
        <v>52</v>
      </c>
      <c r="V939" s="3" t="s">
        <v>53</v>
      </c>
    </row>
    <row r="940" spans="1:22">
      <c r="A940" s="2" t="s">
        <v>3037</v>
      </c>
      <c r="B940" s="2" t="s">
        <v>3038</v>
      </c>
      <c r="C940" s="2" t="s">
        <v>2923</v>
      </c>
      <c r="D940" s="2" t="s">
        <v>64</v>
      </c>
      <c r="E940" s="2" t="s">
        <v>198</v>
      </c>
      <c r="F940" s="2" t="s">
        <v>97</v>
      </c>
      <c r="G940" s="2" t="s">
        <v>138</v>
      </c>
      <c r="H940" s="2" t="s">
        <v>2318</v>
      </c>
      <c r="I940" s="2" t="s">
        <v>499</v>
      </c>
      <c r="J940" s="2" t="s">
        <v>500</v>
      </c>
      <c r="K940" s="2" t="s">
        <v>3039</v>
      </c>
      <c r="L940" s="2" t="s">
        <v>250</v>
      </c>
      <c r="M940" s="2" t="s">
        <v>2925</v>
      </c>
      <c r="N940" s="16">
        <v>2.75E-2</v>
      </c>
      <c r="O940" s="17">
        <f>N940*'Financial Inputs'!$B$3</f>
        <v>2750000</v>
      </c>
      <c r="P940" s="18">
        <f>IF(I940="L",'Financial Inputs'!$B$4,IF(I940="M",'Financial Inputs'!$B$5,'Financial Inputs'!$B$6))</f>
        <v>0.7</v>
      </c>
      <c r="Q940" s="17">
        <f>O940*P940</f>
        <v>1924999.9999999998</v>
      </c>
      <c r="R940" s="16">
        <f>'Financial Inputs'!$B$7</f>
        <v>0.35</v>
      </c>
      <c r="S940" s="17">
        <f>Q940*(1-R940)</f>
        <v>1251250</v>
      </c>
      <c r="T940" s="18">
        <f>S940/'Financial Inputs'!$B$3</f>
        <v>1.2512499999999999E-2</v>
      </c>
      <c r="U940" s="9" t="s">
        <v>52</v>
      </c>
      <c r="V940" s="3" t="s">
        <v>53</v>
      </c>
    </row>
    <row r="941" spans="1:22">
      <c r="A941" s="2" t="s">
        <v>3040</v>
      </c>
      <c r="B941" s="2" t="s">
        <v>3041</v>
      </c>
      <c r="C941" s="2" t="s">
        <v>2923</v>
      </c>
      <c r="D941" s="2" t="s">
        <v>72</v>
      </c>
      <c r="E941" s="2" t="s">
        <v>148</v>
      </c>
      <c r="F941" s="2" t="s">
        <v>104</v>
      </c>
      <c r="G941" s="2" t="s">
        <v>143</v>
      </c>
      <c r="H941" s="2" t="s">
        <v>2318</v>
      </c>
      <c r="I941" s="2" t="s">
        <v>499</v>
      </c>
      <c r="J941" s="2" t="s">
        <v>500</v>
      </c>
      <c r="K941" s="2" t="s">
        <v>3042</v>
      </c>
      <c r="L941" s="2" t="s">
        <v>254</v>
      </c>
      <c r="M941" s="2" t="s">
        <v>2925</v>
      </c>
      <c r="N941" s="16">
        <v>3.0000000000000009E-2</v>
      </c>
      <c r="O941" s="17">
        <f>N941*'Financial Inputs'!$B$3</f>
        <v>3000000.0000000009</v>
      </c>
      <c r="P941" s="18">
        <f>IF(I941="L",'Financial Inputs'!$B$4,IF(I941="M",'Financial Inputs'!$B$5,'Financial Inputs'!$B$6))</f>
        <v>0.7</v>
      </c>
      <c r="Q941" s="17">
        <f>O941*P941</f>
        <v>2100000.0000000005</v>
      </c>
      <c r="R941" s="16">
        <f>'Financial Inputs'!$B$7</f>
        <v>0.35</v>
      </c>
      <c r="S941" s="17">
        <f>Q941*(1-R941)</f>
        <v>1365000.0000000005</v>
      </c>
      <c r="T941" s="18">
        <f>S941/'Financial Inputs'!$B$3</f>
        <v>1.3650000000000004E-2</v>
      </c>
      <c r="U941" s="9" t="s">
        <v>52</v>
      </c>
      <c r="V941" s="3" t="s">
        <v>53</v>
      </c>
    </row>
    <row r="942" spans="1:22">
      <c r="A942" s="2" t="s">
        <v>3043</v>
      </c>
      <c r="B942" s="2" t="s">
        <v>3044</v>
      </c>
      <c r="C942" s="2" t="s">
        <v>2923</v>
      </c>
      <c r="D942" s="2" t="s">
        <v>133</v>
      </c>
      <c r="E942" s="2" t="s">
        <v>109</v>
      </c>
      <c r="F942" s="2" t="s">
        <v>82</v>
      </c>
      <c r="G942" s="2" t="s">
        <v>56</v>
      </c>
      <c r="H942" s="2" t="s">
        <v>2318</v>
      </c>
      <c r="I942" s="2" t="s">
        <v>499</v>
      </c>
      <c r="J942" s="2" t="s">
        <v>500</v>
      </c>
      <c r="K942" s="2" t="s">
        <v>3045</v>
      </c>
      <c r="L942" s="2" t="s">
        <v>258</v>
      </c>
      <c r="M942" s="2" t="s">
        <v>2925</v>
      </c>
      <c r="N942" s="16">
        <v>0.02</v>
      </c>
      <c r="O942" s="17">
        <f>N942*'Financial Inputs'!$B$3</f>
        <v>2000000</v>
      </c>
      <c r="P942" s="18">
        <f>IF(I942="L",'Financial Inputs'!$B$4,IF(I942="M",'Financial Inputs'!$B$5,'Financial Inputs'!$B$6))</f>
        <v>0.7</v>
      </c>
      <c r="Q942" s="17">
        <f>O942*P942</f>
        <v>1400000</v>
      </c>
      <c r="R942" s="16">
        <f>'Financial Inputs'!$B$7</f>
        <v>0.35</v>
      </c>
      <c r="S942" s="17">
        <f>Q942*(1-R942)</f>
        <v>910000</v>
      </c>
      <c r="T942" s="18">
        <f>S942/'Financial Inputs'!$B$3</f>
        <v>9.1000000000000004E-3</v>
      </c>
      <c r="U942" s="9" t="s">
        <v>52</v>
      </c>
      <c r="V942" s="3" t="s">
        <v>53</v>
      </c>
    </row>
    <row r="943" spans="1:22">
      <c r="A943" s="2" t="s">
        <v>3046</v>
      </c>
      <c r="B943" s="2" t="s">
        <v>3047</v>
      </c>
      <c r="C943" s="2" t="s">
        <v>2923</v>
      </c>
      <c r="D943" s="2" t="s">
        <v>88</v>
      </c>
      <c r="E943" s="2" t="s">
        <v>116</v>
      </c>
      <c r="F943" s="2" t="s">
        <v>44</v>
      </c>
      <c r="G943" s="2" t="s">
        <v>138</v>
      </c>
      <c r="H943" s="2" t="s">
        <v>2318</v>
      </c>
      <c r="I943" s="2" t="s">
        <v>499</v>
      </c>
      <c r="J943" s="2" t="s">
        <v>500</v>
      </c>
      <c r="K943" s="2" t="s">
        <v>3048</v>
      </c>
      <c r="L943" s="2" t="s">
        <v>262</v>
      </c>
      <c r="M943" s="2" t="s">
        <v>2925</v>
      </c>
      <c r="N943" s="16">
        <v>2.2499999999999999E-2</v>
      </c>
      <c r="O943" s="17">
        <f>N943*'Financial Inputs'!$B$3</f>
        <v>2250000</v>
      </c>
      <c r="P943" s="18">
        <f>IF(I943="L",'Financial Inputs'!$B$4,IF(I943="M",'Financial Inputs'!$B$5,'Financial Inputs'!$B$6))</f>
        <v>0.7</v>
      </c>
      <c r="Q943" s="17">
        <f>O943*P943</f>
        <v>1575000</v>
      </c>
      <c r="R943" s="16">
        <f>'Financial Inputs'!$B$7</f>
        <v>0.35</v>
      </c>
      <c r="S943" s="17">
        <f>Q943*(1-R943)</f>
        <v>1023750</v>
      </c>
      <c r="T943" s="18">
        <f>S943/'Financial Inputs'!$B$3</f>
        <v>1.02375E-2</v>
      </c>
      <c r="U943" s="9" t="s">
        <v>52</v>
      </c>
      <c r="V943" s="3" t="s">
        <v>53</v>
      </c>
    </row>
    <row r="944" spans="1:22">
      <c r="A944" s="2" t="s">
        <v>3049</v>
      </c>
      <c r="B944" s="2" t="s">
        <v>3050</v>
      </c>
      <c r="C944" s="2" t="s">
        <v>2923</v>
      </c>
      <c r="D944" s="2" t="s">
        <v>95</v>
      </c>
      <c r="E944" s="2" t="s">
        <v>215</v>
      </c>
      <c r="F944" s="2" t="s">
        <v>58</v>
      </c>
      <c r="G944" s="2" t="s">
        <v>143</v>
      </c>
      <c r="H944" s="2" t="s">
        <v>2318</v>
      </c>
      <c r="I944" s="2" t="s">
        <v>499</v>
      </c>
      <c r="J944" s="2" t="s">
        <v>500</v>
      </c>
      <c r="K944" s="2" t="s">
        <v>3051</v>
      </c>
      <c r="L944" s="2" t="s">
        <v>266</v>
      </c>
      <c r="M944" s="2" t="s">
        <v>2925</v>
      </c>
      <c r="N944" s="16">
        <v>2.5000000000000001E-2</v>
      </c>
      <c r="O944" s="17">
        <f>N944*'Financial Inputs'!$B$3</f>
        <v>2500000</v>
      </c>
      <c r="P944" s="18">
        <f>IF(I944="L",'Financial Inputs'!$B$4,IF(I944="M",'Financial Inputs'!$B$5,'Financial Inputs'!$B$6))</f>
        <v>0.7</v>
      </c>
      <c r="Q944" s="17">
        <f>O944*P944</f>
        <v>1750000</v>
      </c>
      <c r="R944" s="16">
        <f>'Financial Inputs'!$B$7</f>
        <v>0.35</v>
      </c>
      <c r="S944" s="17">
        <f>Q944*(1-R944)</f>
        <v>1137500</v>
      </c>
      <c r="T944" s="18">
        <f>S944/'Financial Inputs'!$B$3</f>
        <v>1.1375E-2</v>
      </c>
      <c r="U944" s="9" t="s">
        <v>52</v>
      </c>
      <c r="V944" s="3" t="s">
        <v>53</v>
      </c>
    </row>
    <row r="945" spans="1:22">
      <c r="A945" s="2" t="s">
        <v>3052</v>
      </c>
      <c r="B945" s="2" t="s">
        <v>3053</v>
      </c>
      <c r="C945" s="2" t="s">
        <v>2923</v>
      </c>
      <c r="D945" s="2" t="s">
        <v>102</v>
      </c>
      <c r="E945" s="2" t="s">
        <v>220</v>
      </c>
      <c r="F945" s="2" t="s">
        <v>66</v>
      </c>
      <c r="G945" s="2" t="s">
        <v>162</v>
      </c>
      <c r="H945" s="2" t="s">
        <v>2318</v>
      </c>
      <c r="I945" s="2" t="s">
        <v>499</v>
      </c>
      <c r="J945" s="2" t="s">
        <v>500</v>
      </c>
      <c r="K945" s="2" t="s">
        <v>3054</v>
      </c>
      <c r="L945" s="2" t="s">
        <v>270</v>
      </c>
      <c r="M945" s="2" t="s">
        <v>2925</v>
      </c>
      <c r="N945" s="16">
        <v>2.75E-2</v>
      </c>
      <c r="O945" s="17">
        <f>N945*'Financial Inputs'!$B$3</f>
        <v>2750000</v>
      </c>
      <c r="P945" s="18">
        <f>IF(I945="L",'Financial Inputs'!$B$4,IF(I945="M",'Financial Inputs'!$B$5,'Financial Inputs'!$B$6))</f>
        <v>0.7</v>
      </c>
      <c r="Q945" s="17">
        <f>O945*P945</f>
        <v>1924999.9999999998</v>
      </c>
      <c r="R945" s="16">
        <f>'Financial Inputs'!$B$7</f>
        <v>0.35</v>
      </c>
      <c r="S945" s="17">
        <f>Q945*(1-R945)</f>
        <v>1251250</v>
      </c>
      <c r="T945" s="18">
        <f>S945/'Financial Inputs'!$B$3</f>
        <v>1.2512499999999999E-2</v>
      </c>
      <c r="U945" s="9" t="s">
        <v>52</v>
      </c>
      <c r="V945" s="3" t="s">
        <v>53</v>
      </c>
    </row>
    <row r="946" spans="1:22">
      <c r="A946" s="2" t="s">
        <v>3055</v>
      </c>
      <c r="B946" s="2" t="s">
        <v>3056</v>
      </c>
      <c r="C946" s="2" t="s">
        <v>2923</v>
      </c>
      <c r="D946" s="2" t="s">
        <v>42</v>
      </c>
      <c r="E946" s="2" t="s">
        <v>171</v>
      </c>
      <c r="F946" s="2" t="s">
        <v>74</v>
      </c>
      <c r="G946" s="2" t="s">
        <v>45</v>
      </c>
      <c r="H946" s="2" t="s">
        <v>2318</v>
      </c>
      <c r="I946" s="2" t="s">
        <v>499</v>
      </c>
      <c r="J946" s="2" t="s">
        <v>500</v>
      </c>
      <c r="K946" s="2" t="s">
        <v>3057</v>
      </c>
      <c r="L946" s="2" t="s">
        <v>274</v>
      </c>
      <c r="M946" s="2" t="s">
        <v>2925</v>
      </c>
      <c r="N946" s="16">
        <v>3.0000000000000009E-2</v>
      </c>
      <c r="O946" s="17">
        <f>N946*'Financial Inputs'!$B$3</f>
        <v>3000000.0000000009</v>
      </c>
      <c r="P946" s="18">
        <f>IF(I946="L",'Financial Inputs'!$B$4,IF(I946="M",'Financial Inputs'!$B$5,'Financial Inputs'!$B$6))</f>
        <v>0.7</v>
      </c>
      <c r="Q946" s="17">
        <f>O946*P946</f>
        <v>2100000.0000000005</v>
      </c>
      <c r="R946" s="16">
        <f>'Financial Inputs'!$B$7</f>
        <v>0.35</v>
      </c>
      <c r="S946" s="17">
        <f>Q946*(1-R946)</f>
        <v>1365000.0000000005</v>
      </c>
      <c r="T946" s="18">
        <f>S946/'Financial Inputs'!$B$3</f>
        <v>1.3650000000000004E-2</v>
      </c>
      <c r="U946" s="9" t="s">
        <v>52</v>
      </c>
      <c r="V946" s="3" t="s">
        <v>53</v>
      </c>
    </row>
    <row r="947" spans="1:22">
      <c r="A947" s="2" t="s">
        <v>3058</v>
      </c>
      <c r="B947" s="2" t="s">
        <v>3059</v>
      </c>
      <c r="C947" s="2" t="s">
        <v>2923</v>
      </c>
      <c r="D947" s="2" t="s">
        <v>72</v>
      </c>
      <c r="E947" s="2" t="s">
        <v>57</v>
      </c>
      <c r="F947" s="2" t="s">
        <v>117</v>
      </c>
      <c r="G947" s="2" t="s">
        <v>143</v>
      </c>
      <c r="H947" s="2" t="s">
        <v>2318</v>
      </c>
      <c r="I947" s="2" t="s">
        <v>499</v>
      </c>
      <c r="J947" s="2" t="s">
        <v>500</v>
      </c>
      <c r="K947" s="2" t="s">
        <v>3060</v>
      </c>
      <c r="L947" s="2" t="s">
        <v>278</v>
      </c>
      <c r="M947" s="2" t="s">
        <v>2925</v>
      </c>
      <c r="N947" s="16">
        <v>0.02</v>
      </c>
      <c r="O947" s="17">
        <f>N947*'Financial Inputs'!$B$3</f>
        <v>2000000</v>
      </c>
      <c r="P947" s="18">
        <f>IF(I947="L",'Financial Inputs'!$B$4,IF(I947="M",'Financial Inputs'!$B$5,'Financial Inputs'!$B$6))</f>
        <v>0.7</v>
      </c>
      <c r="Q947" s="17">
        <f>O947*P947</f>
        <v>1400000</v>
      </c>
      <c r="R947" s="16">
        <f>'Financial Inputs'!$B$7</f>
        <v>0.35</v>
      </c>
      <c r="S947" s="17">
        <f>Q947*(1-R947)</f>
        <v>910000</v>
      </c>
      <c r="T947" s="18">
        <f>S947/'Financial Inputs'!$B$3</f>
        <v>9.1000000000000004E-3</v>
      </c>
      <c r="U947" s="9" t="s">
        <v>52</v>
      </c>
      <c r="V947" s="3" t="s">
        <v>53</v>
      </c>
    </row>
    <row r="948" spans="1:22">
      <c r="A948" s="2" t="s">
        <v>3061</v>
      </c>
      <c r="B948" s="2" t="s">
        <v>3062</v>
      </c>
      <c r="C948" s="2" t="s">
        <v>2923</v>
      </c>
      <c r="D948" s="2" t="s">
        <v>80</v>
      </c>
      <c r="E948" s="2" t="s">
        <v>65</v>
      </c>
      <c r="F948" s="2" t="s">
        <v>90</v>
      </c>
      <c r="G948" s="2" t="s">
        <v>162</v>
      </c>
      <c r="H948" s="2" t="s">
        <v>2318</v>
      </c>
      <c r="I948" s="2" t="s">
        <v>499</v>
      </c>
      <c r="J948" s="2" t="s">
        <v>500</v>
      </c>
      <c r="K948" s="2" t="s">
        <v>3063</v>
      </c>
      <c r="L948" s="2" t="s">
        <v>282</v>
      </c>
      <c r="M948" s="2" t="s">
        <v>2925</v>
      </c>
      <c r="N948" s="16">
        <v>2.2499999999999999E-2</v>
      </c>
      <c r="O948" s="17">
        <f>N948*'Financial Inputs'!$B$3</f>
        <v>2250000</v>
      </c>
      <c r="P948" s="18">
        <f>IF(I948="L",'Financial Inputs'!$B$4,IF(I948="M",'Financial Inputs'!$B$5,'Financial Inputs'!$B$6))</f>
        <v>0.7</v>
      </c>
      <c r="Q948" s="17">
        <f>O948*P948</f>
        <v>1575000</v>
      </c>
      <c r="R948" s="16">
        <f>'Financial Inputs'!$B$7</f>
        <v>0.35</v>
      </c>
      <c r="S948" s="17">
        <f>Q948*(1-R948)</f>
        <v>1023750</v>
      </c>
      <c r="T948" s="18">
        <f>S948/'Financial Inputs'!$B$3</f>
        <v>1.02375E-2</v>
      </c>
      <c r="U948" s="9" t="s">
        <v>52</v>
      </c>
      <c r="V948" s="3" t="s">
        <v>53</v>
      </c>
    </row>
    <row r="949" spans="1:22">
      <c r="A949" s="2" t="s">
        <v>3064</v>
      </c>
      <c r="B949" s="2" t="s">
        <v>3065</v>
      </c>
      <c r="C949" s="2" t="s">
        <v>2923</v>
      </c>
      <c r="D949" s="2" t="s">
        <v>127</v>
      </c>
      <c r="E949" s="2" t="s">
        <v>73</v>
      </c>
      <c r="F949" s="2" t="s">
        <v>97</v>
      </c>
      <c r="G949" s="2" t="s">
        <v>45</v>
      </c>
      <c r="H949" s="2" t="s">
        <v>2318</v>
      </c>
      <c r="I949" s="2" t="s">
        <v>499</v>
      </c>
      <c r="J949" s="2" t="s">
        <v>500</v>
      </c>
      <c r="K949" s="2" t="s">
        <v>3066</v>
      </c>
      <c r="L949" s="2" t="s">
        <v>286</v>
      </c>
      <c r="M949" s="2" t="s">
        <v>2925</v>
      </c>
      <c r="N949" s="16">
        <v>2.5000000000000001E-2</v>
      </c>
      <c r="O949" s="17">
        <f>N949*'Financial Inputs'!$B$3</f>
        <v>2500000</v>
      </c>
      <c r="P949" s="18">
        <f>IF(I949="L",'Financial Inputs'!$B$4,IF(I949="M",'Financial Inputs'!$B$5,'Financial Inputs'!$B$6))</f>
        <v>0.7</v>
      </c>
      <c r="Q949" s="17">
        <f>O949*P949</f>
        <v>1750000</v>
      </c>
      <c r="R949" s="16">
        <f>'Financial Inputs'!$B$7</f>
        <v>0.35</v>
      </c>
      <c r="S949" s="17">
        <f>Q949*(1-R949)</f>
        <v>1137500</v>
      </c>
      <c r="T949" s="18">
        <f>S949/'Financial Inputs'!$B$3</f>
        <v>1.1375E-2</v>
      </c>
      <c r="U949" s="9" t="s">
        <v>52</v>
      </c>
      <c r="V949" s="3" t="s">
        <v>53</v>
      </c>
    </row>
    <row r="950" spans="1:22">
      <c r="A950" s="2" t="s">
        <v>3067</v>
      </c>
      <c r="B950" s="2" t="s">
        <v>3068</v>
      </c>
      <c r="C950" s="2" t="s">
        <v>2923</v>
      </c>
      <c r="D950" s="2" t="s">
        <v>133</v>
      </c>
      <c r="E950" s="2" t="s">
        <v>81</v>
      </c>
      <c r="F950" s="2" t="s">
        <v>104</v>
      </c>
      <c r="G950" s="2" t="s">
        <v>59</v>
      </c>
      <c r="H950" s="2" t="s">
        <v>2318</v>
      </c>
      <c r="I950" s="2" t="s">
        <v>499</v>
      </c>
      <c r="J950" s="2" t="s">
        <v>500</v>
      </c>
      <c r="K950" s="2" t="s">
        <v>3069</v>
      </c>
      <c r="L950" s="2" t="s">
        <v>290</v>
      </c>
      <c r="M950" s="2" t="s">
        <v>2925</v>
      </c>
      <c r="N950" s="16">
        <v>2.75E-2</v>
      </c>
      <c r="O950" s="17">
        <f>N950*'Financial Inputs'!$B$3</f>
        <v>2750000</v>
      </c>
      <c r="P950" s="18">
        <f>IF(I950="L",'Financial Inputs'!$B$4,IF(I950="M",'Financial Inputs'!$B$5,'Financial Inputs'!$B$6))</f>
        <v>0.7</v>
      </c>
      <c r="Q950" s="17">
        <f>O950*P950</f>
        <v>1924999.9999999998</v>
      </c>
      <c r="R950" s="16">
        <f>'Financial Inputs'!$B$7</f>
        <v>0.35</v>
      </c>
      <c r="S950" s="17">
        <f>Q950*(1-R950)</f>
        <v>1251250</v>
      </c>
      <c r="T950" s="18">
        <f>S950/'Financial Inputs'!$B$3</f>
        <v>1.2512499999999999E-2</v>
      </c>
      <c r="U950" s="9" t="s">
        <v>52</v>
      </c>
      <c r="V950" s="3" t="s">
        <v>53</v>
      </c>
    </row>
    <row r="951" spans="1:22">
      <c r="A951" s="2" t="s">
        <v>3070</v>
      </c>
      <c r="B951" s="2" t="s">
        <v>3071</v>
      </c>
      <c r="C951" s="2" t="s">
        <v>2923</v>
      </c>
      <c r="D951" s="2" t="s">
        <v>88</v>
      </c>
      <c r="E951" s="2" t="s">
        <v>193</v>
      </c>
      <c r="F951" s="2" t="s">
        <v>110</v>
      </c>
      <c r="G951" s="2" t="s">
        <v>67</v>
      </c>
      <c r="H951" s="2" t="s">
        <v>2318</v>
      </c>
      <c r="I951" s="2" t="s">
        <v>499</v>
      </c>
      <c r="J951" s="2" t="s">
        <v>500</v>
      </c>
      <c r="K951" s="2" t="s">
        <v>3072</v>
      </c>
      <c r="L951" s="2" t="s">
        <v>294</v>
      </c>
      <c r="M951" s="2" t="s">
        <v>2925</v>
      </c>
      <c r="N951" s="16">
        <v>3.0000000000000009E-2</v>
      </c>
      <c r="O951" s="17">
        <f>N951*'Financial Inputs'!$B$3</f>
        <v>3000000.0000000009</v>
      </c>
      <c r="P951" s="18">
        <f>IF(I951="L",'Financial Inputs'!$B$4,IF(I951="M",'Financial Inputs'!$B$5,'Financial Inputs'!$B$6))</f>
        <v>0.7</v>
      </c>
      <c r="Q951" s="17">
        <f>O951*P951</f>
        <v>2100000.0000000005</v>
      </c>
      <c r="R951" s="16">
        <f>'Financial Inputs'!$B$7</f>
        <v>0.35</v>
      </c>
      <c r="S951" s="17">
        <f>Q951*(1-R951)</f>
        <v>1365000.0000000005</v>
      </c>
      <c r="T951" s="18">
        <f>S951/'Financial Inputs'!$B$3</f>
        <v>1.3650000000000004E-2</v>
      </c>
      <c r="U951" s="9" t="s">
        <v>52</v>
      </c>
      <c r="V951" s="3" t="s">
        <v>53</v>
      </c>
    </row>
    <row r="952" spans="1:22">
      <c r="A952" s="2" t="s">
        <v>3073</v>
      </c>
      <c r="B952" s="2" t="s">
        <v>3074</v>
      </c>
      <c r="C952" s="2" t="s">
        <v>2923</v>
      </c>
      <c r="D952" s="2" t="s">
        <v>42</v>
      </c>
      <c r="E952" s="2" t="s">
        <v>96</v>
      </c>
      <c r="F952" s="2" t="s">
        <v>44</v>
      </c>
      <c r="G952" s="2" t="s">
        <v>45</v>
      </c>
      <c r="H952" s="2" t="s">
        <v>2318</v>
      </c>
      <c r="I952" s="2" t="s">
        <v>499</v>
      </c>
      <c r="J952" s="2" t="s">
        <v>500</v>
      </c>
      <c r="K952" s="2" t="s">
        <v>3075</v>
      </c>
      <c r="L952" s="2" t="s">
        <v>298</v>
      </c>
      <c r="M952" s="2" t="s">
        <v>2925</v>
      </c>
      <c r="N952" s="16">
        <v>0.02</v>
      </c>
      <c r="O952" s="17">
        <f>N952*'Financial Inputs'!$B$3</f>
        <v>2000000</v>
      </c>
      <c r="P952" s="18">
        <f>IF(I952="L",'Financial Inputs'!$B$4,IF(I952="M",'Financial Inputs'!$B$5,'Financial Inputs'!$B$6))</f>
        <v>0.7</v>
      </c>
      <c r="Q952" s="17">
        <f>O952*P952</f>
        <v>1400000</v>
      </c>
      <c r="R952" s="16">
        <f>'Financial Inputs'!$B$7</f>
        <v>0.35</v>
      </c>
      <c r="S952" s="17">
        <f>Q952*(1-R952)</f>
        <v>910000</v>
      </c>
      <c r="T952" s="18">
        <f>S952/'Financial Inputs'!$B$3</f>
        <v>9.1000000000000004E-3</v>
      </c>
      <c r="U952" s="9" t="s">
        <v>52</v>
      </c>
      <c r="V952" s="3" t="s">
        <v>53</v>
      </c>
    </row>
    <row r="953" spans="1:22">
      <c r="A953" s="2" t="s">
        <v>3076</v>
      </c>
      <c r="B953" s="2" t="s">
        <v>3077</v>
      </c>
      <c r="C953" s="2" t="s">
        <v>2923</v>
      </c>
      <c r="D953" s="2" t="s">
        <v>56</v>
      </c>
      <c r="E953" s="2" t="s">
        <v>103</v>
      </c>
      <c r="F953" s="2" t="s">
        <v>58</v>
      </c>
      <c r="G953" s="2" t="s">
        <v>59</v>
      </c>
      <c r="H953" s="2" t="s">
        <v>2318</v>
      </c>
      <c r="I953" s="2" t="s">
        <v>499</v>
      </c>
      <c r="J953" s="2" t="s">
        <v>500</v>
      </c>
      <c r="K953" s="2" t="s">
        <v>3078</v>
      </c>
      <c r="L953" s="2" t="s">
        <v>302</v>
      </c>
      <c r="M953" s="2" t="s">
        <v>2925</v>
      </c>
      <c r="N953" s="16">
        <v>2.2499999999999999E-2</v>
      </c>
      <c r="O953" s="17">
        <f>N953*'Financial Inputs'!$B$3</f>
        <v>2250000</v>
      </c>
      <c r="P953" s="18">
        <f>IF(I953="L",'Financial Inputs'!$B$4,IF(I953="M",'Financial Inputs'!$B$5,'Financial Inputs'!$B$6))</f>
        <v>0.7</v>
      </c>
      <c r="Q953" s="17">
        <f>O953*P953</f>
        <v>1575000</v>
      </c>
      <c r="R953" s="16">
        <f>'Financial Inputs'!$B$7</f>
        <v>0.35</v>
      </c>
      <c r="S953" s="17">
        <f>Q953*(1-R953)</f>
        <v>1023750</v>
      </c>
      <c r="T953" s="18">
        <f>S953/'Financial Inputs'!$B$3</f>
        <v>1.02375E-2</v>
      </c>
      <c r="U953" s="9" t="s">
        <v>52</v>
      </c>
      <c r="V953" s="3" t="s">
        <v>53</v>
      </c>
    </row>
    <row r="954" spans="1:22">
      <c r="A954" s="2" t="s">
        <v>3079</v>
      </c>
      <c r="B954" s="2" t="s">
        <v>3080</v>
      </c>
      <c r="C954" s="2" t="s">
        <v>2923</v>
      </c>
      <c r="D954" s="2" t="s">
        <v>64</v>
      </c>
      <c r="E954" s="2" t="s">
        <v>109</v>
      </c>
      <c r="F954" s="2" t="s">
        <v>66</v>
      </c>
      <c r="G954" s="2" t="s">
        <v>67</v>
      </c>
      <c r="H954" s="2" t="s">
        <v>2318</v>
      </c>
      <c r="I954" s="2" t="s">
        <v>499</v>
      </c>
      <c r="J954" s="2" t="s">
        <v>500</v>
      </c>
      <c r="K954" s="2" t="s">
        <v>3081</v>
      </c>
      <c r="L954" s="2" t="s">
        <v>306</v>
      </c>
      <c r="M954" s="2" t="s">
        <v>2925</v>
      </c>
      <c r="N954" s="16">
        <v>2.5000000000000001E-2</v>
      </c>
      <c r="O954" s="17">
        <f>N954*'Financial Inputs'!$B$3</f>
        <v>2500000</v>
      </c>
      <c r="P954" s="18">
        <f>IF(I954="L",'Financial Inputs'!$B$4,IF(I954="M",'Financial Inputs'!$B$5,'Financial Inputs'!$B$6))</f>
        <v>0.7</v>
      </c>
      <c r="Q954" s="17">
        <f>O954*P954</f>
        <v>1750000</v>
      </c>
      <c r="R954" s="16">
        <f>'Financial Inputs'!$B$7</f>
        <v>0.35</v>
      </c>
      <c r="S954" s="17">
        <f>Q954*(1-R954)</f>
        <v>1137500</v>
      </c>
      <c r="T954" s="18">
        <f>S954/'Financial Inputs'!$B$3</f>
        <v>1.1375E-2</v>
      </c>
      <c r="U954" s="9" t="s">
        <v>52</v>
      </c>
      <c r="V954" s="3" t="s">
        <v>53</v>
      </c>
    </row>
    <row r="955" spans="1:22">
      <c r="A955" s="2" t="s">
        <v>3082</v>
      </c>
      <c r="B955" s="2" t="s">
        <v>3083</v>
      </c>
      <c r="C955" s="2" t="s">
        <v>2923</v>
      </c>
      <c r="D955" s="2" t="s">
        <v>72</v>
      </c>
      <c r="E955" s="2" t="s">
        <v>116</v>
      </c>
      <c r="F955" s="2" t="s">
        <v>74</v>
      </c>
      <c r="G955" s="2" t="s">
        <v>75</v>
      </c>
      <c r="H955" s="2" t="s">
        <v>2318</v>
      </c>
      <c r="I955" s="2" t="s">
        <v>499</v>
      </c>
      <c r="J955" s="2" t="s">
        <v>500</v>
      </c>
      <c r="K955" s="2" t="s">
        <v>3084</v>
      </c>
      <c r="L955" s="2" t="s">
        <v>310</v>
      </c>
      <c r="M955" s="2" t="s">
        <v>2925</v>
      </c>
      <c r="N955" s="16">
        <v>2.75E-2</v>
      </c>
      <c r="O955" s="17">
        <f>N955*'Financial Inputs'!$B$3</f>
        <v>2750000</v>
      </c>
      <c r="P955" s="18">
        <f>IF(I955="L",'Financial Inputs'!$B$4,IF(I955="M",'Financial Inputs'!$B$5,'Financial Inputs'!$B$6))</f>
        <v>0.7</v>
      </c>
      <c r="Q955" s="17">
        <f>O955*P955</f>
        <v>1924999.9999999998</v>
      </c>
      <c r="R955" s="16">
        <f>'Financial Inputs'!$B$7</f>
        <v>0.35</v>
      </c>
      <c r="S955" s="17">
        <f>Q955*(1-R955)</f>
        <v>1251250</v>
      </c>
      <c r="T955" s="18">
        <f>S955/'Financial Inputs'!$B$3</f>
        <v>1.2512499999999999E-2</v>
      </c>
      <c r="U955" s="9" t="s">
        <v>52</v>
      </c>
      <c r="V955" s="3" t="s">
        <v>53</v>
      </c>
    </row>
    <row r="956" spans="1:22">
      <c r="A956" s="2" t="s">
        <v>3085</v>
      </c>
      <c r="B956" s="2" t="s">
        <v>3086</v>
      </c>
      <c r="C956" s="2" t="s">
        <v>2923</v>
      </c>
      <c r="D956" s="2" t="s">
        <v>80</v>
      </c>
      <c r="E956" s="2" t="s">
        <v>215</v>
      </c>
      <c r="F956" s="2" t="s">
        <v>82</v>
      </c>
      <c r="G956" s="2" t="s">
        <v>83</v>
      </c>
      <c r="H956" s="2" t="s">
        <v>2318</v>
      </c>
      <c r="I956" s="2" t="s">
        <v>499</v>
      </c>
      <c r="J956" s="2" t="s">
        <v>500</v>
      </c>
      <c r="K956" s="2" t="s">
        <v>3087</v>
      </c>
      <c r="L956" s="2" t="s">
        <v>314</v>
      </c>
      <c r="M956" s="2" t="s">
        <v>2925</v>
      </c>
      <c r="N956" s="16">
        <v>3.0000000000000009E-2</v>
      </c>
      <c r="O956" s="17">
        <f>N956*'Financial Inputs'!$B$3</f>
        <v>3000000.0000000009</v>
      </c>
      <c r="P956" s="18">
        <f>IF(I956="L",'Financial Inputs'!$B$4,IF(I956="M",'Financial Inputs'!$B$5,'Financial Inputs'!$B$6))</f>
        <v>0.7</v>
      </c>
      <c r="Q956" s="17">
        <f>O956*P956</f>
        <v>2100000.0000000005</v>
      </c>
      <c r="R956" s="16">
        <f>'Financial Inputs'!$B$7</f>
        <v>0.35</v>
      </c>
      <c r="S956" s="17">
        <f>Q956*(1-R956)</f>
        <v>1365000.0000000005</v>
      </c>
      <c r="T956" s="18">
        <f>S956/'Financial Inputs'!$B$3</f>
        <v>1.3650000000000004E-2</v>
      </c>
      <c r="U956" s="9" t="s">
        <v>52</v>
      </c>
      <c r="V956" s="3" t="s">
        <v>53</v>
      </c>
    </row>
    <row r="957" spans="1:22">
      <c r="A957" s="2" t="s">
        <v>3088</v>
      </c>
      <c r="B957" s="2" t="s">
        <v>3089</v>
      </c>
      <c r="C957" s="2" t="s">
        <v>2923</v>
      </c>
      <c r="D957" s="2" t="s">
        <v>88</v>
      </c>
      <c r="E957" s="2" t="s">
        <v>128</v>
      </c>
      <c r="F957" s="2" t="s">
        <v>90</v>
      </c>
      <c r="G957" s="2" t="s">
        <v>67</v>
      </c>
      <c r="H957" s="2" t="s">
        <v>2318</v>
      </c>
      <c r="I957" s="2" t="s">
        <v>499</v>
      </c>
      <c r="J957" s="2" t="s">
        <v>500</v>
      </c>
      <c r="K957" s="2" t="s">
        <v>3090</v>
      </c>
      <c r="L957" s="2" t="s">
        <v>318</v>
      </c>
      <c r="M957" s="2" t="s">
        <v>2925</v>
      </c>
      <c r="N957" s="16">
        <v>0.02</v>
      </c>
      <c r="O957" s="17">
        <f>N957*'Financial Inputs'!$B$3</f>
        <v>2000000</v>
      </c>
      <c r="P957" s="18">
        <f>IF(I957="L",'Financial Inputs'!$B$4,IF(I957="M",'Financial Inputs'!$B$5,'Financial Inputs'!$B$6))</f>
        <v>0.7</v>
      </c>
      <c r="Q957" s="17">
        <f>O957*P957</f>
        <v>1400000</v>
      </c>
      <c r="R957" s="16">
        <f>'Financial Inputs'!$B$7</f>
        <v>0.35</v>
      </c>
      <c r="S957" s="17">
        <f>Q957*(1-R957)</f>
        <v>910000</v>
      </c>
      <c r="T957" s="18">
        <f>S957/'Financial Inputs'!$B$3</f>
        <v>9.1000000000000004E-3</v>
      </c>
      <c r="U957" s="9" t="s">
        <v>52</v>
      </c>
      <c r="V957" s="3" t="s">
        <v>53</v>
      </c>
    </row>
    <row r="958" spans="1:22">
      <c r="A958" s="2" t="s">
        <v>3091</v>
      </c>
      <c r="B958" s="2" t="s">
        <v>3092</v>
      </c>
      <c r="C958" s="2" t="s">
        <v>2923</v>
      </c>
      <c r="D958" s="2" t="s">
        <v>95</v>
      </c>
      <c r="E958" s="2" t="s">
        <v>43</v>
      </c>
      <c r="F958" s="2" t="s">
        <v>97</v>
      </c>
      <c r="G958" s="2" t="s">
        <v>75</v>
      </c>
      <c r="H958" s="2" t="s">
        <v>2318</v>
      </c>
      <c r="I958" s="2" t="s">
        <v>499</v>
      </c>
      <c r="J958" s="2" t="s">
        <v>500</v>
      </c>
      <c r="K958" s="2" t="s">
        <v>3093</v>
      </c>
      <c r="L958" s="2" t="s">
        <v>322</v>
      </c>
      <c r="M958" s="2" t="s">
        <v>2925</v>
      </c>
      <c r="N958" s="16">
        <v>2.2499999999999999E-2</v>
      </c>
      <c r="O958" s="17">
        <f>N958*'Financial Inputs'!$B$3</f>
        <v>2250000</v>
      </c>
      <c r="P958" s="18">
        <f>IF(I958="L",'Financial Inputs'!$B$4,IF(I958="M",'Financial Inputs'!$B$5,'Financial Inputs'!$B$6))</f>
        <v>0.7</v>
      </c>
      <c r="Q958" s="17">
        <f>O958*P958</f>
        <v>1575000</v>
      </c>
      <c r="R958" s="16">
        <f>'Financial Inputs'!$B$7</f>
        <v>0.35</v>
      </c>
      <c r="S958" s="17">
        <f>Q958*(1-R958)</f>
        <v>1023750</v>
      </c>
      <c r="T958" s="18">
        <f>S958/'Financial Inputs'!$B$3</f>
        <v>1.02375E-2</v>
      </c>
      <c r="U958" s="9" t="s">
        <v>52</v>
      </c>
      <c r="V958" s="3" t="s">
        <v>53</v>
      </c>
    </row>
    <row r="959" spans="1:22">
      <c r="A959" s="2" t="s">
        <v>3094</v>
      </c>
      <c r="B959" s="2" t="s">
        <v>3095</v>
      </c>
      <c r="C959" s="2" t="s">
        <v>2923</v>
      </c>
      <c r="D959" s="2" t="s">
        <v>102</v>
      </c>
      <c r="E959" s="2" t="s">
        <v>57</v>
      </c>
      <c r="F959" s="2" t="s">
        <v>104</v>
      </c>
      <c r="G959" s="2" t="s">
        <v>83</v>
      </c>
      <c r="H959" s="2" t="s">
        <v>2318</v>
      </c>
      <c r="I959" s="2" t="s">
        <v>499</v>
      </c>
      <c r="J959" s="2" t="s">
        <v>500</v>
      </c>
      <c r="K959" s="2" t="s">
        <v>3096</v>
      </c>
      <c r="L959" s="2" t="s">
        <v>326</v>
      </c>
      <c r="M959" s="2" t="s">
        <v>2925</v>
      </c>
      <c r="N959" s="16">
        <v>2.5000000000000001E-2</v>
      </c>
      <c r="O959" s="17">
        <f>N959*'Financial Inputs'!$B$3</f>
        <v>2500000</v>
      </c>
      <c r="P959" s="18">
        <f>IF(I959="L",'Financial Inputs'!$B$4,IF(I959="M",'Financial Inputs'!$B$5,'Financial Inputs'!$B$6))</f>
        <v>0.7</v>
      </c>
      <c r="Q959" s="17">
        <f>O959*P959</f>
        <v>1750000</v>
      </c>
      <c r="R959" s="16">
        <f>'Financial Inputs'!$B$7</f>
        <v>0.35</v>
      </c>
      <c r="S959" s="17">
        <f>Q959*(1-R959)</f>
        <v>1137500</v>
      </c>
      <c r="T959" s="18">
        <f>S959/'Financial Inputs'!$B$3</f>
        <v>1.1375E-2</v>
      </c>
      <c r="U959" s="9" t="s">
        <v>52</v>
      </c>
      <c r="V959" s="3" t="s">
        <v>53</v>
      </c>
    </row>
    <row r="960" spans="1:22">
      <c r="A960" s="2" t="s">
        <v>3097</v>
      </c>
      <c r="B960" s="2" t="s">
        <v>3098</v>
      </c>
      <c r="C960" s="2" t="s">
        <v>2923</v>
      </c>
      <c r="D960" s="2" t="s">
        <v>42</v>
      </c>
      <c r="E960" s="2" t="s">
        <v>65</v>
      </c>
      <c r="F960" s="2" t="s">
        <v>110</v>
      </c>
      <c r="G960" s="2" t="s">
        <v>111</v>
      </c>
      <c r="H960" s="2" t="s">
        <v>2318</v>
      </c>
      <c r="I960" s="2" t="s">
        <v>499</v>
      </c>
      <c r="J960" s="2" t="s">
        <v>500</v>
      </c>
      <c r="K960" s="2" t="s">
        <v>3099</v>
      </c>
      <c r="L960" s="2" t="s">
        <v>330</v>
      </c>
      <c r="M960" s="2" t="s">
        <v>2925</v>
      </c>
      <c r="N960" s="16">
        <v>2.75E-2</v>
      </c>
      <c r="O960" s="17">
        <f>N960*'Financial Inputs'!$B$3</f>
        <v>2750000</v>
      </c>
      <c r="P960" s="18">
        <f>IF(I960="L",'Financial Inputs'!$B$4,IF(I960="M",'Financial Inputs'!$B$5,'Financial Inputs'!$B$6))</f>
        <v>0.7</v>
      </c>
      <c r="Q960" s="17">
        <f>O960*P960</f>
        <v>1924999.9999999998</v>
      </c>
      <c r="R960" s="16">
        <f>'Financial Inputs'!$B$7</f>
        <v>0.35</v>
      </c>
      <c r="S960" s="17">
        <f>Q960*(1-R960)</f>
        <v>1251250</v>
      </c>
      <c r="T960" s="18">
        <f>S960/'Financial Inputs'!$B$3</f>
        <v>1.2512499999999999E-2</v>
      </c>
      <c r="U960" s="9" t="s">
        <v>52</v>
      </c>
      <c r="V960" s="3" t="s">
        <v>53</v>
      </c>
    </row>
    <row r="961" spans="1:22">
      <c r="A961" s="2" t="s">
        <v>3100</v>
      </c>
      <c r="B961" s="2" t="s">
        <v>3101</v>
      </c>
      <c r="C961" s="2" t="s">
        <v>2923</v>
      </c>
      <c r="D961" s="2" t="s">
        <v>56</v>
      </c>
      <c r="E961" s="2" t="s">
        <v>73</v>
      </c>
      <c r="F961" s="2" t="s">
        <v>117</v>
      </c>
      <c r="G961" s="2" t="s">
        <v>56</v>
      </c>
      <c r="H961" s="2" t="s">
        <v>2318</v>
      </c>
      <c r="I961" s="2" t="s">
        <v>499</v>
      </c>
      <c r="J961" s="2" t="s">
        <v>500</v>
      </c>
      <c r="K961" s="2" t="s">
        <v>3102</v>
      </c>
      <c r="L961" s="2" t="s">
        <v>334</v>
      </c>
      <c r="M961" s="2" t="s">
        <v>2925</v>
      </c>
      <c r="N961" s="16">
        <v>3.0000000000000009E-2</v>
      </c>
      <c r="O961" s="17">
        <f>N961*'Financial Inputs'!$B$3</f>
        <v>3000000.0000000009</v>
      </c>
      <c r="P961" s="18">
        <f>IF(I961="L",'Financial Inputs'!$B$4,IF(I961="M",'Financial Inputs'!$B$5,'Financial Inputs'!$B$6))</f>
        <v>0.7</v>
      </c>
      <c r="Q961" s="17">
        <f>O961*P961</f>
        <v>2100000.0000000005</v>
      </c>
      <c r="R961" s="16">
        <f>'Financial Inputs'!$B$7</f>
        <v>0.35</v>
      </c>
      <c r="S961" s="17">
        <f>Q961*(1-R961)</f>
        <v>1365000.0000000005</v>
      </c>
      <c r="T961" s="18">
        <f>S961/'Financial Inputs'!$B$3</f>
        <v>1.3650000000000004E-2</v>
      </c>
      <c r="U961" s="9" t="s">
        <v>52</v>
      </c>
      <c r="V961" s="3" t="s">
        <v>53</v>
      </c>
    </row>
    <row r="962" spans="1:22">
      <c r="A962" s="2" t="s">
        <v>3103</v>
      </c>
      <c r="B962" s="2" t="s">
        <v>3104</v>
      </c>
      <c r="C962" s="2" t="s">
        <v>2923</v>
      </c>
      <c r="D962" s="2" t="s">
        <v>80</v>
      </c>
      <c r="E962" s="2" t="s">
        <v>153</v>
      </c>
      <c r="F962" s="2" t="s">
        <v>58</v>
      </c>
      <c r="G962" s="2" t="s">
        <v>83</v>
      </c>
      <c r="H962" s="2" t="s">
        <v>2318</v>
      </c>
      <c r="I962" s="2" t="s">
        <v>499</v>
      </c>
      <c r="J962" s="2" t="s">
        <v>500</v>
      </c>
      <c r="K962" s="2" t="s">
        <v>3105</v>
      </c>
      <c r="L962" s="2" t="s">
        <v>338</v>
      </c>
      <c r="M962" s="2" t="s">
        <v>2925</v>
      </c>
      <c r="N962" s="16">
        <v>0.02</v>
      </c>
      <c r="O962" s="17">
        <f>N962*'Financial Inputs'!$B$3</f>
        <v>2000000</v>
      </c>
      <c r="P962" s="18">
        <f>IF(I962="L",'Financial Inputs'!$B$4,IF(I962="M",'Financial Inputs'!$B$5,'Financial Inputs'!$B$6))</f>
        <v>0.7</v>
      </c>
      <c r="Q962" s="17">
        <f>O962*P962</f>
        <v>1400000</v>
      </c>
      <c r="R962" s="16">
        <f>'Financial Inputs'!$B$7</f>
        <v>0.35</v>
      </c>
      <c r="S962" s="17">
        <f>Q962*(1-R962)</f>
        <v>910000</v>
      </c>
      <c r="T962" s="18">
        <f>S962/'Financial Inputs'!$B$3</f>
        <v>9.1000000000000004E-3</v>
      </c>
      <c r="U962" s="9" t="s">
        <v>52</v>
      </c>
      <c r="V962" s="3" t="s">
        <v>53</v>
      </c>
    </row>
    <row r="963" spans="1:22">
      <c r="A963" s="2" t="s">
        <v>3106</v>
      </c>
      <c r="B963" s="2" t="s">
        <v>3107</v>
      </c>
      <c r="C963" s="2" t="s">
        <v>2923</v>
      </c>
      <c r="D963" s="2" t="s">
        <v>127</v>
      </c>
      <c r="E963" s="2" t="s">
        <v>89</v>
      </c>
      <c r="F963" s="2" t="s">
        <v>66</v>
      </c>
      <c r="G963" s="2" t="s">
        <v>111</v>
      </c>
      <c r="H963" s="2" t="s">
        <v>2318</v>
      </c>
      <c r="I963" s="2" t="s">
        <v>499</v>
      </c>
      <c r="J963" s="2" t="s">
        <v>500</v>
      </c>
      <c r="K963" s="2" t="s">
        <v>3108</v>
      </c>
      <c r="L963" s="2" t="s">
        <v>342</v>
      </c>
      <c r="M963" s="2" t="s">
        <v>2925</v>
      </c>
      <c r="N963" s="16">
        <v>2.2499999999999999E-2</v>
      </c>
      <c r="O963" s="17">
        <f>N963*'Financial Inputs'!$B$3</f>
        <v>2250000</v>
      </c>
      <c r="P963" s="18">
        <f>IF(I963="L",'Financial Inputs'!$B$4,IF(I963="M",'Financial Inputs'!$B$5,'Financial Inputs'!$B$6))</f>
        <v>0.7</v>
      </c>
      <c r="Q963" s="17">
        <f>O963*P963</f>
        <v>1575000</v>
      </c>
      <c r="R963" s="16">
        <f>'Financial Inputs'!$B$7</f>
        <v>0.35</v>
      </c>
      <c r="S963" s="17">
        <f>Q963*(1-R963)</f>
        <v>1023750</v>
      </c>
      <c r="T963" s="18">
        <f>S963/'Financial Inputs'!$B$3</f>
        <v>1.02375E-2</v>
      </c>
      <c r="U963" s="9" t="s">
        <v>52</v>
      </c>
      <c r="V963" s="3" t="s">
        <v>53</v>
      </c>
    </row>
    <row r="964" spans="1:22">
      <c r="A964" s="2" t="s">
        <v>3109</v>
      </c>
      <c r="B964" s="2" t="s">
        <v>3110</v>
      </c>
      <c r="C964" s="2" t="s">
        <v>2923</v>
      </c>
      <c r="D964" s="2" t="s">
        <v>133</v>
      </c>
      <c r="E964" s="2" t="s">
        <v>96</v>
      </c>
      <c r="F964" s="2" t="s">
        <v>74</v>
      </c>
      <c r="G964" s="2" t="s">
        <v>56</v>
      </c>
      <c r="H964" s="2" t="s">
        <v>2318</v>
      </c>
      <c r="I964" s="2" t="s">
        <v>499</v>
      </c>
      <c r="J964" s="2" t="s">
        <v>500</v>
      </c>
      <c r="K964" s="2" t="s">
        <v>3111</v>
      </c>
      <c r="L964" s="2" t="s">
        <v>346</v>
      </c>
      <c r="M964" s="2" t="s">
        <v>2925</v>
      </c>
      <c r="N964" s="16">
        <v>2.5000000000000001E-2</v>
      </c>
      <c r="O964" s="17">
        <f>N964*'Financial Inputs'!$B$3</f>
        <v>2500000</v>
      </c>
      <c r="P964" s="18">
        <f>IF(I964="L",'Financial Inputs'!$B$4,IF(I964="M",'Financial Inputs'!$B$5,'Financial Inputs'!$B$6))</f>
        <v>0.7</v>
      </c>
      <c r="Q964" s="17">
        <f>O964*P964</f>
        <v>1750000</v>
      </c>
      <c r="R964" s="16">
        <f>'Financial Inputs'!$B$7</f>
        <v>0.35</v>
      </c>
      <c r="S964" s="17">
        <f>Q964*(1-R964)</f>
        <v>1137500</v>
      </c>
      <c r="T964" s="18">
        <f>S964/'Financial Inputs'!$B$3</f>
        <v>1.1375E-2</v>
      </c>
      <c r="U964" s="9" t="s">
        <v>52</v>
      </c>
      <c r="V964" s="3" t="s">
        <v>53</v>
      </c>
    </row>
    <row r="965" spans="1:22">
      <c r="A965" s="2" t="s">
        <v>3112</v>
      </c>
      <c r="B965" s="2" t="s">
        <v>3113</v>
      </c>
      <c r="C965" s="2" t="s">
        <v>2923</v>
      </c>
      <c r="D965" s="2" t="s">
        <v>88</v>
      </c>
      <c r="E965" s="2" t="s">
        <v>103</v>
      </c>
      <c r="F965" s="2" t="s">
        <v>82</v>
      </c>
      <c r="G965" s="2" t="s">
        <v>138</v>
      </c>
      <c r="H965" s="2" t="s">
        <v>2318</v>
      </c>
      <c r="I965" s="2" t="s">
        <v>499</v>
      </c>
      <c r="J965" s="2" t="s">
        <v>500</v>
      </c>
      <c r="K965" s="2" t="s">
        <v>3114</v>
      </c>
      <c r="L965" s="2" t="s">
        <v>350</v>
      </c>
      <c r="M965" s="2" t="s">
        <v>2925</v>
      </c>
      <c r="N965" s="16">
        <v>2.75E-2</v>
      </c>
      <c r="O965" s="17">
        <f>N965*'Financial Inputs'!$B$3</f>
        <v>2750000</v>
      </c>
      <c r="P965" s="18">
        <f>IF(I965="L",'Financial Inputs'!$B$4,IF(I965="M",'Financial Inputs'!$B$5,'Financial Inputs'!$B$6))</f>
        <v>0.7</v>
      </c>
      <c r="Q965" s="17">
        <f>O965*P965</f>
        <v>1924999.9999999998</v>
      </c>
      <c r="R965" s="16">
        <f>'Financial Inputs'!$B$7</f>
        <v>0.35</v>
      </c>
      <c r="S965" s="17">
        <f>Q965*(1-R965)</f>
        <v>1251250</v>
      </c>
      <c r="T965" s="18">
        <f>S965/'Financial Inputs'!$B$3</f>
        <v>1.2512499999999999E-2</v>
      </c>
      <c r="U965" s="9" t="s">
        <v>52</v>
      </c>
      <c r="V965" s="3" t="s">
        <v>53</v>
      </c>
    </row>
    <row r="966" spans="1:22">
      <c r="A966" s="2" t="s">
        <v>3115</v>
      </c>
      <c r="B966" s="2" t="s">
        <v>3116</v>
      </c>
      <c r="C966" s="2" t="s">
        <v>2923</v>
      </c>
      <c r="D966" s="2" t="s">
        <v>95</v>
      </c>
      <c r="E966" s="2" t="s">
        <v>109</v>
      </c>
      <c r="F966" s="2" t="s">
        <v>44</v>
      </c>
      <c r="G966" s="2" t="s">
        <v>143</v>
      </c>
      <c r="H966" s="2" t="s">
        <v>2318</v>
      </c>
      <c r="I966" s="2" t="s">
        <v>499</v>
      </c>
      <c r="J966" s="2" t="s">
        <v>500</v>
      </c>
      <c r="K966" s="2" t="s">
        <v>3117</v>
      </c>
      <c r="L966" s="2" t="s">
        <v>354</v>
      </c>
      <c r="M966" s="2" t="s">
        <v>2925</v>
      </c>
      <c r="N966" s="16">
        <v>3.0000000000000009E-2</v>
      </c>
      <c r="O966" s="17">
        <f>N966*'Financial Inputs'!$B$3</f>
        <v>3000000.0000000009</v>
      </c>
      <c r="P966" s="18">
        <f>IF(I966="L",'Financial Inputs'!$B$4,IF(I966="M",'Financial Inputs'!$B$5,'Financial Inputs'!$B$6))</f>
        <v>0.7</v>
      </c>
      <c r="Q966" s="17">
        <f>O966*P966</f>
        <v>2100000.0000000005</v>
      </c>
      <c r="R966" s="16">
        <f>'Financial Inputs'!$B$7</f>
        <v>0.35</v>
      </c>
      <c r="S966" s="17">
        <f>Q966*(1-R966)</f>
        <v>1365000.0000000005</v>
      </c>
      <c r="T966" s="18">
        <f>S966/'Financial Inputs'!$B$3</f>
        <v>1.3650000000000004E-2</v>
      </c>
      <c r="U966" s="9" t="s">
        <v>52</v>
      </c>
      <c r="V966" s="3" t="s">
        <v>53</v>
      </c>
    </row>
    <row r="967" spans="1:22">
      <c r="A967" s="2" t="s">
        <v>3118</v>
      </c>
      <c r="B967" s="2" t="s">
        <v>3119</v>
      </c>
      <c r="C967" s="2" t="s">
        <v>2923</v>
      </c>
      <c r="D967" s="2" t="s">
        <v>56</v>
      </c>
      <c r="E967" s="2" t="s">
        <v>176</v>
      </c>
      <c r="F967" s="2" t="s">
        <v>97</v>
      </c>
      <c r="G967" s="2" t="s">
        <v>56</v>
      </c>
      <c r="H967" s="2" t="s">
        <v>2318</v>
      </c>
      <c r="I967" s="2" t="s">
        <v>499</v>
      </c>
      <c r="J967" s="2" t="s">
        <v>500</v>
      </c>
      <c r="K967" s="2" t="s">
        <v>3120</v>
      </c>
      <c r="L967" s="2" t="s">
        <v>358</v>
      </c>
      <c r="M967" s="2" t="s">
        <v>2925</v>
      </c>
      <c r="N967" s="16">
        <v>0.02</v>
      </c>
      <c r="O967" s="17">
        <f>N967*'Financial Inputs'!$B$3</f>
        <v>2000000</v>
      </c>
      <c r="P967" s="18">
        <f>IF(I967="L",'Financial Inputs'!$B$4,IF(I967="M",'Financial Inputs'!$B$5,'Financial Inputs'!$B$6))</f>
        <v>0.7</v>
      </c>
      <c r="Q967" s="17">
        <f>O967*P967</f>
        <v>1400000</v>
      </c>
      <c r="R967" s="16">
        <f>'Financial Inputs'!$B$7</f>
        <v>0.35</v>
      </c>
      <c r="S967" s="17">
        <f>Q967*(1-R967)</f>
        <v>910000</v>
      </c>
      <c r="T967" s="18">
        <f>S967/'Financial Inputs'!$B$3</f>
        <v>9.1000000000000004E-3</v>
      </c>
      <c r="U967" s="9" t="s">
        <v>52</v>
      </c>
      <c r="V967" s="3" t="s">
        <v>53</v>
      </c>
    </row>
    <row r="968" spans="1:22">
      <c r="A968" s="2" t="s">
        <v>3121</v>
      </c>
      <c r="B968" s="2" t="s">
        <v>3122</v>
      </c>
      <c r="C968" s="2" t="s">
        <v>2923</v>
      </c>
      <c r="D968" s="2" t="s">
        <v>64</v>
      </c>
      <c r="E968" s="2" t="s">
        <v>122</v>
      </c>
      <c r="F968" s="2" t="s">
        <v>104</v>
      </c>
      <c r="G968" s="2" t="s">
        <v>138</v>
      </c>
      <c r="H968" s="2" t="s">
        <v>2318</v>
      </c>
      <c r="I968" s="2" t="s">
        <v>499</v>
      </c>
      <c r="J968" s="2" t="s">
        <v>500</v>
      </c>
      <c r="K968" s="2" t="s">
        <v>3123</v>
      </c>
      <c r="L968" s="2" t="s">
        <v>362</v>
      </c>
      <c r="M968" s="2" t="s">
        <v>2925</v>
      </c>
      <c r="N968" s="16">
        <v>2.2499999999999999E-2</v>
      </c>
      <c r="O968" s="17">
        <f>N968*'Financial Inputs'!$B$3</f>
        <v>2250000</v>
      </c>
      <c r="P968" s="18">
        <f>IF(I968="L",'Financial Inputs'!$B$4,IF(I968="M",'Financial Inputs'!$B$5,'Financial Inputs'!$B$6))</f>
        <v>0.7</v>
      </c>
      <c r="Q968" s="17">
        <f>O968*P968</f>
        <v>1575000</v>
      </c>
      <c r="R968" s="16">
        <f>'Financial Inputs'!$B$7</f>
        <v>0.35</v>
      </c>
      <c r="S968" s="17">
        <f>Q968*(1-R968)</f>
        <v>1023750</v>
      </c>
      <c r="T968" s="18">
        <f>S968/'Financial Inputs'!$B$3</f>
        <v>1.02375E-2</v>
      </c>
      <c r="U968" s="9" t="s">
        <v>52</v>
      </c>
      <c r="V968" s="3" t="s">
        <v>53</v>
      </c>
    </row>
    <row r="969" spans="1:22">
      <c r="A969" s="2" t="s">
        <v>3124</v>
      </c>
      <c r="B969" s="2" t="s">
        <v>3125</v>
      </c>
      <c r="C969" s="2" t="s">
        <v>2923</v>
      </c>
      <c r="D969" s="2" t="s">
        <v>72</v>
      </c>
      <c r="E969" s="2" t="s">
        <v>128</v>
      </c>
      <c r="F969" s="2" t="s">
        <v>110</v>
      </c>
      <c r="G969" s="2" t="s">
        <v>143</v>
      </c>
      <c r="H969" s="2" t="s">
        <v>2318</v>
      </c>
      <c r="I969" s="2" t="s">
        <v>499</v>
      </c>
      <c r="J969" s="2" t="s">
        <v>500</v>
      </c>
      <c r="K969" s="2" t="s">
        <v>3126</v>
      </c>
      <c r="L969" s="2" t="s">
        <v>366</v>
      </c>
      <c r="M969" s="2" t="s">
        <v>2925</v>
      </c>
      <c r="N969" s="16">
        <v>2.5000000000000001E-2</v>
      </c>
      <c r="O969" s="17">
        <f>N969*'Financial Inputs'!$B$3</f>
        <v>2500000</v>
      </c>
      <c r="P969" s="18">
        <f>IF(I969="L",'Financial Inputs'!$B$4,IF(I969="M",'Financial Inputs'!$B$5,'Financial Inputs'!$B$6))</f>
        <v>0.7</v>
      </c>
      <c r="Q969" s="17">
        <f>O969*P969</f>
        <v>1750000</v>
      </c>
      <c r="R969" s="16">
        <f>'Financial Inputs'!$B$7</f>
        <v>0.35</v>
      </c>
      <c r="S969" s="17">
        <f>Q969*(1-R969)</f>
        <v>1137500</v>
      </c>
      <c r="T969" s="18">
        <f>S969/'Financial Inputs'!$B$3</f>
        <v>1.1375E-2</v>
      </c>
      <c r="U969" s="9" t="s">
        <v>52</v>
      </c>
      <c r="V969" s="3" t="s">
        <v>53</v>
      </c>
    </row>
    <row r="970" spans="1:22">
      <c r="A970" s="2" t="s">
        <v>3127</v>
      </c>
      <c r="B970" s="2" t="s">
        <v>3128</v>
      </c>
      <c r="C970" s="2" t="s">
        <v>2923</v>
      </c>
      <c r="D970" s="2" t="s">
        <v>80</v>
      </c>
      <c r="E970" s="2" t="s">
        <v>43</v>
      </c>
      <c r="F970" s="2" t="s">
        <v>117</v>
      </c>
      <c r="G970" s="2" t="s">
        <v>162</v>
      </c>
      <c r="H970" s="2" t="s">
        <v>2318</v>
      </c>
      <c r="I970" s="2" t="s">
        <v>499</v>
      </c>
      <c r="J970" s="2" t="s">
        <v>500</v>
      </c>
      <c r="K970" s="2" t="s">
        <v>3129</v>
      </c>
      <c r="L970" s="2" t="s">
        <v>370</v>
      </c>
      <c r="M970" s="2" t="s">
        <v>2925</v>
      </c>
      <c r="N970" s="16">
        <v>2.75E-2</v>
      </c>
      <c r="O970" s="17">
        <f>N970*'Financial Inputs'!$B$3</f>
        <v>2750000</v>
      </c>
      <c r="P970" s="18">
        <f>IF(I970="L",'Financial Inputs'!$B$4,IF(I970="M",'Financial Inputs'!$B$5,'Financial Inputs'!$B$6))</f>
        <v>0.7</v>
      </c>
      <c r="Q970" s="17">
        <f>O970*P970</f>
        <v>1924999.9999999998</v>
      </c>
      <c r="R970" s="16">
        <f>'Financial Inputs'!$B$7</f>
        <v>0.35</v>
      </c>
      <c r="S970" s="17">
        <f>Q970*(1-R970)</f>
        <v>1251250</v>
      </c>
      <c r="T970" s="18">
        <f>S970/'Financial Inputs'!$B$3</f>
        <v>1.2512499999999999E-2</v>
      </c>
      <c r="U970" s="9" t="s">
        <v>52</v>
      </c>
      <c r="V970" s="3" t="s">
        <v>53</v>
      </c>
    </row>
    <row r="971" spans="1:22">
      <c r="A971" s="2" t="s">
        <v>3130</v>
      </c>
      <c r="B971" s="2" t="s">
        <v>3131</v>
      </c>
      <c r="C971" s="2" t="s">
        <v>2923</v>
      </c>
      <c r="D971" s="2" t="s">
        <v>127</v>
      </c>
      <c r="E971" s="2" t="s">
        <v>57</v>
      </c>
      <c r="F971" s="2" t="s">
        <v>90</v>
      </c>
      <c r="G971" s="2" t="s">
        <v>45</v>
      </c>
      <c r="H971" s="2" t="s">
        <v>2318</v>
      </c>
      <c r="I971" s="2" t="s">
        <v>499</v>
      </c>
      <c r="J971" s="2" t="s">
        <v>500</v>
      </c>
      <c r="K971" s="2" t="s">
        <v>3132</v>
      </c>
      <c r="L971" s="2" t="s">
        <v>374</v>
      </c>
      <c r="M971" s="2" t="s">
        <v>2925</v>
      </c>
      <c r="N971" s="16">
        <v>3.0000000000000009E-2</v>
      </c>
      <c r="O971" s="17">
        <f>N971*'Financial Inputs'!$B$3</f>
        <v>3000000.0000000009</v>
      </c>
      <c r="P971" s="18">
        <f>IF(I971="L",'Financial Inputs'!$B$4,IF(I971="M",'Financial Inputs'!$B$5,'Financial Inputs'!$B$6))</f>
        <v>0.7</v>
      </c>
      <c r="Q971" s="17">
        <f>O971*P971</f>
        <v>2100000.0000000005</v>
      </c>
      <c r="R971" s="16">
        <f>'Financial Inputs'!$B$7</f>
        <v>0.35</v>
      </c>
      <c r="S971" s="17">
        <f>Q971*(1-R971)</f>
        <v>1365000.0000000005</v>
      </c>
      <c r="T971" s="18">
        <f>S971/'Financial Inputs'!$B$3</f>
        <v>1.3650000000000004E-2</v>
      </c>
      <c r="U971" s="9" t="s">
        <v>52</v>
      </c>
      <c r="V971" s="3" t="s">
        <v>53</v>
      </c>
    </row>
    <row r="972" spans="1:22">
      <c r="A972" s="2" t="s">
        <v>3133</v>
      </c>
      <c r="B972" s="2" t="s">
        <v>3134</v>
      </c>
      <c r="C972" s="2" t="s">
        <v>2923</v>
      </c>
      <c r="D972" s="2" t="s">
        <v>95</v>
      </c>
      <c r="E972" s="2" t="s">
        <v>198</v>
      </c>
      <c r="F972" s="2" t="s">
        <v>66</v>
      </c>
      <c r="G972" s="2" t="s">
        <v>143</v>
      </c>
      <c r="H972" s="2" t="s">
        <v>2318</v>
      </c>
      <c r="I972" s="2" t="s">
        <v>499</v>
      </c>
      <c r="J972" s="2" t="s">
        <v>500</v>
      </c>
      <c r="K972" s="2" t="s">
        <v>3135</v>
      </c>
      <c r="L972" s="2" t="s">
        <v>378</v>
      </c>
      <c r="M972" s="2" t="s">
        <v>2925</v>
      </c>
      <c r="N972" s="16">
        <v>0.02</v>
      </c>
      <c r="O972" s="17">
        <f>N972*'Financial Inputs'!$B$3</f>
        <v>2000000</v>
      </c>
      <c r="P972" s="18">
        <f>IF(I972="L",'Financial Inputs'!$B$4,IF(I972="M",'Financial Inputs'!$B$5,'Financial Inputs'!$B$6))</f>
        <v>0.7</v>
      </c>
      <c r="Q972" s="17">
        <f>O972*P972</f>
        <v>1400000</v>
      </c>
      <c r="R972" s="16">
        <f>'Financial Inputs'!$B$7</f>
        <v>0.35</v>
      </c>
      <c r="S972" s="17">
        <f>Q972*(1-R972)</f>
        <v>910000</v>
      </c>
      <c r="T972" s="18">
        <f>S972/'Financial Inputs'!$B$3</f>
        <v>9.1000000000000004E-3</v>
      </c>
      <c r="U972" s="9" t="s">
        <v>52</v>
      </c>
      <c r="V972" s="3" t="s">
        <v>53</v>
      </c>
    </row>
    <row r="973" spans="1:22">
      <c r="A973" s="2" t="s">
        <v>3136</v>
      </c>
      <c r="B973" s="2" t="s">
        <v>3137</v>
      </c>
      <c r="C973" s="2" t="s">
        <v>2923</v>
      </c>
      <c r="D973" s="2" t="s">
        <v>102</v>
      </c>
      <c r="E973" s="2" t="s">
        <v>148</v>
      </c>
      <c r="F973" s="2" t="s">
        <v>74</v>
      </c>
      <c r="G973" s="2" t="s">
        <v>162</v>
      </c>
      <c r="H973" s="2" t="s">
        <v>2318</v>
      </c>
      <c r="I973" s="2" t="s">
        <v>499</v>
      </c>
      <c r="J973" s="2" t="s">
        <v>500</v>
      </c>
      <c r="K973" s="2" t="s">
        <v>3138</v>
      </c>
      <c r="L973" s="2" t="s">
        <v>382</v>
      </c>
      <c r="M973" s="2" t="s">
        <v>2925</v>
      </c>
      <c r="N973" s="16">
        <v>2.2499999999999999E-2</v>
      </c>
      <c r="O973" s="17">
        <f>N973*'Financial Inputs'!$B$3</f>
        <v>2250000</v>
      </c>
      <c r="P973" s="18">
        <f>IF(I973="L",'Financial Inputs'!$B$4,IF(I973="M",'Financial Inputs'!$B$5,'Financial Inputs'!$B$6))</f>
        <v>0.7</v>
      </c>
      <c r="Q973" s="17">
        <f>O973*P973</f>
        <v>1575000</v>
      </c>
      <c r="R973" s="16">
        <f>'Financial Inputs'!$B$7</f>
        <v>0.35</v>
      </c>
      <c r="S973" s="17">
        <f>Q973*(1-R973)</f>
        <v>1023750</v>
      </c>
      <c r="T973" s="18">
        <f>S973/'Financial Inputs'!$B$3</f>
        <v>1.02375E-2</v>
      </c>
      <c r="U973" s="9" t="s">
        <v>52</v>
      </c>
      <c r="V973" s="3" t="s">
        <v>53</v>
      </c>
    </row>
    <row r="974" spans="1:22">
      <c r="A974" s="2" t="s">
        <v>3139</v>
      </c>
      <c r="B974" s="2" t="s">
        <v>3140</v>
      </c>
      <c r="C974" s="2" t="s">
        <v>2923</v>
      </c>
      <c r="D974" s="2" t="s">
        <v>42</v>
      </c>
      <c r="E974" s="2" t="s">
        <v>153</v>
      </c>
      <c r="F974" s="2" t="s">
        <v>82</v>
      </c>
      <c r="G974" s="2" t="s">
        <v>45</v>
      </c>
      <c r="H974" s="2" t="s">
        <v>2318</v>
      </c>
      <c r="I974" s="2" t="s">
        <v>499</v>
      </c>
      <c r="J974" s="2" t="s">
        <v>500</v>
      </c>
      <c r="K974" s="2" t="s">
        <v>3141</v>
      </c>
      <c r="L974" s="2" t="s">
        <v>386</v>
      </c>
      <c r="M974" s="2" t="s">
        <v>2925</v>
      </c>
      <c r="N974" s="16">
        <v>2.5000000000000001E-2</v>
      </c>
      <c r="O974" s="17">
        <f>N974*'Financial Inputs'!$B$3</f>
        <v>2500000</v>
      </c>
      <c r="P974" s="18">
        <f>IF(I974="L",'Financial Inputs'!$B$4,IF(I974="M",'Financial Inputs'!$B$5,'Financial Inputs'!$B$6))</f>
        <v>0.7</v>
      </c>
      <c r="Q974" s="17">
        <f>O974*P974</f>
        <v>1750000</v>
      </c>
      <c r="R974" s="16">
        <f>'Financial Inputs'!$B$7</f>
        <v>0.35</v>
      </c>
      <c r="S974" s="17">
        <f>Q974*(1-R974)</f>
        <v>1137500</v>
      </c>
      <c r="T974" s="18">
        <f>S974/'Financial Inputs'!$B$3</f>
        <v>1.1375E-2</v>
      </c>
      <c r="U974" s="9" t="s">
        <v>52</v>
      </c>
      <c r="V974" s="3" t="s">
        <v>53</v>
      </c>
    </row>
    <row r="975" spans="1:22">
      <c r="A975" s="2" t="s">
        <v>3142</v>
      </c>
      <c r="B975" s="2" t="s">
        <v>3143</v>
      </c>
      <c r="C975" s="2" t="s">
        <v>2923</v>
      </c>
      <c r="D975" s="2" t="s">
        <v>56</v>
      </c>
      <c r="E975" s="2" t="s">
        <v>89</v>
      </c>
      <c r="F975" s="2" t="s">
        <v>44</v>
      </c>
      <c r="G975" s="2" t="s">
        <v>59</v>
      </c>
      <c r="H975" s="2" t="s">
        <v>2318</v>
      </c>
      <c r="I975" s="2" t="s">
        <v>499</v>
      </c>
      <c r="J975" s="2" t="s">
        <v>500</v>
      </c>
      <c r="K975" s="2" t="s">
        <v>3144</v>
      </c>
      <c r="L975" s="2" t="s">
        <v>390</v>
      </c>
      <c r="M975" s="2" t="s">
        <v>2925</v>
      </c>
      <c r="N975" s="16">
        <v>2.75E-2</v>
      </c>
      <c r="O975" s="17">
        <f>N975*'Financial Inputs'!$B$3</f>
        <v>2750000</v>
      </c>
      <c r="P975" s="18">
        <f>IF(I975="L",'Financial Inputs'!$B$4,IF(I975="M",'Financial Inputs'!$B$5,'Financial Inputs'!$B$6))</f>
        <v>0.7</v>
      </c>
      <c r="Q975" s="17">
        <f>O975*P975</f>
        <v>1924999.9999999998</v>
      </c>
      <c r="R975" s="16">
        <f>'Financial Inputs'!$B$7</f>
        <v>0.35</v>
      </c>
      <c r="S975" s="17">
        <f>Q975*(1-R975)</f>
        <v>1251250</v>
      </c>
      <c r="T975" s="18">
        <f>S975/'Financial Inputs'!$B$3</f>
        <v>1.2512499999999999E-2</v>
      </c>
      <c r="U975" s="9" t="s">
        <v>52</v>
      </c>
      <c r="V975" s="3" t="s">
        <v>53</v>
      </c>
    </row>
    <row r="976" spans="1:22">
      <c r="A976" s="2" t="s">
        <v>3145</v>
      </c>
      <c r="B976" s="2" t="s">
        <v>3146</v>
      </c>
      <c r="C976" s="2" t="s">
        <v>2923</v>
      </c>
      <c r="D976" s="2" t="s">
        <v>64</v>
      </c>
      <c r="E976" s="2" t="s">
        <v>96</v>
      </c>
      <c r="F976" s="2" t="s">
        <v>58</v>
      </c>
      <c r="G976" s="2" t="s">
        <v>67</v>
      </c>
      <c r="H976" s="2" t="s">
        <v>2318</v>
      </c>
      <c r="I976" s="2" t="s">
        <v>499</v>
      </c>
      <c r="J976" s="2" t="s">
        <v>500</v>
      </c>
      <c r="K976" s="2" t="s">
        <v>3147</v>
      </c>
      <c r="L976" s="2" t="s">
        <v>394</v>
      </c>
      <c r="M976" s="2" t="s">
        <v>2925</v>
      </c>
      <c r="N976" s="16">
        <v>3.0000000000000009E-2</v>
      </c>
      <c r="O976" s="17">
        <f>N976*'Financial Inputs'!$B$3</f>
        <v>3000000.0000000009</v>
      </c>
      <c r="P976" s="18">
        <f>IF(I976="L",'Financial Inputs'!$B$4,IF(I976="M",'Financial Inputs'!$B$5,'Financial Inputs'!$B$6))</f>
        <v>0.7</v>
      </c>
      <c r="Q976" s="17">
        <f>O976*P976</f>
        <v>2100000.0000000005</v>
      </c>
      <c r="R976" s="16">
        <f>'Financial Inputs'!$B$7</f>
        <v>0.35</v>
      </c>
      <c r="S976" s="17">
        <f>Q976*(1-R976)</f>
        <v>1365000.0000000005</v>
      </c>
      <c r="T976" s="18">
        <f>S976/'Financial Inputs'!$B$3</f>
        <v>1.3650000000000004E-2</v>
      </c>
      <c r="U976" s="9" t="s">
        <v>52</v>
      </c>
      <c r="V976" s="3" t="s">
        <v>53</v>
      </c>
    </row>
    <row r="977" spans="1:22">
      <c r="A977" s="2" t="s">
        <v>3148</v>
      </c>
      <c r="B977" s="2" t="s">
        <v>3149</v>
      </c>
      <c r="C977" s="2" t="s">
        <v>2923</v>
      </c>
      <c r="D977" s="2" t="s">
        <v>127</v>
      </c>
      <c r="E977" s="2" t="s">
        <v>220</v>
      </c>
      <c r="F977" s="2" t="s">
        <v>104</v>
      </c>
      <c r="G977" s="2" t="s">
        <v>45</v>
      </c>
      <c r="H977" s="2" t="s">
        <v>2318</v>
      </c>
      <c r="I977" s="2" t="s">
        <v>499</v>
      </c>
      <c r="J977" s="2" t="s">
        <v>500</v>
      </c>
      <c r="K977" s="2" t="s">
        <v>3150</v>
      </c>
      <c r="L977" s="2" t="s">
        <v>398</v>
      </c>
      <c r="M977" s="2" t="s">
        <v>2925</v>
      </c>
      <c r="N977" s="16">
        <v>0.02</v>
      </c>
      <c r="O977" s="17">
        <f>N977*'Financial Inputs'!$B$3</f>
        <v>2000000</v>
      </c>
      <c r="P977" s="18">
        <f>IF(I977="L",'Financial Inputs'!$B$4,IF(I977="M",'Financial Inputs'!$B$5,'Financial Inputs'!$B$6))</f>
        <v>0.7</v>
      </c>
      <c r="Q977" s="17">
        <f>O977*P977</f>
        <v>1400000</v>
      </c>
      <c r="R977" s="16">
        <f>'Financial Inputs'!$B$7</f>
        <v>0.35</v>
      </c>
      <c r="S977" s="17">
        <f>Q977*(1-R977)</f>
        <v>910000</v>
      </c>
      <c r="T977" s="18">
        <f>S977/'Financial Inputs'!$B$3</f>
        <v>9.1000000000000004E-3</v>
      </c>
      <c r="U977" s="9" t="s">
        <v>52</v>
      </c>
      <c r="V977" s="3" t="s">
        <v>53</v>
      </c>
    </row>
    <row r="978" spans="1:22">
      <c r="A978" s="2" t="s">
        <v>3151</v>
      </c>
      <c r="B978" s="2" t="s">
        <v>3152</v>
      </c>
      <c r="C978" s="2" t="s">
        <v>2923</v>
      </c>
      <c r="D978" s="2" t="s">
        <v>133</v>
      </c>
      <c r="E978" s="2" t="s">
        <v>171</v>
      </c>
      <c r="F978" s="2" t="s">
        <v>110</v>
      </c>
      <c r="G978" s="2" t="s">
        <v>59</v>
      </c>
      <c r="H978" s="2" t="s">
        <v>2318</v>
      </c>
      <c r="I978" s="2" t="s">
        <v>499</v>
      </c>
      <c r="J978" s="2" t="s">
        <v>500</v>
      </c>
      <c r="K978" s="2" t="s">
        <v>3153</v>
      </c>
      <c r="L978" s="2" t="s">
        <v>402</v>
      </c>
      <c r="M978" s="2" t="s">
        <v>2925</v>
      </c>
      <c r="N978" s="16">
        <v>2.2499999999999999E-2</v>
      </c>
      <c r="O978" s="17">
        <f>N978*'Financial Inputs'!$B$3</f>
        <v>2250000</v>
      </c>
      <c r="P978" s="18">
        <f>IF(I978="L",'Financial Inputs'!$B$4,IF(I978="M",'Financial Inputs'!$B$5,'Financial Inputs'!$B$6))</f>
        <v>0.7</v>
      </c>
      <c r="Q978" s="17">
        <f>O978*P978</f>
        <v>1575000</v>
      </c>
      <c r="R978" s="16">
        <f>'Financial Inputs'!$B$7</f>
        <v>0.35</v>
      </c>
      <c r="S978" s="17">
        <f>Q978*(1-R978)</f>
        <v>1023750</v>
      </c>
      <c r="T978" s="18">
        <f>S978/'Financial Inputs'!$B$3</f>
        <v>1.02375E-2</v>
      </c>
      <c r="U978" s="9" t="s">
        <v>52</v>
      </c>
      <c r="V978" s="3" t="s">
        <v>53</v>
      </c>
    </row>
    <row r="979" spans="1:22">
      <c r="A979" s="2" t="s">
        <v>3154</v>
      </c>
      <c r="B979" s="2" t="s">
        <v>3155</v>
      </c>
      <c r="C979" s="2" t="s">
        <v>2923</v>
      </c>
      <c r="D979" s="2" t="s">
        <v>88</v>
      </c>
      <c r="E979" s="2" t="s">
        <v>176</v>
      </c>
      <c r="F979" s="2" t="s">
        <v>117</v>
      </c>
      <c r="G979" s="2" t="s">
        <v>67</v>
      </c>
      <c r="H979" s="2" t="s">
        <v>2318</v>
      </c>
      <c r="I979" s="2" t="s">
        <v>499</v>
      </c>
      <c r="J979" s="2" t="s">
        <v>500</v>
      </c>
      <c r="K979" s="2" t="s">
        <v>3156</v>
      </c>
      <c r="L979" s="2" t="s">
        <v>406</v>
      </c>
      <c r="M979" s="2" t="s">
        <v>2925</v>
      </c>
      <c r="N979" s="16">
        <v>2.5000000000000001E-2</v>
      </c>
      <c r="O979" s="17">
        <f>N979*'Financial Inputs'!$B$3</f>
        <v>2500000</v>
      </c>
      <c r="P979" s="18">
        <f>IF(I979="L",'Financial Inputs'!$B$4,IF(I979="M",'Financial Inputs'!$B$5,'Financial Inputs'!$B$6))</f>
        <v>0.7</v>
      </c>
      <c r="Q979" s="17">
        <f>O979*P979</f>
        <v>1750000</v>
      </c>
      <c r="R979" s="16">
        <f>'Financial Inputs'!$B$7</f>
        <v>0.35</v>
      </c>
      <c r="S979" s="17">
        <f>Q979*(1-R979)</f>
        <v>1137500</v>
      </c>
      <c r="T979" s="18">
        <f>S979/'Financial Inputs'!$B$3</f>
        <v>1.1375E-2</v>
      </c>
      <c r="U979" s="9" t="s">
        <v>52</v>
      </c>
      <c r="V979" s="3" t="s">
        <v>53</v>
      </c>
    </row>
    <row r="980" spans="1:22">
      <c r="A980" s="2" t="s">
        <v>3157</v>
      </c>
      <c r="B980" s="2" t="s">
        <v>3158</v>
      </c>
      <c r="C980" s="2" t="s">
        <v>2923</v>
      </c>
      <c r="D980" s="2" t="s">
        <v>95</v>
      </c>
      <c r="E980" s="2" t="s">
        <v>122</v>
      </c>
      <c r="F980" s="2" t="s">
        <v>90</v>
      </c>
      <c r="G980" s="2" t="s">
        <v>75</v>
      </c>
      <c r="H980" s="2" t="s">
        <v>2318</v>
      </c>
      <c r="I980" s="2" t="s">
        <v>499</v>
      </c>
      <c r="J980" s="2" t="s">
        <v>500</v>
      </c>
      <c r="K980" s="2" t="s">
        <v>3159</v>
      </c>
      <c r="L980" s="2" t="s">
        <v>410</v>
      </c>
      <c r="M980" s="2" t="s">
        <v>2925</v>
      </c>
      <c r="N980" s="16">
        <v>2.75E-2</v>
      </c>
      <c r="O980" s="17">
        <f>N980*'Financial Inputs'!$B$3</f>
        <v>2750000</v>
      </c>
      <c r="P980" s="18">
        <f>IF(I980="L",'Financial Inputs'!$B$4,IF(I980="M",'Financial Inputs'!$B$5,'Financial Inputs'!$B$6))</f>
        <v>0.7</v>
      </c>
      <c r="Q980" s="17">
        <f>O980*P980</f>
        <v>1924999.9999999998</v>
      </c>
      <c r="R980" s="16">
        <f>'Financial Inputs'!$B$7</f>
        <v>0.35</v>
      </c>
      <c r="S980" s="17">
        <f>Q980*(1-R980)</f>
        <v>1251250</v>
      </c>
      <c r="T980" s="18">
        <f>S980/'Financial Inputs'!$B$3</f>
        <v>1.2512499999999999E-2</v>
      </c>
      <c r="U980" s="9" t="s">
        <v>52</v>
      </c>
      <c r="V980" s="3" t="s">
        <v>53</v>
      </c>
    </row>
    <row r="981" spans="1:22">
      <c r="A981" s="2" t="s">
        <v>3160</v>
      </c>
      <c r="B981" s="2" t="s">
        <v>3161</v>
      </c>
      <c r="C981" s="2" t="s">
        <v>2923</v>
      </c>
      <c r="D981" s="2" t="s">
        <v>102</v>
      </c>
      <c r="E981" s="2" t="s">
        <v>128</v>
      </c>
      <c r="F981" s="2" t="s">
        <v>97</v>
      </c>
      <c r="G981" s="2" t="s">
        <v>83</v>
      </c>
      <c r="H981" s="2" t="s">
        <v>2318</v>
      </c>
      <c r="I981" s="2" t="s">
        <v>499</v>
      </c>
      <c r="J981" s="2" t="s">
        <v>500</v>
      </c>
      <c r="K981" s="2" t="s">
        <v>3162</v>
      </c>
      <c r="L981" s="2" t="s">
        <v>414</v>
      </c>
      <c r="M981" s="2" t="s">
        <v>2925</v>
      </c>
      <c r="N981" s="16">
        <v>3.0000000000000009E-2</v>
      </c>
      <c r="O981" s="17">
        <f>N981*'Financial Inputs'!$B$3</f>
        <v>3000000.0000000009</v>
      </c>
      <c r="P981" s="18">
        <f>IF(I981="L",'Financial Inputs'!$B$4,IF(I981="M",'Financial Inputs'!$B$5,'Financial Inputs'!$B$6))</f>
        <v>0.7</v>
      </c>
      <c r="Q981" s="17">
        <f>O981*P981</f>
        <v>2100000.0000000005</v>
      </c>
      <c r="R981" s="16">
        <f>'Financial Inputs'!$B$7</f>
        <v>0.35</v>
      </c>
      <c r="S981" s="17">
        <f>Q981*(1-R981)</f>
        <v>1365000.0000000005</v>
      </c>
      <c r="T981" s="18">
        <f>S981/'Financial Inputs'!$B$3</f>
        <v>1.3650000000000004E-2</v>
      </c>
      <c r="U981" s="9" t="s">
        <v>52</v>
      </c>
      <c r="V981" s="3" t="s">
        <v>53</v>
      </c>
    </row>
    <row r="982" spans="1:22">
      <c r="A982" s="2" t="s">
        <v>3163</v>
      </c>
      <c r="B982" s="2" t="s">
        <v>3164</v>
      </c>
      <c r="C982" s="2" t="s">
        <v>2923</v>
      </c>
      <c r="D982" s="2" t="s">
        <v>64</v>
      </c>
      <c r="E982" s="2" t="s">
        <v>81</v>
      </c>
      <c r="F982" s="2" t="s">
        <v>74</v>
      </c>
      <c r="G982" s="2" t="s">
        <v>67</v>
      </c>
      <c r="H982" s="2" t="s">
        <v>2318</v>
      </c>
      <c r="I982" s="2" t="s">
        <v>499</v>
      </c>
      <c r="J982" s="2" t="s">
        <v>500</v>
      </c>
      <c r="K982" s="2" t="s">
        <v>3165</v>
      </c>
      <c r="L982" s="2" t="s">
        <v>418</v>
      </c>
      <c r="M982" s="2" t="s">
        <v>2925</v>
      </c>
      <c r="N982" s="16">
        <v>0.02</v>
      </c>
      <c r="O982" s="17">
        <f>N982*'Financial Inputs'!$B$3</f>
        <v>2000000</v>
      </c>
      <c r="P982" s="18">
        <f>IF(I982="L",'Financial Inputs'!$B$4,IF(I982="M",'Financial Inputs'!$B$5,'Financial Inputs'!$B$6))</f>
        <v>0.7</v>
      </c>
      <c r="Q982" s="17">
        <f>O982*P982</f>
        <v>1400000</v>
      </c>
      <c r="R982" s="16">
        <f>'Financial Inputs'!$B$7</f>
        <v>0.35</v>
      </c>
      <c r="S982" s="17">
        <f>Q982*(1-R982)</f>
        <v>910000</v>
      </c>
      <c r="T982" s="18">
        <f>S982/'Financial Inputs'!$B$3</f>
        <v>9.1000000000000004E-3</v>
      </c>
      <c r="U982" s="9" t="s">
        <v>52</v>
      </c>
      <c r="V982" s="3" t="s">
        <v>53</v>
      </c>
    </row>
    <row r="983" spans="1:22">
      <c r="A983" s="2" t="s">
        <v>3166</v>
      </c>
      <c r="B983" s="2" t="s">
        <v>3167</v>
      </c>
      <c r="C983" s="2" t="s">
        <v>2923</v>
      </c>
      <c r="D983" s="2" t="s">
        <v>72</v>
      </c>
      <c r="E983" s="2" t="s">
        <v>193</v>
      </c>
      <c r="F983" s="2" t="s">
        <v>82</v>
      </c>
      <c r="G983" s="2" t="s">
        <v>75</v>
      </c>
      <c r="H983" s="2" t="s">
        <v>2318</v>
      </c>
      <c r="I983" s="2" t="s">
        <v>499</v>
      </c>
      <c r="J983" s="2" t="s">
        <v>500</v>
      </c>
      <c r="K983" s="2" t="s">
        <v>3168</v>
      </c>
      <c r="L983" s="2" t="s">
        <v>422</v>
      </c>
      <c r="M983" s="2" t="s">
        <v>2925</v>
      </c>
      <c r="N983" s="16">
        <v>2.2499999999999999E-2</v>
      </c>
      <c r="O983" s="17">
        <f>N983*'Financial Inputs'!$B$3</f>
        <v>2250000</v>
      </c>
      <c r="P983" s="18">
        <f>IF(I983="L",'Financial Inputs'!$B$4,IF(I983="M",'Financial Inputs'!$B$5,'Financial Inputs'!$B$6))</f>
        <v>0.7</v>
      </c>
      <c r="Q983" s="17">
        <f>O983*P983</f>
        <v>1575000</v>
      </c>
      <c r="R983" s="16">
        <f>'Financial Inputs'!$B$7</f>
        <v>0.35</v>
      </c>
      <c r="S983" s="17">
        <f>Q983*(1-R983)</f>
        <v>1023750</v>
      </c>
      <c r="T983" s="18">
        <f>S983/'Financial Inputs'!$B$3</f>
        <v>1.02375E-2</v>
      </c>
      <c r="U983" s="9" t="s">
        <v>52</v>
      </c>
      <c r="V983" s="3" t="s">
        <v>53</v>
      </c>
    </row>
    <row r="984" spans="1:22">
      <c r="A984" s="2" t="s">
        <v>3169</v>
      </c>
      <c r="B984" s="2" t="s">
        <v>3170</v>
      </c>
      <c r="C984" s="2" t="s">
        <v>2923</v>
      </c>
      <c r="D984" s="2" t="s">
        <v>80</v>
      </c>
      <c r="E984" s="2" t="s">
        <v>198</v>
      </c>
      <c r="F984" s="2" t="s">
        <v>44</v>
      </c>
      <c r="G984" s="2" t="s">
        <v>83</v>
      </c>
      <c r="H984" s="2" t="s">
        <v>2318</v>
      </c>
      <c r="I984" s="2" t="s">
        <v>499</v>
      </c>
      <c r="J984" s="2" t="s">
        <v>500</v>
      </c>
      <c r="K984" s="2" t="s">
        <v>3171</v>
      </c>
      <c r="L984" s="2" t="s">
        <v>426</v>
      </c>
      <c r="M984" s="2" t="s">
        <v>2925</v>
      </c>
      <c r="N984" s="16">
        <v>2.5000000000000001E-2</v>
      </c>
      <c r="O984" s="17">
        <f>N984*'Financial Inputs'!$B$3</f>
        <v>2500000</v>
      </c>
      <c r="P984" s="18">
        <f>IF(I984="L",'Financial Inputs'!$B$4,IF(I984="M",'Financial Inputs'!$B$5,'Financial Inputs'!$B$6))</f>
        <v>0.7</v>
      </c>
      <c r="Q984" s="17">
        <f>O984*P984</f>
        <v>1750000</v>
      </c>
      <c r="R984" s="16">
        <f>'Financial Inputs'!$B$7</f>
        <v>0.35</v>
      </c>
      <c r="S984" s="17">
        <f>Q984*(1-R984)</f>
        <v>1137500</v>
      </c>
      <c r="T984" s="18">
        <f>S984/'Financial Inputs'!$B$3</f>
        <v>1.1375E-2</v>
      </c>
      <c r="U984" s="9" t="s">
        <v>52</v>
      </c>
      <c r="V984" s="3" t="s">
        <v>53</v>
      </c>
    </row>
    <row r="985" spans="1:22">
      <c r="A985" s="2" t="s">
        <v>3172</v>
      </c>
      <c r="B985" s="2" t="s">
        <v>3173</v>
      </c>
      <c r="C985" s="2" t="s">
        <v>2923</v>
      </c>
      <c r="D985" s="2" t="s">
        <v>127</v>
      </c>
      <c r="E985" s="2" t="s">
        <v>148</v>
      </c>
      <c r="F985" s="2" t="s">
        <v>58</v>
      </c>
      <c r="G985" s="2" t="s">
        <v>111</v>
      </c>
      <c r="H985" s="2" t="s">
        <v>2318</v>
      </c>
      <c r="I985" s="2" t="s">
        <v>499</v>
      </c>
      <c r="J985" s="2" t="s">
        <v>500</v>
      </c>
      <c r="K985" s="2" t="s">
        <v>3174</v>
      </c>
      <c r="L985" s="2" t="s">
        <v>430</v>
      </c>
      <c r="M985" s="2" t="s">
        <v>2925</v>
      </c>
      <c r="N985" s="16">
        <v>2.75E-2</v>
      </c>
      <c r="O985" s="17">
        <f>N985*'Financial Inputs'!$B$3</f>
        <v>2750000</v>
      </c>
      <c r="P985" s="18">
        <f>IF(I985="L",'Financial Inputs'!$B$4,IF(I985="M",'Financial Inputs'!$B$5,'Financial Inputs'!$B$6))</f>
        <v>0.7</v>
      </c>
      <c r="Q985" s="17">
        <f>O985*P985</f>
        <v>1924999.9999999998</v>
      </c>
      <c r="R985" s="16">
        <f>'Financial Inputs'!$B$7</f>
        <v>0.35</v>
      </c>
      <c r="S985" s="17">
        <f>Q985*(1-R985)</f>
        <v>1251250</v>
      </c>
      <c r="T985" s="18">
        <f>S985/'Financial Inputs'!$B$3</f>
        <v>1.2512499999999999E-2</v>
      </c>
      <c r="U985" s="9" t="s">
        <v>52</v>
      </c>
      <c r="V985" s="3" t="s">
        <v>53</v>
      </c>
    </row>
    <row r="986" spans="1:22">
      <c r="A986" s="2" t="s">
        <v>3175</v>
      </c>
      <c r="B986" s="2" t="s">
        <v>3176</v>
      </c>
      <c r="C986" s="2" t="s">
        <v>2923</v>
      </c>
      <c r="D986" s="2" t="s">
        <v>133</v>
      </c>
      <c r="E986" s="2" t="s">
        <v>153</v>
      </c>
      <c r="F986" s="2" t="s">
        <v>66</v>
      </c>
      <c r="G986" s="2" t="s">
        <v>56</v>
      </c>
      <c r="H986" s="2" t="s">
        <v>2318</v>
      </c>
      <c r="I986" s="2" t="s">
        <v>499</v>
      </c>
      <c r="J986" s="2" t="s">
        <v>500</v>
      </c>
      <c r="K986" s="2" t="s">
        <v>3177</v>
      </c>
      <c r="L986" s="2" t="s">
        <v>434</v>
      </c>
      <c r="M986" s="2" t="s">
        <v>2925</v>
      </c>
      <c r="N986" s="16">
        <v>3.0000000000000009E-2</v>
      </c>
      <c r="O986" s="17">
        <f>N986*'Financial Inputs'!$B$3</f>
        <v>3000000.0000000009</v>
      </c>
      <c r="P986" s="18">
        <f>IF(I986="L",'Financial Inputs'!$B$4,IF(I986="M",'Financial Inputs'!$B$5,'Financial Inputs'!$B$6))</f>
        <v>0.7</v>
      </c>
      <c r="Q986" s="17">
        <f>O986*P986</f>
        <v>2100000.0000000005</v>
      </c>
      <c r="R986" s="16">
        <f>'Financial Inputs'!$B$7</f>
        <v>0.35</v>
      </c>
      <c r="S986" s="17">
        <f>Q986*(1-R986)</f>
        <v>1365000.0000000005</v>
      </c>
      <c r="T986" s="18">
        <f>S986/'Financial Inputs'!$B$3</f>
        <v>1.3650000000000004E-2</v>
      </c>
      <c r="U986" s="9" t="s">
        <v>52</v>
      </c>
      <c r="V986" s="3" t="s">
        <v>53</v>
      </c>
    </row>
    <row r="987" spans="1:22">
      <c r="A987" s="2" t="s">
        <v>3178</v>
      </c>
      <c r="B987" s="2" t="s">
        <v>3179</v>
      </c>
      <c r="C987" s="2" t="s">
        <v>2923</v>
      </c>
      <c r="D987" s="2" t="s">
        <v>102</v>
      </c>
      <c r="E987" s="2" t="s">
        <v>116</v>
      </c>
      <c r="F987" s="2" t="s">
        <v>110</v>
      </c>
      <c r="G987" s="2" t="s">
        <v>83</v>
      </c>
      <c r="H987" s="2" t="s">
        <v>2318</v>
      </c>
      <c r="I987" s="2" t="s">
        <v>499</v>
      </c>
      <c r="J987" s="2" t="s">
        <v>500</v>
      </c>
      <c r="K987" s="2" t="s">
        <v>3180</v>
      </c>
      <c r="L987" s="2" t="s">
        <v>438</v>
      </c>
      <c r="M987" s="2" t="s">
        <v>2925</v>
      </c>
      <c r="N987" s="16">
        <v>0.02</v>
      </c>
      <c r="O987" s="17">
        <f>N987*'Financial Inputs'!$B$3</f>
        <v>2000000</v>
      </c>
      <c r="P987" s="18">
        <f>IF(I987="L",'Financial Inputs'!$B$4,IF(I987="M",'Financial Inputs'!$B$5,'Financial Inputs'!$B$6))</f>
        <v>0.7</v>
      </c>
      <c r="Q987" s="17">
        <f>O987*P987</f>
        <v>1400000</v>
      </c>
      <c r="R987" s="16">
        <f>'Financial Inputs'!$B$7</f>
        <v>0.35</v>
      </c>
      <c r="S987" s="17">
        <f>Q987*(1-R987)</f>
        <v>910000</v>
      </c>
      <c r="T987" s="18">
        <f>S987/'Financial Inputs'!$B$3</f>
        <v>9.1000000000000004E-3</v>
      </c>
      <c r="U987" s="9" t="s">
        <v>52</v>
      </c>
      <c r="V987" s="3" t="s">
        <v>53</v>
      </c>
    </row>
    <row r="988" spans="1:22">
      <c r="A988" s="2" t="s">
        <v>3181</v>
      </c>
      <c r="B988" s="2" t="s">
        <v>3182</v>
      </c>
      <c r="C988" s="2" t="s">
        <v>2923</v>
      </c>
      <c r="D988" s="2" t="s">
        <v>42</v>
      </c>
      <c r="E988" s="2" t="s">
        <v>215</v>
      </c>
      <c r="F988" s="2" t="s">
        <v>117</v>
      </c>
      <c r="G988" s="2" t="s">
        <v>111</v>
      </c>
      <c r="H988" s="2" t="s">
        <v>2318</v>
      </c>
      <c r="I988" s="2" t="s">
        <v>499</v>
      </c>
      <c r="J988" s="2" t="s">
        <v>500</v>
      </c>
      <c r="K988" s="2" t="s">
        <v>3183</v>
      </c>
      <c r="L988" s="2" t="s">
        <v>442</v>
      </c>
      <c r="M988" s="2" t="s">
        <v>2925</v>
      </c>
      <c r="N988" s="16">
        <v>2.2499999999999999E-2</v>
      </c>
      <c r="O988" s="17">
        <f>N988*'Financial Inputs'!$B$3</f>
        <v>2250000</v>
      </c>
      <c r="P988" s="18">
        <f>IF(I988="L",'Financial Inputs'!$B$4,IF(I988="M",'Financial Inputs'!$B$5,'Financial Inputs'!$B$6))</f>
        <v>0.7</v>
      </c>
      <c r="Q988" s="17">
        <f>O988*P988</f>
        <v>1575000</v>
      </c>
      <c r="R988" s="16">
        <f>'Financial Inputs'!$B$7</f>
        <v>0.35</v>
      </c>
      <c r="S988" s="17">
        <f>Q988*(1-R988)</f>
        <v>1023750</v>
      </c>
      <c r="T988" s="18">
        <f>S988/'Financial Inputs'!$B$3</f>
        <v>1.02375E-2</v>
      </c>
      <c r="U988" s="9" t="s">
        <v>52</v>
      </c>
      <c r="V988" s="3" t="s">
        <v>53</v>
      </c>
    </row>
    <row r="989" spans="1:22">
      <c r="A989" s="2" t="s">
        <v>3184</v>
      </c>
      <c r="B989" s="2" t="s">
        <v>3185</v>
      </c>
      <c r="C989" s="2" t="s">
        <v>2923</v>
      </c>
      <c r="D989" s="2" t="s">
        <v>56</v>
      </c>
      <c r="E989" s="2" t="s">
        <v>220</v>
      </c>
      <c r="F989" s="2" t="s">
        <v>90</v>
      </c>
      <c r="G989" s="2" t="s">
        <v>56</v>
      </c>
      <c r="H989" s="2" t="s">
        <v>2318</v>
      </c>
      <c r="I989" s="2" t="s">
        <v>499</v>
      </c>
      <c r="J989" s="2" t="s">
        <v>500</v>
      </c>
      <c r="K989" s="2" t="s">
        <v>3186</v>
      </c>
      <c r="L989" s="2" t="s">
        <v>446</v>
      </c>
      <c r="M989" s="2" t="s">
        <v>2925</v>
      </c>
      <c r="N989" s="16">
        <v>2.5000000000000001E-2</v>
      </c>
      <c r="O989" s="17">
        <f>N989*'Financial Inputs'!$B$3</f>
        <v>2500000</v>
      </c>
      <c r="P989" s="18">
        <f>IF(I989="L",'Financial Inputs'!$B$4,IF(I989="M",'Financial Inputs'!$B$5,'Financial Inputs'!$B$6))</f>
        <v>0.7</v>
      </c>
      <c r="Q989" s="17">
        <f>O989*P989</f>
        <v>1750000</v>
      </c>
      <c r="R989" s="16">
        <f>'Financial Inputs'!$B$7</f>
        <v>0.35</v>
      </c>
      <c r="S989" s="17">
        <f>Q989*(1-R989)</f>
        <v>1137500</v>
      </c>
      <c r="T989" s="18">
        <f>S989/'Financial Inputs'!$B$3</f>
        <v>1.1375E-2</v>
      </c>
      <c r="U989" s="9" t="s">
        <v>52</v>
      </c>
      <c r="V989" s="3" t="s">
        <v>53</v>
      </c>
    </row>
    <row r="990" spans="1:22">
      <c r="A990" s="2" t="s">
        <v>3187</v>
      </c>
      <c r="B990" s="2" t="s">
        <v>3188</v>
      </c>
      <c r="C990" s="2" t="s">
        <v>2923</v>
      </c>
      <c r="D990" s="2" t="s">
        <v>64</v>
      </c>
      <c r="E990" s="2" t="s">
        <v>171</v>
      </c>
      <c r="F990" s="2" t="s">
        <v>97</v>
      </c>
      <c r="G990" s="2" t="s">
        <v>138</v>
      </c>
      <c r="H990" s="2" t="s">
        <v>2318</v>
      </c>
      <c r="I990" s="2" t="s">
        <v>499</v>
      </c>
      <c r="J990" s="2" t="s">
        <v>500</v>
      </c>
      <c r="K990" s="2" t="s">
        <v>3189</v>
      </c>
      <c r="L990" s="2" t="s">
        <v>450</v>
      </c>
      <c r="M990" s="2" t="s">
        <v>2925</v>
      </c>
      <c r="N990" s="16">
        <v>2.75E-2</v>
      </c>
      <c r="O990" s="17">
        <f>N990*'Financial Inputs'!$B$3</f>
        <v>2750000</v>
      </c>
      <c r="P990" s="18">
        <f>IF(I990="L",'Financial Inputs'!$B$4,IF(I990="M",'Financial Inputs'!$B$5,'Financial Inputs'!$B$6))</f>
        <v>0.7</v>
      </c>
      <c r="Q990" s="17">
        <f>O990*P990</f>
        <v>1924999.9999999998</v>
      </c>
      <c r="R990" s="16">
        <f>'Financial Inputs'!$B$7</f>
        <v>0.35</v>
      </c>
      <c r="S990" s="17">
        <f>Q990*(1-R990)</f>
        <v>1251250</v>
      </c>
      <c r="T990" s="18">
        <f>S990/'Financial Inputs'!$B$3</f>
        <v>1.2512499999999999E-2</v>
      </c>
      <c r="U990" s="9" t="s">
        <v>52</v>
      </c>
      <c r="V990" s="3" t="s">
        <v>53</v>
      </c>
    </row>
    <row r="991" spans="1:22">
      <c r="A991" s="2" t="s">
        <v>3190</v>
      </c>
      <c r="B991" s="2" t="s">
        <v>3191</v>
      </c>
      <c r="C991" s="2" t="s">
        <v>2923</v>
      </c>
      <c r="D991" s="2" t="s">
        <v>72</v>
      </c>
      <c r="E991" s="2" t="s">
        <v>176</v>
      </c>
      <c r="F991" s="2" t="s">
        <v>104</v>
      </c>
      <c r="G991" s="2" t="s">
        <v>143</v>
      </c>
      <c r="H991" s="2" t="s">
        <v>2318</v>
      </c>
      <c r="I991" s="2" t="s">
        <v>499</v>
      </c>
      <c r="J991" s="2" t="s">
        <v>500</v>
      </c>
      <c r="K991" s="2" t="s">
        <v>3192</v>
      </c>
      <c r="L991" s="2" t="s">
        <v>454</v>
      </c>
      <c r="M991" s="2" t="s">
        <v>2925</v>
      </c>
      <c r="N991" s="16">
        <v>3.0000000000000009E-2</v>
      </c>
      <c r="O991" s="17">
        <f>N991*'Financial Inputs'!$B$3</f>
        <v>3000000.0000000009</v>
      </c>
      <c r="P991" s="18">
        <f>IF(I991="L",'Financial Inputs'!$B$4,IF(I991="M",'Financial Inputs'!$B$5,'Financial Inputs'!$B$6))</f>
        <v>0.7</v>
      </c>
      <c r="Q991" s="17">
        <f>O991*P991</f>
        <v>2100000.0000000005</v>
      </c>
      <c r="R991" s="16">
        <f>'Financial Inputs'!$B$7</f>
        <v>0.35</v>
      </c>
      <c r="S991" s="17">
        <f>Q991*(1-R991)</f>
        <v>1365000.0000000005</v>
      </c>
      <c r="T991" s="18">
        <f>S991/'Financial Inputs'!$B$3</f>
        <v>1.3650000000000004E-2</v>
      </c>
      <c r="U991" s="9" t="s">
        <v>52</v>
      </c>
      <c r="V991" s="3" t="s">
        <v>53</v>
      </c>
    </row>
    <row r="992" spans="1:22">
      <c r="A992" s="2" t="s">
        <v>3193</v>
      </c>
      <c r="B992" s="2" t="s">
        <v>3194</v>
      </c>
      <c r="C992" s="2" t="s">
        <v>2923</v>
      </c>
      <c r="D992" s="2" t="s">
        <v>133</v>
      </c>
      <c r="E992" s="2" t="s">
        <v>65</v>
      </c>
      <c r="F992" s="2" t="s">
        <v>82</v>
      </c>
      <c r="G992" s="2" t="s">
        <v>56</v>
      </c>
      <c r="H992" s="2" t="s">
        <v>2318</v>
      </c>
      <c r="I992" s="2" t="s">
        <v>499</v>
      </c>
      <c r="J992" s="2" t="s">
        <v>500</v>
      </c>
      <c r="K992" s="2" t="s">
        <v>3195</v>
      </c>
      <c r="L992" s="2" t="s">
        <v>458</v>
      </c>
      <c r="M992" s="2" t="s">
        <v>2925</v>
      </c>
      <c r="N992" s="16">
        <v>0.02</v>
      </c>
      <c r="O992" s="17">
        <f>N992*'Financial Inputs'!$B$3</f>
        <v>2000000</v>
      </c>
      <c r="P992" s="18">
        <f>IF(I992="L",'Financial Inputs'!$B$4,IF(I992="M",'Financial Inputs'!$B$5,'Financial Inputs'!$B$6))</f>
        <v>0.7</v>
      </c>
      <c r="Q992" s="17">
        <f>O992*P992</f>
        <v>1400000</v>
      </c>
      <c r="R992" s="16">
        <f>'Financial Inputs'!$B$7</f>
        <v>0.35</v>
      </c>
      <c r="S992" s="17">
        <f>Q992*(1-R992)</f>
        <v>910000</v>
      </c>
      <c r="T992" s="18">
        <f>S992/'Financial Inputs'!$B$3</f>
        <v>9.1000000000000004E-3</v>
      </c>
      <c r="U992" s="9" t="s">
        <v>52</v>
      </c>
      <c r="V992" s="3" t="s">
        <v>53</v>
      </c>
    </row>
    <row r="993" spans="1:22">
      <c r="A993" s="2" t="s">
        <v>3196</v>
      </c>
      <c r="B993" s="2" t="s">
        <v>3197</v>
      </c>
      <c r="C993" s="2" t="s">
        <v>2923</v>
      </c>
      <c r="D993" s="2" t="s">
        <v>88</v>
      </c>
      <c r="E993" s="2" t="s">
        <v>73</v>
      </c>
      <c r="F993" s="2" t="s">
        <v>44</v>
      </c>
      <c r="G993" s="2" t="s">
        <v>138</v>
      </c>
      <c r="H993" s="2" t="s">
        <v>2318</v>
      </c>
      <c r="I993" s="2" t="s">
        <v>499</v>
      </c>
      <c r="J993" s="2" t="s">
        <v>500</v>
      </c>
      <c r="K993" s="2" t="s">
        <v>3198</v>
      </c>
      <c r="L993" s="2" t="s">
        <v>462</v>
      </c>
      <c r="M993" s="2" t="s">
        <v>2925</v>
      </c>
      <c r="N993" s="16">
        <v>2.2499999999999999E-2</v>
      </c>
      <c r="O993" s="17">
        <f>N993*'Financial Inputs'!$B$3</f>
        <v>2250000</v>
      </c>
      <c r="P993" s="18">
        <f>IF(I993="L",'Financial Inputs'!$B$4,IF(I993="M",'Financial Inputs'!$B$5,'Financial Inputs'!$B$6))</f>
        <v>0.7</v>
      </c>
      <c r="Q993" s="17">
        <f>O993*P993</f>
        <v>1575000</v>
      </c>
      <c r="R993" s="16">
        <f>'Financial Inputs'!$B$7</f>
        <v>0.35</v>
      </c>
      <c r="S993" s="17">
        <f>Q993*(1-R993)</f>
        <v>1023750</v>
      </c>
      <c r="T993" s="18">
        <f>S993/'Financial Inputs'!$B$3</f>
        <v>1.02375E-2</v>
      </c>
      <c r="U993" s="9" t="s">
        <v>52</v>
      </c>
      <c r="V993" s="3" t="s">
        <v>53</v>
      </c>
    </row>
    <row r="994" spans="1:22">
      <c r="A994" s="2" t="s">
        <v>3199</v>
      </c>
      <c r="B994" s="2" t="s">
        <v>3200</v>
      </c>
      <c r="C994" s="2" t="s">
        <v>2923</v>
      </c>
      <c r="D994" s="2" t="s">
        <v>95</v>
      </c>
      <c r="E994" s="2" t="s">
        <v>81</v>
      </c>
      <c r="F994" s="2" t="s">
        <v>58</v>
      </c>
      <c r="G994" s="2" t="s">
        <v>143</v>
      </c>
      <c r="H994" s="2" t="s">
        <v>2318</v>
      </c>
      <c r="I994" s="2" t="s">
        <v>499</v>
      </c>
      <c r="J994" s="2" t="s">
        <v>500</v>
      </c>
      <c r="K994" s="2" t="s">
        <v>3201</v>
      </c>
      <c r="L994" s="2" t="s">
        <v>466</v>
      </c>
      <c r="M994" s="2" t="s">
        <v>2925</v>
      </c>
      <c r="N994" s="16">
        <v>2.5000000000000001E-2</v>
      </c>
      <c r="O994" s="17">
        <f>N994*'Financial Inputs'!$B$3</f>
        <v>2500000</v>
      </c>
      <c r="P994" s="18">
        <f>IF(I994="L",'Financial Inputs'!$B$4,IF(I994="M",'Financial Inputs'!$B$5,'Financial Inputs'!$B$6))</f>
        <v>0.7</v>
      </c>
      <c r="Q994" s="17">
        <f>O994*P994</f>
        <v>1750000</v>
      </c>
      <c r="R994" s="16">
        <f>'Financial Inputs'!$B$7</f>
        <v>0.35</v>
      </c>
      <c r="S994" s="17">
        <f>Q994*(1-R994)</f>
        <v>1137500</v>
      </c>
      <c r="T994" s="18">
        <f>S994/'Financial Inputs'!$B$3</f>
        <v>1.1375E-2</v>
      </c>
      <c r="U994" s="9" t="s">
        <v>52</v>
      </c>
      <c r="V994" s="3" t="s">
        <v>53</v>
      </c>
    </row>
    <row r="995" spans="1:22">
      <c r="A995" s="2" t="s">
        <v>3202</v>
      </c>
      <c r="B995" s="2" t="s">
        <v>3203</v>
      </c>
      <c r="C995" s="2" t="s">
        <v>2923</v>
      </c>
      <c r="D995" s="2" t="s">
        <v>102</v>
      </c>
      <c r="E995" s="2" t="s">
        <v>193</v>
      </c>
      <c r="F995" s="2" t="s">
        <v>66</v>
      </c>
      <c r="G995" s="2" t="s">
        <v>162</v>
      </c>
      <c r="H995" s="2" t="s">
        <v>2318</v>
      </c>
      <c r="I995" s="2" t="s">
        <v>499</v>
      </c>
      <c r="J995" s="2" t="s">
        <v>500</v>
      </c>
      <c r="K995" s="2" t="s">
        <v>3204</v>
      </c>
      <c r="L995" s="2" t="s">
        <v>470</v>
      </c>
      <c r="M995" s="2" t="s">
        <v>2925</v>
      </c>
      <c r="N995" s="16">
        <v>2.75E-2</v>
      </c>
      <c r="O995" s="17">
        <f>N995*'Financial Inputs'!$B$3</f>
        <v>2750000</v>
      </c>
      <c r="P995" s="18">
        <f>IF(I995="L",'Financial Inputs'!$B$4,IF(I995="M",'Financial Inputs'!$B$5,'Financial Inputs'!$B$6))</f>
        <v>0.7</v>
      </c>
      <c r="Q995" s="17">
        <f>O995*P995</f>
        <v>1924999.9999999998</v>
      </c>
      <c r="R995" s="16">
        <f>'Financial Inputs'!$B$7</f>
        <v>0.35</v>
      </c>
      <c r="S995" s="17">
        <f>Q995*(1-R995)</f>
        <v>1251250</v>
      </c>
      <c r="T995" s="18">
        <f>S995/'Financial Inputs'!$B$3</f>
        <v>1.2512499999999999E-2</v>
      </c>
      <c r="U995" s="9" t="s">
        <v>52</v>
      </c>
      <c r="V995" s="3" t="s">
        <v>53</v>
      </c>
    </row>
    <row r="996" spans="1:22">
      <c r="A996" s="2" t="s">
        <v>3205</v>
      </c>
      <c r="B996" s="2" t="s">
        <v>3206</v>
      </c>
      <c r="C996" s="2" t="s">
        <v>2923</v>
      </c>
      <c r="D996" s="2" t="s">
        <v>42</v>
      </c>
      <c r="E996" s="2" t="s">
        <v>198</v>
      </c>
      <c r="F996" s="2" t="s">
        <v>74</v>
      </c>
      <c r="G996" s="2" t="s">
        <v>45</v>
      </c>
      <c r="H996" s="2" t="s">
        <v>2318</v>
      </c>
      <c r="I996" s="2" t="s">
        <v>499</v>
      </c>
      <c r="J996" s="2" t="s">
        <v>500</v>
      </c>
      <c r="K996" s="2" t="s">
        <v>3207</v>
      </c>
      <c r="L996" s="2" t="s">
        <v>474</v>
      </c>
      <c r="M996" s="2" t="s">
        <v>2925</v>
      </c>
      <c r="N996" s="16">
        <v>3.0000000000000009E-2</v>
      </c>
      <c r="O996" s="17">
        <f>N996*'Financial Inputs'!$B$3</f>
        <v>3000000.0000000009</v>
      </c>
      <c r="P996" s="18">
        <f>IF(I996="L",'Financial Inputs'!$B$4,IF(I996="M",'Financial Inputs'!$B$5,'Financial Inputs'!$B$6))</f>
        <v>0.7</v>
      </c>
      <c r="Q996" s="17">
        <f>O996*P996</f>
        <v>2100000.0000000005</v>
      </c>
      <c r="R996" s="16">
        <f>'Financial Inputs'!$B$7</f>
        <v>0.35</v>
      </c>
      <c r="S996" s="17">
        <f>Q996*(1-R996)</f>
        <v>1365000.0000000005</v>
      </c>
      <c r="T996" s="18">
        <f>S996/'Financial Inputs'!$B$3</f>
        <v>1.3650000000000004E-2</v>
      </c>
      <c r="U996" s="9" t="s">
        <v>52</v>
      </c>
      <c r="V996" s="3" t="s">
        <v>53</v>
      </c>
    </row>
    <row r="997" spans="1:22">
      <c r="A997" s="2" t="s">
        <v>3208</v>
      </c>
      <c r="B997" s="2" t="s">
        <v>3209</v>
      </c>
      <c r="C997" s="2" t="s">
        <v>2923</v>
      </c>
      <c r="D997" s="2" t="s">
        <v>72</v>
      </c>
      <c r="E997" s="2" t="s">
        <v>103</v>
      </c>
      <c r="F997" s="2" t="s">
        <v>117</v>
      </c>
      <c r="G997" s="2" t="s">
        <v>143</v>
      </c>
      <c r="H997" s="2" t="s">
        <v>2318</v>
      </c>
      <c r="I997" s="2" t="s">
        <v>499</v>
      </c>
      <c r="J997" s="2" t="s">
        <v>500</v>
      </c>
      <c r="K997" s="2" t="s">
        <v>3210</v>
      </c>
      <c r="L997" s="2" t="s">
        <v>478</v>
      </c>
      <c r="M997" s="2" t="s">
        <v>2925</v>
      </c>
      <c r="N997" s="16">
        <v>0.02</v>
      </c>
      <c r="O997" s="17">
        <f>N997*'Financial Inputs'!$B$3</f>
        <v>2000000</v>
      </c>
      <c r="P997" s="18">
        <f>IF(I997="L",'Financial Inputs'!$B$4,IF(I997="M",'Financial Inputs'!$B$5,'Financial Inputs'!$B$6))</f>
        <v>0.7</v>
      </c>
      <c r="Q997" s="17">
        <f>O997*P997</f>
        <v>1400000</v>
      </c>
      <c r="R997" s="16">
        <f>'Financial Inputs'!$B$7</f>
        <v>0.35</v>
      </c>
      <c r="S997" s="17">
        <f>Q997*(1-R997)</f>
        <v>910000</v>
      </c>
      <c r="T997" s="18">
        <f>S997/'Financial Inputs'!$B$3</f>
        <v>9.1000000000000004E-3</v>
      </c>
      <c r="U997" s="9" t="s">
        <v>52</v>
      </c>
      <c r="V997" s="3" t="s">
        <v>53</v>
      </c>
    </row>
    <row r="998" spans="1:22">
      <c r="A998" s="2" t="s">
        <v>3211</v>
      </c>
      <c r="B998" s="2" t="s">
        <v>3212</v>
      </c>
      <c r="C998" s="2" t="s">
        <v>2923</v>
      </c>
      <c r="D998" s="2" t="s">
        <v>80</v>
      </c>
      <c r="E998" s="2" t="s">
        <v>109</v>
      </c>
      <c r="F998" s="2" t="s">
        <v>90</v>
      </c>
      <c r="G998" s="2" t="s">
        <v>162</v>
      </c>
      <c r="H998" s="2" t="s">
        <v>2318</v>
      </c>
      <c r="I998" s="2" t="s">
        <v>499</v>
      </c>
      <c r="J998" s="2" t="s">
        <v>500</v>
      </c>
      <c r="K998" s="2" t="s">
        <v>3213</v>
      </c>
      <c r="L998" s="2" t="s">
        <v>482</v>
      </c>
      <c r="M998" s="2" t="s">
        <v>2925</v>
      </c>
      <c r="N998" s="16">
        <v>2.2499999999999999E-2</v>
      </c>
      <c r="O998" s="17">
        <f>N998*'Financial Inputs'!$B$3</f>
        <v>2250000</v>
      </c>
      <c r="P998" s="18">
        <f>IF(I998="L",'Financial Inputs'!$B$4,IF(I998="M",'Financial Inputs'!$B$5,'Financial Inputs'!$B$6))</f>
        <v>0.7</v>
      </c>
      <c r="Q998" s="17">
        <f>O998*P998</f>
        <v>1575000</v>
      </c>
      <c r="R998" s="16">
        <f>'Financial Inputs'!$B$7</f>
        <v>0.35</v>
      </c>
      <c r="S998" s="17">
        <f>Q998*(1-R998)</f>
        <v>1023750</v>
      </c>
      <c r="T998" s="18">
        <f>S998/'Financial Inputs'!$B$3</f>
        <v>1.02375E-2</v>
      </c>
      <c r="U998" s="9" t="s">
        <v>52</v>
      </c>
      <c r="V998" s="3" t="s">
        <v>53</v>
      </c>
    </row>
    <row r="999" spans="1:22">
      <c r="A999" s="2" t="s">
        <v>3214</v>
      </c>
      <c r="B999" s="2" t="s">
        <v>3215</v>
      </c>
      <c r="C999" s="2" t="s">
        <v>2923</v>
      </c>
      <c r="D999" s="2" t="s">
        <v>127</v>
      </c>
      <c r="E999" s="2" t="s">
        <v>116</v>
      </c>
      <c r="F999" s="2" t="s">
        <v>97</v>
      </c>
      <c r="G999" s="2" t="s">
        <v>45</v>
      </c>
      <c r="H999" s="2" t="s">
        <v>2318</v>
      </c>
      <c r="I999" s="2" t="s">
        <v>499</v>
      </c>
      <c r="J999" s="2" t="s">
        <v>500</v>
      </c>
      <c r="K999" s="2" t="s">
        <v>3216</v>
      </c>
      <c r="L999" s="2" t="s">
        <v>486</v>
      </c>
      <c r="M999" s="2" t="s">
        <v>2925</v>
      </c>
      <c r="N999" s="16">
        <v>2.5000000000000001E-2</v>
      </c>
      <c r="O999" s="17">
        <f>N999*'Financial Inputs'!$B$3</f>
        <v>2500000</v>
      </c>
      <c r="P999" s="18">
        <f>IF(I999="L",'Financial Inputs'!$B$4,IF(I999="M",'Financial Inputs'!$B$5,'Financial Inputs'!$B$6))</f>
        <v>0.7</v>
      </c>
      <c r="Q999" s="17">
        <f>O999*P999</f>
        <v>1750000</v>
      </c>
      <c r="R999" s="16">
        <f>'Financial Inputs'!$B$7</f>
        <v>0.35</v>
      </c>
      <c r="S999" s="17">
        <f>Q999*(1-R999)</f>
        <v>1137500</v>
      </c>
      <c r="T999" s="18">
        <f>S999/'Financial Inputs'!$B$3</f>
        <v>1.1375E-2</v>
      </c>
      <c r="U999" s="9" t="s">
        <v>52</v>
      </c>
      <c r="V999" s="3" t="s">
        <v>53</v>
      </c>
    </row>
    <row r="1000" spans="1:22">
      <c r="A1000" s="2" t="s">
        <v>3217</v>
      </c>
      <c r="B1000" s="2" t="s">
        <v>3218</v>
      </c>
      <c r="C1000" s="2" t="s">
        <v>2923</v>
      </c>
      <c r="D1000" s="2" t="s">
        <v>133</v>
      </c>
      <c r="E1000" s="2" t="s">
        <v>215</v>
      </c>
      <c r="F1000" s="2" t="s">
        <v>104</v>
      </c>
      <c r="G1000" s="2" t="s">
        <v>59</v>
      </c>
      <c r="H1000" s="2" t="s">
        <v>2318</v>
      </c>
      <c r="I1000" s="2" t="s">
        <v>499</v>
      </c>
      <c r="J1000" s="2" t="s">
        <v>500</v>
      </c>
      <c r="K1000" s="2" t="s">
        <v>3219</v>
      </c>
      <c r="L1000" s="2" t="s">
        <v>490</v>
      </c>
      <c r="M1000" s="2" t="s">
        <v>2925</v>
      </c>
      <c r="N1000" s="16">
        <v>2.75E-2</v>
      </c>
      <c r="O1000" s="17">
        <f>N1000*'Financial Inputs'!$B$3</f>
        <v>2750000</v>
      </c>
      <c r="P1000" s="18">
        <f>IF(I1000="L",'Financial Inputs'!$B$4,IF(I1000="M",'Financial Inputs'!$B$5,'Financial Inputs'!$B$6))</f>
        <v>0.7</v>
      </c>
      <c r="Q1000" s="17">
        <f>O1000*P1000</f>
        <v>1924999.9999999998</v>
      </c>
      <c r="R1000" s="16">
        <f>'Financial Inputs'!$B$7</f>
        <v>0.35</v>
      </c>
      <c r="S1000" s="17">
        <f>Q1000*(1-R1000)</f>
        <v>1251250</v>
      </c>
      <c r="T1000" s="18">
        <f>S1000/'Financial Inputs'!$B$3</f>
        <v>1.2512499999999999E-2</v>
      </c>
      <c r="U1000" s="9" t="s">
        <v>52</v>
      </c>
      <c r="V1000" s="3" t="s">
        <v>53</v>
      </c>
    </row>
    <row r="1001" spans="1:22">
      <c r="A1001" s="2" t="s">
        <v>3220</v>
      </c>
      <c r="B1001" s="2" t="s">
        <v>3221</v>
      </c>
      <c r="C1001" s="2" t="s">
        <v>2923</v>
      </c>
      <c r="D1001" s="2" t="s">
        <v>88</v>
      </c>
      <c r="E1001" s="2" t="s">
        <v>220</v>
      </c>
      <c r="F1001" s="2" t="s">
        <v>110</v>
      </c>
      <c r="G1001" s="2" t="s">
        <v>67</v>
      </c>
      <c r="H1001" s="2" t="s">
        <v>2318</v>
      </c>
      <c r="I1001" s="2" t="s">
        <v>499</v>
      </c>
      <c r="J1001" s="2" t="s">
        <v>500</v>
      </c>
      <c r="K1001" s="2" t="s">
        <v>3222</v>
      </c>
      <c r="L1001" s="2" t="s">
        <v>494</v>
      </c>
      <c r="M1001" s="2" t="s">
        <v>2925</v>
      </c>
      <c r="N1001" s="16">
        <v>3.0000000000000009E-2</v>
      </c>
      <c r="O1001" s="17">
        <f>N1001*'Financial Inputs'!$B$3</f>
        <v>3000000.0000000009</v>
      </c>
      <c r="P1001" s="18">
        <f>IF(I1001="L",'Financial Inputs'!$B$4,IF(I1001="M",'Financial Inputs'!$B$5,'Financial Inputs'!$B$6))</f>
        <v>0.7</v>
      </c>
      <c r="Q1001" s="17">
        <f>O1001*P1001</f>
        <v>2100000.0000000005</v>
      </c>
      <c r="R1001" s="16">
        <f>'Financial Inputs'!$B$7</f>
        <v>0.35</v>
      </c>
      <c r="S1001" s="17">
        <f>Q1001*(1-R1001)</f>
        <v>1365000.0000000005</v>
      </c>
      <c r="T1001" s="18">
        <f>S1001/'Financial Inputs'!$B$3</f>
        <v>1.3650000000000004E-2</v>
      </c>
      <c r="U1001" s="9" t="s">
        <v>52</v>
      </c>
      <c r="V1001" s="3" t="s">
        <v>53</v>
      </c>
    </row>
    <row r="1002" spans="1:22">
      <c r="A1002" s="2" t="s">
        <v>3223</v>
      </c>
      <c r="B1002" s="2" t="s">
        <v>3224</v>
      </c>
      <c r="C1002" s="2" t="s">
        <v>3225</v>
      </c>
      <c r="D1002" s="2" t="s">
        <v>42</v>
      </c>
      <c r="E1002" s="2" t="s">
        <v>43</v>
      </c>
      <c r="F1002" s="2" t="s">
        <v>44</v>
      </c>
      <c r="G1002" s="2" t="s">
        <v>45</v>
      </c>
      <c r="H1002" s="2" t="s">
        <v>46</v>
      </c>
      <c r="I1002" s="2" t="s">
        <v>47</v>
      </c>
      <c r="J1002" s="2" t="s">
        <v>3226</v>
      </c>
      <c r="K1002" s="2" t="s">
        <v>3227</v>
      </c>
      <c r="L1002" s="2" t="s">
        <v>50</v>
      </c>
      <c r="M1002" s="2" t="s">
        <v>3228</v>
      </c>
      <c r="N1002" s="16">
        <v>1.44E-2</v>
      </c>
      <c r="O1002" s="17">
        <f>N1002*'Financial Inputs'!$B$3</f>
        <v>1440000</v>
      </c>
      <c r="P1002" s="18">
        <f>IF(I1002="L",'Financial Inputs'!$B$4,IF(I1002="M",'Financial Inputs'!$B$5,'Financial Inputs'!$B$6))</f>
        <v>0.4</v>
      </c>
      <c r="Q1002" s="17">
        <f>O1002*P1002</f>
        <v>576000</v>
      </c>
      <c r="R1002" s="16">
        <f>'Financial Inputs'!$B$7</f>
        <v>0.35</v>
      </c>
      <c r="S1002" s="17">
        <f>Q1002*(1-R1002)</f>
        <v>374400</v>
      </c>
      <c r="T1002" s="18">
        <f>S1002/'Financial Inputs'!$B$3</f>
        <v>3.7439999999999999E-3</v>
      </c>
      <c r="U1002" s="9" t="s">
        <v>52</v>
      </c>
      <c r="V1002" s="3" t="s">
        <v>53</v>
      </c>
    </row>
    <row r="1003" spans="1:22">
      <c r="A1003" s="2" t="s">
        <v>3229</v>
      </c>
      <c r="B1003" s="2" t="s">
        <v>3230</v>
      </c>
      <c r="C1003" s="2" t="s">
        <v>3225</v>
      </c>
      <c r="D1003" s="2" t="s">
        <v>56</v>
      </c>
      <c r="E1003" s="2" t="s">
        <v>57</v>
      </c>
      <c r="F1003" s="2" t="s">
        <v>58</v>
      </c>
      <c r="G1003" s="2" t="s">
        <v>59</v>
      </c>
      <c r="H1003" s="2" t="s">
        <v>46</v>
      </c>
      <c r="I1003" s="2" t="s">
        <v>47</v>
      </c>
      <c r="J1003" s="2" t="s">
        <v>3226</v>
      </c>
      <c r="K1003" s="2" t="s">
        <v>3231</v>
      </c>
      <c r="L1003" s="2" t="s">
        <v>61</v>
      </c>
      <c r="M1003" s="2" t="s">
        <v>3228</v>
      </c>
      <c r="N1003" s="16">
        <v>1.6199999999999999E-2</v>
      </c>
      <c r="O1003" s="17">
        <f>N1003*'Financial Inputs'!$B$3</f>
        <v>1620000</v>
      </c>
      <c r="P1003" s="18">
        <f>IF(I1003="L",'Financial Inputs'!$B$4,IF(I1003="M",'Financial Inputs'!$B$5,'Financial Inputs'!$B$6))</f>
        <v>0.4</v>
      </c>
      <c r="Q1003" s="17">
        <f>O1003*P1003</f>
        <v>648000</v>
      </c>
      <c r="R1003" s="16">
        <f>'Financial Inputs'!$B$7</f>
        <v>0.35</v>
      </c>
      <c r="S1003" s="17">
        <f>Q1003*(1-R1003)</f>
        <v>421200</v>
      </c>
      <c r="T1003" s="18">
        <f>S1003/'Financial Inputs'!$B$3</f>
        <v>4.2119999999999996E-3</v>
      </c>
      <c r="U1003" s="9" t="s">
        <v>52</v>
      </c>
      <c r="V1003" s="3" t="s">
        <v>53</v>
      </c>
    </row>
    <row r="1004" spans="1:22">
      <c r="A1004" s="2" t="s">
        <v>3232</v>
      </c>
      <c r="B1004" s="2" t="s">
        <v>3233</v>
      </c>
      <c r="C1004" s="2" t="s">
        <v>3225</v>
      </c>
      <c r="D1004" s="2" t="s">
        <v>64</v>
      </c>
      <c r="E1004" s="2" t="s">
        <v>65</v>
      </c>
      <c r="F1004" s="2" t="s">
        <v>66</v>
      </c>
      <c r="G1004" s="2" t="s">
        <v>67</v>
      </c>
      <c r="H1004" s="2" t="s">
        <v>46</v>
      </c>
      <c r="I1004" s="2" t="s">
        <v>47</v>
      </c>
      <c r="J1004" s="2" t="s">
        <v>3226</v>
      </c>
      <c r="K1004" s="2" t="s">
        <v>3234</v>
      </c>
      <c r="L1004" s="2" t="s">
        <v>69</v>
      </c>
      <c r="M1004" s="2" t="s">
        <v>3228</v>
      </c>
      <c r="N1004" s="16">
        <v>1.7999999999999999E-2</v>
      </c>
      <c r="O1004" s="17">
        <f>N1004*'Financial Inputs'!$B$3</f>
        <v>1799999.9999999998</v>
      </c>
      <c r="P1004" s="18">
        <f>IF(I1004="L",'Financial Inputs'!$B$4,IF(I1004="M",'Financial Inputs'!$B$5,'Financial Inputs'!$B$6))</f>
        <v>0.4</v>
      </c>
      <c r="Q1004" s="17">
        <f>O1004*P1004</f>
        <v>720000</v>
      </c>
      <c r="R1004" s="16">
        <f>'Financial Inputs'!$B$7</f>
        <v>0.35</v>
      </c>
      <c r="S1004" s="17">
        <f>Q1004*(1-R1004)</f>
        <v>468000</v>
      </c>
      <c r="T1004" s="18">
        <f>S1004/'Financial Inputs'!$B$3</f>
        <v>4.6800000000000001E-3</v>
      </c>
      <c r="U1004" s="9" t="s">
        <v>52</v>
      </c>
      <c r="V1004" s="3" t="s">
        <v>53</v>
      </c>
    </row>
    <row r="1005" spans="1:22">
      <c r="A1005" s="2" t="s">
        <v>3235</v>
      </c>
      <c r="B1005" s="2" t="s">
        <v>3236</v>
      </c>
      <c r="C1005" s="2" t="s">
        <v>3225</v>
      </c>
      <c r="D1005" s="2" t="s">
        <v>72</v>
      </c>
      <c r="E1005" s="2" t="s">
        <v>73</v>
      </c>
      <c r="F1005" s="2" t="s">
        <v>74</v>
      </c>
      <c r="G1005" s="2" t="s">
        <v>75</v>
      </c>
      <c r="H1005" s="2" t="s">
        <v>46</v>
      </c>
      <c r="I1005" s="2" t="s">
        <v>47</v>
      </c>
      <c r="J1005" s="2" t="s">
        <v>3226</v>
      </c>
      <c r="K1005" s="2" t="s">
        <v>3237</v>
      </c>
      <c r="L1005" s="2" t="s">
        <v>77</v>
      </c>
      <c r="M1005" s="2" t="s">
        <v>3228</v>
      </c>
      <c r="N1005" s="16">
        <v>1.9800000000000002E-2</v>
      </c>
      <c r="O1005" s="17">
        <f>N1005*'Financial Inputs'!$B$3</f>
        <v>1980000.0000000002</v>
      </c>
      <c r="P1005" s="18">
        <f>IF(I1005="L",'Financial Inputs'!$B$4,IF(I1005="M",'Financial Inputs'!$B$5,'Financial Inputs'!$B$6))</f>
        <v>0.4</v>
      </c>
      <c r="Q1005" s="17">
        <f>O1005*P1005</f>
        <v>792000.00000000012</v>
      </c>
      <c r="R1005" s="16">
        <f>'Financial Inputs'!$B$7</f>
        <v>0.35</v>
      </c>
      <c r="S1005" s="17">
        <f>Q1005*(1-R1005)</f>
        <v>514800.00000000012</v>
      </c>
      <c r="T1005" s="18">
        <f>S1005/'Financial Inputs'!$B$3</f>
        <v>5.1480000000000015E-3</v>
      </c>
      <c r="U1005" s="9" t="s">
        <v>52</v>
      </c>
      <c r="V1005" s="3" t="s">
        <v>53</v>
      </c>
    </row>
    <row r="1006" spans="1:22">
      <c r="A1006" s="2" t="s">
        <v>3238</v>
      </c>
      <c r="B1006" s="2" t="s">
        <v>3239</v>
      </c>
      <c r="C1006" s="2" t="s">
        <v>3225</v>
      </c>
      <c r="D1006" s="2" t="s">
        <v>80</v>
      </c>
      <c r="E1006" s="2" t="s">
        <v>81</v>
      </c>
      <c r="F1006" s="2" t="s">
        <v>82</v>
      </c>
      <c r="G1006" s="2" t="s">
        <v>83</v>
      </c>
      <c r="H1006" s="2" t="s">
        <v>46</v>
      </c>
      <c r="I1006" s="2" t="s">
        <v>47</v>
      </c>
      <c r="J1006" s="2" t="s">
        <v>3226</v>
      </c>
      <c r="K1006" s="2" t="s">
        <v>3240</v>
      </c>
      <c r="L1006" s="2" t="s">
        <v>85</v>
      </c>
      <c r="M1006" s="2" t="s">
        <v>3228</v>
      </c>
      <c r="N1006" s="16">
        <v>2.1600000000000001E-2</v>
      </c>
      <c r="O1006" s="17">
        <f>N1006*'Financial Inputs'!$B$3</f>
        <v>2160000</v>
      </c>
      <c r="P1006" s="18">
        <f>IF(I1006="L",'Financial Inputs'!$B$4,IF(I1006="M",'Financial Inputs'!$B$5,'Financial Inputs'!$B$6))</f>
        <v>0.4</v>
      </c>
      <c r="Q1006" s="17">
        <f>O1006*P1006</f>
        <v>864000</v>
      </c>
      <c r="R1006" s="16">
        <f>'Financial Inputs'!$B$7</f>
        <v>0.35</v>
      </c>
      <c r="S1006" s="17">
        <f>Q1006*(1-R1006)</f>
        <v>561600</v>
      </c>
      <c r="T1006" s="18">
        <f>S1006/'Financial Inputs'!$B$3</f>
        <v>5.6160000000000003E-3</v>
      </c>
      <c r="U1006" s="9" t="s">
        <v>52</v>
      </c>
      <c r="V1006" s="3" t="s">
        <v>53</v>
      </c>
    </row>
    <row r="1007" spans="1:22">
      <c r="A1007" s="2" t="s">
        <v>3241</v>
      </c>
      <c r="B1007" s="2" t="s">
        <v>3242</v>
      </c>
      <c r="C1007" s="2" t="s">
        <v>3225</v>
      </c>
      <c r="D1007" s="2" t="s">
        <v>88</v>
      </c>
      <c r="E1007" s="2" t="s">
        <v>89</v>
      </c>
      <c r="F1007" s="2" t="s">
        <v>90</v>
      </c>
      <c r="G1007" s="2" t="s">
        <v>67</v>
      </c>
      <c r="H1007" s="2" t="s">
        <v>46</v>
      </c>
      <c r="I1007" s="2" t="s">
        <v>47</v>
      </c>
      <c r="J1007" s="2" t="s">
        <v>3226</v>
      </c>
      <c r="K1007" s="2" t="s">
        <v>3243</v>
      </c>
      <c r="L1007" s="2" t="s">
        <v>92</v>
      </c>
      <c r="M1007" s="2" t="s">
        <v>3228</v>
      </c>
      <c r="N1007" s="16">
        <v>1.44E-2</v>
      </c>
      <c r="O1007" s="17">
        <f>N1007*'Financial Inputs'!$B$3</f>
        <v>1440000</v>
      </c>
      <c r="P1007" s="18">
        <f>IF(I1007="L",'Financial Inputs'!$B$4,IF(I1007="M",'Financial Inputs'!$B$5,'Financial Inputs'!$B$6))</f>
        <v>0.4</v>
      </c>
      <c r="Q1007" s="17">
        <f>O1007*P1007</f>
        <v>576000</v>
      </c>
      <c r="R1007" s="16">
        <f>'Financial Inputs'!$B$7</f>
        <v>0.35</v>
      </c>
      <c r="S1007" s="17">
        <f>Q1007*(1-R1007)</f>
        <v>374400</v>
      </c>
      <c r="T1007" s="18">
        <f>S1007/'Financial Inputs'!$B$3</f>
        <v>3.7439999999999999E-3</v>
      </c>
      <c r="U1007" s="9" t="s">
        <v>52</v>
      </c>
      <c r="V1007" s="3" t="s">
        <v>53</v>
      </c>
    </row>
    <row r="1008" spans="1:22">
      <c r="A1008" s="2" t="s">
        <v>3244</v>
      </c>
      <c r="B1008" s="2" t="s">
        <v>3245</v>
      </c>
      <c r="C1008" s="2" t="s">
        <v>3225</v>
      </c>
      <c r="D1008" s="2" t="s">
        <v>95</v>
      </c>
      <c r="E1008" s="2" t="s">
        <v>96</v>
      </c>
      <c r="F1008" s="2" t="s">
        <v>97</v>
      </c>
      <c r="G1008" s="2" t="s">
        <v>75</v>
      </c>
      <c r="H1008" s="2" t="s">
        <v>46</v>
      </c>
      <c r="I1008" s="2" t="s">
        <v>47</v>
      </c>
      <c r="J1008" s="2" t="s">
        <v>3226</v>
      </c>
      <c r="K1008" s="2" t="s">
        <v>3246</v>
      </c>
      <c r="L1008" s="2" t="s">
        <v>99</v>
      </c>
      <c r="M1008" s="2" t="s">
        <v>3228</v>
      </c>
      <c r="N1008" s="16">
        <v>1.6199999999999999E-2</v>
      </c>
      <c r="O1008" s="17">
        <f>N1008*'Financial Inputs'!$B$3</f>
        <v>1620000</v>
      </c>
      <c r="P1008" s="18">
        <f>IF(I1008="L",'Financial Inputs'!$B$4,IF(I1008="M",'Financial Inputs'!$B$5,'Financial Inputs'!$B$6))</f>
        <v>0.4</v>
      </c>
      <c r="Q1008" s="17">
        <f>O1008*P1008</f>
        <v>648000</v>
      </c>
      <c r="R1008" s="16">
        <f>'Financial Inputs'!$B$7</f>
        <v>0.35</v>
      </c>
      <c r="S1008" s="17">
        <f>Q1008*(1-R1008)</f>
        <v>421200</v>
      </c>
      <c r="T1008" s="18">
        <f>S1008/'Financial Inputs'!$B$3</f>
        <v>4.2119999999999996E-3</v>
      </c>
      <c r="U1008" s="9" t="s">
        <v>52</v>
      </c>
      <c r="V1008" s="3" t="s">
        <v>53</v>
      </c>
    </row>
    <row r="1009" spans="1:22">
      <c r="A1009" s="2" t="s">
        <v>3247</v>
      </c>
      <c r="B1009" s="2" t="s">
        <v>3248</v>
      </c>
      <c r="C1009" s="2" t="s">
        <v>3225</v>
      </c>
      <c r="D1009" s="2" t="s">
        <v>102</v>
      </c>
      <c r="E1009" s="2" t="s">
        <v>103</v>
      </c>
      <c r="F1009" s="2" t="s">
        <v>104</v>
      </c>
      <c r="G1009" s="2" t="s">
        <v>83</v>
      </c>
      <c r="H1009" s="2" t="s">
        <v>46</v>
      </c>
      <c r="I1009" s="2" t="s">
        <v>47</v>
      </c>
      <c r="J1009" s="2" t="s">
        <v>3226</v>
      </c>
      <c r="K1009" s="2" t="s">
        <v>3249</v>
      </c>
      <c r="L1009" s="2" t="s">
        <v>106</v>
      </c>
      <c r="M1009" s="2" t="s">
        <v>3228</v>
      </c>
      <c r="N1009" s="16">
        <v>1.7999999999999999E-2</v>
      </c>
      <c r="O1009" s="17">
        <f>N1009*'Financial Inputs'!$B$3</f>
        <v>1799999.9999999998</v>
      </c>
      <c r="P1009" s="18">
        <f>IF(I1009="L",'Financial Inputs'!$B$4,IF(I1009="M",'Financial Inputs'!$B$5,'Financial Inputs'!$B$6))</f>
        <v>0.4</v>
      </c>
      <c r="Q1009" s="17">
        <f>O1009*P1009</f>
        <v>720000</v>
      </c>
      <c r="R1009" s="16">
        <f>'Financial Inputs'!$B$7</f>
        <v>0.35</v>
      </c>
      <c r="S1009" s="17">
        <f>Q1009*(1-R1009)</f>
        <v>468000</v>
      </c>
      <c r="T1009" s="18">
        <f>S1009/'Financial Inputs'!$B$3</f>
        <v>4.6800000000000001E-3</v>
      </c>
      <c r="U1009" s="9" t="s">
        <v>52</v>
      </c>
      <c r="V1009" s="3" t="s">
        <v>53</v>
      </c>
    </row>
    <row r="1010" spans="1:22">
      <c r="A1010" s="2" t="s">
        <v>3250</v>
      </c>
      <c r="B1010" s="2" t="s">
        <v>3251</v>
      </c>
      <c r="C1010" s="2" t="s">
        <v>3225</v>
      </c>
      <c r="D1010" s="2" t="s">
        <v>42</v>
      </c>
      <c r="E1010" s="2" t="s">
        <v>109</v>
      </c>
      <c r="F1010" s="2" t="s">
        <v>110</v>
      </c>
      <c r="G1010" s="2" t="s">
        <v>111</v>
      </c>
      <c r="H1010" s="2" t="s">
        <v>46</v>
      </c>
      <c r="I1010" s="2" t="s">
        <v>47</v>
      </c>
      <c r="J1010" s="2" t="s">
        <v>3226</v>
      </c>
      <c r="K1010" s="2" t="s">
        <v>3252</v>
      </c>
      <c r="L1010" s="2" t="s">
        <v>113</v>
      </c>
      <c r="M1010" s="2" t="s">
        <v>3228</v>
      </c>
      <c r="N1010" s="16">
        <v>1.9800000000000002E-2</v>
      </c>
      <c r="O1010" s="17">
        <f>N1010*'Financial Inputs'!$B$3</f>
        <v>1980000.0000000002</v>
      </c>
      <c r="P1010" s="18">
        <f>IF(I1010="L",'Financial Inputs'!$B$4,IF(I1010="M",'Financial Inputs'!$B$5,'Financial Inputs'!$B$6))</f>
        <v>0.4</v>
      </c>
      <c r="Q1010" s="17">
        <f>O1010*P1010</f>
        <v>792000.00000000012</v>
      </c>
      <c r="R1010" s="16">
        <f>'Financial Inputs'!$B$7</f>
        <v>0.35</v>
      </c>
      <c r="S1010" s="17">
        <f>Q1010*(1-R1010)</f>
        <v>514800.00000000012</v>
      </c>
      <c r="T1010" s="18">
        <f>S1010/'Financial Inputs'!$B$3</f>
        <v>5.1480000000000015E-3</v>
      </c>
      <c r="U1010" s="9" t="s">
        <v>52</v>
      </c>
      <c r="V1010" s="3" t="s">
        <v>53</v>
      </c>
    </row>
    <row r="1011" spans="1:22">
      <c r="A1011" s="2" t="s">
        <v>3253</v>
      </c>
      <c r="B1011" s="2" t="s">
        <v>3254</v>
      </c>
      <c r="C1011" s="2" t="s">
        <v>3225</v>
      </c>
      <c r="D1011" s="2" t="s">
        <v>56</v>
      </c>
      <c r="E1011" s="2" t="s">
        <v>116</v>
      </c>
      <c r="F1011" s="2" t="s">
        <v>117</v>
      </c>
      <c r="G1011" s="2" t="s">
        <v>56</v>
      </c>
      <c r="H1011" s="2" t="s">
        <v>46</v>
      </c>
      <c r="I1011" s="2" t="s">
        <v>47</v>
      </c>
      <c r="J1011" s="2" t="s">
        <v>3226</v>
      </c>
      <c r="K1011" s="2" t="s">
        <v>3255</v>
      </c>
      <c r="L1011" s="2" t="s">
        <v>119</v>
      </c>
      <c r="M1011" s="2" t="s">
        <v>3228</v>
      </c>
      <c r="N1011" s="16">
        <v>2.1600000000000001E-2</v>
      </c>
      <c r="O1011" s="17">
        <f>N1011*'Financial Inputs'!$B$3</f>
        <v>2160000</v>
      </c>
      <c r="P1011" s="18">
        <f>IF(I1011="L",'Financial Inputs'!$B$4,IF(I1011="M",'Financial Inputs'!$B$5,'Financial Inputs'!$B$6))</f>
        <v>0.4</v>
      </c>
      <c r="Q1011" s="17">
        <f>O1011*P1011</f>
        <v>864000</v>
      </c>
      <c r="R1011" s="16">
        <f>'Financial Inputs'!$B$7</f>
        <v>0.35</v>
      </c>
      <c r="S1011" s="17">
        <f>Q1011*(1-R1011)</f>
        <v>561600</v>
      </c>
      <c r="T1011" s="18">
        <f>S1011/'Financial Inputs'!$B$3</f>
        <v>5.6160000000000003E-3</v>
      </c>
      <c r="U1011" s="9" t="s">
        <v>52</v>
      </c>
      <c r="V1011" s="3" t="s">
        <v>53</v>
      </c>
    </row>
    <row r="1012" spans="1:22">
      <c r="A1012" s="2" t="s">
        <v>3256</v>
      </c>
      <c r="B1012" s="2" t="s">
        <v>3257</v>
      </c>
      <c r="C1012" s="2" t="s">
        <v>3225</v>
      </c>
      <c r="D1012" s="2" t="s">
        <v>80</v>
      </c>
      <c r="E1012" s="2" t="s">
        <v>122</v>
      </c>
      <c r="F1012" s="2" t="s">
        <v>58</v>
      </c>
      <c r="G1012" s="2" t="s">
        <v>83</v>
      </c>
      <c r="H1012" s="2" t="s">
        <v>46</v>
      </c>
      <c r="I1012" s="2" t="s">
        <v>47</v>
      </c>
      <c r="J1012" s="2" t="s">
        <v>3226</v>
      </c>
      <c r="K1012" s="2" t="s">
        <v>3258</v>
      </c>
      <c r="L1012" s="2" t="s">
        <v>124</v>
      </c>
      <c r="M1012" s="2" t="s">
        <v>3228</v>
      </c>
      <c r="N1012" s="16">
        <v>1.44E-2</v>
      </c>
      <c r="O1012" s="17">
        <f>N1012*'Financial Inputs'!$B$3</f>
        <v>1440000</v>
      </c>
      <c r="P1012" s="18">
        <f>IF(I1012="L",'Financial Inputs'!$B$4,IF(I1012="M",'Financial Inputs'!$B$5,'Financial Inputs'!$B$6))</f>
        <v>0.4</v>
      </c>
      <c r="Q1012" s="17">
        <f>O1012*P1012</f>
        <v>576000</v>
      </c>
      <c r="R1012" s="16">
        <f>'Financial Inputs'!$B$7</f>
        <v>0.35</v>
      </c>
      <c r="S1012" s="17">
        <f>Q1012*(1-R1012)</f>
        <v>374400</v>
      </c>
      <c r="T1012" s="18">
        <f>S1012/'Financial Inputs'!$B$3</f>
        <v>3.7439999999999999E-3</v>
      </c>
      <c r="U1012" s="9" t="s">
        <v>52</v>
      </c>
      <c r="V1012" s="3" t="s">
        <v>53</v>
      </c>
    </row>
    <row r="1013" spans="1:22">
      <c r="A1013" s="2" t="s">
        <v>3259</v>
      </c>
      <c r="B1013" s="2" t="s">
        <v>3260</v>
      </c>
      <c r="C1013" s="2" t="s">
        <v>3225</v>
      </c>
      <c r="D1013" s="2" t="s">
        <v>127</v>
      </c>
      <c r="E1013" s="2" t="s">
        <v>128</v>
      </c>
      <c r="F1013" s="2" t="s">
        <v>66</v>
      </c>
      <c r="G1013" s="2" t="s">
        <v>111</v>
      </c>
      <c r="H1013" s="2" t="s">
        <v>46</v>
      </c>
      <c r="I1013" s="2" t="s">
        <v>47</v>
      </c>
      <c r="J1013" s="2" t="s">
        <v>3226</v>
      </c>
      <c r="K1013" s="2" t="s">
        <v>3261</v>
      </c>
      <c r="L1013" s="2" t="s">
        <v>130</v>
      </c>
      <c r="M1013" s="2" t="s">
        <v>3228</v>
      </c>
      <c r="N1013" s="16">
        <v>1.6199999999999999E-2</v>
      </c>
      <c r="O1013" s="17">
        <f>N1013*'Financial Inputs'!$B$3</f>
        <v>1620000</v>
      </c>
      <c r="P1013" s="18">
        <f>IF(I1013="L",'Financial Inputs'!$B$4,IF(I1013="M",'Financial Inputs'!$B$5,'Financial Inputs'!$B$6))</f>
        <v>0.4</v>
      </c>
      <c r="Q1013" s="17">
        <f>O1013*P1013</f>
        <v>648000</v>
      </c>
      <c r="R1013" s="16">
        <f>'Financial Inputs'!$B$7</f>
        <v>0.35</v>
      </c>
      <c r="S1013" s="17">
        <f>Q1013*(1-R1013)</f>
        <v>421200</v>
      </c>
      <c r="T1013" s="18">
        <f>S1013/'Financial Inputs'!$B$3</f>
        <v>4.2119999999999996E-3</v>
      </c>
      <c r="U1013" s="9" t="s">
        <v>52</v>
      </c>
      <c r="V1013" s="3" t="s">
        <v>53</v>
      </c>
    </row>
    <row r="1014" spans="1:22">
      <c r="A1014" s="2" t="s">
        <v>3262</v>
      </c>
      <c r="B1014" s="2" t="s">
        <v>3263</v>
      </c>
      <c r="C1014" s="2" t="s">
        <v>3225</v>
      </c>
      <c r="D1014" s="2" t="s">
        <v>133</v>
      </c>
      <c r="E1014" s="2" t="s">
        <v>43</v>
      </c>
      <c r="F1014" s="2" t="s">
        <v>74</v>
      </c>
      <c r="G1014" s="2" t="s">
        <v>56</v>
      </c>
      <c r="H1014" s="2" t="s">
        <v>46</v>
      </c>
      <c r="I1014" s="2" t="s">
        <v>47</v>
      </c>
      <c r="J1014" s="2" t="s">
        <v>3226</v>
      </c>
      <c r="K1014" s="2" t="s">
        <v>3264</v>
      </c>
      <c r="L1014" s="2" t="s">
        <v>135</v>
      </c>
      <c r="M1014" s="2" t="s">
        <v>3228</v>
      </c>
      <c r="N1014" s="16">
        <v>1.7999999999999999E-2</v>
      </c>
      <c r="O1014" s="17">
        <f>N1014*'Financial Inputs'!$B$3</f>
        <v>1799999.9999999998</v>
      </c>
      <c r="P1014" s="18">
        <f>IF(I1014="L",'Financial Inputs'!$B$4,IF(I1014="M",'Financial Inputs'!$B$5,'Financial Inputs'!$B$6))</f>
        <v>0.4</v>
      </c>
      <c r="Q1014" s="17">
        <f>O1014*P1014</f>
        <v>720000</v>
      </c>
      <c r="R1014" s="16">
        <f>'Financial Inputs'!$B$7</f>
        <v>0.35</v>
      </c>
      <c r="S1014" s="17">
        <f>Q1014*(1-R1014)</f>
        <v>468000</v>
      </c>
      <c r="T1014" s="18">
        <f>S1014/'Financial Inputs'!$B$3</f>
        <v>4.6800000000000001E-3</v>
      </c>
      <c r="U1014" s="9" t="s">
        <v>52</v>
      </c>
      <c r="V1014" s="3" t="s">
        <v>53</v>
      </c>
    </row>
    <row r="1015" spans="1:22">
      <c r="A1015" s="2" t="s">
        <v>3265</v>
      </c>
      <c r="B1015" s="2" t="s">
        <v>3266</v>
      </c>
      <c r="C1015" s="2" t="s">
        <v>3225</v>
      </c>
      <c r="D1015" s="2" t="s">
        <v>88</v>
      </c>
      <c r="E1015" s="2" t="s">
        <v>57</v>
      </c>
      <c r="F1015" s="2" t="s">
        <v>82</v>
      </c>
      <c r="G1015" s="2" t="s">
        <v>138</v>
      </c>
      <c r="H1015" s="2" t="s">
        <v>46</v>
      </c>
      <c r="I1015" s="2" t="s">
        <v>47</v>
      </c>
      <c r="J1015" s="2" t="s">
        <v>3226</v>
      </c>
      <c r="K1015" s="2" t="s">
        <v>3267</v>
      </c>
      <c r="L1015" s="2" t="s">
        <v>140</v>
      </c>
      <c r="M1015" s="2" t="s">
        <v>3228</v>
      </c>
      <c r="N1015" s="16">
        <v>1.9800000000000002E-2</v>
      </c>
      <c r="O1015" s="17">
        <f>N1015*'Financial Inputs'!$B$3</f>
        <v>1980000.0000000002</v>
      </c>
      <c r="P1015" s="18">
        <f>IF(I1015="L",'Financial Inputs'!$B$4,IF(I1015="M",'Financial Inputs'!$B$5,'Financial Inputs'!$B$6))</f>
        <v>0.4</v>
      </c>
      <c r="Q1015" s="17">
        <f>O1015*P1015</f>
        <v>792000.00000000012</v>
      </c>
      <c r="R1015" s="16">
        <f>'Financial Inputs'!$B$7</f>
        <v>0.35</v>
      </c>
      <c r="S1015" s="17">
        <f>Q1015*(1-R1015)</f>
        <v>514800.00000000012</v>
      </c>
      <c r="T1015" s="18">
        <f>S1015/'Financial Inputs'!$B$3</f>
        <v>5.1480000000000015E-3</v>
      </c>
      <c r="U1015" s="9" t="s">
        <v>52</v>
      </c>
      <c r="V1015" s="3" t="s">
        <v>53</v>
      </c>
    </row>
    <row r="1016" spans="1:22">
      <c r="A1016" s="2" t="s">
        <v>3268</v>
      </c>
      <c r="B1016" s="2" t="s">
        <v>3269</v>
      </c>
      <c r="C1016" s="2" t="s">
        <v>3225</v>
      </c>
      <c r="D1016" s="2" t="s">
        <v>95</v>
      </c>
      <c r="E1016" s="2" t="s">
        <v>65</v>
      </c>
      <c r="F1016" s="2" t="s">
        <v>44</v>
      </c>
      <c r="G1016" s="2" t="s">
        <v>143</v>
      </c>
      <c r="H1016" s="2" t="s">
        <v>46</v>
      </c>
      <c r="I1016" s="2" t="s">
        <v>47</v>
      </c>
      <c r="J1016" s="2" t="s">
        <v>3226</v>
      </c>
      <c r="K1016" s="2" t="s">
        <v>3270</v>
      </c>
      <c r="L1016" s="2" t="s">
        <v>145</v>
      </c>
      <c r="M1016" s="2" t="s">
        <v>3228</v>
      </c>
      <c r="N1016" s="16">
        <v>2.1600000000000001E-2</v>
      </c>
      <c r="O1016" s="17">
        <f>N1016*'Financial Inputs'!$B$3</f>
        <v>2160000</v>
      </c>
      <c r="P1016" s="18">
        <f>IF(I1016="L",'Financial Inputs'!$B$4,IF(I1016="M",'Financial Inputs'!$B$5,'Financial Inputs'!$B$6))</f>
        <v>0.4</v>
      </c>
      <c r="Q1016" s="17">
        <f>O1016*P1016</f>
        <v>864000</v>
      </c>
      <c r="R1016" s="16">
        <f>'Financial Inputs'!$B$7</f>
        <v>0.35</v>
      </c>
      <c r="S1016" s="17">
        <f>Q1016*(1-R1016)</f>
        <v>561600</v>
      </c>
      <c r="T1016" s="18">
        <f>S1016/'Financial Inputs'!$B$3</f>
        <v>5.6160000000000003E-3</v>
      </c>
      <c r="U1016" s="9" t="s">
        <v>52</v>
      </c>
      <c r="V1016" s="3" t="s">
        <v>53</v>
      </c>
    </row>
    <row r="1017" spans="1:22">
      <c r="A1017" s="2" t="s">
        <v>3271</v>
      </c>
      <c r="B1017" s="2" t="s">
        <v>3272</v>
      </c>
      <c r="C1017" s="2" t="s">
        <v>3225</v>
      </c>
      <c r="D1017" s="2" t="s">
        <v>56</v>
      </c>
      <c r="E1017" s="2" t="s">
        <v>148</v>
      </c>
      <c r="F1017" s="2" t="s">
        <v>97</v>
      </c>
      <c r="G1017" s="2" t="s">
        <v>56</v>
      </c>
      <c r="H1017" s="2" t="s">
        <v>46</v>
      </c>
      <c r="I1017" s="2" t="s">
        <v>47</v>
      </c>
      <c r="J1017" s="2" t="s">
        <v>3226</v>
      </c>
      <c r="K1017" s="2" t="s">
        <v>3273</v>
      </c>
      <c r="L1017" s="2" t="s">
        <v>150</v>
      </c>
      <c r="M1017" s="2" t="s">
        <v>3228</v>
      </c>
      <c r="N1017" s="16">
        <v>1.44E-2</v>
      </c>
      <c r="O1017" s="17">
        <f>N1017*'Financial Inputs'!$B$3</f>
        <v>1440000</v>
      </c>
      <c r="P1017" s="18">
        <f>IF(I1017="L",'Financial Inputs'!$B$4,IF(I1017="M",'Financial Inputs'!$B$5,'Financial Inputs'!$B$6))</f>
        <v>0.4</v>
      </c>
      <c r="Q1017" s="17">
        <f>O1017*P1017</f>
        <v>576000</v>
      </c>
      <c r="R1017" s="16">
        <f>'Financial Inputs'!$B$7</f>
        <v>0.35</v>
      </c>
      <c r="S1017" s="17">
        <f>Q1017*(1-R1017)</f>
        <v>374400</v>
      </c>
      <c r="T1017" s="18">
        <f>S1017/'Financial Inputs'!$B$3</f>
        <v>3.7439999999999999E-3</v>
      </c>
      <c r="U1017" s="9" t="s">
        <v>52</v>
      </c>
      <c r="V1017" s="3" t="s">
        <v>53</v>
      </c>
    </row>
    <row r="1018" spans="1:22">
      <c r="A1018" s="2" t="s">
        <v>3274</v>
      </c>
      <c r="B1018" s="2" t="s">
        <v>3275</v>
      </c>
      <c r="C1018" s="2" t="s">
        <v>3225</v>
      </c>
      <c r="D1018" s="2" t="s">
        <v>64</v>
      </c>
      <c r="E1018" s="2" t="s">
        <v>153</v>
      </c>
      <c r="F1018" s="2" t="s">
        <v>104</v>
      </c>
      <c r="G1018" s="2" t="s">
        <v>138</v>
      </c>
      <c r="H1018" s="2" t="s">
        <v>46</v>
      </c>
      <c r="I1018" s="2" t="s">
        <v>47</v>
      </c>
      <c r="J1018" s="2" t="s">
        <v>3226</v>
      </c>
      <c r="K1018" s="2" t="s">
        <v>3276</v>
      </c>
      <c r="L1018" s="2" t="s">
        <v>155</v>
      </c>
      <c r="M1018" s="2" t="s">
        <v>3228</v>
      </c>
      <c r="N1018" s="16">
        <v>1.6199999999999999E-2</v>
      </c>
      <c r="O1018" s="17">
        <f>N1018*'Financial Inputs'!$B$3</f>
        <v>1620000</v>
      </c>
      <c r="P1018" s="18">
        <f>IF(I1018="L",'Financial Inputs'!$B$4,IF(I1018="M",'Financial Inputs'!$B$5,'Financial Inputs'!$B$6))</f>
        <v>0.4</v>
      </c>
      <c r="Q1018" s="17">
        <f>O1018*P1018</f>
        <v>648000</v>
      </c>
      <c r="R1018" s="16">
        <f>'Financial Inputs'!$B$7</f>
        <v>0.35</v>
      </c>
      <c r="S1018" s="17">
        <f>Q1018*(1-R1018)</f>
        <v>421200</v>
      </c>
      <c r="T1018" s="18">
        <f>S1018/'Financial Inputs'!$B$3</f>
        <v>4.2119999999999996E-3</v>
      </c>
      <c r="U1018" s="9" t="s">
        <v>52</v>
      </c>
      <c r="V1018" s="3" t="s">
        <v>53</v>
      </c>
    </row>
    <row r="1019" spans="1:22">
      <c r="A1019" s="2" t="s">
        <v>3277</v>
      </c>
      <c r="B1019" s="2" t="s">
        <v>3278</v>
      </c>
      <c r="C1019" s="2" t="s">
        <v>3225</v>
      </c>
      <c r="D1019" s="2" t="s">
        <v>72</v>
      </c>
      <c r="E1019" s="2" t="s">
        <v>89</v>
      </c>
      <c r="F1019" s="2" t="s">
        <v>110</v>
      </c>
      <c r="G1019" s="2" t="s">
        <v>143</v>
      </c>
      <c r="H1019" s="2" t="s">
        <v>46</v>
      </c>
      <c r="I1019" s="2" t="s">
        <v>47</v>
      </c>
      <c r="J1019" s="2" t="s">
        <v>3226</v>
      </c>
      <c r="K1019" s="2" t="s">
        <v>3279</v>
      </c>
      <c r="L1019" s="2" t="s">
        <v>159</v>
      </c>
      <c r="M1019" s="2" t="s">
        <v>3228</v>
      </c>
      <c r="N1019" s="16">
        <v>1.7999999999999999E-2</v>
      </c>
      <c r="O1019" s="17">
        <f>N1019*'Financial Inputs'!$B$3</f>
        <v>1799999.9999999998</v>
      </c>
      <c r="P1019" s="18">
        <f>IF(I1019="L",'Financial Inputs'!$B$4,IF(I1019="M",'Financial Inputs'!$B$5,'Financial Inputs'!$B$6))</f>
        <v>0.4</v>
      </c>
      <c r="Q1019" s="17">
        <f>O1019*P1019</f>
        <v>720000</v>
      </c>
      <c r="R1019" s="16">
        <f>'Financial Inputs'!$B$7</f>
        <v>0.35</v>
      </c>
      <c r="S1019" s="17">
        <f>Q1019*(1-R1019)</f>
        <v>468000</v>
      </c>
      <c r="T1019" s="18">
        <f>S1019/'Financial Inputs'!$B$3</f>
        <v>4.6800000000000001E-3</v>
      </c>
      <c r="U1019" s="9" t="s">
        <v>52</v>
      </c>
      <c r="V1019" s="3" t="s">
        <v>53</v>
      </c>
    </row>
    <row r="1020" spans="1:22">
      <c r="A1020" s="2" t="s">
        <v>3280</v>
      </c>
      <c r="B1020" s="2" t="s">
        <v>3281</v>
      </c>
      <c r="C1020" s="2" t="s">
        <v>3225</v>
      </c>
      <c r="D1020" s="2" t="s">
        <v>80</v>
      </c>
      <c r="E1020" s="2" t="s">
        <v>96</v>
      </c>
      <c r="F1020" s="2" t="s">
        <v>117</v>
      </c>
      <c r="G1020" s="2" t="s">
        <v>162</v>
      </c>
      <c r="H1020" s="2" t="s">
        <v>46</v>
      </c>
      <c r="I1020" s="2" t="s">
        <v>47</v>
      </c>
      <c r="J1020" s="2" t="s">
        <v>3226</v>
      </c>
      <c r="K1020" s="2" t="s">
        <v>3282</v>
      </c>
      <c r="L1020" s="2" t="s">
        <v>164</v>
      </c>
      <c r="M1020" s="2" t="s">
        <v>3228</v>
      </c>
      <c r="N1020" s="16">
        <v>1.9800000000000002E-2</v>
      </c>
      <c r="O1020" s="17">
        <f>N1020*'Financial Inputs'!$B$3</f>
        <v>1980000.0000000002</v>
      </c>
      <c r="P1020" s="18">
        <f>IF(I1020="L",'Financial Inputs'!$B$4,IF(I1020="M",'Financial Inputs'!$B$5,'Financial Inputs'!$B$6))</f>
        <v>0.4</v>
      </c>
      <c r="Q1020" s="17">
        <f>O1020*P1020</f>
        <v>792000.00000000012</v>
      </c>
      <c r="R1020" s="16">
        <f>'Financial Inputs'!$B$7</f>
        <v>0.35</v>
      </c>
      <c r="S1020" s="17">
        <f>Q1020*(1-R1020)</f>
        <v>514800.00000000012</v>
      </c>
      <c r="T1020" s="18">
        <f>S1020/'Financial Inputs'!$B$3</f>
        <v>5.1480000000000015E-3</v>
      </c>
      <c r="U1020" s="9" t="s">
        <v>52</v>
      </c>
      <c r="V1020" s="3" t="s">
        <v>53</v>
      </c>
    </row>
    <row r="1021" spans="1:22">
      <c r="A1021" s="2" t="s">
        <v>3283</v>
      </c>
      <c r="B1021" s="2" t="s">
        <v>3284</v>
      </c>
      <c r="C1021" s="2" t="s">
        <v>3225</v>
      </c>
      <c r="D1021" s="2" t="s">
        <v>127</v>
      </c>
      <c r="E1021" s="2" t="s">
        <v>103</v>
      </c>
      <c r="F1021" s="2" t="s">
        <v>90</v>
      </c>
      <c r="G1021" s="2" t="s">
        <v>45</v>
      </c>
      <c r="H1021" s="2" t="s">
        <v>46</v>
      </c>
      <c r="I1021" s="2" t="s">
        <v>47</v>
      </c>
      <c r="J1021" s="2" t="s">
        <v>3226</v>
      </c>
      <c r="K1021" s="2" t="s">
        <v>3285</v>
      </c>
      <c r="L1021" s="2" t="s">
        <v>168</v>
      </c>
      <c r="M1021" s="2" t="s">
        <v>3228</v>
      </c>
      <c r="N1021" s="16">
        <v>2.1600000000000001E-2</v>
      </c>
      <c r="O1021" s="17">
        <f>N1021*'Financial Inputs'!$B$3</f>
        <v>2160000</v>
      </c>
      <c r="P1021" s="18">
        <f>IF(I1021="L",'Financial Inputs'!$B$4,IF(I1021="M",'Financial Inputs'!$B$5,'Financial Inputs'!$B$6))</f>
        <v>0.4</v>
      </c>
      <c r="Q1021" s="17">
        <f>O1021*P1021</f>
        <v>864000</v>
      </c>
      <c r="R1021" s="16">
        <f>'Financial Inputs'!$B$7</f>
        <v>0.35</v>
      </c>
      <c r="S1021" s="17">
        <f>Q1021*(1-R1021)</f>
        <v>561600</v>
      </c>
      <c r="T1021" s="18">
        <f>S1021/'Financial Inputs'!$B$3</f>
        <v>5.6160000000000003E-3</v>
      </c>
      <c r="U1021" s="9" t="s">
        <v>52</v>
      </c>
      <c r="V1021" s="3" t="s">
        <v>53</v>
      </c>
    </row>
    <row r="1022" spans="1:22">
      <c r="A1022" s="2" t="s">
        <v>3286</v>
      </c>
      <c r="B1022" s="2" t="s">
        <v>3287</v>
      </c>
      <c r="C1022" s="2" t="s">
        <v>3225</v>
      </c>
      <c r="D1022" s="2" t="s">
        <v>95</v>
      </c>
      <c r="E1022" s="2" t="s">
        <v>171</v>
      </c>
      <c r="F1022" s="2" t="s">
        <v>66</v>
      </c>
      <c r="G1022" s="2" t="s">
        <v>143</v>
      </c>
      <c r="H1022" s="2" t="s">
        <v>46</v>
      </c>
      <c r="I1022" s="2" t="s">
        <v>47</v>
      </c>
      <c r="J1022" s="2" t="s">
        <v>3226</v>
      </c>
      <c r="K1022" s="2" t="s">
        <v>3288</v>
      </c>
      <c r="L1022" s="2" t="s">
        <v>173</v>
      </c>
      <c r="M1022" s="2" t="s">
        <v>3228</v>
      </c>
      <c r="N1022" s="16">
        <v>1.44E-2</v>
      </c>
      <c r="O1022" s="17">
        <f>N1022*'Financial Inputs'!$B$3</f>
        <v>1440000</v>
      </c>
      <c r="P1022" s="18">
        <f>IF(I1022="L",'Financial Inputs'!$B$4,IF(I1022="M",'Financial Inputs'!$B$5,'Financial Inputs'!$B$6))</f>
        <v>0.4</v>
      </c>
      <c r="Q1022" s="17">
        <f>O1022*P1022</f>
        <v>576000</v>
      </c>
      <c r="R1022" s="16">
        <f>'Financial Inputs'!$B$7</f>
        <v>0.35</v>
      </c>
      <c r="S1022" s="17">
        <f>Q1022*(1-R1022)</f>
        <v>374400</v>
      </c>
      <c r="T1022" s="18">
        <f>S1022/'Financial Inputs'!$B$3</f>
        <v>3.7439999999999999E-3</v>
      </c>
      <c r="U1022" s="9" t="s">
        <v>52</v>
      </c>
      <c r="V1022" s="3" t="s">
        <v>53</v>
      </c>
    </row>
    <row r="1023" spans="1:22">
      <c r="A1023" s="2" t="s">
        <v>3289</v>
      </c>
      <c r="B1023" s="2" t="s">
        <v>3290</v>
      </c>
      <c r="C1023" s="2" t="s">
        <v>3225</v>
      </c>
      <c r="D1023" s="2" t="s">
        <v>102</v>
      </c>
      <c r="E1023" s="2" t="s">
        <v>176</v>
      </c>
      <c r="F1023" s="2" t="s">
        <v>74</v>
      </c>
      <c r="G1023" s="2" t="s">
        <v>162</v>
      </c>
      <c r="H1023" s="2" t="s">
        <v>46</v>
      </c>
      <c r="I1023" s="2" t="s">
        <v>47</v>
      </c>
      <c r="J1023" s="2" t="s">
        <v>3226</v>
      </c>
      <c r="K1023" s="2" t="s">
        <v>3291</v>
      </c>
      <c r="L1023" s="2" t="s">
        <v>178</v>
      </c>
      <c r="M1023" s="2" t="s">
        <v>3228</v>
      </c>
      <c r="N1023" s="16">
        <v>1.6199999999999999E-2</v>
      </c>
      <c r="O1023" s="17">
        <f>N1023*'Financial Inputs'!$B$3</f>
        <v>1620000</v>
      </c>
      <c r="P1023" s="18">
        <f>IF(I1023="L",'Financial Inputs'!$B$4,IF(I1023="M",'Financial Inputs'!$B$5,'Financial Inputs'!$B$6))</f>
        <v>0.4</v>
      </c>
      <c r="Q1023" s="17">
        <f>O1023*P1023</f>
        <v>648000</v>
      </c>
      <c r="R1023" s="16">
        <f>'Financial Inputs'!$B$7</f>
        <v>0.35</v>
      </c>
      <c r="S1023" s="17">
        <f>Q1023*(1-R1023)</f>
        <v>421200</v>
      </c>
      <c r="T1023" s="18">
        <f>S1023/'Financial Inputs'!$B$3</f>
        <v>4.2119999999999996E-3</v>
      </c>
      <c r="U1023" s="9" t="s">
        <v>52</v>
      </c>
      <c r="V1023" s="3" t="s">
        <v>53</v>
      </c>
    </row>
    <row r="1024" spans="1:22">
      <c r="A1024" s="2" t="s">
        <v>3292</v>
      </c>
      <c r="B1024" s="2" t="s">
        <v>3293</v>
      </c>
      <c r="C1024" s="2" t="s">
        <v>3225</v>
      </c>
      <c r="D1024" s="2" t="s">
        <v>42</v>
      </c>
      <c r="E1024" s="2" t="s">
        <v>122</v>
      </c>
      <c r="F1024" s="2" t="s">
        <v>82</v>
      </c>
      <c r="G1024" s="2" t="s">
        <v>45</v>
      </c>
      <c r="H1024" s="2" t="s">
        <v>46</v>
      </c>
      <c r="I1024" s="2" t="s">
        <v>47</v>
      </c>
      <c r="J1024" s="2" t="s">
        <v>3226</v>
      </c>
      <c r="K1024" s="2" t="s">
        <v>3294</v>
      </c>
      <c r="L1024" s="2" t="s">
        <v>182</v>
      </c>
      <c r="M1024" s="2" t="s">
        <v>3228</v>
      </c>
      <c r="N1024" s="16">
        <v>1.7999999999999999E-2</v>
      </c>
      <c r="O1024" s="17">
        <f>N1024*'Financial Inputs'!$B$3</f>
        <v>1799999.9999999998</v>
      </c>
      <c r="P1024" s="18">
        <f>IF(I1024="L",'Financial Inputs'!$B$4,IF(I1024="M",'Financial Inputs'!$B$5,'Financial Inputs'!$B$6))</f>
        <v>0.4</v>
      </c>
      <c r="Q1024" s="17">
        <f>O1024*P1024</f>
        <v>720000</v>
      </c>
      <c r="R1024" s="16">
        <f>'Financial Inputs'!$B$7</f>
        <v>0.35</v>
      </c>
      <c r="S1024" s="17">
        <f>Q1024*(1-R1024)</f>
        <v>468000</v>
      </c>
      <c r="T1024" s="18">
        <f>S1024/'Financial Inputs'!$B$3</f>
        <v>4.6800000000000001E-3</v>
      </c>
      <c r="U1024" s="9" t="s">
        <v>52</v>
      </c>
      <c r="V1024" s="3" t="s">
        <v>53</v>
      </c>
    </row>
    <row r="1025" spans="1:22">
      <c r="A1025" s="2" t="s">
        <v>3295</v>
      </c>
      <c r="B1025" s="2" t="s">
        <v>3296</v>
      </c>
      <c r="C1025" s="2" t="s">
        <v>3225</v>
      </c>
      <c r="D1025" s="2" t="s">
        <v>56</v>
      </c>
      <c r="E1025" s="2" t="s">
        <v>128</v>
      </c>
      <c r="F1025" s="2" t="s">
        <v>44</v>
      </c>
      <c r="G1025" s="2" t="s">
        <v>59</v>
      </c>
      <c r="H1025" s="2" t="s">
        <v>46</v>
      </c>
      <c r="I1025" s="2" t="s">
        <v>47</v>
      </c>
      <c r="J1025" s="2" t="s">
        <v>3226</v>
      </c>
      <c r="K1025" s="2" t="s">
        <v>3297</v>
      </c>
      <c r="L1025" s="2" t="s">
        <v>186</v>
      </c>
      <c r="M1025" s="2" t="s">
        <v>3228</v>
      </c>
      <c r="N1025" s="16">
        <v>1.9800000000000002E-2</v>
      </c>
      <c r="O1025" s="17">
        <f>N1025*'Financial Inputs'!$B$3</f>
        <v>1980000.0000000002</v>
      </c>
      <c r="P1025" s="18">
        <f>IF(I1025="L",'Financial Inputs'!$B$4,IF(I1025="M",'Financial Inputs'!$B$5,'Financial Inputs'!$B$6))</f>
        <v>0.4</v>
      </c>
      <c r="Q1025" s="17">
        <f>O1025*P1025</f>
        <v>792000.00000000012</v>
      </c>
      <c r="R1025" s="16">
        <f>'Financial Inputs'!$B$7</f>
        <v>0.35</v>
      </c>
      <c r="S1025" s="17">
        <f>Q1025*(1-R1025)</f>
        <v>514800.00000000012</v>
      </c>
      <c r="T1025" s="18">
        <f>S1025/'Financial Inputs'!$B$3</f>
        <v>5.1480000000000015E-3</v>
      </c>
      <c r="U1025" s="9" t="s">
        <v>52</v>
      </c>
      <c r="V1025" s="3" t="s">
        <v>53</v>
      </c>
    </row>
    <row r="1026" spans="1:22">
      <c r="A1026" s="2" t="s">
        <v>3298</v>
      </c>
      <c r="B1026" s="2" t="s">
        <v>3299</v>
      </c>
      <c r="C1026" s="2" t="s">
        <v>3225</v>
      </c>
      <c r="D1026" s="2" t="s">
        <v>64</v>
      </c>
      <c r="E1026" s="2" t="s">
        <v>43</v>
      </c>
      <c r="F1026" s="2" t="s">
        <v>58</v>
      </c>
      <c r="G1026" s="2" t="s">
        <v>67</v>
      </c>
      <c r="H1026" s="2" t="s">
        <v>46</v>
      </c>
      <c r="I1026" s="2" t="s">
        <v>47</v>
      </c>
      <c r="J1026" s="2" t="s">
        <v>3226</v>
      </c>
      <c r="K1026" s="2" t="s">
        <v>3300</v>
      </c>
      <c r="L1026" s="2" t="s">
        <v>190</v>
      </c>
      <c r="M1026" s="2" t="s">
        <v>3228</v>
      </c>
      <c r="N1026" s="16">
        <v>2.1600000000000001E-2</v>
      </c>
      <c r="O1026" s="17">
        <f>N1026*'Financial Inputs'!$B$3</f>
        <v>2160000</v>
      </c>
      <c r="P1026" s="18">
        <f>IF(I1026="L",'Financial Inputs'!$B$4,IF(I1026="M",'Financial Inputs'!$B$5,'Financial Inputs'!$B$6))</f>
        <v>0.4</v>
      </c>
      <c r="Q1026" s="17">
        <f>O1026*P1026</f>
        <v>864000</v>
      </c>
      <c r="R1026" s="16">
        <f>'Financial Inputs'!$B$7</f>
        <v>0.35</v>
      </c>
      <c r="S1026" s="17">
        <f>Q1026*(1-R1026)</f>
        <v>561600</v>
      </c>
      <c r="T1026" s="18">
        <f>S1026/'Financial Inputs'!$B$3</f>
        <v>5.6160000000000003E-3</v>
      </c>
      <c r="U1026" s="9" t="s">
        <v>52</v>
      </c>
      <c r="V1026" s="3" t="s">
        <v>53</v>
      </c>
    </row>
    <row r="1027" spans="1:22">
      <c r="A1027" s="2" t="s">
        <v>3301</v>
      </c>
      <c r="B1027" s="2" t="s">
        <v>3302</v>
      </c>
      <c r="C1027" s="2" t="s">
        <v>3225</v>
      </c>
      <c r="D1027" s="2" t="s">
        <v>127</v>
      </c>
      <c r="E1027" s="2" t="s">
        <v>193</v>
      </c>
      <c r="F1027" s="2" t="s">
        <v>104</v>
      </c>
      <c r="G1027" s="2" t="s">
        <v>45</v>
      </c>
      <c r="H1027" s="2" t="s">
        <v>46</v>
      </c>
      <c r="I1027" s="2" t="s">
        <v>47</v>
      </c>
      <c r="J1027" s="2" t="s">
        <v>3226</v>
      </c>
      <c r="K1027" s="2" t="s">
        <v>3303</v>
      </c>
      <c r="L1027" s="2" t="s">
        <v>195</v>
      </c>
      <c r="M1027" s="2" t="s">
        <v>3228</v>
      </c>
      <c r="N1027" s="16">
        <v>1.44E-2</v>
      </c>
      <c r="O1027" s="17">
        <f>N1027*'Financial Inputs'!$B$3</f>
        <v>1440000</v>
      </c>
      <c r="P1027" s="18">
        <f>IF(I1027="L",'Financial Inputs'!$B$4,IF(I1027="M",'Financial Inputs'!$B$5,'Financial Inputs'!$B$6))</f>
        <v>0.4</v>
      </c>
      <c r="Q1027" s="17">
        <f>O1027*P1027</f>
        <v>576000</v>
      </c>
      <c r="R1027" s="16">
        <f>'Financial Inputs'!$B$7</f>
        <v>0.35</v>
      </c>
      <c r="S1027" s="17">
        <f>Q1027*(1-R1027)</f>
        <v>374400</v>
      </c>
      <c r="T1027" s="18">
        <f>S1027/'Financial Inputs'!$B$3</f>
        <v>3.7439999999999999E-3</v>
      </c>
      <c r="U1027" s="9" t="s">
        <v>52</v>
      </c>
      <c r="V1027" s="3" t="s">
        <v>53</v>
      </c>
    </row>
    <row r="1028" spans="1:22">
      <c r="A1028" s="2" t="s">
        <v>3304</v>
      </c>
      <c r="B1028" s="2" t="s">
        <v>3305</v>
      </c>
      <c r="C1028" s="2" t="s">
        <v>3225</v>
      </c>
      <c r="D1028" s="2" t="s">
        <v>133</v>
      </c>
      <c r="E1028" s="2" t="s">
        <v>198</v>
      </c>
      <c r="F1028" s="2" t="s">
        <v>110</v>
      </c>
      <c r="G1028" s="2" t="s">
        <v>59</v>
      </c>
      <c r="H1028" s="2" t="s">
        <v>46</v>
      </c>
      <c r="I1028" s="2" t="s">
        <v>47</v>
      </c>
      <c r="J1028" s="2" t="s">
        <v>3226</v>
      </c>
      <c r="K1028" s="2" t="s">
        <v>3306</v>
      </c>
      <c r="L1028" s="2" t="s">
        <v>200</v>
      </c>
      <c r="M1028" s="2" t="s">
        <v>3228</v>
      </c>
      <c r="N1028" s="16">
        <v>1.6199999999999999E-2</v>
      </c>
      <c r="O1028" s="17">
        <f>N1028*'Financial Inputs'!$B$3</f>
        <v>1620000</v>
      </c>
      <c r="P1028" s="18">
        <f>IF(I1028="L",'Financial Inputs'!$B$4,IF(I1028="M",'Financial Inputs'!$B$5,'Financial Inputs'!$B$6))</f>
        <v>0.4</v>
      </c>
      <c r="Q1028" s="17">
        <f>O1028*P1028</f>
        <v>648000</v>
      </c>
      <c r="R1028" s="16">
        <f>'Financial Inputs'!$B$7</f>
        <v>0.35</v>
      </c>
      <c r="S1028" s="17">
        <f>Q1028*(1-R1028)</f>
        <v>421200</v>
      </c>
      <c r="T1028" s="18">
        <f>S1028/'Financial Inputs'!$B$3</f>
        <v>4.2119999999999996E-3</v>
      </c>
      <c r="U1028" s="9" t="s">
        <v>52</v>
      </c>
      <c r="V1028" s="3" t="s">
        <v>53</v>
      </c>
    </row>
    <row r="1029" spans="1:22">
      <c r="A1029" s="2" t="s">
        <v>3307</v>
      </c>
      <c r="B1029" s="2" t="s">
        <v>3308</v>
      </c>
      <c r="C1029" s="2" t="s">
        <v>3225</v>
      </c>
      <c r="D1029" s="2" t="s">
        <v>88</v>
      </c>
      <c r="E1029" s="2" t="s">
        <v>148</v>
      </c>
      <c r="F1029" s="2" t="s">
        <v>117</v>
      </c>
      <c r="G1029" s="2" t="s">
        <v>67</v>
      </c>
      <c r="H1029" s="2" t="s">
        <v>46</v>
      </c>
      <c r="I1029" s="2" t="s">
        <v>47</v>
      </c>
      <c r="J1029" s="2" t="s">
        <v>3226</v>
      </c>
      <c r="K1029" s="2" t="s">
        <v>3309</v>
      </c>
      <c r="L1029" s="2" t="s">
        <v>204</v>
      </c>
      <c r="M1029" s="2" t="s">
        <v>3228</v>
      </c>
      <c r="N1029" s="16">
        <v>1.7999999999999999E-2</v>
      </c>
      <c r="O1029" s="17">
        <f>N1029*'Financial Inputs'!$B$3</f>
        <v>1799999.9999999998</v>
      </c>
      <c r="P1029" s="18">
        <f>IF(I1029="L",'Financial Inputs'!$B$4,IF(I1029="M",'Financial Inputs'!$B$5,'Financial Inputs'!$B$6))</f>
        <v>0.4</v>
      </c>
      <c r="Q1029" s="17">
        <f>O1029*P1029</f>
        <v>720000</v>
      </c>
      <c r="R1029" s="16">
        <f>'Financial Inputs'!$B$7</f>
        <v>0.35</v>
      </c>
      <c r="S1029" s="17">
        <f>Q1029*(1-R1029)</f>
        <v>468000</v>
      </c>
      <c r="T1029" s="18">
        <f>S1029/'Financial Inputs'!$B$3</f>
        <v>4.6800000000000001E-3</v>
      </c>
      <c r="U1029" s="9" t="s">
        <v>52</v>
      </c>
      <c r="V1029" s="3" t="s">
        <v>53</v>
      </c>
    </row>
    <row r="1030" spans="1:22">
      <c r="A1030" s="2" t="s">
        <v>3310</v>
      </c>
      <c r="B1030" s="2" t="s">
        <v>3311</v>
      </c>
      <c r="C1030" s="2" t="s">
        <v>3225</v>
      </c>
      <c r="D1030" s="2" t="s">
        <v>95</v>
      </c>
      <c r="E1030" s="2" t="s">
        <v>153</v>
      </c>
      <c r="F1030" s="2" t="s">
        <v>90</v>
      </c>
      <c r="G1030" s="2" t="s">
        <v>75</v>
      </c>
      <c r="H1030" s="2" t="s">
        <v>46</v>
      </c>
      <c r="I1030" s="2" t="s">
        <v>47</v>
      </c>
      <c r="J1030" s="2" t="s">
        <v>3226</v>
      </c>
      <c r="K1030" s="2" t="s">
        <v>3312</v>
      </c>
      <c r="L1030" s="2" t="s">
        <v>208</v>
      </c>
      <c r="M1030" s="2" t="s">
        <v>3228</v>
      </c>
      <c r="N1030" s="16">
        <v>1.9800000000000002E-2</v>
      </c>
      <c r="O1030" s="17">
        <f>N1030*'Financial Inputs'!$B$3</f>
        <v>1980000.0000000002</v>
      </c>
      <c r="P1030" s="18">
        <f>IF(I1030="L",'Financial Inputs'!$B$4,IF(I1030="M",'Financial Inputs'!$B$5,'Financial Inputs'!$B$6))</f>
        <v>0.4</v>
      </c>
      <c r="Q1030" s="17">
        <f>O1030*P1030</f>
        <v>792000.00000000012</v>
      </c>
      <c r="R1030" s="16">
        <f>'Financial Inputs'!$B$7</f>
        <v>0.35</v>
      </c>
      <c r="S1030" s="17">
        <f>Q1030*(1-R1030)</f>
        <v>514800.00000000012</v>
      </c>
      <c r="T1030" s="18">
        <f>S1030/'Financial Inputs'!$B$3</f>
        <v>5.1480000000000015E-3</v>
      </c>
      <c r="U1030" s="9" t="s">
        <v>52</v>
      </c>
      <c r="V1030" s="3" t="s">
        <v>53</v>
      </c>
    </row>
    <row r="1031" spans="1:22">
      <c r="A1031" s="2" t="s">
        <v>3313</v>
      </c>
      <c r="B1031" s="2" t="s">
        <v>3314</v>
      </c>
      <c r="C1031" s="2" t="s">
        <v>3225</v>
      </c>
      <c r="D1031" s="2" t="s">
        <v>102</v>
      </c>
      <c r="E1031" s="2" t="s">
        <v>89</v>
      </c>
      <c r="F1031" s="2" t="s">
        <v>97</v>
      </c>
      <c r="G1031" s="2" t="s">
        <v>83</v>
      </c>
      <c r="H1031" s="2" t="s">
        <v>46</v>
      </c>
      <c r="I1031" s="2" t="s">
        <v>47</v>
      </c>
      <c r="J1031" s="2" t="s">
        <v>3226</v>
      </c>
      <c r="K1031" s="2" t="s">
        <v>3315</v>
      </c>
      <c r="L1031" s="2" t="s">
        <v>212</v>
      </c>
      <c r="M1031" s="2" t="s">
        <v>3228</v>
      </c>
      <c r="N1031" s="16">
        <v>2.1600000000000001E-2</v>
      </c>
      <c r="O1031" s="17">
        <f>N1031*'Financial Inputs'!$B$3</f>
        <v>2160000</v>
      </c>
      <c r="P1031" s="18">
        <f>IF(I1031="L",'Financial Inputs'!$B$4,IF(I1031="M",'Financial Inputs'!$B$5,'Financial Inputs'!$B$6))</f>
        <v>0.4</v>
      </c>
      <c r="Q1031" s="17">
        <f>O1031*P1031</f>
        <v>864000</v>
      </c>
      <c r="R1031" s="16">
        <f>'Financial Inputs'!$B$7</f>
        <v>0.35</v>
      </c>
      <c r="S1031" s="17">
        <f>Q1031*(1-R1031)</f>
        <v>561600</v>
      </c>
      <c r="T1031" s="18">
        <f>S1031/'Financial Inputs'!$B$3</f>
        <v>5.6160000000000003E-3</v>
      </c>
      <c r="U1031" s="9" t="s">
        <v>52</v>
      </c>
      <c r="V1031" s="3" t="s">
        <v>53</v>
      </c>
    </row>
    <row r="1032" spans="1:22">
      <c r="A1032" s="2" t="s">
        <v>3316</v>
      </c>
      <c r="B1032" s="2" t="s">
        <v>3317</v>
      </c>
      <c r="C1032" s="2" t="s">
        <v>3225</v>
      </c>
      <c r="D1032" s="2" t="s">
        <v>64</v>
      </c>
      <c r="E1032" s="2" t="s">
        <v>215</v>
      </c>
      <c r="F1032" s="2" t="s">
        <v>74</v>
      </c>
      <c r="G1032" s="2" t="s">
        <v>67</v>
      </c>
      <c r="H1032" s="2" t="s">
        <v>46</v>
      </c>
      <c r="I1032" s="2" t="s">
        <v>47</v>
      </c>
      <c r="J1032" s="2" t="s">
        <v>3226</v>
      </c>
      <c r="K1032" s="2" t="s">
        <v>3318</v>
      </c>
      <c r="L1032" s="2" t="s">
        <v>217</v>
      </c>
      <c r="M1032" s="2" t="s">
        <v>3228</v>
      </c>
      <c r="N1032" s="16">
        <v>1.44E-2</v>
      </c>
      <c r="O1032" s="17">
        <f>N1032*'Financial Inputs'!$B$3</f>
        <v>1440000</v>
      </c>
      <c r="P1032" s="18">
        <f>IF(I1032="L",'Financial Inputs'!$B$4,IF(I1032="M",'Financial Inputs'!$B$5,'Financial Inputs'!$B$6))</f>
        <v>0.4</v>
      </c>
      <c r="Q1032" s="17">
        <f>O1032*P1032</f>
        <v>576000</v>
      </c>
      <c r="R1032" s="16">
        <f>'Financial Inputs'!$B$7</f>
        <v>0.35</v>
      </c>
      <c r="S1032" s="17">
        <f>Q1032*(1-R1032)</f>
        <v>374400</v>
      </c>
      <c r="T1032" s="18">
        <f>S1032/'Financial Inputs'!$B$3</f>
        <v>3.7439999999999999E-3</v>
      </c>
      <c r="U1032" s="9" t="s">
        <v>52</v>
      </c>
      <c r="V1032" s="3" t="s">
        <v>53</v>
      </c>
    </row>
    <row r="1033" spans="1:22">
      <c r="A1033" s="2" t="s">
        <v>3319</v>
      </c>
      <c r="B1033" s="2" t="s">
        <v>3320</v>
      </c>
      <c r="C1033" s="2" t="s">
        <v>3225</v>
      </c>
      <c r="D1033" s="2" t="s">
        <v>72</v>
      </c>
      <c r="E1033" s="2" t="s">
        <v>220</v>
      </c>
      <c r="F1033" s="2" t="s">
        <v>82</v>
      </c>
      <c r="G1033" s="2" t="s">
        <v>75</v>
      </c>
      <c r="H1033" s="2" t="s">
        <v>46</v>
      </c>
      <c r="I1033" s="2" t="s">
        <v>47</v>
      </c>
      <c r="J1033" s="2" t="s">
        <v>3226</v>
      </c>
      <c r="K1033" s="2" t="s">
        <v>3321</v>
      </c>
      <c r="L1033" s="2" t="s">
        <v>222</v>
      </c>
      <c r="M1033" s="2" t="s">
        <v>3228</v>
      </c>
      <c r="N1033" s="16">
        <v>1.6199999999999999E-2</v>
      </c>
      <c r="O1033" s="17">
        <f>N1033*'Financial Inputs'!$B$3</f>
        <v>1620000</v>
      </c>
      <c r="P1033" s="18">
        <f>IF(I1033="L",'Financial Inputs'!$B$4,IF(I1033="M",'Financial Inputs'!$B$5,'Financial Inputs'!$B$6))</f>
        <v>0.4</v>
      </c>
      <c r="Q1033" s="17">
        <f>O1033*P1033</f>
        <v>648000</v>
      </c>
      <c r="R1033" s="16">
        <f>'Financial Inputs'!$B$7</f>
        <v>0.35</v>
      </c>
      <c r="S1033" s="17">
        <f>Q1033*(1-R1033)</f>
        <v>421200</v>
      </c>
      <c r="T1033" s="18">
        <f>S1033/'Financial Inputs'!$B$3</f>
        <v>4.2119999999999996E-3</v>
      </c>
      <c r="U1033" s="9" t="s">
        <v>52</v>
      </c>
      <c r="V1033" s="3" t="s">
        <v>53</v>
      </c>
    </row>
    <row r="1034" spans="1:22">
      <c r="A1034" s="2" t="s">
        <v>3322</v>
      </c>
      <c r="B1034" s="2" t="s">
        <v>3323</v>
      </c>
      <c r="C1034" s="2" t="s">
        <v>3225</v>
      </c>
      <c r="D1034" s="2" t="s">
        <v>80</v>
      </c>
      <c r="E1034" s="2" t="s">
        <v>171</v>
      </c>
      <c r="F1034" s="2" t="s">
        <v>44</v>
      </c>
      <c r="G1034" s="2" t="s">
        <v>83</v>
      </c>
      <c r="H1034" s="2" t="s">
        <v>46</v>
      </c>
      <c r="I1034" s="2" t="s">
        <v>47</v>
      </c>
      <c r="J1034" s="2" t="s">
        <v>3226</v>
      </c>
      <c r="K1034" s="2" t="s">
        <v>3324</v>
      </c>
      <c r="L1034" s="2" t="s">
        <v>226</v>
      </c>
      <c r="M1034" s="2" t="s">
        <v>3228</v>
      </c>
      <c r="N1034" s="16">
        <v>1.7999999999999999E-2</v>
      </c>
      <c r="O1034" s="17">
        <f>N1034*'Financial Inputs'!$B$3</f>
        <v>1799999.9999999998</v>
      </c>
      <c r="P1034" s="18">
        <f>IF(I1034="L",'Financial Inputs'!$B$4,IF(I1034="M",'Financial Inputs'!$B$5,'Financial Inputs'!$B$6))</f>
        <v>0.4</v>
      </c>
      <c r="Q1034" s="17">
        <f>O1034*P1034</f>
        <v>720000</v>
      </c>
      <c r="R1034" s="16">
        <f>'Financial Inputs'!$B$7</f>
        <v>0.35</v>
      </c>
      <c r="S1034" s="17">
        <f>Q1034*(1-R1034)</f>
        <v>468000</v>
      </c>
      <c r="T1034" s="18">
        <f>S1034/'Financial Inputs'!$B$3</f>
        <v>4.6800000000000001E-3</v>
      </c>
      <c r="U1034" s="9" t="s">
        <v>52</v>
      </c>
      <c r="V1034" s="3" t="s">
        <v>53</v>
      </c>
    </row>
    <row r="1035" spans="1:22">
      <c r="A1035" s="2" t="s">
        <v>3325</v>
      </c>
      <c r="B1035" s="2" t="s">
        <v>3326</v>
      </c>
      <c r="C1035" s="2" t="s">
        <v>3225</v>
      </c>
      <c r="D1035" s="2" t="s">
        <v>127</v>
      </c>
      <c r="E1035" s="2" t="s">
        <v>176</v>
      </c>
      <c r="F1035" s="2" t="s">
        <v>58</v>
      </c>
      <c r="G1035" s="2" t="s">
        <v>111</v>
      </c>
      <c r="H1035" s="2" t="s">
        <v>46</v>
      </c>
      <c r="I1035" s="2" t="s">
        <v>47</v>
      </c>
      <c r="J1035" s="2" t="s">
        <v>3226</v>
      </c>
      <c r="K1035" s="2" t="s">
        <v>3327</v>
      </c>
      <c r="L1035" s="2" t="s">
        <v>230</v>
      </c>
      <c r="M1035" s="2" t="s">
        <v>3228</v>
      </c>
      <c r="N1035" s="16">
        <v>1.9800000000000002E-2</v>
      </c>
      <c r="O1035" s="17">
        <f>N1035*'Financial Inputs'!$B$3</f>
        <v>1980000.0000000002</v>
      </c>
      <c r="P1035" s="18">
        <f>IF(I1035="L",'Financial Inputs'!$B$4,IF(I1035="M",'Financial Inputs'!$B$5,'Financial Inputs'!$B$6))</f>
        <v>0.4</v>
      </c>
      <c r="Q1035" s="17">
        <f>O1035*P1035</f>
        <v>792000.00000000012</v>
      </c>
      <c r="R1035" s="16">
        <f>'Financial Inputs'!$B$7</f>
        <v>0.35</v>
      </c>
      <c r="S1035" s="17">
        <f>Q1035*(1-R1035)</f>
        <v>514800.00000000012</v>
      </c>
      <c r="T1035" s="18">
        <f>S1035/'Financial Inputs'!$B$3</f>
        <v>5.1480000000000015E-3</v>
      </c>
      <c r="U1035" s="9" t="s">
        <v>52</v>
      </c>
      <c r="V1035" s="3" t="s">
        <v>53</v>
      </c>
    </row>
    <row r="1036" spans="1:22">
      <c r="A1036" s="2" t="s">
        <v>3328</v>
      </c>
      <c r="B1036" s="2" t="s">
        <v>3329</v>
      </c>
      <c r="C1036" s="2" t="s">
        <v>3225</v>
      </c>
      <c r="D1036" s="2" t="s">
        <v>133</v>
      </c>
      <c r="E1036" s="2" t="s">
        <v>122</v>
      </c>
      <c r="F1036" s="2" t="s">
        <v>66</v>
      </c>
      <c r="G1036" s="2" t="s">
        <v>56</v>
      </c>
      <c r="H1036" s="2" t="s">
        <v>46</v>
      </c>
      <c r="I1036" s="2" t="s">
        <v>47</v>
      </c>
      <c r="J1036" s="2" t="s">
        <v>3226</v>
      </c>
      <c r="K1036" s="2" t="s">
        <v>3330</v>
      </c>
      <c r="L1036" s="2" t="s">
        <v>234</v>
      </c>
      <c r="M1036" s="2" t="s">
        <v>3228</v>
      </c>
      <c r="N1036" s="16">
        <v>2.1600000000000001E-2</v>
      </c>
      <c r="O1036" s="17">
        <f>N1036*'Financial Inputs'!$B$3</f>
        <v>2160000</v>
      </c>
      <c r="P1036" s="18">
        <f>IF(I1036="L",'Financial Inputs'!$B$4,IF(I1036="M",'Financial Inputs'!$B$5,'Financial Inputs'!$B$6))</f>
        <v>0.4</v>
      </c>
      <c r="Q1036" s="17">
        <f>O1036*P1036</f>
        <v>864000</v>
      </c>
      <c r="R1036" s="16">
        <f>'Financial Inputs'!$B$7</f>
        <v>0.35</v>
      </c>
      <c r="S1036" s="17">
        <f>Q1036*(1-R1036)</f>
        <v>561600</v>
      </c>
      <c r="T1036" s="18">
        <f>S1036/'Financial Inputs'!$B$3</f>
        <v>5.6160000000000003E-3</v>
      </c>
      <c r="U1036" s="9" t="s">
        <v>52</v>
      </c>
      <c r="V1036" s="3" t="s">
        <v>53</v>
      </c>
    </row>
    <row r="1037" spans="1:22">
      <c r="A1037" s="2" t="s">
        <v>3331</v>
      </c>
      <c r="B1037" s="2" t="s">
        <v>3332</v>
      </c>
      <c r="C1037" s="2" t="s">
        <v>3225</v>
      </c>
      <c r="D1037" s="2" t="s">
        <v>102</v>
      </c>
      <c r="E1037" s="2" t="s">
        <v>73</v>
      </c>
      <c r="F1037" s="2" t="s">
        <v>110</v>
      </c>
      <c r="G1037" s="2" t="s">
        <v>83</v>
      </c>
      <c r="H1037" s="2" t="s">
        <v>46</v>
      </c>
      <c r="I1037" s="2" t="s">
        <v>47</v>
      </c>
      <c r="J1037" s="2" t="s">
        <v>3226</v>
      </c>
      <c r="K1037" s="2" t="s">
        <v>3333</v>
      </c>
      <c r="L1037" s="2" t="s">
        <v>238</v>
      </c>
      <c r="M1037" s="2" t="s">
        <v>3228</v>
      </c>
      <c r="N1037" s="16">
        <v>1.44E-2</v>
      </c>
      <c r="O1037" s="17">
        <f>N1037*'Financial Inputs'!$B$3</f>
        <v>1440000</v>
      </c>
      <c r="P1037" s="18">
        <f>IF(I1037="L",'Financial Inputs'!$B$4,IF(I1037="M",'Financial Inputs'!$B$5,'Financial Inputs'!$B$6))</f>
        <v>0.4</v>
      </c>
      <c r="Q1037" s="17">
        <f>O1037*P1037</f>
        <v>576000</v>
      </c>
      <c r="R1037" s="16">
        <f>'Financial Inputs'!$B$7</f>
        <v>0.35</v>
      </c>
      <c r="S1037" s="17">
        <f>Q1037*(1-R1037)</f>
        <v>374400</v>
      </c>
      <c r="T1037" s="18">
        <f>S1037/'Financial Inputs'!$B$3</f>
        <v>3.7439999999999999E-3</v>
      </c>
      <c r="U1037" s="9" t="s">
        <v>52</v>
      </c>
      <c r="V1037" s="3" t="s">
        <v>53</v>
      </c>
    </row>
    <row r="1038" spans="1:22">
      <c r="A1038" s="2" t="s">
        <v>3334</v>
      </c>
      <c r="B1038" s="2" t="s">
        <v>3335</v>
      </c>
      <c r="C1038" s="2" t="s">
        <v>3225</v>
      </c>
      <c r="D1038" s="2" t="s">
        <v>42</v>
      </c>
      <c r="E1038" s="2" t="s">
        <v>81</v>
      </c>
      <c r="F1038" s="2" t="s">
        <v>117</v>
      </c>
      <c r="G1038" s="2" t="s">
        <v>111</v>
      </c>
      <c r="H1038" s="2" t="s">
        <v>46</v>
      </c>
      <c r="I1038" s="2" t="s">
        <v>47</v>
      </c>
      <c r="J1038" s="2" t="s">
        <v>3226</v>
      </c>
      <c r="K1038" s="2" t="s">
        <v>3336</v>
      </c>
      <c r="L1038" s="2" t="s">
        <v>242</v>
      </c>
      <c r="M1038" s="2" t="s">
        <v>3228</v>
      </c>
      <c r="N1038" s="16">
        <v>1.6199999999999999E-2</v>
      </c>
      <c r="O1038" s="17">
        <f>N1038*'Financial Inputs'!$B$3</f>
        <v>1620000</v>
      </c>
      <c r="P1038" s="18">
        <f>IF(I1038="L",'Financial Inputs'!$B$4,IF(I1038="M",'Financial Inputs'!$B$5,'Financial Inputs'!$B$6))</f>
        <v>0.4</v>
      </c>
      <c r="Q1038" s="17">
        <f>O1038*P1038</f>
        <v>648000</v>
      </c>
      <c r="R1038" s="16">
        <f>'Financial Inputs'!$B$7</f>
        <v>0.35</v>
      </c>
      <c r="S1038" s="17">
        <f>Q1038*(1-R1038)</f>
        <v>421200</v>
      </c>
      <c r="T1038" s="18">
        <f>S1038/'Financial Inputs'!$B$3</f>
        <v>4.2119999999999996E-3</v>
      </c>
      <c r="U1038" s="9" t="s">
        <v>52</v>
      </c>
      <c r="V1038" s="3" t="s">
        <v>53</v>
      </c>
    </row>
    <row r="1039" spans="1:22">
      <c r="A1039" s="2" t="s">
        <v>3337</v>
      </c>
      <c r="B1039" s="2" t="s">
        <v>3338</v>
      </c>
      <c r="C1039" s="2" t="s">
        <v>3225</v>
      </c>
      <c r="D1039" s="2" t="s">
        <v>56</v>
      </c>
      <c r="E1039" s="2" t="s">
        <v>193</v>
      </c>
      <c r="F1039" s="2" t="s">
        <v>90</v>
      </c>
      <c r="G1039" s="2" t="s">
        <v>56</v>
      </c>
      <c r="H1039" s="2" t="s">
        <v>46</v>
      </c>
      <c r="I1039" s="2" t="s">
        <v>47</v>
      </c>
      <c r="J1039" s="2" t="s">
        <v>3226</v>
      </c>
      <c r="K1039" s="2" t="s">
        <v>3339</v>
      </c>
      <c r="L1039" s="2" t="s">
        <v>246</v>
      </c>
      <c r="M1039" s="2" t="s">
        <v>3228</v>
      </c>
      <c r="N1039" s="16">
        <v>1.7999999999999999E-2</v>
      </c>
      <c r="O1039" s="17">
        <f>N1039*'Financial Inputs'!$B$3</f>
        <v>1799999.9999999998</v>
      </c>
      <c r="P1039" s="18">
        <f>IF(I1039="L",'Financial Inputs'!$B$4,IF(I1039="M",'Financial Inputs'!$B$5,'Financial Inputs'!$B$6))</f>
        <v>0.4</v>
      </c>
      <c r="Q1039" s="17">
        <f>O1039*P1039</f>
        <v>720000</v>
      </c>
      <c r="R1039" s="16">
        <f>'Financial Inputs'!$B$7</f>
        <v>0.35</v>
      </c>
      <c r="S1039" s="17">
        <f>Q1039*(1-R1039)</f>
        <v>468000</v>
      </c>
      <c r="T1039" s="18">
        <f>S1039/'Financial Inputs'!$B$3</f>
        <v>4.6800000000000001E-3</v>
      </c>
      <c r="U1039" s="9" t="s">
        <v>52</v>
      </c>
      <c r="V1039" s="3" t="s">
        <v>53</v>
      </c>
    </row>
    <row r="1040" spans="1:22">
      <c r="A1040" s="2" t="s">
        <v>3340</v>
      </c>
      <c r="B1040" s="2" t="s">
        <v>3341</v>
      </c>
      <c r="C1040" s="2" t="s">
        <v>3225</v>
      </c>
      <c r="D1040" s="2" t="s">
        <v>64</v>
      </c>
      <c r="E1040" s="2" t="s">
        <v>198</v>
      </c>
      <c r="F1040" s="2" t="s">
        <v>97</v>
      </c>
      <c r="G1040" s="2" t="s">
        <v>138</v>
      </c>
      <c r="H1040" s="2" t="s">
        <v>46</v>
      </c>
      <c r="I1040" s="2" t="s">
        <v>47</v>
      </c>
      <c r="J1040" s="2" t="s">
        <v>3226</v>
      </c>
      <c r="K1040" s="2" t="s">
        <v>3342</v>
      </c>
      <c r="L1040" s="2" t="s">
        <v>250</v>
      </c>
      <c r="M1040" s="2" t="s">
        <v>3228</v>
      </c>
      <c r="N1040" s="16">
        <v>1.9800000000000002E-2</v>
      </c>
      <c r="O1040" s="17">
        <f>N1040*'Financial Inputs'!$B$3</f>
        <v>1980000.0000000002</v>
      </c>
      <c r="P1040" s="18">
        <f>IF(I1040="L",'Financial Inputs'!$B$4,IF(I1040="M",'Financial Inputs'!$B$5,'Financial Inputs'!$B$6))</f>
        <v>0.4</v>
      </c>
      <c r="Q1040" s="17">
        <f>O1040*P1040</f>
        <v>792000.00000000012</v>
      </c>
      <c r="R1040" s="16">
        <f>'Financial Inputs'!$B$7</f>
        <v>0.35</v>
      </c>
      <c r="S1040" s="17">
        <f>Q1040*(1-R1040)</f>
        <v>514800.00000000012</v>
      </c>
      <c r="T1040" s="18">
        <f>S1040/'Financial Inputs'!$B$3</f>
        <v>5.1480000000000015E-3</v>
      </c>
      <c r="U1040" s="9" t="s">
        <v>52</v>
      </c>
      <c r="V1040" s="3" t="s">
        <v>53</v>
      </c>
    </row>
    <row r="1041" spans="1:22">
      <c r="A1041" s="2" t="s">
        <v>3343</v>
      </c>
      <c r="B1041" s="2" t="s">
        <v>3344</v>
      </c>
      <c r="C1041" s="2" t="s">
        <v>3225</v>
      </c>
      <c r="D1041" s="2" t="s">
        <v>72</v>
      </c>
      <c r="E1041" s="2" t="s">
        <v>148</v>
      </c>
      <c r="F1041" s="2" t="s">
        <v>104</v>
      </c>
      <c r="G1041" s="2" t="s">
        <v>143</v>
      </c>
      <c r="H1041" s="2" t="s">
        <v>46</v>
      </c>
      <c r="I1041" s="2" t="s">
        <v>47</v>
      </c>
      <c r="J1041" s="2" t="s">
        <v>3226</v>
      </c>
      <c r="K1041" s="2" t="s">
        <v>3345</v>
      </c>
      <c r="L1041" s="2" t="s">
        <v>254</v>
      </c>
      <c r="M1041" s="2" t="s">
        <v>3228</v>
      </c>
      <c r="N1041" s="16">
        <v>2.1600000000000001E-2</v>
      </c>
      <c r="O1041" s="17">
        <f>N1041*'Financial Inputs'!$B$3</f>
        <v>2160000</v>
      </c>
      <c r="P1041" s="18">
        <f>IF(I1041="L",'Financial Inputs'!$B$4,IF(I1041="M",'Financial Inputs'!$B$5,'Financial Inputs'!$B$6))</f>
        <v>0.4</v>
      </c>
      <c r="Q1041" s="17">
        <f>O1041*P1041</f>
        <v>864000</v>
      </c>
      <c r="R1041" s="16">
        <f>'Financial Inputs'!$B$7</f>
        <v>0.35</v>
      </c>
      <c r="S1041" s="17">
        <f>Q1041*(1-R1041)</f>
        <v>561600</v>
      </c>
      <c r="T1041" s="18">
        <f>S1041/'Financial Inputs'!$B$3</f>
        <v>5.6160000000000003E-3</v>
      </c>
      <c r="U1041" s="9" t="s">
        <v>52</v>
      </c>
      <c r="V1041" s="3" t="s">
        <v>53</v>
      </c>
    </row>
    <row r="1042" spans="1:22">
      <c r="A1042" s="2" t="s">
        <v>3346</v>
      </c>
      <c r="B1042" s="2" t="s">
        <v>3347</v>
      </c>
      <c r="C1042" s="2" t="s">
        <v>3225</v>
      </c>
      <c r="D1042" s="2" t="s">
        <v>133</v>
      </c>
      <c r="E1042" s="2" t="s">
        <v>109</v>
      </c>
      <c r="F1042" s="2" t="s">
        <v>82</v>
      </c>
      <c r="G1042" s="2" t="s">
        <v>56</v>
      </c>
      <c r="H1042" s="2" t="s">
        <v>46</v>
      </c>
      <c r="I1042" s="2" t="s">
        <v>47</v>
      </c>
      <c r="J1042" s="2" t="s">
        <v>3226</v>
      </c>
      <c r="K1042" s="2" t="s">
        <v>3348</v>
      </c>
      <c r="L1042" s="2" t="s">
        <v>258</v>
      </c>
      <c r="M1042" s="2" t="s">
        <v>3228</v>
      </c>
      <c r="N1042" s="16">
        <v>1.44E-2</v>
      </c>
      <c r="O1042" s="17">
        <f>N1042*'Financial Inputs'!$B$3</f>
        <v>1440000</v>
      </c>
      <c r="P1042" s="18">
        <f>IF(I1042="L",'Financial Inputs'!$B$4,IF(I1042="M",'Financial Inputs'!$B$5,'Financial Inputs'!$B$6))</f>
        <v>0.4</v>
      </c>
      <c r="Q1042" s="17">
        <f>O1042*P1042</f>
        <v>576000</v>
      </c>
      <c r="R1042" s="16">
        <f>'Financial Inputs'!$B$7</f>
        <v>0.35</v>
      </c>
      <c r="S1042" s="17">
        <f>Q1042*(1-R1042)</f>
        <v>374400</v>
      </c>
      <c r="T1042" s="18">
        <f>S1042/'Financial Inputs'!$B$3</f>
        <v>3.7439999999999999E-3</v>
      </c>
      <c r="U1042" s="9" t="s">
        <v>52</v>
      </c>
      <c r="V1042" s="3" t="s">
        <v>53</v>
      </c>
    </row>
    <row r="1043" spans="1:22">
      <c r="A1043" s="2" t="s">
        <v>3349</v>
      </c>
      <c r="B1043" s="2" t="s">
        <v>3350</v>
      </c>
      <c r="C1043" s="2" t="s">
        <v>3225</v>
      </c>
      <c r="D1043" s="2" t="s">
        <v>88</v>
      </c>
      <c r="E1043" s="2" t="s">
        <v>116</v>
      </c>
      <c r="F1043" s="2" t="s">
        <v>44</v>
      </c>
      <c r="G1043" s="2" t="s">
        <v>138</v>
      </c>
      <c r="H1043" s="2" t="s">
        <v>46</v>
      </c>
      <c r="I1043" s="2" t="s">
        <v>47</v>
      </c>
      <c r="J1043" s="2" t="s">
        <v>3226</v>
      </c>
      <c r="K1043" s="2" t="s">
        <v>3351</v>
      </c>
      <c r="L1043" s="2" t="s">
        <v>262</v>
      </c>
      <c r="M1043" s="2" t="s">
        <v>3228</v>
      </c>
      <c r="N1043" s="16">
        <v>1.6199999999999999E-2</v>
      </c>
      <c r="O1043" s="17">
        <f>N1043*'Financial Inputs'!$B$3</f>
        <v>1620000</v>
      </c>
      <c r="P1043" s="18">
        <f>IF(I1043="L",'Financial Inputs'!$B$4,IF(I1043="M",'Financial Inputs'!$B$5,'Financial Inputs'!$B$6))</f>
        <v>0.4</v>
      </c>
      <c r="Q1043" s="17">
        <f>O1043*P1043</f>
        <v>648000</v>
      </c>
      <c r="R1043" s="16">
        <f>'Financial Inputs'!$B$7</f>
        <v>0.35</v>
      </c>
      <c r="S1043" s="17">
        <f>Q1043*(1-R1043)</f>
        <v>421200</v>
      </c>
      <c r="T1043" s="18">
        <f>S1043/'Financial Inputs'!$B$3</f>
        <v>4.2119999999999996E-3</v>
      </c>
      <c r="U1043" s="9" t="s">
        <v>52</v>
      </c>
      <c r="V1043" s="3" t="s">
        <v>53</v>
      </c>
    </row>
    <row r="1044" spans="1:22">
      <c r="A1044" s="2" t="s">
        <v>3352</v>
      </c>
      <c r="B1044" s="2" t="s">
        <v>3353</v>
      </c>
      <c r="C1044" s="2" t="s">
        <v>3225</v>
      </c>
      <c r="D1044" s="2" t="s">
        <v>95</v>
      </c>
      <c r="E1044" s="2" t="s">
        <v>215</v>
      </c>
      <c r="F1044" s="2" t="s">
        <v>58</v>
      </c>
      <c r="G1044" s="2" t="s">
        <v>143</v>
      </c>
      <c r="H1044" s="2" t="s">
        <v>46</v>
      </c>
      <c r="I1044" s="2" t="s">
        <v>47</v>
      </c>
      <c r="J1044" s="2" t="s">
        <v>3226</v>
      </c>
      <c r="K1044" s="2" t="s">
        <v>3354</v>
      </c>
      <c r="L1044" s="2" t="s">
        <v>266</v>
      </c>
      <c r="M1044" s="2" t="s">
        <v>3228</v>
      </c>
      <c r="N1044" s="16">
        <v>1.7999999999999999E-2</v>
      </c>
      <c r="O1044" s="17">
        <f>N1044*'Financial Inputs'!$B$3</f>
        <v>1799999.9999999998</v>
      </c>
      <c r="P1044" s="18">
        <f>IF(I1044="L",'Financial Inputs'!$B$4,IF(I1044="M",'Financial Inputs'!$B$5,'Financial Inputs'!$B$6))</f>
        <v>0.4</v>
      </c>
      <c r="Q1044" s="17">
        <f>O1044*P1044</f>
        <v>720000</v>
      </c>
      <c r="R1044" s="16">
        <f>'Financial Inputs'!$B$7</f>
        <v>0.35</v>
      </c>
      <c r="S1044" s="17">
        <f>Q1044*(1-R1044)</f>
        <v>468000</v>
      </c>
      <c r="T1044" s="18">
        <f>S1044/'Financial Inputs'!$B$3</f>
        <v>4.6800000000000001E-3</v>
      </c>
      <c r="U1044" s="9" t="s">
        <v>52</v>
      </c>
      <c r="V1044" s="3" t="s">
        <v>53</v>
      </c>
    </row>
    <row r="1045" spans="1:22">
      <c r="A1045" s="2" t="s">
        <v>3355</v>
      </c>
      <c r="B1045" s="2" t="s">
        <v>3356</v>
      </c>
      <c r="C1045" s="2" t="s">
        <v>3225</v>
      </c>
      <c r="D1045" s="2" t="s">
        <v>102</v>
      </c>
      <c r="E1045" s="2" t="s">
        <v>220</v>
      </c>
      <c r="F1045" s="2" t="s">
        <v>66</v>
      </c>
      <c r="G1045" s="2" t="s">
        <v>162</v>
      </c>
      <c r="H1045" s="2" t="s">
        <v>46</v>
      </c>
      <c r="I1045" s="2" t="s">
        <v>47</v>
      </c>
      <c r="J1045" s="2" t="s">
        <v>3226</v>
      </c>
      <c r="K1045" s="2" t="s">
        <v>3357</v>
      </c>
      <c r="L1045" s="2" t="s">
        <v>270</v>
      </c>
      <c r="M1045" s="2" t="s">
        <v>3228</v>
      </c>
      <c r="N1045" s="16">
        <v>1.9800000000000002E-2</v>
      </c>
      <c r="O1045" s="17">
        <f>N1045*'Financial Inputs'!$B$3</f>
        <v>1980000.0000000002</v>
      </c>
      <c r="P1045" s="18">
        <f>IF(I1045="L",'Financial Inputs'!$B$4,IF(I1045="M",'Financial Inputs'!$B$5,'Financial Inputs'!$B$6))</f>
        <v>0.4</v>
      </c>
      <c r="Q1045" s="17">
        <f>O1045*P1045</f>
        <v>792000.00000000012</v>
      </c>
      <c r="R1045" s="16">
        <f>'Financial Inputs'!$B$7</f>
        <v>0.35</v>
      </c>
      <c r="S1045" s="17">
        <f>Q1045*(1-R1045)</f>
        <v>514800.00000000012</v>
      </c>
      <c r="T1045" s="18">
        <f>S1045/'Financial Inputs'!$B$3</f>
        <v>5.1480000000000015E-3</v>
      </c>
      <c r="U1045" s="9" t="s">
        <v>52</v>
      </c>
      <c r="V1045" s="3" t="s">
        <v>53</v>
      </c>
    </row>
    <row r="1046" spans="1:22">
      <c r="A1046" s="2" t="s">
        <v>3358</v>
      </c>
      <c r="B1046" s="2" t="s">
        <v>3359</v>
      </c>
      <c r="C1046" s="2" t="s">
        <v>3225</v>
      </c>
      <c r="D1046" s="2" t="s">
        <v>42</v>
      </c>
      <c r="E1046" s="2" t="s">
        <v>171</v>
      </c>
      <c r="F1046" s="2" t="s">
        <v>74</v>
      </c>
      <c r="G1046" s="2" t="s">
        <v>45</v>
      </c>
      <c r="H1046" s="2" t="s">
        <v>46</v>
      </c>
      <c r="I1046" s="2" t="s">
        <v>47</v>
      </c>
      <c r="J1046" s="2" t="s">
        <v>3226</v>
      </c>
      <c r="K1046" s="2" t="s">
        <v>3360</v>
      </c>
      <c r="L1046" s="2" t="s">
        <v>274</v>
      </c>
      <c r="M1046" s="2" t="s">
        <v>3228</v>
      </c>
      <c r="N1046" s="16">
        <v>2.1600000000000001E-2</v>
      </c>
      <c r="O1046" s="17">
        <f>N1046*'Financial Inputs'!$B$3</f>
        <v>2160000</v>
      </c>
      <c r="P1046" s="18">
        <f>IF(I1046="L",'Financial Inputs'!$B$4,IF(I1046="M",'Financial Inputs'!$B$5,'Financial Inputs'!$B$6))</f>
        <v>0.4</v>
      </c>
      <c r="Q1046" s="17">
        <f>O1046*P1046</f>
        <v>864000</v>
      </c>
      <c r="R1046" s="16">
        <f>'Financial Inputs'!$B$7</f>
        <v>0.35</v>
      </c>
      <c r="S1046" s="17">
        <f>Q1046*(1-R1046)</f>
        <v>561600</v>
      </c>
      <c r="T1046" s="18">
        <f>S1046/'Financial Inputs'!$B$3</f>
        <v>5.6160000000000003E-3</v>
      </c>
      <c r="U1046" s="9" t="s">
        <v>52</v>
      </c>
      <c r="V1046" s="3" t="s">
        <v>53</v>
      </c>
    </row>
    <row r="1047" spans="1:22">
      <c r="A1047" s="2" t="s">
        <v>3361</v>
      </c>
      <c r="B1047" s="2" t="s">
        <v>3362</v>
      </c>
      <c r="C1047" s="2" t="s">
        <v>3225</v>
      </c>
      <c r="D1047" s="2" t="s">
        <v>72</v>
      </c>
      <c r="E1047" s="2" t="s">
        <v>57</v>
      </c>
      <c r="F1047" s="2" t="s">
        <v>117</v>
      </c>
      <c r="G1047" s="2" t="s">
        <v>143</v>
      </c>
      <c r="H1047" s="2" t="s">
        <v>46</v>
      </c>
      <c r="I1047" s="2" t="s">
        <v>47</v>
      </c>
      <c r="J1047" s="2" t="s">
        <v>3226</v>
      </c>
      <c r="K1047" s="2" t="s">
        <v>3363</v>
      </c>
      <c r="L1047" s="2" t="s">
        <v>278</v>
      </c>
      <c r="M1047" s="2" t="s">
        <v>3228</v>
      </c>
      <c r="N1047" s="16">
        <v>1.44E-2</v>
      </c>
      <c r="O1047" s="17">
        <f>N1047*'Financial Inputs'!$B$3</f>
        <v>1440000</v>
      </c>
      <c r="P1047" s="18">
        <f>IF(I1047="L",'Financial Inputs'!$B$4,IF(I1047="M",'Financial Inputs'!$B$5,'Financial Inputs'!$B$6))</f>
        <v>0.4</v>
      </c>
      <c r="Q1047" s="17">
        <f>O1047*P1047</f>
        <v>576000</v>
      </c>
      <c r="R1047" s="16">
        <f>'Financial Inputs'!$B$7</f>
        <v>0.35</v>
      </c>
      <c r="S1047" s="17">
        <f>Q1047*(1-R1047)</f>
        <v>374400</v>
      </c>
      <c r="T1047" s="18">
        <f>S1047/'Financial Inputs'!$B$3</f>
        <v>3.7439999999999999E-3</v>
      </c>
      <c r="U1047" s="9" t="s">
        <v>52</v>
      </c>
      <c r="V1047" s="3" t="s">
        <v>53</v>
      </c>
    </row>
    <row r="1048" spans="1:22">
      <c r="A1048" s="2" t="s">
        <v>3364</v>
      </c>
      <c r="B1048" s="2" t="s">
        <v>3365</v>
      </c>
      <c r="C1048" s="2" t="s">
        <v>3225</v>
      </c>
      <c r="D1048" s="2" t="s">
        <v>80</v>
      </c>
      <c r="E1048" s="2" t="s">
        <v>65</v>
      </c>
      <c r="F1048" s="2" t="s">
        <v>90</v>
      </c>
      <c r="G1048" s="2" t="s">
        <v>162</v>
      </c>
      <c r="H1048" s="2" t="s">
        <v>46</v>
      </c>
      <c r="I1048" s="2" t="s">
        <v>47</v>
      </c>
      <c r="J1048" s="2" t="s">
        <v>3226</v>
      </c>
      <c r="K1048" s="2" t="s">
        <v>3366</v>
      </c>
      <c r="L1048" s="2" t="s">
        <v>282</v>
      </c>
      <c r="M1048" s="2" t="s">
        <v>3228</v>
      </c>
      <c r="N1048" s="16">
        <v>1.6199999999999999E-2</v>
      </c>
      <c r="O1048" s="17">
        <f>N1048*'Financial Inputs'!$B$3</f>
        <v>1620000</v>
      </c>
      <c r="P1048" s="18">
        <f>IF(I1048="L",'Financial Inputs'!$B$4,IF(I1048="M",'Financial Inputs'!$B$5,'Financial Inputs'!$B$6))</f>
        <v>0.4</v>
      </c>
      <c r="Q1048" s="17">
        <f>O1048*P1048</f>
        <v>648000</v>
      </c>
      <c r="R1048" s="16">
        <f>'Financial Inputs'!$B$7</f>
        <v>0.35</v>
      </c>
      <c r="S1048" s="17">
        <f>Q1048*(1-R1048)</f>
        <v>421200</v>
      </c>
      <c r="T1048" s="18">
        <f>S1048/'Financial Inputs'!$B$3</f>
        <v>4.2119999999999996E-3</v>
      </c>
      <c r="U1048" s="9" t="s">
        <v>52</v>
      </c>
      <c r="V1048" s="3" t="s">
        <v>53</v>
      </c>
    </row>
    <row r="1049" spans="1:22">
      <c r="A1049" s="2" t="s">
        <v>3367</v>
      </c>
      <c r="B1049" s="2" t="s">
        <v>3368</v>
      </c>
      <c r="C1049" s="2" t="s">
        <v>3225</v>
      </c>
      <c r="D1049" s="2" t="s">
        <v>127</v>
      </c>
      <c r="E1049" s="2" t="s">
        <v>73</v>
      </c>
      <c r="F1049" s="2" t="s">
        <v>97</v>
      </c>
      <c r="G1049" s="2" t="s">
        <v>45</v>
      </c>
      <c r="H1049" s="2" t="s">
        <v>46</v>
      </c>
      <c r="I1049" s="2" t="s">
        <v>47</v>
      </c>
      <c r="J1049" s="2" t="s">
        <v>3226</v>
      </c>
      <c r="K1049" s="2" t="s">
        <v>3369</v>
      </c>
      <c r="L1049" s="2" t="s">
        <v>286</v>
      </c>
      <c r="M1049" s="2" t="s">
        <v>3228</v>
      </c>
      <c r="N1049" s="16">
        <v>1.7999999999999999E-2</v>
      </c>
      <c r="O1049" s="17">
        <f>N1049*'Financial Inputs'!$B$3</f>
        <v>1799999.9999999998</v>
      </c>
      <c r="P1049" s="18">
        <f>IF(I1049="L",'Financial Inputs'!$B$4,IF(I1049="M",'Financial Inputs'!$B$5,'Financial Inputs'!$B$6))</f>
        <v>0.4</v>
      </c>
      <c r="Q1049" s="17">
        <f>O1049*P1049</f>
        <v>720000</v>
      </c>
      <c r="R1049" s="16">
        <f>'Financial Inputs'!$B$7</f>
        <v>0.35</v>
      </c>
      <c r="S1049" s="17">
        <f>Q1049*(1-R1049)</f>
        <v>468000</v>
      </c>
      <c r="T1049" s="18">
        <f>S1049/'Financial Inputs'!$B$3</f>
        <v>4.6800000000000001E-3</v>
      </c>
      <c r="U1049" s="9" t="s">
        <v>52</v>
      </c>
      <c r="V1049" s="3" t="s">
        <v>53</v>
      </c>
    </row>
    <row r="1050" spans="1:22">
      <c r="A1050" s="2" t="s">
        <v>3370</v>
      </c>
      <c r="B1050" s="2" t="s">
        <v>3371</v>
      </c>
      <c r="C1050" s="2" t="s">
        <v>3225</v>
      </c>
      <c r="D1050" s="2" t="s">
        <v>133</v>
      </c>
      <c r="E1050" s="2" t="s">
        <v>81</v>
      </c>
      <c r="F1050" s="2" t="s">
        <v>104</v>
      </c>
      <c r="G1050" s="2" t="s">
        <v>59</v>
      </c>
      <c r="H1050" s="2" t="s">
        <v>46</v>
      </c>
      <c r="I1050" s="2" t="s">
        <v>47</v>
      </c>
      <c r="J1050" s="2" t="s">
        <v>3226</v>
      </c>
      <c r="K1050" s="2" t="s">
        <v>3372</v>
      </c>
      <c r="L1050" s="2" t="s">
        <v>290</v>
      </c>
      <c r="M1050" s="2" t="s">
        <v>3228</v>
      </c>
      <c r="N1050" s="16">
        <v>1.9800000000000002E-2</v>
      </c>
      <c r="O1050" s="17">
        <f>N1050*'Financial Inputs'!$B$3</f>
        <v>1980000.0000000002</v>
      </c>
      <c r="P1050" s="18">
        <f>IF(I1050="L",'Financial Inputs'!$B$4,IF(I1050="M",'Financial Inputs'!$B$5,'Financial Inputs'!$B$6))</f>
        <v>0.4</v>
      </c>
      <c r="Q1050" s="17">
        <f>O1050*P1050</f>
        <v>792000.00000000012</v>
      </c>
      <c r="R1050" s="16">
        <f>'Financial Inputs'!$B$7</f>
        <v>0.35</v>
      </c>
      <c r="S1050" s="17">
        <f>Q1050*(1-R1050)</f>
        <v>514800.00000000012</v>
      </c>
      <c r="T1050" s="18">
        <f>S1050/'Financial Inputs'!$B$3</f>
        <v>5.1480000000000015E-3</v>
      </c>
      <c r="U1050" s="9" t="s">
        <v>52</v>
      </c>
      <c r="V1050" s="3" t="s">
        <v>53</v>
      </c>
    </row>
    <row r="1051" spans="1:22">
      <c r="A1051" s="2" t="s">
        <v>3373</v>
      </c>
      <c r="B1051" s="2" t="s">
        <v>3374</v>
      </c>
      <c r="C1051" s="2" t="s">
        <v>3225</v>
      </c>
      <c r="D1051" s="2" t="s">
        <v>88</v>
      </c>
      <c r="E1051" s="2" t="s">
        <v>193</v>
      </c>
      <c r="F1051" s="2" t="s">
        <v>110</v>
      </c>
      <c r="G1051" s="2" t="s">
        <v>67</v>
      </c>
      <c r="H1051" s="2" t="s">
        <v>46</v>
      </c>
      <c r="I1051" s="2" t="s">
        <v>47</v>
      </c>
      <c r="J1051" s="2" t="s">
        <v>3226</v>
      </c>
      <c r="K1051" s="2" t="s">
        <v>3375</v>
      </c>
      <c r="L1051" s="2" t="s">
        <v>294</v>
      </c>
      <c r="M1051" s="2" t="s">
        <v>3228</v>
      </c>
      <c r="N1051" s="16">
        <v>2.1600000000000001E-2</v>
      </c>
      <c r="O1051" s="17">
        <f>N1051*'Financial Inputs'!$B$3</f>
        <v>2160000</v>
      </c>
      <c r="P1051" s="18">
        <f>IF(I1051="L",'Financial Inputs'!$B$4,IF(I1051="M",'Financial Inputs'!$B$5,'Financial Inputs'!$B$6))</f>
        <v>0.4</v>
      </c>
      <c r="Q1051" s="17">
        <f>O1051*P1051</f>
        <v>864000</v>
      </c>
      <c r="R1051" s="16">
        <f>'Financial Inputs'!$B$7</f>
        <v>0.35</v>
      </c>
      <c r="S1051" s="17">
        <f>Q1051*(1-R1051)</f>
        <v>561600</v>
      </c>
      <c r="T1051" s="18">
        <f>S1051/'Financial Inputs'!$B$3</f>
        <v>5.6160000000000003E-3</v>
      </c>
      <c r="U1051" s="9" t="s">
        <v>52</v>
      </c>
      <c r="V1051" s="3" t="s">
        <v>53</v>
      </c>
    </row>
    <row r="1052" spans="1:22">
      <c r="A1052" s="2" t="s">
        <v>3376</v>
      </c>
      <c r="B1052" s="2" t="s">
        <v>3377</v>
      </c>
      <c r="C1052" s="2" t="s">
        <v>3225</v>
      </c>
      <c r="D1052" s="2" t="s">
        <v>42</v>
      </c>
      <c r="E1052" s="2" t="s">
        <v>96</v>
      </c>
      <c r="F1052" s="2" t="s">
        <v>44</v>
      </c>
      <c r="G1052" s="2" t="s">
        <v>45</v>
      </c>
      <c r="H1052" s="2" t="s">
        <v>46</v>
      </c>
      <c r="I1052" s="2" t="s">
        <v>47</v>
      </c>
      <c r="J1052" s="2" t="s">
        <v>3226</v>
      </c>
      <c r="K1052" s="2" t="s">
        <v>3378</v>
      </c>
      <c r="L1052" s="2" t="s">
        <v>298</v>
      </c>
      <c r="M1052" s="2" t="s">
        <v>3228</v>
      </c>
      <c r="N1052" s="16">
        <v>1.44E-2</v>
      </c>
      <c r="O1052" s="17">
        <f>N1052*'Financial Inputs'!$B$3</f>
        <v>1440000</v>
      </c>
      <c r="P1052" s="18">
        <f>IF(I1052="L",'Financial Inputs'!$B$4,IF(I1052="M",'Financial Inputs'!$B$5,'Financial Inputs'!$B$6))</f>
        <v>0.4</v>
      </c>
      <c r="Q1052" s="17">
        <f>O1052*P1052</f>
        <v>576000</v>
      </c>
      <c r="R1052" s="16">
        <f>'Financial Inputs'!$B$7</f>
        <v>0.35</v>
      </c>
      <c r="S1052" s="17">
        <f>Q1052*(1-R1052)</f>
        <v>374400</v>
      </c>
      <c r="T1052" s="18">
        <f>S1052/'Financial Inputs'!$B$3</f>
        <v>3.7439999999999999E-3</v>
      </c>
      <c r="U1052" s="9" t="s">
        <v>52</v>
      </c>
      <c r="V1052" s="3" t="s">
        <v>53</v>
      </c>
    </row>
    <row r="1053" spans="1:22">
      <c r="A1053" s="2" t="s">
        <v>3379</v>
      </c>
      <c r="B1053" s="2" t="s">
        <v>3380</v>
      </c>
      <c r="C1053" s="2" t="s">
        <v>3225</v>
      </c>
      <c r="D1053" s="2" t="s">
        <v>56</v>
      </c>
      <c r="E1053" s="2" t="s">
        <v>103</v>
      </c>
      <c r="F1053" s="2" t="s">
        <v>58</v>
      </c>
      <c r="G1053" s="2" t="s">
        <v>59</v>
      </c>
      <c r="H1053" s="2" t="s">
        <v>46</v>
      </c>
      <c r="I1053" s="2" t="s">
        <v>47</v>
      </c>
      <c r="J1053" s="2" t="s">
        <v>3226</v>
      </c>
      <c r="K1053" s="2" t="s">
        <v>3381</v>
      </c>
      <c r="L1053" s="2" t="s">
        <v>302</v>
      </c>
      <c r="M1053" s="2" t="s">
        <v>3228</v>
      </c>
      <c r="N1053" s="16">
        <v>1.6199999999999999E-2</v>
      </c>
      <c r="O1053" s="17">
        <f>N1053*'Financial Inputs'!$B$3</f>
        <v>1620000</v>
      </c>
      <c r="P1053" s="18">
        <f>IF(I1053="L",'Financial Inputs'!$B$4,IF(I1053="M",'Financial Inputs'!$B$5,'Financial Inputs'!$B$6))</f>
        <v>0.4</v>
      </c>
      <c r="Q1053" s="17">
        <f>O1053*P1053</f>
        <v>648000</v>
      </c>
      <c r="R1053" s="16">
        <f>'Financial Inputs'!$B$7</f>
        <v>0.35</v>
      </c>
      <c r="S1053" s="17">
        <f>Q1053*(1-R1053)</f>
        <v>421200</v>
      </c>
      <c r="T1053" s="18">
        <f>S1053/'Financial Inputs'!$B$3</f>
        <v>4.2119999999999996E-3</v>
      </c>
      <c r="U1053" s="9" t="s">
        <v>52</v>
      </c>
      <c r="V1053" s="3" t="s">
        <v>53</v>
      </c>
    </row>
    <row r="1054" spans="1:22">
      <c r="A1054" s="2" t="s">
        <v>3382</v>
      </c>
      <c r="B1054" s="2" t="s">
        <v>3383</v>
      </c>
      <c r="C1054" s="2" t="s">
        <v>3225</v>
      </c>
      <c r="D1054" s="2" t="s">
        <v>64</v>
      </c>
      <c r="E1054" s="2" t="s">
        <v>109</v>
      </c>
      <c r="F1054" s="2" t="s">
        <v>66</v>
      </c>
      <c r="G1054" s="2" t="s">
        <v>67</v>
      </c>
      <c r="H1054" s="2" t="s">
        <v>46</v>
      </c>
      <c r="I1054" s="2" t="s">
        <v>47</v>
      </c>
      <c r="J1054" s="2" t="s">
        <v>3226</v>
      </c>
      <c r="K1054" s="2" t="s">
        <v>3384</v>
      </c>
      <c r="L1054" s="2" t="s">
        <v>306</v>
      </c>
      <c r="M1054" s="2" t="s">
        <v>3228</v>
      </c>
      <c r="N1054" s="16">
        <v>1.7999999999999999E-2</v>
      </c>
      <c r="O1054" s="17">
        <f>N1054*'Financial Inputs'!$B$3</f>
        <v>1799999.9999999998</v>
      </c>
      <c r="P1054" s="18">
        <f>IF(I1054="L",'Financial Inputs'!$B$4,IF(I1054="M",'Financial Inputs'!$B$5,'Financial Inputs'!$B$6))</f>
        <v>0.4</v>
      </c>
      <c r="Q1054" s="17">
        <f>O1054*P1054</f>
        <v>720000</v>
      </c>
      <c r="R1054" s="16">
        <f>'Financial Inputs'!$B$7</f>
        <v>0.35</v>
      </c>
      <c r="S1054" s="17">
        <f>Q1054*(1-R1054)</f>
        <v>468000</v>
      </c>
      <c r="T1054" s="18">
        <f>S1054/'Financial Inputs'!$B$3</f>
        <v>4.6800000000000001E-3</v>
      </c>
      <c r="U1054" s="9" t="s">
        <v>52</v>
      </c>
      <c r="V1054" s="3" t="s">
        <v>53</v>
      </c>
    </row>
    <row r="1055" spans="1:22">
      <c r="A1055" s="2" t="s">
        <v>3385</v>
      </c>
      <c r="B1055" s="2" t="s">
        <v>3386</v>
      </c>
      <c r="C1055" s="2" t="s">
        <v>3225</v>
      </c>
      <c r="D1055" s="2" t="s">
        <v>72</v>
      </c>
      <c r="E1055" s="2" t="s">
        <v>116</v>
      </c>
      <c r="F1055" s="2" t="s">
        <v>74</v>
      </c>
      <c r="G1055" s="2" t="s">
        <v>75</v>
      </c>
      <c r="H1055" s="2" t="s">
        <v>46</v>
      </c>
      <c r="I1055" s="2" t="s">
        <v>47</v>
      </c>
      <c r="J1055" s="2" t="s">
        <v>3226</v>
      </c>
      <c r="K1055" s="2" t="s">
        <v>3387</v>
      </c>
      <c r="L1055" s="2" t="s">
        <v>310</v>
      </c>
      <c r="M1055" s="2" t="s">
        <v>3228</v>
      </c>
      <c r="N1055" s="16">
        <v>1.9800000000000002E-2</v>
      </c>
      <c r="O1055" s="17">
        <f>N1055*'Financial Inputs'!$B$3</f>
        <v>1980000.0000000002</v>
      </c>
      <c r="P1055" s="18">
        <f>IF(I1055="L",'Financial Inputs'!$B$4,IF(I1055="M",'Financial Inputs'!$B$5,'Financial Inputs'!$B$6))</f>
        <v>0.4</v>
      </c>
      <c r="Q1055" s="17">
        <f>O1055*P1055</f>
        <v>792000.00000000012</v>
      </c>
      <c r="R1055" s="16">
        <f>'Financial Inputs'!$B$7</f>
        <v>0.35</v>
      </c>
      <c r="S1055" s="17">
        <f>Q1055*(1-R1055)</f>
        <v>514800.00000000012</v>
      </c>
      <c r="T1055" s="18">
        <f>S1055/'Financial Inputs'!$B$3</f>
        <v>5.1480000000000015E-3</v>
      </c>
      <c r="U1055" s="9" t="s">
        <v>52</v>
      </c>
      <c r="V1055" s="3" t="s">
        <v>53</v>
      </c>
    </row>
    <row r="1056" spans="1:22">
      <c r="A1056" s="2" t="s">
        <v>3388</v>
      </c>
      <c r="B1056" s="2" t="s">
        <v>3389</v>
      </c>
      <c r="C1056" s="2" t="s">
        <v>3225</v>
      </c>
      <c r="D1056" s="2" t="s">
        <v>80</v>
      </c>
      <c r="E1056" s="2" t="s">
        <v>215</v>
      </c>
      <c r="F1056" s="2" t="s">
        <v>82</v>
      </c>
      <c r="G1056" s="2" t="s">
        <v>83</v>
      </c>
      <c r="H1056" s="2" t="s">
        <v>46</v>
      </c>
      <c r="I1056" s="2" t="s">
        <v>47</v>
      </c>
      <c r="J1056" s="2" t="s">
        <v>3226</v>
      </c>
      <c r="K1056" s="2" t="s">
        <v>3390</v>
      </c>
      <c r="L1056" s="2" t="s">
        <v>314</v>
      </c>
      <c r="M1056" s="2" t="s">
        <v>3228</v>
      </c>
      <c r="N1056" s="16">
        <v>2.1600000000000001E-2</v>
      </c>
      <c r="O1056" s="17">
        <f>N1056*'Financial Inputs'!$B$3</f>
        <v>2160000</v>
      </c>
      <c r="P1056" s="18">
        <f>IF(I1056="L",'Financial Inputs'!$B$4,IF(I1056="M",'Financial Inputs'!$B$5,'Financial Inputs'!$B$6))</f>
        <v>0.4</v>
      </c>
      <c r="Q1056" s="17">
        <f>O1056*P1056</f>
        <v>864000</v>
      </c>
      <c r="R1056" s="16">
        <f>'Financial Inputs'!$B$7</f>
        <v>0.35</v>
      </c>
      <c r="S1056" s="17">
        <f>Q1056*(1-R1056)</f>
        <v>561600</v>
      </c>
      <c r="T1056" s="18">
        <f>S1056/'Financial Inputs'!$B$3</f>
        <v>5.6160000000000003E-3</v>
      </c>
      <c r="U1056" s="9" t="s">
        <v>52</v>
      </c>
      <c r="V1056" s="3" t="s">
        <v>53</v>
      </c>
    </row>
    <row r="1057" spans="1:22">
      <c r="A1057" s="2" t="s">
        <v>3391</v>
      </c>
      <c r="B1057" s="2" t="s">
        <v>3392</v>
      </c>
      <c r="C1057" s="2" t="s">
        <v>3225</v>
      </c>
      <c r="D1057" s="2" t="s">
        <v>88</v>
      </c>
      <c r="E1057" s="2" t="s">
        <v>128</v>
      </c>
      <c r="F1057" s="2" t="s">
        <v>90</v>
      </c>
      <c r="G1057" s="2" t="s">
        <v>67</v>
      </c>
      <c r="H1057" s="2" t="s">
        <v>46</v>
      </c>
      <c r="I1057" s="2" t="s">
        <v>47</v>
      </c>
      <c r="J1057" s="2" t="s">
        <v>3226</v>
      </c>
      <c r="K1057" s="2" t="s">
        <v>3393</v>
      </c>
      <c r="L1057" s="2" t="s">
        <v>318</v>
      </c>
      <c r="M1057" s="2" t="s">
        <v>3228</v>
      </c>
      <c r="N1057" s="16">
        <v>1.44E-2</v>
      </c>
      <c r="O1057" s="17">
        <f>N1057*'Financial Inputs'!$B$3</f>
        <v>1440000</v>
      </c>
      <c r="P1057" s="18">
        <f>IF(I1057="L",'Financial Inputs'!$B$4,IF(I1057="M",'Financial Inputs'!$B$5,'Financial Inputs'!$B$6))</f>
        <v>0.4</v>
      </c>
      <c r="Q1057" s="17">
        <f>O1057*P1057</f>
        <v>576000</v>
      </c>
      <c r="R1057" s="16">
        <f>'Financial Inputs'!$B$7</f>
        <v>0.35</v>
      </c>
      <c r="S1057" s="17">
        <f>Q1057*(1-R1057)</f>
        <v>374400</v>
      </c>
      <c r="T1057" s="18">
        <f>S1057/'Financial Inputs'!$B$3</f>
        <v>3.7439999999999999E-3</v>
      </c>
      <c r="U1057" s="9" t="s">
        <v>52</v>
      </c>
      <c r="V1057" s="3" t="s">
        <v>53</v>
      </c>
    </row>
    <row r="1058" spans="1:22">
      <c r="A1058" s="2" t="s">
        <v>3394</v>
      </c>
      <c r="B1058" s="2" t="s">
        <v>3395</v>
      </c>
      <c r="C1058" s="2" t="s">
        <v>3225</v>
      </c>
      <c r="D1058" s="2" t="s">
        <v>95</v>
      </c>
      <c r="E1058" s="2" t="s">
        <v>43</v>
      </c>
      <c r="F1058" s="2" t="s">
        <v>97</v>
      </c>
      <c r="G1058" s="2" t="s">
        <v>75</v>
      </c>
      <c r="H1058" s="2" t="s">
        <v>46</v>
      </c>
      <c r="I1058" s="2" t="s">
        <v>47</v>
      </c>
      <c r="J1058" s="2" t="s">
        <v>3226</v>
      </c>
      <c r="K1058" s="2" t="s">
        <v>3396</v>
      </c>
      <c r="L1058" s="2" t="s">
        <v>322</v>
      </c>
      <c r="M1058" s="2" t="s">
        <v>3228</v>
      </c>
      <c r="N1058" s="16">
        <v>1.6199999999999999E-2</v>
      </c>
      <c r="O1058" s="17">
        <f>N1058*'Financial Inputs'!$B$3</f>
        <v>1620000</v>
      </c>
      <c r="P1058" s="18">
        <f>IF(I1058="L",'Financial Inputs'!$B$4,IF(I1058="M",'Financial Inputs'!$B$5,'Financial Inputs'!$B$6))</f>
        <v>0.4</v>
      </c>
      <c r="Q1058" s="17">
        <f>O1058*P1058</f>
        <v>648000</v>
      </c>
      <c r="R1058" s="16">
        <f>'Financial Inputs'!$B$7</f>
        <v>0.35</v>
      </c>
      <c r="S1058" s="17">
        <f>Q1058*(1-R1058)</f>
        <v>421200</v>
      </c>
      <c r="T1058" s="18">
        <f>S1058/'Financial Inputs'!$B$3</f>
        <v>4.2119999999999996E-3</v>
      </c>
      <c r="U1058" s="9" t="s">
        <v>52</v>
      </c>
      <c r="V1058" s="3" t="s">
        <v>53</v>
      </c>
    </row>
    <row r="1059" spans="1:22">
      <c r="A1059" s="2" t="s">
        <v>3397</v>
      </c>
      <c r="B1059" s="2" t="s">
        <v>3398</v>
      </c>
      <c r="C1059" s="2" t="s">
        <v>3225</v>
      </c>
      <c r="D1059" s="2" t="s">
        <v>102</v>
      </c>
      <c r="E1059" s="2" t="s">
        <v>57</v>
      </c>
      <c r="F1059" s="2" t="s">
        <v>104</v>
      </c>
      <c r="G1059" s="2" t="s">
        <v>83</v>
      </c>
      <c r="H1059" s="2" t="s">
        <v>46</v>
      </c>
      <c r="I1059" s="2" t="s">
        <v>47</v>
      </c>
      <c r="J1059" s="2" t="s">
        <v>3226</v>
      </c>
      <c r="K1059" s="2" t="s">
        <v>3399</v>
      </c>
      <c r="L1059" s="2" t="s">
        <v>326</v>
      </c>
      <c r="M1059" s="2" t="s">
        <v>3228</v>
      </c>
      <c r="N1059" s="16">
        <v>1.7999999999999999E-2</v>
      </c>
      <c r="O1059" s="17">
        <f>N1059*'Financial Inputs'!$B$3</f>
        <v>1799999.9999999998</v>
      </c>
      <c r="P1059" s="18">
        <f>IF(I1059="L",'Financial Inputs'!$B$4,IF(I1059="M",'Financial Inputs'!$B$5,'Financial Inputs'!$B$6))</f>
        <v>0.4</v>
      </c>
      <c r="Q1059" s="17">
        <f>O1059*P1059</f>
        <v>720000</v>
      </c>
      <c r="R1059" s="16">
        <f>'Financial Inputs'!$B$7</f>
        <v>0.35</v>
      </c>
      <c r="S1059" s="17">
        <f>Q1059*(1-R1059)</f>
        <v>468000</v>
      </c>
      <c r="T1059" s="18">
        <f>S1059/'Financial Inputs'!$B$3</f>
        <v>4.6800000000000001E-3</v>
      </c>
      <c r="U1059" s="9" t="s">
        <v>52</v>
      </c>
      <c r="V1059" s="3" t="s">
        <v>53</v>
      </c>
    </row>
    <row r="1060" spans="1:22">
      <c r="A1060" s="2" t="s">
        <v>3400</v>
      </c>
      <c r="B1060" s="2" t="s">
        <v>3401</v>
      </c>
      <c r="C1060" s="2" t="s">
        <v>3225</v>
      </c>
      <c r="D1060" s="2" t="s">
        <v>42</v>
      </c>
      <c r="E1060" s="2" t="s">
        <v>65</v>
      </c>
      <c r="F1060" s="2" t="s">
        <v>110</v>
      </c>
      <c r="G1060" s="2" t="s">
        <v>111</v>
      </c>
      <c r="H1060" s="2" t="s">
        <v>46</v>
      </c>
      <c r="I1060" s="2" t="s">
        <v>47</v>
      </c>
      <c r="J1060" s="2" t="s">
        <v>3226</v>
      </c>
      <c r="K1060" s="2" t="s">
        <v>3402</v>
      </c>
      <c r="L1060" s="2" t="s">
        <v>330</v>
      </c>
      <c r="M1060" s="2" t="s">
        <v>3228</v>
      </c>
      <c r="N1060" s="16">
        <v>1.9800000000000002E-2</v>
      </c>
      <c r="O1060" s="17">
        <f>N1060*'Financial Inputs'!$B$3</f>
        <v>1980000.0000000002</v>
      </c>
      <c r="P1060" s="18">
        <f>IF(I1060="L",'Financial Inputs'!$B$4,IF(I1060="M",'Financial Inputs'!$B$5,'Financial Inputs'!$B$6))</f>
        <v>0.4</v>
      </c>
      <c r="Q1060" s="17">
        <f>O1060*P1060</f>
        <v>792000.00000000012</v>
      </c>
      <c r="R1060" s="16">
        <f>'Financial Inputs'!$B$7</f>
        <v>0.35</v>
      </c>
      <c r="S1060" s="17">
        <f>Q1060*(1-R1060)</f>
        <v>514800.00000000012</v>
      </c>
      <c r="T1060" s="18">
        <f>S1060/'Financial Inputs'!$B$3</f>
        <v>5.1480000000000015E-3</v>
      </c>
      <c r="U1060" s="9" t="s">
        <v>52</v>
      </c>
      <c r="V1060" s="3" t="s">
        <v>53</v>
      </c>
    </row>
    <row r="1061" spans="1:22">
      <c r="A1061" s="2" t="s">
        <v>3403</v>
      </c>
      <c r="B1061" s="2" t="s">
        <v>3404</v>
      </c>
      <c r="C1061" s="2" t="s">
        <v>3225</v>
      </c>
      <c r="D1061" s="2" t="s">
        <v>56</v>
      </c>
      <c r="E1061" s="2" t="s">
        <v>73</v>
      </c>
      <c r="F1061" s="2" t="s">
        <v>117</v>
      </c>
      <c r="G1061" s="2" t="s">
        <v>56</v>
      </c>
      <c r="H1061" s="2" t="s">
        <v>46</v>
      </c>
      <c r="I1061" s="2" t="s">
        <v>47</v>
      </c>
      <c r="J1061" s="2" t="s">
        <v>3226</v>
      </c>
      <c r="K1061" s="2" t="s">
        <v>3405</v>
      </c>
      <c r="L1061" s="2" t="s">
        <v>334</v>
      </c>
      <c r="M1061" s="2" t="s">
        <v>3228</v>
      </c>
      <c r="N1061" s="16">
        <v>2.1600000000000001E-2</v>
      </c>
      <c r="O1061" s="17">
        <f>N1061*'Financial Inputs'!$B$3</f>
        <v>2160000</v>
      </c>
      <c r="P1061" s="18">
        <f>IF(I1061="L",'Financial Inputs'!$B$4,IF(I1061="M",'Financial Inputs'!$B$5,'Financial Inputs'!$B$6))</f>
        <v>0.4</v>
      </c>
      <c r="Q1061" s="17">
        <f>O1061*P1061</f>
        <v>864000</v>
      </c>
      <c r="R1061" s="16">
        <f>'Financial Inputs'!$B$7</f>
        <v>0.35</v>
      </c>
      <c r="S1061" s="17">
        <f>Q1061*(1-R1061)</f>
        <v>561600</v>
      </c>
      <c r="T1061" s="18">
        <f>S1061/'Financial Inputs'!$B$3</f>
        <v>5.6160000000000003E-3</v>
      </c>
      <c r="U1061" s="9" t="s">
        <v>52</v>
      </c>
      <c r="V1061" s="3" t="s">
        <v>53</v>
      </c>
    </row>
    <row r="1062" spans="1:22">
      <c r="A1062" s="2" t="s">
        <v>3406</v>
      </c>
      <c r="B1062" s="2" t="s">
        <v>3407</v>
      </c>
      <c r="C1062" s="2" t="s">
        <v>3225</v>
      </c>
      <c r="D1062" s="2" t="s">
        <v>80</v>
      </c>
      <c r="E1062" s="2" t="s">
        <v>153</v>
      </c>
      <c r="F1062" s="2" t="s">
        <v>58</v>
      </c>
      <c r="G1062" s="2" t="s">
        <v>83</v>
      </c>
      <c r="H1062" s="2" t="s">
        <v>46</v>
      </c>
      <c r="I1062" s="2" t="s">
        <v>47</v>
      </c>
      <c r="J1062" s="2" t="s">
        <v>3226</v>
      </c>
      <c r="K1062" s="2" t="s">
        <v>3408</v>
      </c>
      <c r="L1062" s="2" t="s">
        <v>338</v>
      </c>
      <c r="M1062" s="2" t="s">
        <v>3228</v>
      </c>
      <c r="N1062" s="16">
        <v>1.44E-2</v>
      </c>
      <c r="O1062" s="17">
        <f>N1062*'Financial Inputs'!$B$3</f>
        <v>1440000</v>
      </c>
      <c r="P1062" s="18">
        <f>IF(I1062="L",'Financial Inputs'!$B$4,IF(I1062="M",'Financial Inputs'!$B$5,'Financial Inputs'!$B$6))</f>
        <v>0.4</v>
      </c>
      <c r="Q1062" s="17">
        <f>O1062*P1062</f>
        <v>576000</v>
      </c>
      <c r="R1062" s="16">
        <f>'Financial Inputs'!$B$7</f>
        <v>0.35</v>
      </c>
      <c r="S1062" s="17">
        <f>Q1062*(1-R1062)</f>
        <v>374400</v>
      </c>
      <c r="T1062" s="18">
        <f>S1062/'Financial Inputs'!$B$3</f>
        <v>3.7439999999999999E-3</v>
      </c>
      <c r="U1062" s="9" t="s">
        <v>52</v>
      </c>
      <c r="V1062" s="3" t="s">
        <v>53</v>
      </c>
    </row>
    <row r="1063" spans="1:22">
      <c r="A1063" s="2" t="s">
        <v>3409</v>
      </c>
      <c r="B1063" s="2" t="s">
        <v>3410</v>
      </c>
      <c r="C1063" s="2" t="s">
        <v>3225</v>
      </c>
      <c r="D1063" s="2" t="s">
        <v>127</v>
      </c>
      <c r="E1063" s="2" t="s">
        <v>89</v>
      </c>
      <c r="F1063" s="2" t="s">
        <v>66</v>
      </c>
      <c r="G1063" s="2" t="s">
        <v>111</v>
      </c>
      <c r="H1063" s="2" t="s">
        <v>46</v>
      </c>
      <c r="I1063" s="2" t="s">
        <v>47</v>
      </c>
      <c r="J1063" s="2" t="s">
        <v>3226</v>
      </c>
      <c r="K1063" s="2" t="s">
        <v>3411</v>
      </c>
      <c r="L1063" s="2" t="s">
        <v>342</v>
      </c>
      <c r="M1063" s="2" t="s">
        <v>3228</v>
      </c>
      <c r="N1063" s="16">
        <v>1.6199999999999999E-2</v>
      </c>
      <c r="O1063" s="17">
        <f>N1063*'Financial Inputs'!$B$3</f>
        <v>1620000</v>
      </c>
      <c r="P1063" s="18">
        <f>IF(I1063="L",'Financial Inputs'!$B$4,IF(I1063="M",'Financial Inputs'!$B$5,'Financial Inputs'!$B$6))</f>
        <v>0.4</v>
      </c>
      <c r="Q1063" s="17">
        <f>O1063*P1063</f>
        <v>648000</v>
      </c>
      <c r="R1063" s="16">
        <f>'Financial Inputs'!$B$7</f>
        <v>0.35</v>
      </c>
      <c r="S1063" s="17">
        <f>Q1063*(1-R1063)</f>
        <v>421200</v>
      </c>
      <c r="T1063" s="18">
        <f>S1063/'Financial Inputs'!$B$3</f>
        <v>4.2119999999999996E-3</v>
      </c>
      <c r="U1063" s="9" t="s">
        <v>52</v>
      </c>
      <c r="V1063" s="3" t="s">
        <v>53</v>
      </c>
    </row>
    <row r="1064" spans="1:22">
      <c r="A1064" s="2" t="s">
        <v>3412</v>
      </c>
      <c r="B1064" s="2" t="s">
        <v>3413</v>
      </c>
      <c r="C1064" s="2" t="s">
        <v>3225</v>
      </c>
      <c r="D1064" s="2" t="s">
        <v>133</v>
      </c>
      <c r="E1064" s="2" t="s">
        <v>96</v>
      </c>
      <c r="F1064" s="2" t="s">
        <v>74</v>
      </c>
      <c r="G1064" s="2" t="s">
        <v>56</v>
      </c>
      <c r="H1064" s="2" t="s">
        <v>46</v>
      </c>
      <c r="I1064" s="2" t="s">
        <v>47</v>
      </c>
      <c r="J1064" s="2" t="s">
        <v>3226</v>
      </c>
      <c r="K1064" s="2" t="s">
        <v>3414</v>
      </c>
      <c r="L1064" s="2" t="s">
        <v>346</v>
      </c>
      <c r="M1064" s="2" t="s">
        <v>3228</v>
      </c>
      <c r="N1064" s="16">
        <v>1.7999999999999999E-2</v>
      </c>
      <c r="O1064" s="17">
        <f>N1064*'Financial Inputs'!$B$3</f>
        <v>1799999.9999999998</v>
      </c>
      <c r="P1064" s="18">
        <f>IF(I1064="L",'Financial Inputs'!$B$4,IF(I1064="M",'Financial Inputs'!$B$5,'Financial Inputs'!$B$6))</f>
        <v>0.4</v>
      </c>
      <c r="Q1064" s="17">
        <f>O1064*P1064</f>
        <v>720000</v>
      </c>
      <c r="R1064" s="16">
        <f>'Financial Inputs'!$B$7</f>
        <v>0.35</v>
      </c>
      <c r="S1064" s="17">
        <f>Q1064*(1-R1064)</f>
        <v>468000</v>
      </c>
      <c r="T1064" s="18">
        <f>S1064/'Financial Inputs'!$B$3</f>
        <v>4.6800000000000001E-3</v>
      </c>
      <c r="U1064" s="9" t="s">
        <v>52</v>
      </c>
      <c r="V1064" s="3" t="s">
        <v>53</v>
      </c>
    </row>
    <row r="1065" spans="1:22">
      <c r="A1065" s="2" t="s">
        <v>3415</v>
      </c>
      <c r="B1065" s="2" t="s">
        <v>3416</v>
      </c>
      <c r="C1065" s="2" t="s">
        <v>3225</v>
      </c>
      <c r="D1065" s="2" t="s">
        <v>88</v>
      </c>
      <c r="E1065" s="2" t="s">
        <v>103</v>
      </c>
      <c r="F1065" s="2" t="s">
        <v>82</v>
      </c>
      <c r="G1065" s="2" t="s">
        <v>138</v>
      </c>
      <c r="H1065" s="2" t="s">
        <v>46</v>
      </c>
      <c r="I1065" s="2" t="s">
        <v>47</v>
      </c>
      <c r="J1065" s="2" t="s">
        <v>3226</v>
      </c>
      <c r="K1065" s="2" t="s">
        <v>3417</v>
      </c>
      <c r="L1065" s="2" t="s">
        <v>350</v>
      </c>
      <c r="M1065" s="2" t="s">
        <v>3228</v>
      </c>
      <c r="N1065" s="16">
        <v>1.9800000000000002E-2</v>
      </c>
      <c r="O1065" s="17">
        <f>N1065*'Financial Inputs'!$B$3</f>
        <v>1980000.0000000002</v>
      </c>
      <c r="P1065" s="18">
        <f>IF(I1065="L",'Financial Inputs'!$B$4,IF(I1065="M",'Financial Inputs'!$B$5,'Financial Inputs'!$B$6))</f>
        <v>0.4</v>
      </c>
      <c r="Q1065" s="17">
        <f>O1065*P1065</f>
        <v>792000.00000000012</v>
      </c>
      <c r="R1065" s="16">
        <f>'Financial Inputs'!$B$7</f>
        <v>0.35</v>
      </c>
      <c r="S1065" s="17">
        <f>Q1065*(1-R1065)</f>
        <v>514800.00000000012</v>
      </c>
      <c r="T1065" s="18">
        <f>S1065/'Financial Inputs'!$B$3</f>
        <v>5.1480000000000015E-3</v>
      </c>
      <c r="U1065" s="9" t="s">
        <v>52</v>
      </c>
      <c r="V1065" s="3" t="s">
        <v>53</v>
      </c>
    </row>
    <row r="1066" spans="1:22">
      <c r="A1066" s="2" t="s">
        <v>3418</v>
      </c>
      <c r="B1066" s="2" t="s">
        <v>3419</v>
      </c>
      <c r="C1066" s="2" t="s">
        <v>3225</v>
      </c>
      <c r="D1066" s="2" t="s">
        <v>95</v>
      </c>
      <c r="E1066" s="2" t="s">
        <v>109</v>
      </c>
      <c r="F1066" s="2" t="s">
        <v>44</v>
      </c>
      <c r="G1066" s="2" t="s">
        <v>143</v>
      </c>
      <c r="H1066" s="2" t="s">
        <v>46</v>
      </c>
      <c r="I1066" s="2" t="s">
        <v>47</v>
      </c>
      <c r="J1066" s="2" t="s">
        <v>3226</v>
      </c>
      <c r="K1066" s="2" t="s">
        <v>3420</v>
      </c>
      <c r="L1066" s="2" t="s">
        <v>354</v>
      </c>
      <c r="M1066" s="2" t="s">
        <v>3228</v>
      </c>
      <c r="N1066" s="16">
        <v>2.1600000000000001E-2</v>
      </c>
      <c r="O1066" s="17">
        <f>N1066*'Financial Inputs'!$B$3</f>
        <v>2160000</v>
      </c>
      <c r="P1066" s="18">
        <f>IF(I1066="L",'Financial Inputs'!$B$4,IF(I1066="M",'Financial Inputs'!$B$5,'Financial Inputs'!$B$6))</f>
        <v>0.4</v>
      </c>
      <c r="Q1066" s="17">
        <f>O1066*P1066</f>
        <v>864000</v>
      </c>
      <c r="R1066" s="16">
        <f>'Financial Inputs'!$B$7</f>
        <v>0.35</v>
      </c>
      <c r="S1066" s="17">
        <f>Q1066*(1-R1066)</f>
        <v>561600</v>
      </c>
      <c r="T1066" s="18">
        <f>S1066/'Financial Inputs'!$B$3</f>
        <v>5.6160000000000003E-3</v>
      </c>
      <c r="U1066" s="9" t="s">
        <v>52</v>
      </c>
      <c r="V1066" s="3" t="s">
        <v>53</v>
      </c>
    </row>
    <row r="1067" spans="1:22">
      <c r="A1067" s="2" t="s">
        <v>3421</v>
      </c>
      <c r="B1067" s="2" t="s">
        <v>3422</v>
      </c>
      <c r="C1067" s="2" t="s">
        <v>3225</v>
      </c>
      <c r="D1067" s="2" t="s">
        <v>56</v>
      </c>
      <c r="E1067" s="2" t="s">
        <v>176</v>
      </c>
      <c r="F1067" s="2" t="s">
        <v>97</v>
      </c>
      <c r="G1067" s="2" t="s">
        <v>56</v>
      </c>
      <c r="H1067" s="2" t="s">
        <v>46</v>
      </c>
      <c r="I1067" s="2" t="s">
        <v>47</v>
      </c>
      <c r="J1067" s="2" t="s">
        <v>3226</v>
      </c>
      <c r="K1067" s="2" t="s">
        <v>3423</v>
      </c>
      <c r="L1067" s="2" t="s">
        <v>358</v>
      </c>
      <c r="M1067" s="2" t="s">
        <v>3228</v>
      </c>
      <c r="N1067" s="16">
        <v>1.44E-2</v>
      </c>
      <c r="O1067" s="17">
        <f>N1067*'Financial Inputs'!$B$3</f>
        <v>1440000</v>
      </c>
      <c r="P1067" s="18">
        <f>IF(I1067="L",'Financial Inputs'!$B$4,IF(I1067="M",'Financial Inputs'!$B$5,'Financial Inputs'!$B$6))</f>
        <v>0.4</v>
      </c>
      <c r="Q1067" s="17">
        <f>O1067*P1067</f>
        <v>576000</v>
      </c>
      <c r="R1067" s="16">
        <f>'Financial Inputs'!$B$7</f>
        <v>0.35</v>
      </c>
      <c r="S1067" s="17">
        <f>Q1067*(1-R1067)</f>
        <v>374400</v>
      </c>
      <c r="T1067" s="18">
        <f>S1067/'Financial Inputs'!$B$3</f>
        <v>3.7439999999999999E-3</v>
      </c>
      <c r="U1067" s="9" t="s">
        <v>52</v>
      </c>
      <c r="V1067" s="3" t="s">
        <v>53</v>
      </c>
    </row>
    <row r="1068" spans="1:22">
      <c r="A1068" s="2" t="s">
        <v>3424</v>
      </c>
      <c r="B1068" s="2" t="s">
        <v>3425</v>
      </c>
      <c r="C1068" s="2" t="s">
        <v>3225</v>
      </c>
      <c r="D1068" s="2" t="s">
        <v>64</v>
      </c>
      <c r="E1068" s="2" t="s">
        <v>122</v>
      </c>
      <c r="F1068" s="2" t="s">
        <v>104</v>
      </c>
      <c r="G1068" s="2" t="s">
        <v>138</v>
      </c>
      <c r="H1068" s="2" t="s">
        <v>46</v>
      </c>
      <c r="I1068" s="2" t="s">
        <v>47</v>
      </c>
      <c r="J1068" s="2" t="s">
        <v>3226</v>
      </c>
      <c r="K1068" s="2" t="s">
        <v>3426</v>
      </c>
      <c r="L1068" s="2" t="s">
        <v>362</v>
      </c>
      <c r="M1068" s="2" t="s">
        <v>3228</v>
      </c>
      <c r="N1068" s="16">
        <v>1.6199999999999999E-2</v>
      </c>
      <c r="O1068" s="17">
        <f>N1068*'Financial Inputs'!$B$3</f>
        <v>1620000</v>
      </c>
      <c r="P1068" s="18">
        <f>IF(I1068="L",'Financial Inputs'!$B$4,IF(I1068="M",'Financial Inputs'!$B$5,'Financial Inputs'!$B$6))</f>
        <v>0.4</v>
      </c>
      <c r="Q1068" s="17">
        <f>O1068*P1068</f>
        <v>648000</v>
      </c>
      <c r="R1068" s="16">
        <f>'Financial Inputs'!$B$7</f>
        <v>0.35</v>
      </c>
      <c r="S1068" s="17">
        <f>Q1068*(1-R1068)</f>
        <v>421200</v>
      </c>
      <c r="T1068" s="18">
        <f>S1068/'Financial Inputs'!$B$3</f>
        <v>4.2119999999999996E-3</v>
      </c>
      <c r="U1068" s="9" t="s">
        <v>52</v>
      </c>
      <c r="V1068" s="3" t="s">
        <v>53</v>
      </c>
    </row>
    <row r="1069" spans="1:22">
      <c r="A1069" s="2" t="s">
        <v>3427</v>
      </c>
      <c r="B1069" s="2" t="s">
        <v>3428</v>
      </c>
      <c r="C1069" s="2" t="s">
        <v>3225</v>
      </c>
      <c r="D1069" s="2" t="s">
        <v>72</v>
      </c>
      <c r="E1069" s="2" t="s">
        <v>128</v>
      </c>
      <c r="F1069" s="2" t="s">
        <v>110</v>
      </c>
      <c r="G1069" s="2" t="s">
        <v>143</v>
      </c>
      <c r="H1069" s="2" t="s">
        <v>46</v>
      </c>
      <c r="I1069" s="2" t="s">
        <v>47</v>
      </c>
      <c r="J1069" s="2" t="s">
        <v>3226</v>
      </c>
      <c r="K1069" s="2" t="s">
        <v>3429</v>
      </c>
      <c r="L1069" s="2" t="s">
        <v>366</v>
      </c>
      <c r="M1069" s="2" t="s">
        <v>3228</v>
      </c>
      <c r="N1069" s="16">
        <v>1.7999999999999999E-2</v>
      </c>
      <c r="O1069" s="17">
        <f>N1069*'Financial Inputs'!$B$3</f>
        <v>1799999.9999999998</v>
      </c>
      <c r="P1069" s="18">
        <f>IF(I1069="L",'Financial Inputs'!$B$4,IF(I1069="M",'Financial Inputs'!$B$5,'Financial Inputs'!$B$6))</f>
        <v>0.4</v>
      </c>
      <c r="Q1069" s="17">
        <f>O1069*P1069</f>
        <v>720000</v>
      </c>
      <c r="R1069" s="16">
        <f>'Financial Inputs'!$B$7</f>
        <v>0.35</v>
      </c>
      <c r="S1069" s="17">
        <f>Q1069*(1-R1069)</f>
        <v>468000</v>
      </c>
      <c r="T1069" s="18">
        <f>S1069/'Financial Inputs'!$B$3</f>
        <v>4.6800000000000001E-3</v>
      </c>
      <c r="U1069" s="9" t="s">
        <v>52</v>
      </c>
      <c r="V1069" s="3" t="s">
        <v>53</v>
      </c>
    </row>
    <row r="1070" spans="1:22">
      <c r="A1070" s="2" t="s">
        <v>3430</v>
      </c>
      <c r="B1070" s="2" t="s">
        <v>3431</v>
      </c>
      <c r="C1070" s="2" t="s">
        <v>3225</v>
      </c>
      <c r="D1070" s="2" t="s">
        <v>80</v>
      </c>
      <c r="E1070" s="2" t="s">
        <v>43</v>
      </c>
      <c r="F1070" s="2" t="s">
        <v>117</v>
      </c>
      <c r="G1070" s="2" t="s">
        <v>162</v>
      </c>
      <c r="H1070" s="2" t="s">
        <v>46</v>
      </c>
      <c r="I1070" s="2" t="s">
        <v>47</v>
      </c>
      <c r="J1070" s="2" t="s">
        <v>3226</v>
      </c>
      <c r="K1070" s="2" t="s">
        <v>3432</v>
      </c>
      <c r="L1070" s="2" t="s">
        <v>370</v>
      </c>
      <c r="M1070" s="2" t="s">
        <v>3228</v>
      </c>
      <c r="N1070" s="16">
        <v>1.9800000000000002E-2</v>
      </c>
      <c r="O1070" s="17">
        <f>N1070*'Financial Inputs'!$B$3</f>
        <v>1980000.0000000002</v>
      </c>
      <c r="P1070" s="18">
        <f>IF(I1070="L",'Financial Inputs'!$B$4,IF(I1070="M",'Financial Inputs'!$B$5,'Financial Inputs'!$B$6))</f>
        <v>0.4</v>
      </c>
      <c r="Q1070" s="17">
        <f>O1070*P1070</f>
        <v>792000.00000000012</v>
      </c>
      <c r="R1070" s="16">
        <f>'Financial Inputs'!$B$7</f>
        <v>0.35</v>
      </c>
      <c r="S1070" s="17">
        <f>Q1070*(1-R1070)</f>
        <v>514800.00000000012</v>
      </c>
      <c r="T1070" s="18">
        <f>S1070/'Financial Inputs'!$B$3</f>
        <v>5.1480000000000015E-3</v>
      </c>
      <c r="U1070" s="9" t="s">
        <v>52</v>
      </c>
      <c r="V1070" s="3" t="s">
        <v>53</v>
      </c>
    </row>
    <row r="1071" spans="1:22">
      <c r="A1071" s="2" t="s">
        <v>3433</v>
      </c>
      <c r="B1071" s="2" t="s">
        <v>3434</v>
      </c>
      <c r="C1071" s="2" t="s">
        <v>3225</v>
      </c>
      <c r="D1071" s="2" t="s">
        <v>127</v>
      </c>
      <c r="E1071" s="2" t="s">
        <v>57</v>
      </c>
      <c r="F1071" s="2" t="s">
        <v>90</v>
      </c>
      <c r="G1071" s="2" t="s">
        <v>45</v>
      </c>
      <c r="H1071" s="2" t="s">
        <v>46</v>
      </c>
      <c r="I1071" s="2" t="s">
        <v>47</v>
      </c>
      <c r="J1071" s="2" t="s">
        <v>3226</v>
      </c>
      <c r="K1071" s="2" t="s">
        <v>3435</v>
      </c>
      <c r="L1071" s="2" t="s">
        <v>374</v>
      </c>
      <c r="M1071" s="2" t="s">
        <v>3228</v>
      </c>
      <c r="N1071" s="16">
        <v>2.1600000000000001E-2</v>
      </c>
      <c r="O1071" s="17">
        <f>N1071*'Financial Inputs'!$B$3</f>
        <v>2160000</v>
      </c>
      <c r="P1071" s="18">
        <f>IF(I1071="L",'Financial Inputs'!$B$4,IF(I1071="M",'Financial Inputs'!$B$5,'Financial Inputs'!$B$6))</f>
        <v>0.4</v>
      </c>
      <c r="Q1071" s="17">
        <f>O1071*P1071</f>
        <v>864000</v>
      </c>
      <c r="R1071" s="16">
        <f>'Financial Inputs'!$B$7</f>
        <v>0.35</v>
      </c>
      <c r="S1071" s="17">
        <f>Q1071*(1-R1071)</f>
        <v>561600</v>
      </c>
      <c r="T1071" s="18">
        <f>S1071/'Financial Inputs'!$B$3</f>
        <v>5.6160000000000003E-3</v>
      </c>
      <c r="U1071" s="9" t="s">
        <v>52</v>
      </c>
      <c r="V1071" s="3" t="s">
        <v>53</v>
      </c>
    </row>
    <row r="1072" spans="1:22">
      <c r="A1072" s="2" t="s">
        <v>3436</v>
      </c>
      <c r="B1072" s="2" t="s">
        <v>3437</v>
      </c>
      <c r="C1072" s="2" t="s">
        <v>3225</v>
      </c>
      <c r="D1072" s="2" t="s">
        <v>95</v>
      </c>
      <c r="E1072" s="2" t="s">
        <v>198</v>
      </c>
      <c r="F1072" s="2" t="s">
        <v>66</v>
      </c>
      <c r="G1072" s="2" t="s">
        <v>143</v>
      </c>
      <c r="H1072" s="2" t="s">
        <v>46</v>
      </c>
      <c r="I1072" s="2" t="s">
        <v>47</v>
      </c>
      <c r="J1072" s="2" t="s">
        <v>3226</v>
      </c>
      <c r="K1072" s="2" t="s">
        <v>3438</v>
      </c>
      <c r="L1072" s="2" t="s">
        <v>378</v>
      </c>
      <c r="M1072" s="2" t="s">
        <v>3228</v>
      </c>
      <c r="N1072" s="16">
        <v>1.44E-2</v>
      </c>
      <c r="O1072" s="17">
        <f>N1072*'Financial Inputs'!$B$3</f>
        <v>1440000</v>
      </c>
      <c r="P1072" s="18">
        <f>IF(I1072="L",'Financial Inputs'!$B$4,IF(I1072="M",'Financial Inputs'!$B$5,'Financial Inputs'!$B$6))</f>
        <v>0.4</v>
      </c>
      <c r="Q1072" s="17">
        <f>O1072*P1072</f>
        <v>576000</v>
      </c>
      <c r="R1072" s="16">
        <f>'Financial Inputs'!$B$7</f>
        <v>0.35</v>
      </c>
      <c r="S1072" s="17">
        <f>Q1072*(1-R1072)</f>
        <v>374400</v>
      </c>
      <c r="T1072" s="18">
        <f>S1072/'Financial Inputs'!$B$3</f>
        <v>3.7439999999999999E-3</v>
      </c>
      <c r="U1072" s="9" t="s">
        <v>52</v>
      </c>
      <c r="V1072" s="3" t="s">
        <v>53</v>
      </c>
    </row>
    <row r="1073" spans="1:22">
      <c r="A1073" s="2" t="s">
        <v>3439</v>
      </c>
      <c r="B1073" s="2" t="s">
        <v>3440</v>
      </c>
      <c r="C1073" s="2" t="s">
        <v>3225</v>
      </c>
      <c r="D1073" s="2" t="s">
        <v>102</v>
      </c>
      <c r="E1073" s="2" t="s">
        <v>148</v>
      </c>
      <c r="F1073" s="2" t="s">
        <v>74</v>
      </c>
      <c r="G1073" s="2" t="s">
        <v>162</v>
      </c>
      <c r="H1073" s="2" t="s">
        <v>46</v>
      </c>
      <c r="I1073" s="2" t="s">
        <v>47</v>
      </c>
      <c r="J1073" s="2" t="s">
        <v>3226</v>
      </c>
      <c r="K1073" s="2" t="s">
        <v>3441</v>
      </c>
      <c r="L1073" s="2" t="s">
        <v>382</v>
      </c>
      <c r="M1073" s="2" t="s">
        <v>3228</v>
      </c>
      <c r="N1073" s="16">
        <v>1.6199999999999999E-2</v>
      </c>
      <c r="O1073" s="17">
        <f>N1073*'Financial Inputs'!$B$3</f>
        <v>1620000</v>
      </c>
      <c r="P1073" s="18">
        <f>IF(I1073="L",'Financial Inputs'!$B$4,IF(I1073="M",'Financial Inputs'!$B$5,'Financial Inputs'!$B$6))</f>
        <v>0.4</v>
      </c>
      <c r="Q1073" s="17">
        <f>O1073*P1073</f>
        <v>648000</v>
      </c>
      <c r="R1073" s="16">
        <f>'Financial Inputs'!$B$7</f>
        <v>0.35</v>
      </c>
      <c r="S1073" s="17">
        <f>Q1073*(1-R1073)</f>
        <v>421200</v>
      </c>
      <c r="T1073" s="18">
        <f>S1073/'Financial Inputs'!$B$3</f>
        <v>4.2119999999999996E-3</v>
      </c>
      <c r="U1073" s="9" t="s">
        <v>52</v>
      </c>
      <c r="V1073" s="3" t="s">
        <v>53</v>
      </c>
    </row>
    <row r="1074" spans="1:22">
      <c r="A1074" s="2" t="s">
        <v>3442</v>
      </c>
      <c r="B1074" s="2" t="s">
        <v>3443</v>
      </c>
      <c r="C1074" s="2" t="s">
        <v>3225</v>
      </c>
      <c r="D1074" s="2" t="s">
        <v>42</v>
      </c>
      <c r="E1074" s="2" t="s">
        <v>153</v>
      </c>
      <c r="F1074" s="2" t="s">
        <v>82</v>
      </c>
      <c r="G1074" s="2" t="s">
        <v>45</v>
      </c>
      <c r="H1074" s="2" t="s">
        <v>46</v>
      </c>
      <c r="I1074" s="2" t="s">
        <v>47</v>
      </c>
      <c r="J1074" s="2" t="s">
        <v>3226</v>
      </c>
      <c r="K1074" s="2" t="s">
        <v>3444</v>
      </c>
      <c r="L1074" s="2" t="s">
        <v>386</v>
      </c>
      <c r="M1074" s="2" t="s">
        <v>3228</v>
      </c>
      <c r="N1074" s="16">
        <v>1.7999999999999999E-2</v>
      </c>
      <c r="O1074" s="17">
        <f>N1074*'Financial Inputs'!$B$3</f>
        <v>1799999.9999999998</v>
      </c>
      <c r="P1074" s="18">
        <f>IF(I1074="L",'Financial Inputs'!$B$4,IF(I1074="M",'Financial Inputs'!$B$5,'Financial Inputs'!$B$6))</f>
        <v>0.4</v>
      </c>
      <c r="Q1074" s="17">
        <f>O1074*P1074</f>
        <v>720000</v>
      </c>
      <c r="R1074" s="16">
        <f>'Financial Inputs'!$B$7</f>
        <v>0.35</v>
      </c>
      <c r="S1074" s="17">
        <f>Q1074*(1-R1074)</f>
        <v>468000</v>
      </c>
      <c r="T1074" s="18">
        <f>S1074/'Financial Inputs'!$B$3</f>
        <v>4.6800000000000001E-3</v>
      </c>
      <c r="U1074" s="9" t="s">
        <v>52</v>
      </c>
      <c r="V1074" s="3" t="s">
        <v>53</v>
      </c>
    </row>
    <row r="1075" spans="1:22">
      <c r="A1075" s="2" t="s">
        <v>3445</v>
      </c>
      <c r="B1075" s="2" t="s">
        <v>3446</v>
      </c>
      <c r="C1075" s="2" t="s">
        <v>3225</v>
      </c>
      <c r="D1075" s="2" t="s">
        <v>56</v>
      </c>
      <c r="E1075" s="2" t="s">
        <v>89</v>
      </c>
      <c r="F1075" s="2" t="s">
        <v>44</v>
      </c>
      <c r="G1075" s="2" t="s">
        <v>59</v>
      </c>
      <c r="H1075" s="2" t="s">
        <v>46</v>
      </c>
      <c r="I1075" s="2" t="s">
        <v>47</v>
      </c>
      <c r="J1075" s="2" t="s">
        <v>3226</v>
      </c>
      <c r="K1075" s="2" t="s">
        <v>3447</v>
      </c>
      <c r="L1075" s="2" t="s">
        <v>390</v>
      </c>
      <c r="M1075" s="2" t="s">
        <v>3228</v>
      </c>
      <c r="N1075" s="16">
        <v>1.9800000000000002E-2</v>
      </c>
      <c r="O1075" s="17">
        <f>N1075*'Financial Inputs'!$B$3</f>
        <v>1980000.0000000002</v>
      </c>
      <c r="P1075" s="18">
        <f>IF(I1075="L",'Financial Inputs'!$B$4,IF(I1075="M",'Financial Inputs'!$B$5,'Financial Inputs'!$B$6))</f>
        <v>0.4</v>
      </c>
      <c r="Q1075" s="17">
        <f>O1075*P1075</f>
        <v>792000.00000000012</v>
      </c>
      <c r="R1075" s="16">
        <f>'Financial Inputs'!$B$7</f>
        <v>0.35</v>
      </c>
      <c r="S1075" s="17">
        <f>Q1075*(1-R1075)</f>
        <v>514800.00000000012</v>
      </c>
      <c r="T1075" s="18">
        <f>S1075/'Financial Inputs'!$B$3</f>
        <v>5.1480000000000015E-3</v>
      </c>
      <c r="U1075" s="9" t="s">
        <v>52</v>
      </c>
      <c r="V1075" s="3" t="s">
        <v>53</v>
      </c>
    </row>
    <row r="1076" spans="1:22">
      <c r="A1076" s="2" t="s">
        <v>3448</v>
      </c>
      <c r="B1076" s="2" t="s">
        <v>3449</v>
      </c>
      <c r="C1076" s="2" t="s">
        <v>3225</v>
      </c>
      <c r="D1076" s="2" t="s">
        <v>64</v>
      </c>
      <c r="E1076" s="2" t="s">
        <v>96</v>
      </c>
      <c r="F1076" s="2" t="s">
        <v>58</v>
      </c>
      <c r="G1076" s="2" t="s">
        <v>67</v>
      </c>
      <c r="H1076" s="2" t="s">
        <v>46</v>
      </c>
      <c r="I1076" s="2" t="s">
        <v>47</v>
      </c>
      <c r="J1076" s="2" t="s">
        <v>3226</v>
      </c>
      <c r="K1076" s="2" t="s">
        <v>3450</v>
      </c>
      <c r="L1076" s="2" t="s">
        <v>394</v>
      </c>
      <c r="M1076" s="2" t="s">
        <v>3228</v>
      </c>
      <c r="N1076" s="16">
        <v>2.1600000000000001E-2</v>
      </c>
      <c r="O1076" s="17">
        <f>N1076*'Financial Inputs'!$B$3</f>
        <v>2160000</v>
      </c>
      <c r="P1076" s="18">
        <f>IF(I1076="L",'Financial Inputs'!$B$4,IF(I1076="M",'Financial Inputs'!$B$5,'Financial Inputs'!$B$6))</f>
        <v>0.4</v>
      </c>
      <c r="Q1076" s="17">
        <f>O1076*P1076</f>
        <v>864000</v>
      </c>
      <c r="R1076" s="16">
        <f>'Financial Inputs'!$B$7</f>
        <v>0.35</v>
      </c>
      <c r="S1076" s="17">
        <f>Q1076*(1-R1076)</f>
        <v>561600</v>
      </c>
      <c r="T1076" s="18">
        <f>S1076/'Financial Inputs'!$B$3</f>
        <v>5.6160000000000003E-3</v>
      </c>
      <c r="U1076" s="9" t="s">
        <v>52</v>
      </c>
      <c r="V1076" s="3" t="s">
        <v>53</v>
      </c>
    </row>
    <row r="1077" spans="1:22">
      <c r="A1077" s="2" t="s">
        <v>3451</v>
      </c>
      <c r="B1077" s="2" t="s">
        <v>3452</v>
      </c>
      <c r="C1077" s="2" t="s">
        <v>3225</v>
      </c>
      <c r="D1077" s="2" t="s">
        <v>127</v>
      </c>
      <c r="E1077" s="2" t="s">
        <v>220</v>
      </c>
      <c r="F1077" s="2" t="s">
        <v>104</v>
      </c>
      <c r="G1077" s="2" t="s">
        <v>45</v>
      </c>
      <c r="H1077" s="2" t="s">
        <v>46</v>
      </c>
      <c r="I1077" s="2" t="s">
        <v>47</v>
      </c>
      <c r="J1077" s="2" t="s">
        <v>3226</v>
      </c>
      <c r="K1077" s="2" t="s">
        <v>3453</v>
      </c>
      <c r="L1077" s="2" t="s">
        <v>398</v>
      </c>
      <c r="M1077" s="2" t="s">
        <v>3228</v>
      </c>
      <c r="N1077" s="16">
        <v>1.44E-2</v>
      </c>
      <c r="O1077" s="17">
        <f>N1077*'Financial Inputs'!$B$3</f>
        <v>1440000</v>
      </c>
      <c r="P1077" s="18">
        <f>IF(I1077="L",'Financial Inputs'!$B$4,IF(I1077="M",'Financial Inputs'!$B$5,'Financial Inputs'!$B$6))</f>
        <v>0.4</v>
      </c>
      <c r="Q1077" s="17">
        <f>O1077*P1077</f>
        <v>576000</v>
      </c>
      <c r="R1077" s="16">
        <f>'Financial Inputs'!$B$7</f>
        <v>0.35</v>
      </c>
      <c r="S1077" s="17">
        <f>Q1077*(1-R1077)</f>
        <v>374400</v>
      </c>
      <c r="T1077" s="18">
        <f>S1077/'Financial Inputs'!$B$3</f>
        <v>3.7439999999999999E-3</v>
      </c>
      <c r="U1077" s="9" t="s">
        <v>52</v>
      </c>
      <c r="V1077" s="3" t="s">
        <v>53</v>
      </c>
    </row>
    <row r="1078" spans="1:22">
      <c r="A1078" s="2" t="s">
        <v>3454</v>
      </c>
      <c r="B1078" s="2" t="s">
        <v>3455</v>
      </c>
      <c r="C1078" s="2" t="s">
        <v>3225</v>
      </c>
      <c r="D1078" s="2" t="s">
        <v>133</v>
      </c>
      <c r="E1078" s="2" t="s">
        <v>171</v>
      </c>
      <c r="F1078" s="2" t="s">
        <v>110</v>
      </c>
      <c r="G1078" s="2" t="s">
        <v>59</v>
      </c>
      <c r="H1078" s="2" t="s">
        <v>46</v>
      </c>
      <c r="I1078" s="2" t="s">
        <v>47</v>
      </c>
      <c r="J1078" s="2" t="s">
        <v>3226</v>
      </c>
      <c r="K1078" s="2" t="s">
        <v>3456</v>
      </c>
      <c r="L1078" s="2" t="s">
        <v>402</v>
      </c>
      <c r="M1078" s="2" t="s">
        <v>3228</v>
      </c>
      <c r="N1078" s="16">
        <v>1.6199999999999999E-2</v>
      </c>
      <c r="O1078" s="17">
        <f>N1078*'Financial Inputs'!$B$3</f>
        <v>1620000</v>
      </c>
      <c r="P1078" s="18">
        <f>IF(I1078="L",'Financial Inputs'!$B$4,IF(I1078="M",'Financial Inputs'!$B$5,'Financial Inputs'!$B$6))</f>
        <v>0.4</v>
      </c>
      <c r="Q1078" s="17">
        <f>O1078*P1078</f>
        <v>648000</v>
      </c>
      <c r="R1078" s="16">
        <f>'Financial Inputs'!$B$7</f>
        <v>0.35</v>
      </c>
      <c r="S1078" s="17">
        <f>Q1078*(1-R1078)</f>
        <v>421200</v>
      </c>
      <c r="T1078" s="18">
        <f>S1078/'Financial Inputs'!$B$3</f>
        <v>4.2119999999999996E-3</v>
      </c>
      <c r="U1078" s="9" t="s">
        <v>52</v>
      </c>
      <c r="V1078" s="3" t="s">
        <v>53</v>
      </c>
    </row>
    <row r="1079" spans="1:22">
      <c r="A1079" s="2" t="s">
        <v>3457</v>
      </c>
      <c r="B1079" s="2" t="s">
        <v>3458</v>
      </c>
      <c r="C1079" s="2" t="s">
        <v>3225</v>
      </c>
      <c r="D1079" s="2" t="s">
        <v>88</v>
      </c>
      <c r="E1079" s="2" t="s">
        <v>176</v>
      </c>
      <c r="F1079" s="2" t="s">
        <v>117</v>
      </c>
      <c r="G1079" s="2" t="s">
        <v>67</v>
      </c>
      <c r="H1079" s="2" t="s">
        <v>46</v>
      </c>
      <c r="I1079" s="2" t="s">
        <v>47</v>
      </c>
      <c r="J1079" s="2" t="s">
        <v>3226</v>
      </c>
      <c r="K1079" s="2" t="s">
        <v>3459</v>
      </c>
      <c r="L1079" s="2" t="s">
        <v>406</v>
      </c>
      <c r="M1079" s="2" t="s">
        <v>3228</v>
      </c>
      <c r="N1079" s="16">
        <v>1.7999999999999999E-2</v>
      </c>
      <c r="O1079" s="17">
        <f>N1079*'Financial Inputs'!$B$3</f>
        <v>1799999.9999999998</v>
      </c>
      <c r="P1079" s="18">
        <f>IF(I1079="L",'Financial Inputs'!$B$4,IF(I1079="M",'Financial Inputs'!$B$5,'Financial Inputs'!$B$6))</f>
        <v>0.4</v>
      </c>
      <c r="Q1079" s="17">
        <f>O1079*P1079</f>
        <v>720000</v>
      </c>
      <c r="R1079" s="16">
        <f>'Financial Inputs'!$B$7</f>
        <v>0.35</v>
      </c>
      <c r="S1079" s="17">
        <f>Q1079*(1-R1079)</f>
        <v>468000</v>
      </c>
      <c r="T1079" s="18">
        <f>S1079/'Financial Inputs'!$B$3</f>
        <v>4.6800000000000001E-3</v>
      </c>
      <c r="U1079" s="9" t="s">
        <v>52</v>
      </c>
      <c r="V1079" s="3" t="s">
        <v>53</v>
      </c>
    </row>
    <row r="1080" spans="1:22">
      <c r="A1080" s="2" t="s">
        <v>3460</v>
      </c>
      <c r="B1080" s="2" t="s">
        <v>3461</v>
      </c>
      <c r="C1080" s="2" t="s">
        <v>3225</v>
      </c>
      <c r="D1080" s="2" t="s">
        <v>95</v>
      </c>
      <c r="E1080" s="2" t="s">
        <v>122</v>
      </c>
      <c r="F1080" s="2" t="s">
        <v>90</v>
      </c>
      <c r="G1080" s="2" t="s">
        <v>75</v>
      </c>
      <c r="H1080" s="2" t="s">
        <v>46</v>
      </c>
      <c r="I1080" s="2" t="s">
        <v>47</v>
      </c>
      <c r="J1080" s="2" t="s">
        <v>3226</v>
      </c>
      <c r="K1080" s="2" t="s">
        <v>3462</v>
      </c>
      <c r="L1080" s="2" t="s">
        <v>410</v>
      </c>
      <c r="M1080" s="2" t="s">
        <v>3228</v>
      </c>
      <c r="N1080" s="16">
        <v>1.9800000000000002E-2</v>
      </c>
      <c r="O1080" s="17">
        <f>N1080*'Financial Inputs'!$B$3</f>
        <v>1980000.0000000002</v>
      </c>
      <c r="P1080" s="18">
        <f>IF(I1080="L",'Financial Inputs'!$B$4,IF(I1080="M",'Financial Inputs'!$B$5,'Financial Inputs'!$B$6))</f>
        <v>0.4</v>
      </c>
      <c r="Q1080" s="17">
        <f>O1080*P1080</f>
        <v>792000.00000000012</v>
      </c>
      <c r="R1080" s="16">
        <f>'Financial Inputs'!$B$7</f>
        <v>0.35</v>
      </c>
      <c r="S1080" s="17">
        <f>Q1080*(1-R1080)</f>
        <v>514800.00000000012</v>
      </c>
      <c r="T1080" s="18">
        <f>S1080/'Financial Inputs'!$B$3</f>
        <v>5.1480000000000015E-3</v>
      </c>
      <c r="U1080" s="9" t="s">
        <v>52</v>
      </c>
      <c r="V1080" s="3" t="s">
        <v>53</v>
      </c>
    </row>
    <row r="1081" spans="1:22">
      <c r="A1081" s="2" t="s">
        <v>3463</v>
      </c>
      <c r="B1081" s="2" t="s">
        <v>3464</v>
      </c>
      <c r="C1081" s="2" t="s">
        <v>3225</v>
      </c>
      <c r="D1081" s="2" t="s">
        <v>102</v>
      </c>
      <c r="E1081" s="2" t="s">
        <v>128</v>
      </c>
      <c r="F1081" s="2" t="s">
        <v>97</v>
      </c>
      <c r="G1081" s="2" t="s">
        <v>83</v>
      </c>
      <c r="H1081" s="2" t="s">
        <v>46</v>
      </c>
      <c r="I1081" s="2" t="s">
        <v>47</v>
      </c>
      <c r="J1081" s="2" t="s">
        <v>3226</v>
      </c>
      <c r="K1081" s="2" t="s">
        <v>3465</v>
      </c>
      <c r="L1081" s="2" t="s">
        <v>414</v>
      </c>
      <c r="M1081" s="2" t="s">
        <v>3228</v>
      </c>
      <c r="N1081" s="16">
        <v>2.1600000000000001E-2</v>
      </c>
      <c r="O1081" s="17">
        <f>N1081*'Financial Inputs'!$B$3</f>
        <v>2160000</v>
      </c>
      <c r="P1081" s="18">
        <f>IF(I1081="L",'Financial Inputs'!$B$4,IF(I1081="M",'Financial Inputs'!$B$5,'Financial Inputs'!$B$6))</f>
        <v>0.4</v>
      </c>
      <c r="Q1081" s="17">
        <f>O1081*P1081</f>
        <v>864000</v>
      </c>
      <c r="R1081" s="16">
        <f>'Financial Inputs'!$B$7</f>
        <v>0.35</v>
      </c>
      <c r="S1081" s="17">
        <f>Q1081*(1-R1081)</f>
        <v>561600</v>
      </c>
      <c r="T1081" s="18">
        <f>S1081/'Financial Inputs'!$B$3</f>
        <v>5.6160000000000003E-3</v>
      </c>
      <c r="U1081" s="9" t="s">
        <v>52</v>
      </c>
      <c r="V1081" s="3" t="s">
        <v>53</v>
      </c>
    </row>
    <row r="1082" spans="1:22">
      <c r="A1082" s="2" t="s">
        <v>3466</v>
      </c>
      <c r="B1082" s="2" t="s">
        <v>3467</v>
      </c>
      <c r="C1082" s="2" t="s">
        <v>3225</v>
      </c>
      <c r="D1082" s="2" t="s">
        <v>64</v>
      </c>
      <c r="E1082" s="2" t="s">
        <v>81</v>
      </c>
      <c r="F1082" s="2" t="s">
        <v>74</v>
      </c>
      <c r="G1082" s="2" t="s">
        <v>67</v>
      </c>
      <c r="H1082" s="2" t="s">
        <v>46</v>
      </c>
      <c r="I1082" s="2" t="s">
        <v>47</v>
      </c>
      <c r="J1082" s="2" t="s">
        <v>3226</v>
      </c>
      <c r="K1082" s="2" t="s">
        <v>3468</v>
      </c>
      <c r="L1082" s="2" t="s">
        <v>418</v>
      </c>
      <c r="M1082" s="2" t="s">
        <v>3228</v>
      </c>
      <c r="N1082" s="16">
        <v>1.44E-2</v>
      </c>
      <c r="O1082" s="17">
        <f>N1082*'Financial Inputs'!$B$3</f>
        <v>1440000</v>
      </c>
      <c r="P1082" s="18">
        <f>IF(I1082="L",'Financial Inputs'!$B$4,IF(I1082="M",'Financial Inputs'!$B$5,'Financial Inputs'!$B$6))</f>
        <v>0.4</v>
      </c>
      <c r="Q1082" s="17">
        <f>O1082*P1082</f>
        <v>576000</v>
      </c>
      <c r="R1082" s="16">
        <f>'Financial Inputs'!$B$7</f>
        <v>0.35</v>
      </c>
      <c r="S1082" s="17">
        <f>Q1082*(1-R1082)</f>
        <v>374400</v>
      </c>
      <c r="T1082" s="18">
        <f>S1082/'Financial Inputs'!$B$3</f>
        <v>3.7439999999999999E-3</v>
      </c>
      <c r="U1082" s="9" t="s">
        <v>52</v>
      </c>
      <c r="V1082" s="3" t="s">
        <v>53</v>
      </c>
    </row>
    <row r="1083" spans="1:22">
      <c r="A1083" s="2" t="s">
        <v>3469</v>
      </c>
      <c r="B1083" s="2" t="s">
        <v>3470</v>
      </c>
      <c r="C1083" s="2" t="s">
        <v>3225</v>
      </c>
      <c r="D1083" s="2" t="s">
        <v>72</v>
      </c>
      <c r="E1083" s="2" t="s">
        <v>193</v>
      </c>
      <c r="F1083" s="2" t="s">
        <v>82</v>
      </c>
      <c r="G1083" s="2" t="s">
        <v>75</v>
      </c>
      <c r="H1083" s="2" t="s">
        <v>46</v>
      </c>
      <c r="I1083" s="2" t="s">
        <v>47</v>
      </c>
      <c r="J1083" s="2" t="s">
        <v>3226</v>
      </c>
      <c r="K1083" s="2" t="s">
        <v>3471</v>
      </c>
      <c r="L1083" s="2" t="s">
        <v>422</v>
      </c>
      <c r="M1083" s="2" t="s">
        <v>3228</v>
      </c>
      <c r="N1083" s="16">
        <v>1.6199999999999999E-2</v>
      </c>
      <c r="O1083" s="17">
        <f>N1083*'Financial Inputs'!$B$3</f>
        <v>1620000</v>
      </c>
      <c r="P1083" s="18">
        <f>IF(I1083="L",'Financial Inputs'!$B$4,IF(I1083="M",'Financial Inputs'!$B$5,'Financial Inputs'!$B$6))</f>
        <v>0.4</v>
      </c>
      <c r="Q1083" s="17">
        <f>O1083*P1083</f>
        <v>648000</v>
      </c>
      <c r="R1083" s="16">
        <f>'Financial Inputs'!$B$7</f>
        <v>0.35</v>
      </c>
      <c r="S1083" s="17">
        <f>Q1083*(1-R1083)</f>
        <v>421200</v>
      </c>
      <c r="T1083" s="18">
        <f>S1083/'Financial Inputs'!$B$3</f>
        <v>4.2119999999999996E-3</v>
      </c>
      <c r="U1083" s="9" t="s">
        <v>52</v>
      </c>
      <c r="V1083" s="3" t="s">
        <v>53</v>
      </c>
    </row>
    <row r="1084" spans="1:22">
      <c r="A1084" s="2" t="s">
        <v>3472</v>
      </c>
      <c r="B1084" s="2" t="s">
        <v>3473</v>
      </c>
      <c r="C1084" s="2" t="s">
        <v>3225</v>
      </c>
      <c r="D1084" s="2" t="s">
        <v>80</v>
      </c>
      <c r="E1084" s="2" t="s">
        <v>198</v>
      </c>
      <c r="F1084" s="2" t="s">
        <v>44</v>
      </c>
      <c r="G1084" s="2" t="s">
        <v>83</v>
      </c>
      <c r="H1084" s="2" t="s">
        <v>46</v>
      </c>
      <c r="I1084" s="2" t="s">
        <v>47</v>
      </c>
      <c r="J1084" s="2" t="s">
        <v>3226</v>
      </c>
      <c r="K1084" s="2" t="s">
        <v>3474</v>
      </c>
      <c r="L1084" s="2" t="s">
        <v>426</v>
      </c>
      <c r="M1084" s="2" t="s">
        <v>3228</v>
      </c>
      <c r="N1084" s="16">
        <v>1.7999999999999999E-2</v>
      </c>
      <c r="O1084" s="17">
        <f>N1084*'Financial Inputs'!$B$3</f>
        <v>1799999.9999999998</v>
      </c>
      <c r="P1084" s="18">
        <f>IF(I1084="L",'Financial Inputs'!$B$4,IF(I1084="M",'Financial Inputs'!$B$5,'Financial Inputs'!$B$6))</f>
        <v>0.4</v>
      </c>
      <c r="Q1084" s="17">
        <f>O1084*P1084</f>
        <v>720000</v>
      </c>
      <c r="R1084" s="16">
        <f>'Financial Inputs'!$B$7</f>
        <v>0.35</v>
      </c>
      <c r="S1084" s="17">
        <f>Q1084*(1-R1084)</f>
        <v>468000</v>
      </c>
      <c r="T1084" s="18">
        <f>S1084/'Financial Inputs'!$B$3</f>
        <v>4.6800000000000001E-3</v>
      </c>
      <c r="U1084" s="9" t="s">
        <v>52</v>
      </c>
      <c r="V1084" s="3" t="s">
        <v>53</v>
      </c>
    </row>
    <row r="1085" spans="1:22">
      <c r="A1085" s="2" t="s">
        <v>3475</v>
      </c>
      <c r="B1085" s="2" t="s">
        <v>3476</v>
      </c>
      <c r="C1085" s="2" t="s">
        <v>3225</v>
      </c>
      <c r="D1085" s="2" t="s">
        <v>127</v>
      </c>
      <c r="E1085" s="2" t="s">
        <v>148</v>
      </c>
      <c r="F1085" s="2" t="s">
        <v>58</v>
      </c>
      <c r="G1085" s="2" t="s">
        <v>111</v>
      </c>
      <c r="H1085" s="2" t="s">
        <v>46</v>
      </c>
      <c r="I1085" s="2" t="s">
        <v>47</v>
      </c>
      <c r="J1085" s="2" t="s">
        <v>3226</v>
      </c>
      <c r="K1085" s="2" t="s">
        <v>3477</v>
      </c>
      <c r="L1085" s="2" t="s">
        <v>430</v>
      </c>
      <c r="M1085" s="2" t="s">
        <v>3228</v>
      </c>
      <c r="N1085" s="16">
        <v>1.9800000000000002E-2</v>
      </c>
      <c r="O1085" s="17">
        <f>N1085*'Financial Inputs'!$B$3</f>
        <v>1980000.0000000002</v>
      </c>
      <c r="P1085" s="18">
        <f>IF(I1085="L",'Financial Inputs'!$B$4,IF(I1085="M",'Financial Inputs'!$B$5,'Financial Inputs'!$B$6))</f>
        <v>0.4</v>
      </c>
      <c r="Q1085" s="17">
        <f>O1085*P1085</f>
        <v>792000.00000000012</v>
      </c>
      <c r="R1085" s="16">
        <f>'Financial Inputs'!$B$7</f>
        <v>0.35</v>
      </c>
      <c r="S1085" s="17">
        <f>Q1085*(1-R1085)</f>
        <v>514800.00000000012</v>
      </c>
      <c r="T1085" s="18">
        <f>S1085/'Financial Inputs'!$B$3</f>
        <v>5.1480000000000015E-3</v>
      </c>
      <c r="U1085" s="9" t="s">
        <v>52</v>
      </c>
      <c r="V1085" s="3" t="s">
        <v>53</v>
      </c>
    </row>
    <row r="1086" spans="1:22">
      <c r="A1086" s="2" t="s">
        <v>3478</v>
      </c>
      <c r="B1086" s="2" t="s">
        <v>3479</v>
      </c>
      <c r="C1086" s="2" t="s">
        <v>3225</v>
      </c>
      <c r="D1086" s="2" t="s">
        <v>133</v>
      </c>
      <c r="E1086" s="2" t="s">
        <v>153</v>
      </c>
      <c r="F1086" s="2" t="s">
        <v>66</v>
      </c>
      <c r="G1086" s="2" t="s">
        <v>56</v>
      </c>
      <c r="H1086" s="2" t="s">
        <v>46</v>
      </c>
      <c r="I1086" s="2" t="s">
        <v>47</v>
      </c>
      <c r="J1086" s="2" t="s">
        <v>3226</v>
      </c>
      <c r="K1086" s="2" t="s">
        <v>3480</v>
      </c>
      <c r="L1086" s="2" t="s">
        <v>434</v>
      </c>
      <c r="M1086" s="2" t="s">
        <v>3228</v>
      </c>
      <c r="N1086" s="16">
        <v>2.1600000000000001E-2</v>
      </c>
      <c r="O1086" s="17">
        <f>N1086*'Financial Inputs'!$B$3</f>
        <v>2160000</v>
      </c>
      <c r="P1086" s="18">
        <f>IF(I1086="L",'Financial Inputs'!$B$4,IF(I1086="M",'Financial Inputs'!$B$5,'Financial Inputs'!$B$6))</f>
        <v>0.4</v>
      </c>
      <c r="Q1086" s="17">
        <f>O1086*P1086</f>
        <v>864000</v>
      </c>
      <c r="R1086" s="16">
        <f>'Financial Inputs'!$B$7</f>
        <v>0.35</v>
      </c>
      <c r="S1086" s="17">
        <f>Q1086*(1-R1086)</f>
        <v>561600</v>
      </c>
      <c r="T1086" s="18">
        <f>S1086/'Financial Inputs'!$B$3</f>
        <v>5.6160000000000003E-3</v>
      </c>
      <c r="U1086" s="9" t="s">
        <v>52</v>
      </c>
      <c r="V1086" s="3" t="s">
        <v>53</v>
      </c>
    </row>
    <row r="1087" spans="1:22">
      <c r="A1087" s="2" t="s">
        <v>3481</v>
      </c>
      <c r="B1087" s="2" t="s">
        <v>3482</v>
      </c>
      <c r="C1087" s="2" t="s">
        <v>3225</v>
      </c>
      <c r="D1087" s="2" t="s">
        <v>102</v>
      </c>
      <c r="E1087" s="2" t="s">
        <v>116</v>
      </c>
      <c r="F1087" s="2" t="s">
        <v>110</v>
      </c>
      <c r="G1087" s="2" t="s">
        <v>83</v>
      </c>
      <c r="H1087" s="2" t="s">
        <v>46</v>
      </c>
      <c r="I1087" s="2" t="s">
        <v>47</v>
      </c>
      <c r="J1087" s="2" t="s">
        <v>3226</v>
      </c>
      <c r="K1087" s="2" t="s">
        <v>3483</v>
      </c>
      <c r="L1087" s="2" t="s">
        <v>438</v>
      </c>
      <c r="M1087" s="2" t="s">
        <v>3228</v>
      </c>
      <c r="N1087" s="16">
        <v>1.44E-2</v>
      </c>
      <c r="O1087" s="17">
        <f>N1087*'Financial Inputs'!$B$3</f>
        <v>1440000</v>
      </c>
      <c r="P1087" s="18">
        <f>IF(I1087="L",'Financial Inputs'!$B$4,IF(I1087="M",'Financial Inputs'!$B$5,'Financial Inputs'!$B$6))</f>
        <v>0.4</v>
      </c>
      <c r="Q1087" s="17">
        <f>O1087*P1087</f>
        <v>576000</v>
      </c>
      <c r="R1087" s="16">
        <f>'Financial Inputs'!$B$7</f>
        <v>0.35</v>
      </c>
      <c r="S1087" s="17">
        <f>Q1087*(1-R1087)</f>
        <v>374400</v>
      </c>
      <c r="T1087" s="18">
        <f>S1087/'Financial Inputs'!$B$3</f>
        <v>3.7439999999999999E-3</v>
      </c>
      <c r="U1087" s="9" t="s">
        <v>52</v>
      </c>
      <c r="V1087" s="3" t="s">
        <v>53</v>
      </c>
    </row>
    <row r="1088" spans="1:22">
      <c r="A1088" s="2" t="s">
        <v>3484</v>
      </c>
      <c r="B1088" s="2" t="s">
        <v>3485</v>
      </c>
      <c r="C1088" s="2" t="s">
        <v>3225</v>
      </c>
      <c r="D1088" s="2" t="s">
        <v>42</v>
      </c>
      <c r="E1088" s="2" t="s">
        <v>215</v>
      </c>
      <c r="F1088" s="2" t="s">
        <v>117</v>
      </c>
      <c r="G1088" s="2" t="s">
        <v>111</v>
      </c>
      <c r="H1088" s="2" t="s">
        <v>46</v>
      </c>
      <c r="I1088" s="2" t="s">
        <v>47</v>
      </c>
      <c r="J1088" s="2" t="s">
        <v>3226</v>
      </c>
      <c r="K1088" s="2" t="s">
        <v>3486</v>
      </c>
      <c r="L1088" s="2" t="s">
        <v>442</v>
      </c>
      <c r="M1088" s="2" t="s">
        <v>3228</v>
      </c>
      <c r="N1088" s="16">
        <v>1.6199999999999999E-2</v>
      </c>
      <c r="O1088" s="17">
        <f>N1088*'Financial Inputs'!$B$3</f>
        <v>1620000</v>
      </c>
      <c r="P1088" s="18">
        <f>IF(I1088="L",'Financial Inputs'!$B$4,IF(I1088="M",'Financial Inputs'!$B$5,'Financial Inputs'!$B$6))</f>
        <v>0.4</v>
      </c>
      <c r="Q1088" s="17">
        <f>O1088*P1088</f>
        <v>648000</v>
      </c>
      <c r="R1088" s="16">
        <f>'Financial Inputs'!$B$7</f>
        <v>0.35</v>
      </c>
      <c r="S1088" s="17">
        <f>Q1088*(1-R1088)</f>
        <v>421200</v>
      </c>
      <c r="T1088" s="18">
        <f>S1088/'Financial Inputs'!$B$3</f>
        <v>4.2119999999999996E-3</v>
      </c>
      <c r="U1088" s="9" t="s">
        <v>52</v>
      </c>
      <c r="V1088" s="3" t="s">
        <v>53</v>
      </c>
    </row>
    <row r="1089" spans="1:22">
      <c r="A1089" s="2" t="s">
        <v>3487</v>
      </c>
      <c r="B1089" s="2" t="s">
        <v>3488</v>
      </c>
      <c r="C1089" s="2" t="s">
        <v>3225</v>
      </c>
      <c r="D1089" s="2" t="s">
        <v>56</v>
      </c>
      <c r="E1089" s="2" t="s">
        <v>220</v>
      </c>
      <c r="F1089" s="2" t="s">
        <v>90</v>
      </c>
      <c r="G1089" s="2" t="s">
        <v>56</v>
      </c>
      <c r="H1089" s="2" t="s">
        <v>46</v>
      </c>
      <c r="I1089" s="2" t="s">
        <v>47</v>
      </c>
      <c r="J1089" s="2" t="s">
        <v>3226</v>
      </c>
      <c r="K1089" s="2" t="s">
        <v>3489</v>
      </c>
      <c r="L1089" s="2" t="s">
        <v>446</v>
      </c>
      <c r="M1089" s="2" t="s">
        <v>3228</v>
      </c>
      <c r="N1089" s="16">
        <v>1.7999999999999999E-2</v>
      </c>
      <c r="O1089" s="17">
        <f>N1089*'Financial Inputs'!$B$3</f>
        <v>1799999.9999999998</v>
      </c>
      <c r="P1089" s="18">
        <f>IF(I1089="L",'Financial Inputs'!$B$4,IF(I1089="M",'Financial Inputs'!$B$5,'Financial Inputs'!$B$6))</f>
        <v>0.4</v>
      </c>
      <c r="Q1089" s="17">
        <f>O1089*P1089</f>
        <v>720000</v>
      </c>
      <c r="R1089" s="16">
        <f>'Financial Inputs'!$B$7</f>
        <v>0.35</v>
      </c>
      <c r="S1089" s="17">
        <f>Q1089*(1-R1089)</f>
        <v>468000</v>
      </c>
      <c r="T1089" s="18">
        <f>S1089/'Financial Inputs'!$B$3</f>
        <v>4.6800000000000001E-3</v>
      </c>
      <c r="U1089" s="9" t="s">
        <v>52</v>
      </c>
      <c r="V1089" s="3" t="s">
        <v>53</v>
      </c>
    </row>
    <row r="1090" spans="1:22">
      <c r="A1090" s="2" t="s">
        <v>3490</v>
      </c>
      <c r="B1090" s="2" t="s">
        <v>3491</v>
      </c>
      <c r="C1090" s="2" t="s">
        <v>3225</v>
      </c>
      <c r="D1090" s="2" t="s">
        <v>64</v>
      </c>
      <c r="E1090" s="2" t="s">
        <v>171</v>
      </c>
      <c r="F1090" s="2" t="s">
        <v>97</v>
      </c>
      <c r="G1090" s="2" t="s">
        <v>138</v>
      </c>
      <c r="H1090" s="2" t="s">
        <v>46</v>
      </c>
      <c r="I1090" s="2" t="s">
        <v>47</v>
      </c>
      <c r="J1090" s="2" t="s">
        <v>3226</v>
      </c>
      <c r="K1090" s="2" t="s">
        <v>3492</v>
      </c>
      <c r="L1090" s="2" t="s">
        <v>450</v>
      </c>
      <c r="M1090" s="2" t="s">
        <v>3228</v>
      </c>
      <c r="N1090" s="16">
        <v>1.9800000000000002E-2</v>
      </c>
      <c r="O1090" s="17">
        <f>N1090*'Financial Inputs'!$B$3</f>
        <v>1980000.0000000002</v>
      </c>
      <c r="P1090" s="18">
        <f>IF(I1090="L",'Financial Inputs'!$B$4,IF(I1090="M",'Financial Inputs'!$B$5,'Financial Inputs'!$B$6))</f>
        <v>0.4</v>
      </c>
      <c r="Q1090" s="17">
        <f>O1090*P1090</f>
        <v>792000.00000000012</v>
      </c>
      <c r="R1090" s="16">
        <f>'Financial Inputs'!$B$7</f>
        <v>0.35</v>
      </c>
      <c r="S1090" s="17">
        <f>Q1090*(1-R1090)</f>
        <v>514800.00000000012</v>
      </c>
      <c r="T1090" s="18">
        <f>S1090/'Financial Inputs'!$B$3</f>
        <v>5.1480000000000015E-3</v>
      </c>
      <c r="U1090" s="9" t="s">
        <v>52</v>
      </c>
      <c r="V1090" s="3" t="s">
        <v>53</v>
      </c>
    </row>
    <row r="1091" spans="1:22">
      <c r="A1091" s="2" t="s">
        <v>3493</v>
      </c>
      <c r="B1091" s="2" t="s">
        <v>3494</v>
      </c>
      <c r="C1091" s="2" t="s">
        <v>3225</v>
      </c>
      <c r="D1091" s="2" t="s">
        <v>72</v>
      </c>
      <c r="E1091" s="2" t="s">
        <v>176</v>
      </c>
      <c r="F1091" s="2" t="s">
        <v>104</v>
      </c>
      <c r="G1091" s="2" t="s">
        <v>143</v>
      </c>
      <c r="H1091" s="2" t="s">
        <v>46</v>
      </c>
      <c r="I1091" s="2" t="s">
        <v>47</v>
      </c>
      <c r="J1091" s="2" t="s">
        <v>3226</v>
      </c>
      <c r="K1091" s="2" t="s">
        <v>3495</v>
      </c>
      <c r="L1091" s="2" t="s">
        <v>454</v>
      </c>
      <c r="M1091" s="2" t="s">
        <v>3228</v>
      </c>
      <c r="N1091" s="16">
        <v>2.1600000000000001E-2</v>
      </c>
      <c r="O1091" s="17">
        <f>N1091*'Financial Inputs'!$B$3</f>
        <v>2160000</v>
      </c>
      <c r="P1091" s="18">
        <f>IF(I1091="L",'Financial Inputs'!$B$4,IF(I1091="M",'Financial Inputs'!$B$5,'Financial Inputs'!$B$6))</f>
        <v>0.4</v>
      </c>
      <c r="Q1091" s="17">
        <f>O1091*P1091</f>
        <v>864000</v>
      </c>
      <c r="R1091" s="16">
        <f>'Financial Inputs'!$B$7</f>
        <v>0.35</v>
      </c>
      <c r="S1091" s="17">
        <f>Q1091*(1-R1091)</f>
        <v>561600</v>
      </c>
      <c r="T1091" s="18">
        <f>S1091/'Financial Inputs'!$B$3</f>
        <v>5.6160000000000003E-3</v>
      </c>
      <c r="U1091" s="9" t="s">
        <v>52</v>
      </c>
      <c r="V1091" s="3" t="s">
        <v>53</v>
      </c>
    </row>
    <row r="1092" spans="1:22">
      <c r="A1092" s="2" t="s">
        <v>3496</v>
      </c>
      <c r="B1092" s="2" t="s">
        <v>3497</v>
      </c>
      <c r="C1092" s="2" t="s">
        <v>3225</v>
      </c>
      <c r="D1092" s="2" t="s">
        <v>133</v>
      </c>
      <c r="E1092" s="2" t="s">
        <v>65</v>
      </c>
      <c r="F1092" s="2" t="s">
        <v>82</v>
      </c>
      <c r="G1092" s="2" t="s">
        <v>56</v>
      </c>
      <c r="H1092" s="2" t="s">
        <v>46</v>
      </c>
      <c r="I1092" s="2" t="s">
        <v>47</v>
      </c>
      <c r="J1092" s="2" t="s">
        <v>3226</v>
      </c>
      <c r="K1092" s="2" t="s">
        <v>3498</v>
      </c>
      <c r="L1092" s="2" t="s">
        <v>458</v>
      </c>
      <c r="M1092" s="2" t="s">
        <v>3228</v>
      </c>
      <c r="N1092" s="16">
        <v>1.44E-2</v>
      </c>
      <c r="O1092" s="17">
        <f>N1092*'Financial Inputs'!$B$3</f>
        <v>1440000</v>
      </c>
      <c r="P1092" s="18">
        <f>IF(I1092="L",'Financial Inputs'!$B$4,IF(I1092="M",'Financial Inputs'!$B$5,'Financial Inputs'!$B$6))</f>
        <v>0.4</v>
      </c>
      <c r="Q1092" s="17">
        <f>O1092*P1092</f>
        <v>576000</v>
      </c>
      <c r="R1092" s="16">
        <f>'Financial Inputs'!$B$7</f>
        <v>0.35</v>
      </c>
      <c r="S1092" s="17">
        <f>Q1092*(1-R1092)</f>
        <v>374400</v>
      </c>
      <c r="T1092" s="18">
        <f>S1092/'Financial Inputs'!$B$3</f>
        <v>3.7439999999999999E-3</v>
      </c>
      <c r="U1092" s="9" t="s">
        <v>52</v>
      </c>
      <c r="V1092" s="3" t="s">
        <v>53</v>
      </c>
    </row>
    <row r="1093" spans="1:22">
      <c r="A1093" s="2" t="s">
        <v>3499</v>
      </c>
      <c r="B1093" s="2" t="s">
        <v>3500</v>
      </c>
      <c r="C1093" s="2" t="s">
        <v>3225</v>
      </c>
      <c r="D1093" s="2" t="s">
        <v>88</v>
      </c>
      <c r="E1093" s="2" t="s">
        <v>73</v>
      </c>
      <c r="F1093" s="2" t="s">
        <v>44</v>
      </c>
      <c r="G1093" s="2" t="s">
        <v>138</v>
      </c>
      <c r="H1093" s="2" t="s">
        <v>46</v>
      </c>
      <c r="I1093" s="2" t="s">
        <v>47</v>
      </c>
      <c r="J1093" s="2" t="s">
        <v>3226</v>
      </c>
      <c r="K1093" s="2" t="s">
        <v>3501</v>
      </c>
      <c r="L1093" s="2" t="s">
        <v>462</v>
      </c>
      <c r="M1093" s="2" t="s">
        <v>3228</v>
      </c>
      <c r="N1093" s="16">
        <v>1.6199999999999999E-2</v>
      </c>
      <c r="O1093" s="17">
        <f>N1093*'Financial Inputs'!$B$3</f>
        <v>1620000</v>
      </c>
      <c r="P1093" s="18">
        <f>IF(I1093="L",'Financial Inputs'!$B$4,IF(I1093="M",'Financial Inputs'!$B$5,'Financial Inputs'!$B$6))</f>
        <v>0.4</v>
      </c>
      <c r="Q1093" s="17">
        <f>O1093*P1093</f>
        <v>648000</v>
      </c>
      <c r="R1093" s="16">
        <f>'Financial Inputs'!$B$7</f>
        <v>0.35</v>
      </c>
      <c r="S1093" s="17">
        <f>Q1093*(1-R1093)</f>
        <v>421200</v>
      </c>
      <c r="T1093" s="18">
        <f>S1093/'Financial Inputs'!$B$3</f>
        <v>4.2119999999999996E-3</v>
      </c>
      <c r="U1093" s="9" t="s">
        <v>52</v>
      </c>
      <c r="V1093" s="3" t="s">
        <v>53</v>
      </c>
    </row>
    <row r="1094" spans="1:22">
      <c r="A1094" s="2" t="s">
        <v>3502</v>
      </c>
      <c r="B1094" s="2" t="s">
        <v>3503</v>
      </c>
      <c r="C1094" s="2" t="s">
        <v>3225</v>
      </c>
      <c r="D1094" s="2" t="s">
        <v>95</v>
      </c>
      <c r="E1094" s="2" t="s">
        <v>81</v>
      </c>
      <c r="F1094" s="2" t="s">
        <v>58</v>
      </c>
      <c r="G1094" s="2" t="s">
        <v>143</v>
      </c>
      <c r="H1094" s="2" t="s">
        <v>46</v>
      </c>
      <c r="I1094" s="2" t="s">
        <v>47</v>
      </c>
      <c r="J1094" s="2" t="s">
        <v>3226</v>
      </c>
      <c r="K1094" s="2" t="s">
        <v>3504</v>
      </c>
      <c r="L1094" s="2" t="s">
        <v>466</v>
      </c>
      <c r="M1094" s="2" t="s">
        <v>3228</v>
      </c>
      <c r="N1094" s="16">
        <v>1.7999999999999999E-2</v>
      </c>
      <c r="O1094" s="17">
        <f>N1094*'Financial Inputs'!$B$3</f>
        <v>1799999.9999999998</v>
      </c>
      <c r="P1094" s="18">
        <f>IF(I1094="L",'Financial Inputs'!$B$4,IF(I1094="M",'Financial Inputs'!$B$5,'Financial Inputs'!$B$6))</f>
        <v>0.4</v>
      </c>
      <c r="Q1094" s="17">
        <f>O1094*P1094</f>
        <v>720000</v>
      </c>
      <c r="R1094" s="16">
        <f>'Financial Inputs'!$B$7</f>
        <v>0.35</v>
      </c>
      <c r="S1094" s="17">
        <f>Q1094*(1-R1094)</f>
        <v>468000</v>
      </c>
      <c r="T1094" s="18">
        <f>S1094/'Financial Inputs'!$B$3</f>
        <v>4.6800000000000001E-3</v>
      </c>
      <c r="U1094" s="9" t="s">
        <v>52</v>
      </c>
      <c r="V1094" s="3" t="s">
        <v>53</v>
      </c>
    </row>
    <row r="1095" spans="1:22">
      <c r="A1095" s="2" t="s">
        <v>3505</v>
      </c>
      <c r="B1095" s="2" t="s">
        <v>3506</v>
      </c>
      <c r="C1095" s="2" t="s">
        <v>3225</v>
      </c>
      <c r="D1095" s="2" t="s">
        <v>102</v>
      </c>
      <c r="E1095" s="2" t="s">
        <v>193</v>
      </c>
      <c r="F1095" s="2" t="s">
        <v>66</v>
      </c>
      <c r="G1095" s="2" t="s">
        <v>162</v>
      </c>
      <c r="H1095" s="2" t="s">
        <v>46</v>
      </c>
      <c r="I1095" s="2" t="s">
        <v>47</v>
      </c>
      <c r="J1095" s="2" t="s">
        <v>3226</v>
      </c>
      <c r="K1095" s="2" t="s">
        <v>3507</v>
      </c>
      <c r="L1095" s="2" t="s">
        <v>470</v>
      </c>
      <c r="M1095" s="2" t="s">
        <v>3228</v>
      </c>
      <c r="N1095" s="16">
        <v>1.9800000000000002E-2</v>
      </c>
      <c r="O1095" s="17">
        <f>N1095*'Financial Inputs'!$B$3</f>
        <v>1980000.0000000002</v>
      </c>
      <c r="P1095" s="18">
        <f>IF(I1095="L",'Financial Inputs'!$B$4,IF(I1095="M",'Financial Inputs'!$B$5,'Financial Inputs'!$B$6))</f>
        <v>0.4</v>
      </c>
      <c r="Q1095" s="17">
        <f>O1095*P1095</f>
        <v>792000.00000000012</v>
      </c>
      <c r="R1095" s="16">
        <f>'Financial Inputs'!$B$7</f>
        <v>0.35</v>
      </c>
      <c r="S1095" s="17">
        <f>Q1095*(1-R1095)</f>
        <v>514800.00000000012</v>
      </c>
      <c r="T1095" s="18">
        <f>S1095/'Financial Inputs'!$B$3</f>
        <v>5.1480000000000015E-3</v>
      </c>
      <c r="U1095" s="9" t="s">
        <v>52</v>
      </c>
      <c r="V1095" s="3" t="s">
        <v>53</v>
      </c>
    </row>
    <row r="1096" spans="1:22">
      <c r="A1096" s="2" t="s">
        <v>3508</v>
      </c>
      <c r="B1096" s="2" t="s">
        <v>3509</v>
      </c>
      <c r="C1096" s="2" t="s">
        <v>3225</v>
      </c>
      <c r="D1096" s="2" t="s">
        <v>42</v>
      </c>
      <c r="E1096" s="2" t="s">
        <v>198</v>
      </c>
      <c r="F1096" s="2" t="s">
        <v>74</v>
      </c>
      <c r="G1096" s="2" t="s">
        <v>45</v>
      </c>
      <c r="H1096" s="2" t="s">
        <v>46</v>
      </c>
      <c r="I1096" s="2" t="s">
        <v>47</v>
      </c>
      <c r="J1096" s="2" t="s">
        <v>3226</v>
      </c>
      <c r="K1096" s="2" t="s">
        <v>3510</v>
      </c>
      <c r="L1096" s="2" t="s">
        <v>474</v>
      </c>
      <c r="M1096" s="2" t="s">
        <v>3228</v>
      </c>
      <c r="N1096" s="16">
        <v>2.1600000000000001E-2</v>
      </c>
      <c r="O1096" s="17">
        <f>N1096*'Financial Inputs'!$B$3</f>
        <v>2160000</v>
      </c>
      <c r="P1096" s="18">
        <f>IF(I1096="L",'Financial Inputs'!$B$4,IF(I1096="M",'Financial Inputs'!$B$5,'Financial Inputs'!$B$6))</f>
        <v>0.4</v>
      </c>
      <c r="Q1096" s="17">
        <f>O1096*P1096</f>
        <v>864000</v>
      </c>
      <c r="R1096" s="16">
        <f>'Financial Inputs'!$B$7</f>
        <v>0.35</v>
      </c>
      <c r="S1096" s="17">
        <f>Q1096*(1-R1096)</f>
        <v>561600</v>
      </c>
      <c r="T1096" s="18">
        <f>S1096/'Financial Inputs'!$B$3</f>
        <v>5.6160000000000003E-3</v>
      </c>
      <c r="U1096" s="9" t="s">
        <v>52</v>
      </c>
      <c r="V1096" s="3" t="s">
        <v>53</v>
      </c>
    </row>
    <row r="1097" spans="1:22">
      <c r="A1097" s="2" t="s">
        <v>3511</v>
      </c>
      <c r="B1097" s="2" t="s">
        <v>3512</v>
      </c>
      <c r="C1097" s="2" t="s">
        <v>3225</v>
      </c>
      <c r="D1097" s="2" t="s">
        <v>72</v>
      </c>
      <c r="E1097" s="2" t="s">
        <v>103</v>
      </c>
      <c r="F1097" s="2" t="s">
        <v>117</v>
      </c>
      <c r="G1097" s="2" t="s">
        <v>143</v>
      </c>
      <c r="H1097" s="2" t="s">
        <v>46</v>
      </c>
      <c r="I1097" s="2" t="s">
        <v>47</v>
      </c>
      <c r="J1097" s="2" t="s">
        <v>3226</v>
      </c>
      <c r="K1097" s="2" t="s">
        <v>3513</v>
      </c>
      <c r="L1097" s="2" t="s">
        <v>478</v>
      </c>
      <c r="M1097" s="2" t="s">
        <v>3228</v>
      </c>
      <c r="N1097" s="16">
        <v>1.44E-2</v>
      </c>
      <c r="O1097" s="17">
        <f>N1097*'Financial Inputs'!$B$3</f>
        <v>1440000</v>
      </c>
      <c r="P1097" s="18">
        <f>IF(I1097="L",'Financial Inputs'!$B$4,IF(I1097="M",'Financial Inputs'!$B$5,'Financial Inputs'!$B$6))</f>
        <v>0.4</v>
      </c>
      <c r="Q1097" s="17">
        <f>O1097*P1097</f>
        <v>576000</v>
      </c>
      <c r="R1097" s="16">
        <f>'Financial Inputs'!$B$7</f>
        <v>0.35</v>
      </c>
      <c r="S1097" s="17">
        <f>Q1097*(1-R1097)</f>
        <v>374400</v>
      </c>
      <c r="T1097" s="18">
        <f>S1097/'Financial Inputs'!$B$3</f>
        <v>3.7439999999999999E-3</v>
      </c>
      <c r="U1097" s="9" t="s">
        <v>52</v>
      </c>
      <c r="V1097" s="3" t="s">
        <v>53</v>
      </c>
    </row>
    <row r="1098" spans="1:22">
      <c r="A1098" s="2" t="s">
        <v>3514</v>
      </c>
      <c r="B1098" s="2" t="s">
        <v>3515</v>
      </c>
      <c r="C1098" s="2" t="s">
        <v>3225</v>
      </c>
      <c r="D1098" s="2" t="s">
        <v>80</v>
      </c>
      <c r="E1098" s="2" t="s">
        <v>109</v>
      </c>
      <c r="F1098" s="2" t="s">
        <v>90</v>
      </c>
      <c r="G1098" s="2" t="s">
        <v>162</v>
      </c>
      <c r="H1098" s="2" t="s">
        <v>46</v>
      </c>
      <c r="I1098" s="2" t="s">
        <v>47</v>
      </c>
      <c r="J1098" s="2" t="s">
        <v>3226</v>
      </c>
      <c r="K1098" s="2" t="s">
        <v>3516</v>
      </c>
      <c r="L1098" s="2" t="s">
        <v>482</v>
      </c>
      <c r="M1098" s="2" t="s">
        <v>3228</v>
      </c>
      <c r="N1098" s="16">
        <v>1.6199999999999999E-2</v>
      </c>
      <c r="O1098" s="17">
        <f>N1098*'Financial Inputs'!$B$3</f>
        <v>1620000</v>
      </c>
      <c r="P1098" s="18">
        <f>IF(I1098="L",'Financial Inputs'!$B$4,IF(I1098="M",'Financial Inputs'!$B$5,'Financial Inputs'!$B$6))</f>
        <v>0.4</v>
      </c>
      <c r="Q1098" s="17">
        <f>O1098*P1098</f>
        <v>648000</v>
      </c>
      <c r="R1098" s="16">
        <f>'Financial Inputs'!$B$7</f>
        <v>0.35</v>
      </c>
      <c r="S1098" s="17">
        <f>Q1098*(1-R1098)</f>
        <v>421200</v>
      </c>
      <c r="T1098" s="18">
        <f>S1098/'Financial Inputs'!$B$3</f>
        <v>4.2119999999999996E-3</v>
      </c>
      <c r="U1098" s="9" t="s">
        <v>52</v>
      </c>
      <c r="V1098" s="3" t="s">
        <v>53</v>
      </c>
    </row>
    <row r="1099" spans="1:22">
      <c r="A1099" s="2" t="s">
        <v>3517</v>
      </c>
      <c r="B1099" s="2" t="s">
        <v>3518</v>
      </c>
      <c r="C1099" s="2" t="s">
        <v>3225</v>
      </c>
      <c r="D1099" s="2" t="s">
        <v>127</v>
      </c>
      <c r="E1099" s="2" t="s">
        <v>116</v>
      </c>
      <c r="F1099" s="2" t="s">
        <v>97</v>
      </c>
      <c r="G1099" s="2" t="s">
        <v>45</v>
      </c>
      <c r="H1099" s="2" t="s">
        <v>46</v>
      </c>
      <c r="I1099" s="2" t="s">
        <v>47</v>
      </c>
      <c r="J1099" s="2" t="s">
        <v>3226</v>
      </c>
      <c r="K1099" s="2" t="s">
        <v>3519</v>
      </c>
      <c r="L1099" s="2" t="s">
        <v>486</v>
      </c>
      <c r="M1099" s="2" t="s">
        <v>3228</v>
      </c>
      <c r="N1099" s="16">
        <v>1.7999999999999999E-2</v>
      </c>
      <c r="O1099" s="17">
        <f>N1099*'Financial Inputs'!$B$3</f>
        <v>1799999.9999999998</v>
      </c>
      <c r="P1099" s="18">
        <f>IF(I1099="L",'Financial Inputs'!$B$4,IF(I1099="M",'Financial Inputs'!$B$5,'Financial Inputs'!$B$6))</f>
        <v>0.4</v>
      </c>
      <c r="Q1099" s="17">
        <f>O1099*P1099</f>
        <v>720000</v>
      </c>
      <c r="R1099" s="16">
        <f>'Financial Inputs'!$B$7</f>
        <v>0.35</v>
      </c>
      <c r="S1099" s="17">
        <f>Q1099*(1-R1099)</f>
        <v>468000</v>
      </c>
      <c r="T1099" s="18">
        <f>S1099/'Financial Inputs'!$B$3</f>
        <v>4.6800000000000001E-3</v>
      </c>
      <c r="U1099" s="9" t="s">
        <v>52</v>
      </c>
      <c r="V1099" s="3" t="s">
        <v>53</v>
      </c>
    </row>
    <row r="1100" spans="1:22">
      <c r="A1100" s="2" t="s">
        <v>3520</v>
      </c>
      <c r="B1100" s="2" t="s">
        <v>3521</v>
      </c>
      <c r="C1100" s="2" t="s">
        <v>3225</v>
      </c>
      <c r="D1100" s="2" t="s">
        <v>133</v>
      </c>
      <c r="E1100" s="2" t="s">
        <v>215</v>
      </c>
      <c r="F1100" s="2" t="s">
        <v>104</v>
      </c>
      <c r="G1100" s="2" t="s">
        <v>59</v>
      </c>
      <c r="H1100" s="2" t="s">
        <v>46</v>
      </c>
      <c r="I1100" s="2" t="s">
        <v>47</v>
      </c>
      <c r="J1100" s="2" t="s">
        <v>3226</v>
      </c>
      <c r="K1100" s="2" t="s">
        <v>3522</v>
      </c>
      <c r="L1100" s="2" t="s">
        <v>490</v>
      </c>
      <c r="M1100" s="2" t="s">
        <v>3228</v>
      </c>
      <c r="N1100" s="16">
        <v>1.9800000000000002E-2</v>
      </c>
      <c r="O1100" s="17">
        <f>N1100*'Financial Inputs'!$B$3</f>
        <v>1980000.0000000002</v>
      </c>
      <c r="P1100" s="18">
        <f>IF(I1100="L",'Financial Inputs'!$B$4,IF(I1100="M",'Financial Inputs'!$B$5,'Financial Inputs'!$B$6))</f>
        <v>0.4</v>
      </c>
      <c r="Q1100" s="17">
        <f>O1100*P1100</f>
        <v>792000.00000000012</v>
      </c>
      <c r="R1100" s="16">
        <f>'Financial Inputs'!$B$7</f>
        <v>0.35</v>
      </c>
      <c r="S1100" s="17">
        <f>Q1100*(1-R1100)</f>
        <v>514800.00000000012</v>
      </c>
      <c r="T1100" s="18">
        <f>S1100/'Financial Inputs'!$B$3</f>
        <v>5.1480000000000015E-3</v>
      </c>
      <c r="U1100" s="9" t="s">
        <v>52</v>
      </c>
      <c r="V1100" s="3" t="s">
        <v>53</v>
      </c>
    </row>
    <row r="1101" spans="1:22">
      <c r="A1101" s="2" t="s">
        <v>3523</v>
      </c>
      <c r="B1101" s="2" t="s">
        <v>3524</v>
      </c>
      <c r="C1101" s="2" t="s">
        <v>3225</v>
      </c>
      <c r="D1101" s="2" t="s">
        <v>88</v>
      </c>
      <c r="E1101" s="2" t="s">
        <v>220</v>
      </c>
      <c r="F1101" s="2" t="s">
        <v>110</v>
      </c>
      <c r="G1101" s="2" t="s">
        <v>67</v>
      </c>
      <c r="H1101" s="2" t="s">
        <v>46</v>
      </c>
      <c r="I1101" s="2" t="s">
        <v>47</v>
      </c>
      <c r="J1101" s="2" t="s">
        <v>3226</v>
      </c>
      <c r="K1101" s="2" t="s">
        <v>3525</v>
      </c>
      <c r="L1101" s="2" t="s">
        <v>494</v>
      </c>
      <c r="M1101" s="2" t="s">
        <v>3228</v>
      </c>
      <c r="N1101" s="16">
        <v>2.1600000000000001E-2</v>
      </c>
      <c r="O1101" s="17">
        <f>N1101*'Financial Inputs'!$B$3</f>
        <v>2160000</v>
      </c>
      <c r="P1101" s="18">
        <f>IF(I1101="L",'Financial Inputs'!$B$4,IF(I1101="M",'Financial Inputs'!$B$5,'Financial Inputs'!$B$6))</f>
        <v>0.4</v>
      </c>
      <c r="Q1101" s="17">
        <f>O1101*P1101</f>
        <v>864000</v>
      </c>
      <c r="R1101" s="16">
        <f>'Financial Inputs'!$B$7</f>
        <v>0.35</v>
      </c>
      <c r="S1101" s="17">
        <f>Q1101*(1-R1101)</f>
        <v>561600</v>
      </c>
      <c r="T1101" s="18">
        <f>S1101/'Financial Inputs'!$B$3</f>
        <v>5.6160000000000003E-3</v>
      </c>
      <c r="U1101" s="9" t="s">
        <v>52</v>
      </c>
      <c r="V1101" s="3" t="s">
        <v>53</v>
      </c>
    </row>
    <row r="1102" spans="1:22">
      <c r="A1102" s="2" t="s">
        <v>3526</v>
      </c>
      <c r="B1102" s="2" t="s">
        <v>3527</v>
      </c>
      <c r="C1102" s="2" t="s">
        <v>3528</v>
      </c>
      <c r="D1102" s="2" t="s">
        <v>42</v>
      </c>
      <c r="E1102" s="2" t="s">
        <v>43</v>
      </c>
      <c r="F1102" s="2" t="s">
        <v>44</v>
      </c>
      <c r="G1102" s="2" t="s">
        <v>45</v>
      </c>
      <c r="H1102" s="2" t="s">
        <v>46</v>
      </c>
      <c r="I1102" s="2" t="s">
        <v>47</v>
      </c>
      <c r="J1102" s="2" t="s">
        <v>3529</v>
      </c>
      <c r="K1102" s="2" t="s">
        <v>3530</v>
      </c>
      <c r="L1102" s="2" t="s">
        <v>50</v>
      </c>
      <c r="M1102" s="2" t="s">
        <v>3228</v>
      </c>
      <c r="N1102" s="16">
        <v>1.44E-2</v>
      </c>
      <c r="O1102" s="17">
        <f>N1102*'Financial Inputs'!$B$3</f>
        <v>1440000</v>
      </c>
      <c r="P1102" s="18">
        <f>IF(I1102="L",'Financial Inputs'!$B$4,IF(I1102="M",'Financial Inputs'!$B$5,'Financial Inputs'!$B$6))</f>
        <v>0.4</v>
      </c>
      <c r="Q1102" s="17">
        <f>O1102*P1102</f>
        <v>576000</v>
      </c>
      <c r="R1102" s="16">
        <f>'Financial Inputs'!$B$7</f>
        <v>0.35</v>
      </c>
      <c r="S1102" s="17">
        <f>Q1102*(1-R1102)</f>
        <v>374400</v>
      </c>
      <c r="T1102" s="18">
        <f>S1102/'Financial Inputs'!$B$3</f>
        <v>3.7439999999999999E-3</v>
      </c>
      <c r="U1102" s="9" t="s">
        <v>52</v>
      </c>
      <c r="V1102" s="3" t="s">
        <v>53</v>
      </c>
    </row>
    <row r="1103" spans="1:22">
      <c r="A1103" s="2" t="s">
        <v>3531</v>
      </c>
      <c r="B1103" s="2" t="s">
        <v>3532</v>
      </c>
      <c r="C1103" s="2" t="s">
        <v>3528</v>
      </c>
      <c r="D1103" s="2" t="s">
        <v>56</v>
      </c>
      <c r="E1103" s="2" t="s">
        <v>57</v>
      </c>
      <c r="F1103" s="2" t="s">
        <v>58</v>
      </c>
      <c r="G1103" s="2" t="s">
        <v>59</v>
      </c>
      <c r="H1103" s="2" t="s">
        <v>46</v>
      </c>
      <c r="I1103" s="2" t="s">
        <v>47</v>
      </c>
      <c r="J1103" s="2" t="s">
        <v>3529</v>
      </c>
      <c r="K1103" s="2" t="s">
        <v>3533</v>
      </c>
      <c r="L1103" s="2" t="s">
        <v>61</v>
      </c>
      <c r="M1103" s="2" t="s">
        <v>3228</v>
      </c>
      <c r="N1103" s="16">
        <v>1.6199999999999999E-2</v>
      </c>
      <c r="O1103" s="17">
        <f>N1103*'Financial Inputs'!$B$3</f>
        <v>1620000</v>
      </c>
      <c r="P1103" s="18">
        <f>IF(I1103="L",'Financial Inputs'!$B$4,IF(I1103="M",'Financial Inputs'!$B$5,'Financial Inputs'!$B$6))</f>
        <v>0.4</v>
      </c>
      <c r="Q1103" s="17">
        <f>O1103*P1103</f>
        <v>648000</v>
      </c>
      <c r="R1103" s="16">
        <f>'Financial Inputs'!$B$7</f>
        <v>0.35</v>
      </c>
      <c r="S1103" s="17">
        <f>Q1103*(1-R1103)</f>
        <v>421200</v>
      </c>
      <c r="T1103" s="18">
        <f>S1103/'Financial Inputs'!$B$3</f>
        <v>4.2119999999999996E-3</v>
      </c>
      <c r="U1103" s="9" t="s">
        <v>52</v>
      </c>
      <c r="V1103" s="3" t="s">
        <v>53</v>
      </c>
    </row>
    <row r="1104" spans="1:22">
      <c r="A1104" s="2" t="s">
        <v>3534</v>
      </c>
      <c r="B1104" s="2" t="s">
        <v>3535</v>
      </c>
      <c r="C1104" s="2" t="s">
        <v>3528</v>
      </c>
      <c r="D1104" s="2" t="s">
        <v>64</v>
      </c>
      <c r="E1104" s="2" t="s">
        <v>65</v>
      </c>
      <c r="F1104" s="2" t="s">
        <v>66</v>
      </c>
      <c r="G1104" s="2" t="s">
        <v>67</v>
      </c>
      <c r="H1104" s="2" t="s">
        <v>46</v>
      </c>
      <c r="I1104" s="2" t="s">
        <v>47</v>
      </c>
      <c r="J1104" s="2" t="s">
        <v>3529</v>
      </c>
      <c r="K1104" s="2" t="s">
        <v>3536</v>
      </c>
      <c r="L1104" s="2" t="s">
        <v>69</v>
      </c>
      <c r="M1104" s="2" t="s">
        <v>3228</v>
      </c>
      <c r="N1104" s="16">
        <v>1.7999999999999999E-2</v>
      </c>
      <c r="O1104" s="17">
        <f>N1104*'Financial Inputs'!$B$3</f>
        <v>1799999.9999999998</v>
      </c>
      <c r="P1104" s="18">
        <f>IF(I1104="L",'Financial Inputs'!$B$4,IF(I1104="M",'Financial Inputs'!$B$5,'Financial Inputs'!$B$6))</f>
        <v>0.4</v>
      </c>
      <c r="Q1104" s="17">
        <f>O1104*P1104</f>
        <v>720000</v>
      </c>
      <c r="R1104" s="16">
        <f>'Financial Inputs'!$B$7</f>
        <v>0.35</v>
      </c>
      <c r="S1104" s="17">
        <f>Q1104*(1-R1104)</f>
        <v>468000</v>
      </c>
      <c r="T1104" s="18">
        <f>S1104/'Financial Inputs'!$B$3</f>
        <v>4.6800000000000001E-3</v>
      </c>
      <c r="U1104" s="9" t="s">
        <v>52</v>
      </c>
      <c r="V1104" s="3" t="s">
        <v>53</v>
      </c>
    </row>
    <row r="1105" spans="1:22">
      <c r="A1105" s="2" t="s">
        <v>3537</v>
      </c>
      <c r="B1105" s="2" t="s">
        <v>3538</v>
      </c>
      <c r="C1105" s="2" t="s">
        <v>3528</v>
      </c>
      <c r="D1105" s="2" t="s">
        <v>72</v>
      </c>
      <c r="E1105" s="2" t="s">
        <v>73</v>
      </c>
      <c r="F1105" s="2" t="s">
        <v>74</v>
      </c>
      <c r="G1105" s="2" t="s">
        <v>75</v>
      </c>
      <c r="H1105" s="2" t="s">
        <v>46</v>
      </c>
      <c r="I1105" s="2" t="s">
        <v>47</v>
      </c>
      <c r="J1105" s="2" t="s">
        <v>3529</v>
      </c>
      <c r="K1105" s="2" t="s">
        <v>3539</v>
      </c>
      <c r="L1105" s="2" t="s">
        <v>77</v>
      </c>
      <c r="M1105" s="2" t="s">
        <v>3228</v>
      </c>
      <c r="N1105" s="16">
        <v>1.9800000000000002E-2</v>
      </c>
      <c r="O1105" s="17">
        <f>N1105*'Financial Inputs'!$B$3</f>
        <v>1980000.0000000002</v>
      </c>
      <c r="P1105" s="18">
        <f>IF(I1105="L",'Financial Inputs'!$B$4,IF(I1105="M",'Financial Inputs'!$B$5,'Financial Inputs'!$B$6))</f>
        <v>0.4</v>
      </c>
      <c r="Q1105" s="17">
        <f>O1105*P1105</f>
        <v>792000.00000000012</v>
      </c>
      <c r="R1105" s="16">
        <f>'Financial Inputs'!$B$7</f>
        <v>0.35</v>
      </c>
      <c r="S1105" s="17">
        <f>Q1105*(1-R1105)</f>
        <v>514800.00000000012</v>
      </c>
      <c r="T1105" s="18">
        <f>S1105/'Financial Inputs'!$B$3</f>
        <v>5.1480000000000015E-3</v>
      </c>
      <c r="U1105" s="9" t="s">
        <v>52</v>
      </c>
      <c r="V1105" s="3" t="s">
        <v>53</v>
      </c>
    </row>
    <row r="1106" spans="1:22">
      <c r="A1106" s="2" t="s">
        <v>3540</v>
      </c>
      <c r="B1106" s="2" t="s">
        <v>3541</v>
      </c>
      <c r="C1106" s="2" t="s">
        <v>3528</v>
      </c>
      <c r="D1106" s="2" t="s">
        <v>80</v>
      </c>
      <c r="E1106" s="2" t="s">
        <v>81</v>
      </c>
      <c r="F1106" s="2" t="s">
        <v>82</v>
      </c>
      <c r="G1106" s="2" t="s">
        <v>83</v>
      </c>
      <c r="H1106" s="2" t="s">
        <v>46</v>
      </c>
      <c r="I1106" s="2" t="s">
        <v>47</v>
      </c>
      <c r="J1106" s="2" t="s">
        <v>3529</v>
      </c>
      <c r="K1106" s="2" t="s">
        <v>3542</v>
      </c>
      <c r="L1106" s="2" t="s">
        <v>85</v>
      </c>
      <c r="M1106" s="2" t="s">
        <v>3228</v>
      </c>
      <c r="N1106" s="16">
        <v>2.1600000000000001E-2</v>
      </c>
      <c r="O1106" s="17">
        <f>N1106*'Financial Inputs'!$B$3</f>
        <v>2160000</v>
      </c>
      <c r="P1106" s="18">
        <f>IF(I1106="L",'Financial Inputs'!$B$4,IF(I1106="M",'Financial Inputs'!$B$5,'Financial Inputs'!$B$6))</f>
        <v>0.4</v>
      </c>
      <c r="Q1106" s="17">
        <f>O1106*P1106</f>
        <v>864000</v>
      </c>
      <c r="R1106" s="16">
        <f>'Financial Inputs'!$B$7</f>
        <v>0.35</v>
      </c>
      <c r="S1106" s="17">
        <f>Q1106*(1-R1106)</f>
        <v>561600</v>
      </c>
      <c r="T1106" s="18">
        <f>S1106/'Financial Inputs'!$B$3</f>
        <v>5.6160000000000003E-3</v>
      </c>
      <c r="U1106" s="9" t="s">
        <v>52</v>
      </c>
      <c r="V1106" s="3" t="s">
        <v>53</v>
      </c>
    </row>
    <row r="1107" spans="1:22">
      <c r="A1107" s="2" t="s">
        <v>3543</v>
      </c>
      <c r="B1107" s="2" t="s">
        <v>3544</v>
      </c>
      <c r="C1107" s="2" t="s">
        <v>3528</v>
      </c>
      <c r="D1107" s="2" t="s">
        <v>88</v>
      </c>
      <c r="E1107" s="2" t="s">
        <v>89</v>
      </c>
      <c r="F1107" s="2" t="s">
        <v>90</v>
      </c>
      <c r="G1107" s="2" t="s">
        <v>67</v>
      </c>
      <c r="H1107" s="2" t="s">
        <v>46</v>
      </c>
      <c r="I1107" s="2" t="s">
        <v>47</v>
      </c>
      <c r="J1107" s="2" t="s">
        <v>3529</v>
      </c>
      <c r="K1107" s="2" t="s">
        <v>3545</v>
      </c>
      <c r="L1107" s="2" t="s">
        <v>92</v>
      </c>
      <c r="M1107" s="2" t="s">
        <v>3228</v>
      </c>
      <c r="N1107" s="16">
        <v>1.44E-2</v>
      </c>
      <c r="O1107" s="17">
        <f>N1107*'Financial Inputs'!$B$3</f>
        <v>1440000</v>
      </c>
      <c r="P1107" s="18">
        <f>IF(I1107="L",'Financial Inputs'!$B$4,IF(I1107="M",'Financial Inputs'!$B$5,'Financial Inputs'!$B$6))</f>
        <v>0.4</v>
      </c>
      <c r="Q1107" s="17">
        <f>O1107*P1107</f>
        <v>576000</v>
      </c>
      <c r="R1107" s="16">
        <f>'Financial Inputs'!$B$7</f>
        <v>0.35</v>
      </c>
      <c r="S1107" s="17">
        <f>Q1107*(1-R1107)</f>
        <v>374400</v>
      </c>
      <c r="T1107" s="18">
        <f>S1107/'Financial Inputs'!$B$3</f>
        <v>3.7439999999999999E-3</v>
      </c>
      <c r="U1107" s="9" t="s">
        <v>52</v>
      </c>
      <c r="V1107" s="3" t="s">
        <v>53</v>
      </c>
    </row>
    <row r="1108" spans="1:22">
      <c r="A1108" s="2" t="s">
        <v>3546</v>
      </c>
      <c r="B1108" s="2" t="s">
        <v>3547</v>
      </c>
      <c r="C1108" s="2" t="s">
        <v>3528</v>
      </c>
      <c r="D1108" s="2" t="s">
        <v>95</v>
      </c>
      <c r="E1108" s="2" t="s">
        <v>96</v>
      </c>
      <c r="F1108" s="2" t="s">
        <v>97</v>
      </c>
      <c r="G1108" s="2" t="s">
        <v>75</v>
      </c>
      <c r="H1108" s="2" t="s">
        <v>46</v>
      </c>
      <c r="I1108" s="2" t="s">
        <v>47</v>
      </c>
      <c r="J1108" s="2" t="s">
        <v>3529</v>
      </c>
      <c r="K1108" s="2" t="s">
        <v>3548</v>
      </c>
      <c r="L1108" s="2" t="s">
        <v>99</v>
      </c>
      <c r="M1108" s="2" t="s">
        <v>3228</v>
      </c>
      <c r="N1108" s="16">
        <v>1.6199999999999999E-2</v>
      </c>
      <c r="O1108" s="17">
        <f>N1108*'Financial Inputs'!$B$3</f>
        <v>1620000</v>
      </c>
      <c r="P1108" s="18">
        <f>IF(I1108="L",'Financial Inputs'!$B$4,IF(I1108="M",'Financial Inputs'!$B$5,'Financial Inputs'!$B$6))</f>
        <v>0.4</v>
      </c>
      <c r="Q1108" s="17">
        <f>O1108*P1108</f>
        <v>648000</v>
      </c>
      <c r="R1108" s="16">
        <f>'Financial Inputs'!$B$7</f>
        <v>0.35</v>
      </c>
      <c r="S1108" s="17">
        <f>Q1108*(1-R1108)</f>
        <v>421200</v>
      </c>
      <c r="T1108" s="18">
        <f>S1108/'Financial Inputs'!$B$3</f>
        <v>4.2119999999999996E-3</v>
      </c>
      <c r="U1108" s="9" t="s">
        <v>52</v>
      </c>
      <c r="V1108" s="3" t="s">
        <v>53</v>
      </c>
    </row>
    <row r="1109" spans="1:22">
      <c r="A1109" s="2" t="s">
        <v>3549</v>
      </c>
      <c r="B1109" s="2" t="s">
        <v>3550</v>
      </c>
      <c r="C1109" s="2" t="s">
        <v>3528</v>
      </c>
      <c r="D1109" s="2" t="s">
        <v>102</v>
      </c>
      <c r="E1109" s="2" t="s">
        <v>103</v>
      </c>
      <c r="F1109" s="2" t="s">
        <v>104</v>
      </c>
      <c r="G1109" s="2" t="s">
        <v>83</v>
      </c>
      <c r="H1109" s="2" t="s">
        <v>46</v>
      </c>
      <c r="I1109" s="2" t="s">
        <v>47</v>
      </c>
      <c r="J1109" s="2" t="s">
        <v>3529</v>
      </c>
      <c r="K1109" s="2" t="s">
        <v>3551</v>
      </c>
      <c r="L1109" s="2" t="s">
        <v>106</v>
      </c>
      <c r="M1109" s="2" t="s">
        <v>3228</v>
      </c>
      <c r="N1109" s="16">
        <v>1.7999999999999999E-2</v>
      </c>
      <c r="O1109" s="17">
        <f>N1109*'Financial Inputs'!$B$3</f>
        <v>1799999.9999999998</v>
      </c>
      <c r="P1109" s="18">
        <f>IF(I1109="L",'Financial Inputs'!$B$4,IF(I1109="M",'Financial Inputs'!$B$5,'Financial Inputs'!$B$6))</f>
        <v>0.4</v>
      </c>
      <c r="Q1109" s="17">
        <f>O1109*P1109</f>
        <v>720000</v>
      </c>
      <c r="R1109" s="16">
        <f>'Financial Inputs'!$B$7</f>
        <v>0.35</v>
      </c>
      <c r="S1109" s="17">
        <f>Q1109*(1-R1109)</f>
        <v>468000</v>
      </c>
      <c r="T1109" s="18">
        <f>S1109/'Financial Inputs'!$B$3</f>
        <v>4.6800000000000001E-3</v>
      </c>
      <c r="U1109" s="9" t="s">
        <v>52</v>
      </c>
      <c r="V1109" s="3" t="s">
        <v>53</v>
      </c>
    </row>
    <row r="1110" spans="1:22">
      <c r="A1110" s="2" t="s">
        <v>3552</v>
      </c>
      <c r="B1110" s="2" t="s">
        <v>3553</v>
      </c>
      <c r="C1110" s="2" t="s">
        <v>3528</v>
      </c>
      <c r="D1110" s="2" t="s">
        <v>42</v>
      </c>
      <c r="E1110" s="2" t="s">
        <v>109</v>
      </c>
      <c r="F1110" s="2" t="s">
        <v>110</v>
      </c>
      <c r="G1110" s="2" t="s">
        <v>111</v>
      </c>
      <c r="H1110" s="2" t="s">
        <v>46</v>
      </c>
      <c r="I1110" s="2" t="s">
        <v>47</v>
      </c>
      <c r="J1110" s="2" t="s">
        <v>3529</v>
      </c>
      <c r="K1110" s="2" t="s">
        <v>3554</v>
      </c>
      <c r="L1110" s="2" t="s">
        <v>113</v>
      </c>
      <c r="M1110" s="2" t="s">
        <v>3228</v>
      </c>
      <c r="N1110" s="16">
        <v>1.9800000000000002E-2</v>
      </c>
      <c r="O1110" s="17">
        <f>N1110*'Financial Inputs'!$B$3</f>
        <v>1980000.0000000002</v>
      </c>
      <c r="P1110" s="18">
        <f>IF(I1110="L",'Financial Inputs'!$B$4,IF(I1110="M",'Financial Inputs'!$B$5,'Financial Inputs'!$B$6))</f>
        <v>0.4</v>
      </c>
      <c r="Q1110" s="17">
        <f>O1110*P1110</f>
        <v>792000.00000000012</v>
      </c>
      <c r="R1110" s="16">
        <f>'Financial Inputs'!$B$7</f>
        <v>0.35</v>
      </c>
      <c r="S1110" s="17">
        <f>Q1110*(1-R1110)</f>
        <v>514800.00000000012</v>
      </c>
      <c r="T1110" s="18">
        <f>S1110/'Financial Inputs'!$B$3</f>
        <v>5.1480000000000015E-3</v>
      </c>
      <c r="U1110" s="9" t="s">
        <v>52</v>
      </c>
      <c r="V1110" s="3" t="s">
        <v>53</v>
      </c>
    </row>
    <row r="1111" spans="1:22">
      <c r="A1111" s="2" t="s">
        <v>3555</v>
      </c>
      <c r="B1111" s="2" t="s">
        <v>3556</v>
      </c>
      <c r="C1111" s="2" t="s">
        <v>3528</v>
      </c>
      <c r="D1111" s="2" t="s">
        <v>56</v>
      </c>
      <c r="E1111" s="2" t="s">
        <v>116</v>
      </c>
      <c r="F1111" s="2" t="s">
        <v>117</v>
      </c>
      <c r="G1111" s="2" t="s">
        <v>56</v>
      </c>
      <c r="H1111" s="2" t="s">
        <v>46</v>
      </c>
      <c r="I1111" s="2" t="s">
        <v>47</v>
      </c>
      <c r="J1111" s="2" t="s">
        <v>3529</v>
      </c>
      <c r="K1111" s="2" t="s">
        <v>3557</v>
      </c>
      <c r="L1111" s="2" t="s">
        <v>119</v>
      </c>
      <c r="M1111" s="2" t="s">
        <v>3228</v>
      </c>
      <c r="N1111" s="16">
        <v>2.1600000000000001E-2</v>
      </c>
      <c r="O1111" s="17">
        <f>N1111*'Financial Inputs'!$B$3</f>
        <v>2160000</v>
      </c>
      <c r="P1111" s="18">
        <f>IF(I1111="L",'Financial Inputs'!$B$4,IF(I1111="M",'Financial Inputs'!$B$5,'Financial Inputs'!$B$6))</f>
        <v>0.4</v>
      </c>
      <c r="Q1111" s="17">
        <f>O1111*P1111</f>
        <v>864000</v>
      </c>
      <c r="R1111" s="16">
        <f>'Financial Inputs'!$B$7</f>
        <v>0.35</v>
      </c>
      <c r="S1111" s="17">
        <f>Q1111*(1-R1111)</f>
        <v>561600</v>
      </c>
      <c r="T1111" s="18">
        <f>S1111/'Financial Inputs'!$B$3</f>
        <v>5.6160000000000003E-3</v>
      </c>
      <c r="U1111" s="9" t="s">
        <v>52</v>
      </c>
      <c r="V1111" s="3" t="s">
        <v>53</v>
      </c>
    </row>
    <row r="1112" spans="1:22">
      <c r="A1112" s="2" t="s">
        <v>3558</v>
      </c>
      <c r="B1112" s="2" t="s">
        <v>3559</v>
      </c>
      <c r="C1112" s="2" t="s">
        <v>3528</v>
      </c>
      <c r="D1112" s="2" t="s">
        <v>80</v>
      </c>
      <c r="E1112" s="2" t="s">
        <v>122</v>
      </c>
      <c r="F1112" s="2" t="s">
        <v>58</v>
      </c>
      <c r="G1112" s="2" t="s">
        <v>83</v>
      </c>
      <c r="H1112" s="2" t="s">
        <v>46</v>
      </c>
      <c r="I1112" s="2" t="s">
        <v>47</v>
      </c>
      <c r="J1112" s="2" t="s">
        <v>3529</v>
      </c>
      <c r="K1112" s="2" t="s">
        <v>3560</v>
      </c>
      <c r="L1112" s="2" t="s">
        <v>124</v>
      </c>
      <c r="M1112" s="2" t="s">
        <v>3228</v>
      </c>
      <c r="N1112" s="16">
        <v>1.44E-2</v>
      </c>
      <c r="O1112" s="17">
        <f>N1112*'Financial Inputs'!$B$3</f>
        <v>1440000</v>
      </c>
      <c r="P1112" s="18">
        <f>IF(I1112="L",'Financial Inputs'!$B$4,IF(I1112="M",'Financial Inputs'!$B$5,'Financial Inputs'!$B$6))</f>
        <v>0.4</v>
      </c>
      <c r="Q1112" s="17">
        <f>O1112*P1112</f>
        <v>576000</v>
      </c>
      <c r="R1112" s="16">
        <f>'Financial Inputs'!$B$7</f>
        <v>0.35</v>
      </c>
      <c r="S1112" s="17">
        <f>Q1112*(1-R1112)</f>
        <v>374400</v>
      </c>
      <c r="T1112" s="18">
        <f>S1112/'Financial Inputs'!$B$3</f>
        <v>3.7439999999999999E-3</v>
      </c>
      <c r="U1112" s="9" t="s">
        <v>52</v>
      </c>
      <c r="V1112" s="3" t="s">
        <v>53</v>
      </c>
    </row>
    <row r="1113" spans="1:22">
      <c r="A1113" s="2" t="s">
        <v>3561</v>
      </c>
      <c r="B1113" s="2" t="s">
        <v>3562</v>
      </c>
      <c r="C1113" s="2" t="s">
        <v>3528</v>
      </c>
      <c r="D1113" s="2" t="s">
        <v>127</v>
      </c>
      <c r="E1113" s="2" t="s">
        <v>128</v>
      </c>
      <c r="F1113" s="2" t="s">
        <v>66</v>
      </c>
      <c r="G1113" s="2" t="s">
        <v>111</v>
      </c>
      <c r="H1113" s="2" t="s">
        <v>46</v>
      </c>
      <c r="I1113" s="2" t="s">
        <v>47</v>
      </c>
      <c r="J1113" s="2" t="s">
        <v>3529</v>
      </c>
      <c r="K1113" s="2" t="s">
        <v>3563</v>
      </c>
      <c r="L1113" s="2" t="s">
        <v>130</v>
      </c>
      <c r="M1113" s="2" t="s">
        <v>3228</v>
      </c>
      <c r="N1113" s="16">
        <v>1.6199999999999999E-2</v>
      </c>
      <c r="O1113" s="17">
        <f>N1113*'Financial Inputs'!$B$3</f>
        <v>1620000</v>
      </c>
      <c r="P1113" s="18">
        <f>IF(I1113="L",'Financial Inputs'!$B$4,IF(I1113="M",'Financial Inputs'!$B$5,'Financial Inputs'!$B$6))</f>
        <v>0.4</v>
      </c>
      <c r="Q1113" s="17">
        <f>O1113*P1113</f>
        <v>648000</v>
      </c>
      <c r="R1113" s="16">
        <f>'Financial Inputs'!$B$7</f>
        <v>0.35</v>
      </c>
      <c r="S1113" s="17">
        <f>Q1113*(1-R1113)</f>
        <v>421200</v>
      </c>
      <c r="T1113" s="18">
        <f>S1113/'Financial Inputs'!$B$3</f>
        <v>4.2119999999999996E-3</v>
      </c>
      <c r="U1113" s="9" t="s">
        <v>52</v>
      </c>
      <c r="V1113" s="3" t="s">
        <v>53</v>
      </c>
    </row>
    <row r="1114" spans="1:22">
      <c r="A1114" s="2" t="s">
        <v>3564</v>
      </c>
      <c r="B1114" s="2" t="s">
        <v>3565</v>
      </c>
      <c r="C1114" s="2" t="s">
        <v>3528</v>
      </c>
      <c r="D1114" s="2" t="s">
        <v>133</v>
      </c>
      <c r="E1114" s="2" t="s">
        <v>43</v>
      </c>
      <c r="F1114" s="2" t="s">
        <v>74</v>
      </c>
      <c r="G1114" s="2" t="s">
        <v>56</v>
      </c>
      <c r="H1114" s="2" t="s">
        <v>46</v>
      </c>
      <c r="I1114" s="2" t="s">
        <v>47</v>
      </c>
      <c r="J1114" s="2" t="s">
        <v>3529</v>
      </c>
      <c r="K1114" s="2" t="s">
        <v>3566</v>
      </c>
      <c r="L1114" s="2" t="s">
        <v>135</v>
      </c>
      <c r="M1114" s="2" t="s">
        <v>3228</v>
      </c>
      <c r="N1114" s="16">
        <v>1.7999999999999999E-2</v>
      </c>
      <c r="O1114" s="17">
        <f>N1114*'Financial Inputs'!$B$3</f>
        <v>1799999.9999999998</v>
      </c>
      <c r="P1114" s="18">
        <f>IF(I1114="L",'Financial Inputs'!$B$4,IF(I1114="M",'Financial Inputs'!$B$5,'Financial Inputs'!$B$6))</f>
        <v>0.4</v>
      </c>
      <c r="Q1114" s="17">
        <f>O1114*P1114</f>
        <v>720000</v>
      </c>
      <c r="R1114" s="16">
        <f>'Financial Inputs'!$B$7</f>
        <v>0.35</v>
      </c>
      <c r="S1114" s="17">
        <f>Q1114*(1-R1114)</f>
        <v>468000</v>
      </c>
      <c r="T1114" s="18">
        <f>S1114/'Financial Inputs'!$B$3</f>
        <v>4.6800000000000001E-3</v>
      </c>
      <c r="U1114" s="9" t="s">
        <v>52</v>
      </c>
      <c r="V1114" s="3" t="s">
        <v>53</v>
      </c>
    </row>
    <row r="1115" spans="1:22">
      <c r="A1115" s="2" t="s">
        <v>3567</v>
      </c>
      <c r="B1115" s="2" t="s">
        <v>3568</v>
      </c>
      <c r="C1115" s="2" t="s">
        <v>3528</v>
      </c>
      <c r="D1115" s="2" t="s">
        <v>88</v>
      </c>
      <c r="E1115" s="2" t="s">
        <v>57</v>
      </c>
      <c r="F1115" s="2" t="s">
        <v>82</v>
      </c>
      <c r="G1115" s="2" t="s">
        <v>138</v>
      </c>
      <c r="H1115" s="2" t="s">
        <v>46</v>
      </c>
      <c r="I1115" s="2" t="s">
        <v>47</v>
      </c>
      <c r="J1115" s="2" t="s">
        <v>3529</v>
      </c>
      <c r="K1115" s="2" t="s">
        <v>3569</v>
      </c>
      <c r="L1115" s="2" t="s">
        <v>140</v>
      </c>
      <c r="M1115" s="2" t="s">
        <v>3228</v>
      </c>
      <c r="N1115" s="16">
        <v>1.9800000000000002E-2</v>
      </c>
      <c r="O1115" s="17">
        <f>N1115*'Financial Inputs'!$B$3</f>
        <v>1980000.0000000002</v>
      </c>
      <c r="P1115" s="18">
        <f>IF(I1115="L",'Financial Inputs'!$B$4,IF(I1115="M",'Financial Inputs'!$B$5,'Financial Inputs'!$B$6))</f>
        <v>0.4</v>
      </c>
      <c r="Q1115" s="17">
        <f>O1115*P1115</f>
        <v>792000.00000000012</v>
      </c>
      <c r="R1115" s="16">
        <f>'Financial Inputs'!$B$7</f>
        <v>0.35</v>
      </c>
      <c r="S1115" s="17">
        <f>Q1115*(1-R1115)</f>
        <v>514800.00000000012</v>
      </c>
      <c r="T1115" s="18">
        <f>S1115/'Financial Inputs'!$B$3</f>
        <v>5.1480000000000015E-3</v>
      </c>
      <c r="U1115" s="9" t="s">
        <v>52</v>
      </c>
      <c r="V1115" s="3" t="s">
        <v>53</v>
      </c>
    </row>
    <row r="1116" spans="1:22">
      <c r="A1116" s="2" t="s">
        <v>3570</v>
      </c>
      <c r="B1116" s="2" t="s">
        <v>3571</v>
      </c>
      <c r="C1116" s="2" t="s">
        <v>3528</v>
      </c>
      <c r="D1116" s="2" t="s">
        <v>95</v>
      </c>
      <c r="E1116" s="2" t="s">
        <v>65</v>
      </c>
      <c r="F1116" s="2" t="s">
        <v>44</v>
      </c>
      <c r="G1116" s="2" t="s">
        <v>143</v>
      </c>
      <c r="H1116" s="2" t="s">
        <v>46</v>
      </c>
      <c r="I1116" s="2" t="s">
        <v>47</v>
      </c>
      <c r="J1116" s="2" t="s">
        <v>3529</v>
      </c>
      <c r="K1116" s="2" t="s">
        <v>3572</v>
      </c>
      <c r="L1116" s="2" t="s">
        <v>145</v>
      </c>
      <c r="M1116" s="2" t="s">
        <v>3228</v>
      </c>
      <c r="N1116" s="16">
        <v>2.1600000000000001E-2</v>
      </c>
      <c r="O1116" s="17">
        <f>N1116*'Financial Inputs'!$B$3</f>
        <v>2160000</v>
      </c>
      <c r="P1116" s="18">
        <f>IF(I1116="L",'Financial Inputs'!$B$4,IF(I1116="M",'Financial Inputs'!$B$5,'Financial Inputs'!$B$6))</f>
        <v>0.4</v>
      </c>
      <c r="Q1116" s="17">
        <f>O1116*P1116</f>
        <v>864000</v>
      </c>
      <c r="R1116" s="16">
        <f>'Financial Inputs'!$B$7</f>
        <v>0.35</v>
      </c>
      <c r="S1116" s="17">
        <f>Q1116*(1-R1116)</f>
        <v>561600</v>
      </c>
      <c r="T1116" s="18">
        <f>S1116/'Financial Inputs'!$B$3</f>
        <v>5.6160000000000003E-3</v>
      </c>
      <c r="U1116" s="9" t="s">
        <v>52</v>
      </c>
      <c r="V1116" s="3" t="s">
        <v>53</v>
      </c>
    </row>
    <row r="1117" spans="1:22">
      <c r="A1117" s="2" t="s">
        <v>3573</v>
      </c>
      <c r="B1117" s="2" t="s">
        <v>3574</v>
      </c>
      <c r="C1117" s="2" t="s">
        <v>3528</v>
      </c>
      <c r="D1117" s="2" t="s">
        <v>56</v>
      </c>
      <c r="E1117" s="2" t="s">
        <v>148</v>
      </c>
      <c r="F1117" s="2" t="s">
        <v>97</v>
      </c>
      <c r="G1117" s="2" t="s">
        <v>56</v>
      </c>
      <c r="H1117" s="2" t="s">
        <v>46</v>
      </c>
      <c r="I1117" s="2" t="s">
        <v>47</v>
      </c>
      <c r="J1117" s="2" t="s">
        <v>3529</v>
      </c>
      <c r="K1117" s="2" t="s">
        <v>3575</v>
      </c>
      <c r="L1117" s="2" t="s">
        <v>150</v>
      </c>
      <c r="M1117" s="2" t="s">
        <v>3228</v>
      </c>
      <c r="N1117" s="16">
        <v>1.44E-2</v>
      </c>
      <c r="O1117" s="17">
        <f>N1117*'Financial Inputs'!$B$3</f>
        <v>1440000</v>
      </c>
      <c r="P1117" s="18">
        <f>IF(I1117="L",'Financial Inputs'!$B$4,IF(I1117="M",'Financial Inputs'!$B$5,'Financial Inputs'!$B$6))</f>
        <v>0.4</v>
      </c>
      <c r="Q1117" s="17">
        <f>O1117*P1117</f>
        <v>576000</v>
      </c>
      <c r="R1117" s="16">
        <f>'Financial Inputs'!$B$7</f>
        <v>0.35</v>
      </c>
      <c r="S1117" s="17">
        <f>Q1117*(1-R1117)</f>
        <v>374400</v>
      </c>
      <c r="T1117" s="18">
        <f>S1117/'Financial Inputs'!$B$3</f>
        <v>3.7439999999999999E-3</v>
      </c>
      <c r="U1117" s="9" t="s">
        <v>52</v>
      </c>
      <c r="V1117" s="3" t="s">
        <v>53</v>
      </c>
    </row>
    <row r="1118" spans="1:22">
      <c r="A1118" s="2" t="s">
        <v>3576</v>
      </c>
      <c r="B1118" s="2" t="s">
        <v>3577</v>
      </c>
      <c r="C1118" s="2" t="s">
        <v>3528</v>
      </c>
      <c r="D1118" s="2" t="s">
        <v>64</v>
      </c>
      <c r="E1118" s="2" t="s">
        <v>153</v>
      </c>
      <c r="F1118" s="2" t="s">
        <v>104</v>
      </c>
      <c r="G1118" s="2" t="s">
        <v>138</v>
      </c>
      <c r="H1118" s="2" t="s">
        <v>46</v>
      </c>
      <c r="I1118" s="2" t="s">
        <v>47</v>
      </c>
      <c r="J1118" s="2" t="s">
        <v>3529</v>
      </c>
      <c r="K1118" s="2" t="s">
        <v>3578</v>
      </c>
      <c r="L1118" s="2" t="s">
        <v>155</v>
      </c>
      <c r="M1118" s="2" t="s">
        <v>3228</v>
      </c>
      <c r="N1118" s="16">
        <v>1.6199999999999999E-2</v>
      </c>
      <c r="O1118" s="17">
        <f>N1118*'Financial Inputs'!$B$3</f>
        <v>1620000</v>
      </c>
      <c r="P1118" s="18">
        <f>IF(I1118="L",'Financial Inputs'!$B$4,IF(I1118="M",'Financial Inputs'!$B$5,'Financial Inputs'!$B$6))</f>
        <v>0.4</v>
      </c>
      <c r="Q1118" s="17">
        <f>O1118*P1118</f>
        <v>648000</v>
      </c>
      <c r="R1118" s="16">
        <f>'Financial Inputs'!$B$7</f>
        <v>0.35</v>
      </c>
      <c r="S1118" s="17">
        <f>Q1118*(1-R1118)</f>
        <v>421200</v>
      </c>
      <c r="T1118" s="18">
        <f>S1118/'Financial Inputs'!$B$3</f>
        <v>4.2119999999999996E-3</v>
      </c>
      <c r="U1118" s="9" t="s">
        <v>52</v>
      </c>
      <c r="V1118" s="3" t="s">
        <v>53</v>
      </c>
    </row>
    <row r="1119" spans="1:22">
      <c r="A1119" s="2" t="s">
        <v>3579</v>
      </c>
      <c r="B1119" s="2" t="s">
        <v>3580</v>
      </c>
      <c r="C1119" s="2" t="s">
        <v>3528</v>
      </c>
      <c r="D1119" s="2" t="s">
        <v>72</v>
      </c>
      <c r="E1119" s="2" t="s">
        <v>89</v>
      </c>
      <c r="F1119" s="2" t="s">
        <v>110</v>
      </c>
      <c r="G1119" s="2" t="s">
        <v>143</v>
      </c>
      <c r="H1119" s="2" t="s">
        <v>46</v>
      </c>
      <c r="I1119" s="2" t="s">
        <v>47</v>
      </c>
      <c r="J1119" s="2" t="s">
        <v>3529</v>
      </c>
      <c r="K1119" s="2" t="s">
        <v>3581</v>
      </c>
      <c r="L1119" s="2" t="s">
        <v>159</v>
      </c>
      <c r="M1119" s="2" t="s">
        <v>3228</v>
      </c>
      <c r="N1119" s="16">
        <v>1.7999999999999999E-2</v>
      </c>
      <c r="O1119" s="17">
        <f>N1119*'Financial Inputs'!$B$3</f>
        <v>1799999.9999999998</v>
      </c>
      <c r="P1119" s="18">
        <f>IF(I1119="L",'Financial Inputs'!$B$4,IF(I1119="M",'Financial Inputs'!$B$5,'Financial Inputs'!$B$6))</f>
        <v>0.4</v>
      </c>
      <c r="Q1119" s="17">
        <f>O1119*P1119</f>
        <v>720000</v>
      </c>
      <c r="R1119" s="16">
        <f>'Financial Inputs'!$B$7</f>
        <v>0.35</v>
      </c>
      <c r="S1119" s="17">
        <f>Q1119*(1-R1119)</f>
        <v>468000</v>
      </c>
      <c r="T1119" s="18">
        <f>S1119/'Financial Inputs'!$B$3</f>
        <v>4.6800000000000001E-3</v>
      </c>
      <c r="U1119" s="9" t="s">
        <v>52</v>
      </c>
      <c r="V1119" s="3" t="s">
        <v>53</v>
      </c>
    </row>
    <row r="1120" spans="1:22">
      <c r="A1120" s="2" t="s">
        <v>3582</v>
      </c>
      <c r="B1120" s="2" t="s">
        <v>3583</v>
      </c>
      <c r="C1120" s="2" t="s">
        <v>3528</v>
      </c>
      <c r="D1120" s="2" t="s">
        <v>80</v>
      </c>
      <c r="E1120" s="2" t="s">
        <v>96</v>
      </c>
      <c r="F1120" s="2" t="s">
        <v>117</v>
      </c>
      <c r="G1120" s="2" t="s">
        <v>162</v>
      </c>
      <c r="H1120" s="2" t="s">
        <v>46</v>
      </c>
      <c r="I1120" s="2" t="s">
        <v>47</v>
      </c>
      <c r="J1120" s="2" t="s">
        <v>3529</v>
      </c>
      <c r="K1120" s="2" t="s">
        <v>3584</v>
      </c>
      <c r="L1120" s="2" t="s">
        <v>164</v>
      </c>
      <c r="M1120" s="2" t="s">
        <v>3228</v>
      </c>
      <c r="N1120" s="16">
        <v>1.9800000000000002E-2</v>
      </c>
      <c r="O1120" s="17">
        <f>N1120*'Financial Inputs'!$B$3</f>
        <v>1980000.0000000002</v>
      </c>
      <c r="P1120" s="18">
        <f>IF(I1120="L",'Financial Inputs'!$B$4,IF(I1120="M",'Financial Inputs'!$B$5,'Financial Inputs'!$B$6))</f>
        <v>0.4</v>
      </c>
      <c r="Q1120" s="17">
        <f>O1120*P1120</f>
        <v>792000.00000000012</v>
      </c>
      <c r="R1120" s="16">
        <f>'Financial Inputs'!$B$7</f>
        <v>0.35</v>
      </c>
      <c r="S1120" s="17">
        <f>Q1120*(1-R1120)</f>
        <v>514800.00000000012</v>
      </c>
      <c r="T1120" s="18">
        <f>S1120/'Financial Inputs'!$B$3</f>
        <v>5.1480000000000015E-3</v>
      </c>
      <c r="U1120" s="9" t="s">
        <v>52</v>
      </c>
      <c r="V1120" s="3" t="s">
        <v>53</v>
      </c>
    </row>
    <row r="1121" spans="1:22">
      <c r="A1121" s="2" t="s">
        <v>3585</v>
      </c>
      <c r="B1121" s="2" t="s">
        <v>3586</v>
      </c>
      <c r="C1121" s="2" t="s">
        <v>3528</v>
      </c>
      <c r="D1121" s="2" t="s">
        <v>127</v>
      </c>
      <c r="E1121" s="2" t="s">
        <v>103</v>
      </c>
      <c r="F1121" s="2" t="s">
        <v>90</v>
      </c>
      <c r="G1121" s="2" t="s">
        <v>45</v>
      </c>
      <c r="H1121" s="2" t="s">
        <v>46</v>
      </c>
      <c r="I1121" s="2" t="s">
        <v>47</v>
      </c>
      <c r="J1121" s="2" t="s">
        <v>3529</v>
      </c>
      <c r="K1121" s="2" t="s">
        <v>3587</v>
      </c>
      <c r="L1121" s="2" t="s">
        <v>168</v>
      </c>
      <c r="M1121" s="2" t="s">
        <v>3228</v>
      </c>
      <c r="N1121" s="16">
        <v>2.1600000000000001E-2</v>
      </c>
      <c r="O1121" s="17">
        <f>N1121*'Financial Inputs'!$B$3</f>
        <v>2160000</v>
      </c>
      <c r="P1121" s="18">
        <f>IF(I1121="L",'Financial Inputs'!$B$4,IF(I1121="M",'Financial Inputs'!$B$5,'Financial Inputs'!$B$6))</f>
        <v>0.4</v>
      </c>
      <c r="Q1121" s="17">
        <f>O1121*P1121</f>
        <v>864000</v>
      </c>
      <c r="R1121" s="16">
        <f>'Financial Inputs'!$B$7</f>
        <v>0.35</v>
      </c>
      <c r="S1121" s="17">
        <f>Q1121*(1-R1121)</f>
        <v>561600</v>
      </c>
      <c r="T1121" s="18">
        <f>S1121/'Financial Inputs'!$B$3</f>
        <v>5.6160000000000003E-3</v>
      </c>
      <c r="U1121" s="9" t="s">
        <v>52</v>
      </c>
      <c r="V1121" s="3" t="s">
        <v>53</v>
      </c>
    </row>
    <row r="1122" spans="1:22">
      <c r="A1122" s="2" t="s">
        <v>3588</v>
      </c>
      <c r="B1122" s="2" t="s">
        <v>3589</v>
      </c>
      <c r="C1122" s="2" t="s">
        <v>3528</v>
      </c>
      <c r="D1122" s="2" t="s">
        <v>95</v>
      </c>
      <c r="E1122" s="2" t="s">
        <v>171</v>
      </c>
      <c r="F1122" s="2" t="s">
        <v>66</v>
      </c>
      <c r="G1122" s="2" t="s">
        <v>143</v>
      </c>
      <c r="H1122" s="2" t="s">
        <v>46</v>
      </c>
      <c r="I1122" s="2" t="s">
        <v>47</v>
      </c>
      <c r="J1122" s="2" t="s">
        <v>3529</v>
      </c>
      <c r="K1122" s="2" t="s">
        <v>3590</v>
      </c>
      <c r="L1122" s="2" t="s">
        <v>173</v>
      </c>
      <c r="M1122" s="2" t="s">
        <v>3228</v>
      </c>
      <c r="N1122" s="16">
        <v>1.44E-2</v>
      </c>
      <c r="O1122" s="17">
        <f>N1122*'Financial Inputs'!$B$3</f>
        <v>1440000</v>
      </c>
      <c r="P1122" s="18">
        <f>IF(I1122="L",'Financial Inputs'!$B$4,IF(I1122="M",'Financial Inputs'!$B$5,'Financial Inputs'!$B$6))</f>
        <v>0.4</v>
      </c>
      <c r="Q1122" s="17">
        <f>O1122*P1122</f>
        <v>576000</v>
      </c>
      <c r="R1122" s="16">
        <f>'Financial Inputs'!$B$7</f>
        <v>0.35</v>
      </c>
      <c r="S1122" s="17">
        <f>Q1122*(1-R1122)</f>
        <v>374400</v>
      </c>
      <c r="T1122" s="18">
        <f>S1122/'Financial Inputs'!$B$3</f>
        <v>3.7439999999999999E-3</v>
      </c>
      <c r="U1122" s="9" t="s">
        <v>52</v>
      </c>
      <c r="V1122" s="3" t="s">
        <v>53</v>
      </c>
    </row>
    <row r="1123" spans="1:22">
      <c r="A1123" s="2" t="s">
        <v>3591</v>
      </c>
      <c r="B1123" s="2" t="s">
        <v>3592</v>
      </c>
      <c r="C1123" s="2" t="s">
        <v>3528</v>
      </c>
      <c r="D1123" s="2" t="s">
        <v>102</v>
      </c>
      <c r="E1123" s="2" t="s">
        <v>176</v>
      </c>
      <c r="F1123" s="2" t="s">
        <v>74</v>
      </c>
      <c r="G1123" s="2" t="s">
        <v>162</v>
      </c>
      <c r="H1123" s="2" t="s">
        <v>46</v>
      </c>
      <c r="I1123" s="2" t="s">
        <v>47</v>
      </c>
      <c r="J1123" s="2" t="s">
        <v>3529</v>
      </c>
      <c r="K1123" s="2" t="s">
        <v>3593</v>
      </c>
      <c r="L1123" s="2" t="s">
        <v>178</v>
      </c>
      <c r="M1123" s="2" t="s">
        <v>3228</v>
      </c>
      <c r="N1123" s="16">
        <v>1.6199999999999999E-2</v>
      </c>
      <c r="O1123" s="17">
        <f>N1123*'Financial Inputs'!$B$3</f>
        <v>1620000</v>
      </c>
      <c r="P1123" s="18">
        <f>IF(I1123="L",'Financial Inputs'!$B$4,IF(I1123="M",'Financial Inputs'!$B$5,'Financial Inputs'!$B$6))</f>
        <v>0.4</v>
      </c>
      <c r="Q1123" s="17">
        <f>O1123*P1123</f>
        <v>648000</v>
      </c>
      <c r="R1123" s="16">
        <f>'Financial Inputs'!$B$7</f>
        <v>0.35</v>
      </c>
      <c r="S1123" s="17">
        <f>Q1123*(1-R1123)</f>
        <v>421200</v>
      </c>
      <c r="T1123" s="18">
        <f>S1123/'Financial Inputs'!$B$3</f>
        <v>4.2119999999999996E-3</v>
      </c>
      <c r="U1123" s="9" t="s">
        <v>52</v>
      </c>
      <c r="V1123" s="3" t="s">
        <v>53</v>
      </c>
    </row>
    <row r="1124" spans="1:22">
      <c r="A1124" s="2" t="s">
        <v>3594</v>
      </c>
      <c r="B1124" s="2" t="s">
        <v>3595</v>
      </c>
      <c r="C1124" s="2" t="s">
        <v>3528</v>
      </c>
      <c r="D1124" s="2" t="s">
        <v>42</v>
      </c>
      <c r="E1124" s="2" t="s">
        <v>122</v>
      </c>
      <c r="F1124" s="2" t="s">
        <v>82</v>
      </c>
      <c r="G1124" s="2" t="s">
        <v>45</v>
      </c>
      <c r="H1124" s="2" t="s">
        <v>46</v>
      </c>
      <c r="I1124" s="2" t="s">
        <v>47</v>
      </c>
      <c r="J1124" s="2" t="s">
        <v>3529</v>
      </c>
      <c r="K1124" s="2" t="s">
        <v>3596</v>
      </c>
      <c r="L1124" s="2" t="s">
        <v>182</v>
      </c>
      <c r="M1124" s="2" t="s">
        <v>3228</v>
      </c>
      <c r="N1124" s="16">
        <v>1.7999999999999999E-2</v>
      </c>
      <c r="O1124" s="17">
        <f>N1124*'Financial Inputs'!$B$3</f>
        <v>1799999.9999999998</v>
      </c>
      <c r="P1124" s="18">
        <f>IF(I1124="L",'Financial Inputs'!$B$4,IF(I1124="M",'Financial Inputs'!$B$5,'Financial Inputs'!$B$6))</f>
        <v>0.4</v>
      </c>
      <c r="Q1124" s="17">
        <f>O1124*P1124</f>
        <v>720000</v>
      </c>
      <c r="R1124" s="16">
        <f>'Financial Inputs'!$B$7</f>
        <v>0.35</v>
      </c>
      <c r="S1124" s="17">
        <f>Q1124*(1-R1124)</f>
        <v>468000</v>
      </c>
      <c r="T1124" s="18">
        <f>S1124/'Financial Inputs'!$B$3</f>
        <v>4.6800000000000001E-3</v>
      </c>
      <c r="U1124" s="9" t="s">
        <v>52</v>
      </c>
      <c r="V1124" s="3" t="s">
        <v>53</v>
      </c>
    </row>
    <row r="1125" spans="1:22">
      <c r="A1125" s="2" t="s">
        <v>3597</v>
      </c>
      <c r="B1125" s="2" t="s">
        <v>3598</v>
      </c>
      <c r="C1125" s="2" t="s">
        <v>3528</v>
      </c>
      <c r="D1125" s="2" t="s">
        <v>56</v>
      </c>
      <c r="E1125" s="2" t="s">
        <v>128</v>
      </c>
      <c r="F1125" s="2" t="s">
        <v>44</v>
      </c>
      <c r="G1125" s="2" t="s">
        <v>59</v>
      </c>
      <c r="H1125" s="2" t="s">
        <v>46</v>
      </c>
      <c r="I1125" s="2" t="s">
        <v>47</v>
      </c>
      <c r="J1125" s="2" t="s">
        <v>3529</v>
      </c>
      <c r="K1125" s="2" t="s">
        <v>3599</v>
      </c>
      <c r="L1125" s="2" t="s">
        <v>186</v>
      </c>
      <c r="M1125" s="2" t="s">
        <v>3228</v>
      </c>
      <c r="N1125" s="16">
        <v>1.9800000000000002E-2</v>
      </c>
      <c r="O1125" s="17">
        <f>N1125*'Financial Inputs'!$B$3</f>
        <v>1980000.0000000002</v>
      </c>
      <c r="P1125" s="18">
        <f>IF(I1125="L",'Financial Inputs'!$B$4,IF(I1125="M",'Financial Inputs'!$B$5,'Financial Inputs'!$B$6))</f>
        <v>0.4</v>
      </c>
      <c r="Q1125" s="17">
        <f>O1125*P1125</f>
        <v>792000.00000000012</v>
      </c>
      <c r="R1125" s="16">
        <f>'Financial Inputs'!$B$7</f>
        <v>0.35</v>
      </c>
      <c r="S1125" s="17">
        <f>Q1125*(1-R1125)</f>
        <v>514800.00000000012</v>
      </c>
      <c r="T1125" s="18">
        <f>S1125/'Financial Inputs'!$B$3</f>
        <v>5.1480000000000015E-3</v>
      </c>
      <c r="U1125" s="9" t="s">
        <v>52</v>
      </c>
      <c r="V1125" s="3" t="s">
        <v>53</v>
      </c>
    </row>
    <row r="1126" spans="1:22">
      <c r="A1126" s="2" t="s">
        <v>3600</v>
      </c>
      <c r="B1126" s="2" t="s">
        <v>3601</v>
      </c>
      <c r="C1126" s="2" t="s">
        <v>3528</v>
      </c>
      <c r="D1126" s="2" t="s">
        <v>64</v>
      </c>
      <c r="E1126" s="2" t="s">
        <v>43</v>
      </c>
      <c r="F1126" s="2" t="s">
        <v>58</v>
      </c>
      <c r="G1126" s="2" t="s">
        <v>67</v>
      </c>
      <c r="H1126" s="2" t="s">
        <v>46</v>
      </c>
      <c r="I1126" s="2" t="s">
        <v>47</v>
      </c>
      <c r="J1126" s="2" t="s">
        <v>3529</v>
      </c>
      <c r="K1126" s="2" t="s">
        <v>3602</v>
      </c>
      <c r="L1126" s="2" t="s">
        <v>190</v>
      </c>
      <c r="M1126" s="2" t="s">
        <v>3228</v>
      </c>
      <c r="N1126" s="16">
        <v>2.1600000000000001E-2</v>
      </c>
      <c r="O1126" s="17">
        <f>N1126*'Financial Inputs'!$B$3</f>
        <v>2160000</v>
      </c>
      <c r="P1126" s="18">
        <f>IF(I1126="L",'Financial Inputs'!$B$4,IF(I1126="M",'Financial Inputs'!$B$5,'Financial Inputs'!$B$6))</f>
        <v>0.4</v>
      </c>
      <c r="Q1126" s="17">
        <f>O1126*P1126</f>
        <v>864000</v>
      </c>
      <c r="R1126" s="16">
        <f>'Financial Inputs'!$B$7</f>
        <v>0.35</v>
      </c>
      <c r="S1126" s="17">
        <f>Q1126*(1-R1126)</f>
        <v>561600</v>
      </c>
      <c r="T1126" s="18">
        <f>S1126/'Financial Inputs'!$B$3</f>
        <v>5.6160000000000003E-3</v>
      </c>
      <c r="U1126" s="9" t="s">
        <v>52</v>
      </c>
      <c r="V1126" s="3" t="s">
        <v>53</v>
      </c>
    </row>
    <row r="1127" spans="1:22">
      <c r="A1127" s="2" t="s">
        <v>3603</v>
      </c>
      <c r="B1127" s="2" t="s">
        <v>3604</v>
      </c>
      <c r="C1127" s="2" t="s">
        <v>3528</v>
      </c>
      <c r="D1127" s="2" t="s">
        <v>127</v>
      </c>
      <c r="E1127" s="2" t="s">
        <v>193</v>
      </c>
      <c r="F1127" s="2" t="s">
        <v>104</v>
      </c>
      <c r="G1127" s="2" t="s">
        <v>45</v>
      </c>
      <c r="H1127" s="2" t="s">
        <v>46</v>
      </c>
      <c r="I1127" s="2" t="s">
        <v>47</v>
      </c>
      <c r="J1127" s="2" t="s">
        <v>3529</v>
      </c>
      <c r="K1127" s="2" t="s">
        <v>3605</v>
      </c>
      <c r="L1127" s="2" t="s">
        <v>195</v>
      </c>
      <c r="M1127" s="2" t="s">
        <v>3228</v>
      </c>
      <c r="N1127" s="16">
        <v>1.44E-2</v>
      </c>
      <c r="O1127" s="17">
        <f>N1127*'Financial Inputs'!$B$3</f>
        <v>1440000</v>
      </c>
      <c r="P1127" s="18">
        <f>IF(I1127="L",'Financial Inputs'!$B$4,IF(I1127="M",'Financial Inputs'!$B$5,'Financial Inputs'!$B$6))</f>
        <v>0.4</v>
      </c>
      <c r="Q1127" s="17">
        <f>O1127*P1127</f>
        <v>576000</v>
      </c>
      <c r="R1127" s="16">
        <f>'Financial Inputs'!$B$7</f>
        <v>0.35</v>
      </c>
      <c r="S1127" s="17">
        <f>Q1127*(1-R1127)</f>
        <v>374400</v>
      </c>
      <c r="T1127" s="18">
        <f>S1127/'Financial Inputs'!$B$3</f>
        <v>3.7439999999999999E-3</v>
      </c>
      <c r="U1127" s="9" t="s">
        <v>52</v>
      </c>
      <c r="V1127" s="3" t="s">
        <v>53</v>
      </c>
    </row>
    <row r="1128" spans="1:22">
      <c r="A1128" s="2" t="s">
        <v>3606</v>
      </c>
      <c r="B1128" s="2" t="s">
        <v>3607</v>
      </c>
      <c r="C1128" s="2" t="s">
        <v>3528</v>
      </c>
      <c r="D1128" s="2" t="s">
        <v>133</v>
      </c>
      <c r="E1128" s="2" t="s">
        <v>198</v>
      </c>
      <c r="F1128" s="2" t="s">
        <v>110</v>
      </c>
      <c r="G1128" s="2" t="s">
        <v>59</v>
      </c>
      <c r="H1128" s="2" t="s">
        <v>46</v>
      </c>
      <c r="I1128" s="2" t="s">
        <v>47</v>
      </c>
      <c r="J1128" s="2" t="s">
        <v>3529</v>
      </c>
      <c r="K1128" s="2" t="s">
        <v>3608</v>
      </c>
      <c r="L1128" s="2" t="s">
        <v>200</v>
      </c>
      <c r="M1128" s="2" t="s">
        <v>3228</v>
      </c>
      <c r="N1128" s="16">
        <v>1.6199999999999999E-2</v>
      </c>
      <c r="O1128" s="17">
        <f>N1128*'Financial Inputs'!$B$3</f>
        <v>1620000</v>
      </c>
      <c r="P1128" s="18">
        <f>IF(I1128="L",'Financial Inputs'!$B$4,IF(I1128="M",'Financial Inputs'!$B$5,'Financial Inputs'!$B$6))</f>
        <v>0.4</v>
      </c>
      <c r="Q1128" s="17">
        <f>O1128*P1128</f>
        <v>648000</v>
      </c>
      <c r="R1128" s="16">
        <f>'Financial Inputs'!$B$7</f>
        <v>0.35</v>
      </c>
      <c r="S1128" s="17">
        <f>Q1128*(1-R1128)</f>
        <v>421200</v>
      </c>
      <c r="T1128" s="18">
        <f>S1128/'Financial Inputs'!$B$3</f>
        <v>4.2119999999999996E-3</v>
      </c>
      <c r="U1128" s="9" t="s">
        <v>52</v>
      </c>
      <c r="V1128" s="3" t="s">
        <v>53</v>
      </c>
    </row>
    <row r="1129" spans="1:22">
      <c r="A1129" s="2" t="s">
        <v>3609</v>
      </c>
      <c r="B1129" s="2" t="s">
        <v>3610</v>
      </c>
      <c r="C1129" s="2" t="s">
        <v>3528</v>
      </c>
      <c r="D1129" s="2" t="s">
        <v>88</v>
      </c>
      <c r="E1129" s="2" t="s">
        <v>148</v>
      </c>
      <c r="F1129" s="2" t="s">
        <v>117</v>
      </c>
      <c r="G1129" s="2" t="s">
        <v>67</v>
      </c>
      <c r="H1129" s="2" t="s">
        <v>46</v>
      </c>
      <c r="I1129" s="2" t="s">
        <v>47</v>
      </c>
      <c r="J1129" s="2" t="s">
        <v>3529</v>
      </c>
      <c r="K1129" s="2" t="s">
        <v>3611</v>
      </c>
      <c r="L1129" s="2" t="s">
        <v>204</v>
      </c>
      <c r="M1129" s="2" t="s">
        <v>3228</v>
      </c>
      <c r="N1129" s="16">
        <v>1.7999999999999999E-2</v>
      </c>
      <c r="O1129" s="17">
        <f>N1129*'Financial Inputs'!$B$3</f>
        <v>1799999.9999999998</v>
      </c>
      <c r="P1129" s="18">
        <f>IF(I1129="L",'Financial Inputs'!$B$4,IF(I1129="M",'Financial Inputs'!$B$5,'Financial Inputs'!$B$6))</f>
        <v>0.4</v>
      </c>
      <c r="Q1129" s="17">
        <f>O1129*P1129</f>
        <v>720000</v>
      </c>
      <c r="R1129" s="16">
        <f>'Financial Inputs'!$B$7</f>
        <v>0.35</v>
      </c>
      <c r="S1129" s="17">
        <f>Q1129*(1-R1129)</f>
        <v>468000</v>
      </c>
      <c r="T1129" s="18">
        <f>S1129/'Financial Inputs'!$B$3</f>
        <v>4.6800000000000001E-3</v>
      </c>
      <c r="U1129" s="9" t="s">
        <v>52</v>
      </c>
      <c r="V1129" s="3" t="s">
        <v>53</v>
      </c>
    </row>
    <row r="1130" spans="1:22">
      <c r="A1130" s="2" t="s">
        <v>3612</v>
      </c>
      <c r="B1130" s="2" t="s">
        <v>3613</v>
      </c>
      <c r="C1130" s="2" t="s">
        <v>3528</v>
      </c>
      <c r="D1130" s="2" t="s">
        <v>95</v>
      </c>
      <c r="E1130" s="2" t="s">
        <v>153</v>
      </c>
      <c r="F1130" s="2" t="s">
        <v>90</v>
      </c>
      <c r="G1130" s="2" t="s">
        <v>75</v>
      </c>
      <c r="H1130" s="2" t="s">
        <v>46</v>
      </c>
      <c r="I1130" s="2" t="s">
        <v>47</v>
      </c>
      <c r="J1130" s="2" t="s">
        <v>3529</v>
      </c>
      <c r="K1130" s="2" t="s">
        <v>3614</v>
      </c>
      <c r="L1130" s="2" t="s">
        <v>208</v>
      </c>
      <c r="M1130" s="2" t="s">
        <v>3228</v>
      </c>
      <c r="N1130" s="16">
        <v>1.9800000000000002E-2</v>
      </c>
      <c r="O1130" s="17">
        <f>N1130*'Financial Inputs'!$B$3</f>
        <v>1980000.0000000002</v>
      </c>
      <c r="P1130" s="18">
        <f>IF(I1130="L",'Financial Inputs'!$B$4,IF(I1130="M",'Financial Inputs'!$B$5,'Financial Inputs'!$B$6))</f>
        <v>0.4</v>
      </c>
      <c r="Q1130" s="17">
        <f>O1130*P1130</f>
        <v>792000.00000000012</v>
      </c>
      <c r="R1130" s="16">
        <f>'Financial Inputs'!$B$7</f>
        <v>0.35</v>
      </c>
      <c r="S1130" s="17">
        <f>Q1130*(1-R1130)</f>
        <v>514800.00000000012</v>
      </c>
      <c r="T1130" s="18">
        <f>S1130/'Financial Inputs'!$B$3</f>
        <v>5.1480000000000015E-3</v>
      </c>
      <c r="U1130" s="9" t="s">
        <v>52</v>
      </c>
      <c r="V1130" s="3" t="s">
        <v>53</v>
      </c>
    </row>
    <row r="1131" spans="1:22">
      <c r="A1131" s="2" t="s">
        <v>3615</v>
      </c>
      <c r="B1131" s="2" t="s">
        <v>3616</v>
      </c>
      <c r="C1131" s="2" t="s">
        <v>3528</v>
      </c>
      <c r="D1131" s="2" t="s">
        <v>102</v>
      </c>
      <c r="E1131" s="2" t="s">
        <v>89</v>
      </c>
      <c r="F1131" s="2" t="s">
        <v>97</v>
      </c>
      <c r="G1131" s="2" t="s">
        <v>83</v>
      </c>
      <c r="H1131" s="2" t="s">
        <v>46</v>
      </c>
      <c r="I1131" s="2" t="s">
        <v>47</v>
      </c>
      <c r="J1131" s="2" t="s">
        <v>3529</v>
      </c>
      <c r="K1131" s="2" t="s">
        <v>3617</v>
      </c>
      <c r="L1131" s="2" t="s">
        <v>212</v>
      </c>
      <c r="M1131" s="2" t="s">
        <v>3228</v>
      </c>
      <c r="N1131" s="16">
        <v>2.1600000000000001E-2</v>
      </c>
      <c r="O1131" s="17">
        <f>N1131*'Financial Inputs'!$B$3</f>
        <v>2160000</v>
      </c>
      <c r="P1131" s="18">
        <f>IF(I1131="L",'Financial Inputs'!$B$4,IF(I1131="M",'Financial Inputs'!$B$5,'Financial Inputs'!$B$6))</f>
        <v>0.4</v>
      </c>
      <c r="Q1131" s="17">
        <f>O1131*P1131</f>
        <v>864000</v>
      </c>
      <c r="R1131" s="16">
        <f>'Financial Inputs'!$B$7</f>
        <v>0.35</v>
      </c>
      <c r="S1131" s="17">
        <f>Q1131*(1-R1131)</f>
        <v>561600</v>
      </c>
      <c r="T1131" s="18">
        <f>S1131/'Financial Inputs'!$B$3</f>
        <v>5.6160000000000003E-3</v>
      </c>
      <c r="U1131" s="9" t="s">
        <v>52</v>
      </c>
      <c r="V1131" s="3" t="s">
        <v>53</v>
      </c>
    </row>
    <row r="1132" spans="1:22">
      <c r="A1132" s="2" t="s">
        <v>3618</v>
      </c>
      <c r="B1132" s="2" t="s">
        <v>3619</v>
      </c>
      <c r="C1132" s="2" t="s">
        <v>3528</v>
      </c>
      <c r="D1132" s="2" t="s">
        <v>64</v>
      </c>
      <c r="E1132" s="2" t="s">
        <v>215</v>
      </c>
      <c r="F1132" s="2" t="s">
        <v>74</v>
      </c>
      <c r="G1132" s="2" t="s">
        <v>67</v>
      </c>
      <c r="H1132" s="2" t="s">
        <v>46</v>
      </c>
      <c r="I1132" s="2" t="s">
        <v>47</v>
      </c>
      <c r="J1132" s="2" t="s">
        <v>3529</v>
      </c>
      <c r="K1132" s="2" t="s">
        <v>3620</v>
      </c>
      <c r="L1132" s="2" t="s">
        <v>217</v>
      </c>
      <c r="M1132" s="2" t="s">
        <v>3228</v>
      </c>
      <c r="N1132" s="16">
        <v>1.44E-2</v>
      </c>
      <c r="O1132" s="17">
        <f>N1132*'Financial Inputs'!$B$3</f>
        <v>1440000</v>
      </c>
      <c r="P1132" s="18">
        <f>IF(I1132="L",'Financial Inputs'!$B$4,IF(I1132="M",'Financial Inputs'!$B$5,'Financial Inputs'!$B$6))</f>
        <v>0.4</v>
      </c>
      <c r="Q1132" s="17">
        <f>O1132*P1132</f>
        <v>576000</v>
      </c>
      <c r="R1132" s="16">
        <f>'Financial Inputs'!$B$7</f>
        <v>0.35</v>
      </c>
      <c r="S1132" s="17">
        <f>Q1132*(1-R1132)</f>
        <v>374400</v>
      </c>
      <c r="T1132" s="18">
        <f>S1132/'Financial Inputs'!$B$3</f>
        <v>3.7439999999999999E-3</v>
      </c>
      <c r="U1132" s="9" t="s">
        <v>52</v>
      </c>
      <c r="V1132" s="3" t="s">
        <v>53</v>
      </c>
    </row>
    <row r="1133" spans="1:22">
      <c r="A1133" s="2" t="s">
        <v>3621</v>
      </c>
      <c r="B1133" s="2" t="s">
        <v>3622</v>
      </c>
      <c r="C1133" s="2" t="s">
        <v>3528</v>
      </c>
      <c r="D1133" s="2" t="s">
        <v>72</v>
      </c>
      <c r="E1133" s="2" t="s">
        <v>220</v>
      </c>
      <c r="F1133" s="2" t="s">
        <v>82</v>
      </c>
      <c r="G1133" s="2" t="s">
        <v>75</v>
      </c>
      <c r="H1133" s="2" t="s">
        <v>46</v>
      </c>
      <c r="I1133" s="2" t="s">
        <v>47</v>
      </c>
      <c r="J1133" s="2" t="s">
        <v>3529</v>
      </c>
      <c r="K1133" s="2" t="s">
        <v>3623</v>
      </c>
      <c r="L1133" s="2" t="s">
        <v>222</v>
      </c>
      <c r="M1133" s="2" t="s">
        <v>3228</v>
      </c>
      <c r="N1133" s="16">
        <v>1.6199999999999999E-2</v>
      </c>
      <c r="O1133" s="17">
        <f>N1133*'Financial Inputs'!$B$3</f>
        <v>1620000</v>
      </c>
      <c r="P1133" s="18">
        <f>IF(I1133="L",'Financial Inputs'!$B$4,IF(I1133="M",'Financial Inputs'!$B$5,'Financial Inputs'!$B$6))</f>
        <v>0.4</v>
      </c>
      <c r="Q1133" s="17">
        <f>O1133*P1133</f>
        <v>648000</v>
      </c>
      <c r="R1133" s="16">
        <f>'Financial Inputs'!$B$7</f>
        <v>0.35</v>
      </c>
      <c r="S1133" s="17">
        <f>Q1133*(1-R1133)</f>
        <v>421200</v>
      </c>
      <c r="T1133" s="18">
        <f>S1133/'Financial Inputs'!$B$3</f>
        <v>4.2119999999999996E-3</v>
      </c>
      <c r="U1133" s="9" t="s">
        <v>52</v>
      </c>
      <c r="V1133" s="3" t="s">
        <v>53</v>
      </c>
    </row>
    <row r="1134" spans="1:22">
      <c r="A1134" s="2" t="s">
        <v>3624</v>
      </c>
      <c r="B1134" s="2" t="s">
        <v>3625</v>
      </c>
      <c r="C1134" s="2" t="s">
        <v>3528</v>
      </c>
      <c r="D1134" s="2" t="s">
        <v>80</v>
      </c>
      <c r="E1134" s="2" t="s">
        <v>171</v>
      </c>
      <c r="F1134" s="2" t="s">
        <v>44</v>
      </c>
      <c r="G1134" s="2" t="s">
        <v>83</v>
      </c>
      <c r="H1134" s="2" t="s">
        <v>46</v>
      </c>
      <c r="I1134" s="2" t="s">
        <v>47</v>
      </c>
      <c r="J1134" s="2" t="s">
        <v>3529</v>
      </c>
      <c r="K1134" s="2" t="s">
        <v>3626</v>
      </c>
      <c r="L1134" s="2" t="s">
        <v>226</v>
      </c>
      <c r="M1134" s="2" t="s">
        <v>3228</v>
      </c>
      <c r="N1134" s="16">
        <v>1.7999999999999999E-2</v>
      </c>
      <c r="O1134" s="17">
        <f>N1134*'Financial Inputs'!$B$3</f>
        <v>1799999.9999999998</v>
      </c>
      <c r="P1134" s="18">
        <f>IF(I1134="L",'Financial Inputs'!$B$4,IF(I1134="M",'Financial Inputs'!$B$5,'Financial Inputs'!$B$6))</f>
        <v>0.4</v>
      </c>
      <c r="Q1134" s="17">
        <f>O1134*P1134</f>
        <v>720000</v>
      </c>
      <c r="R1134" s="16">
        <f>'Financial Inputs'!$B$7</f>
        <v>0.35</v>
      </c>
      <c r="S1134" s="17">
        <f>Q1134*(1-R1134)</f>
        <v>468000</v>
      </c>
      <c r="T1134" s="18">
        <f>S1134/'Financial Inputs'!$B$3</f>
        <v>4.6800000000000001E-3</v>
      </c>
      <c r="U1134" s="9" t="s">
        <v>52</v>
      </c>
      <c r="V1134" s="3" t="s">
        <v>53</v>
      </c>
    </row>
    <row r="1135" spans="1:22">
      <c r="A1135" s="2" t="s">
        <v>3627</v>
      </c>
      <c r="B1135" s="2" t="s">
        <v>3628</v>
      </c>
      <c r="C1135" s="2" t="s">
        <v>3528</v>
      </c>
      <c r="D1135" s="2" t="s">
        <v>127</v>
      </c>
      <c r="E1135" s="2" t="s">
        <v>176</v>
      </c>
      <c r="F1135" s="2" t="s">
        <v>58</v>
      </c>
      <c r="G1135" s="2" t="s">
        <v>111</v>
      </c>
      <c r="H1135" s="2" t="s">
        <v>46</v>
      </c>
      <c r="I1135" s="2" t="s">
        <v>47</v>
      </c>
      <c r="J1135" s="2" t="s">
        <v>3529</v>
      </c>
      <c r="K1135" s="2" t="s">
        <v>3629</v>
      </c>
      <c r="L1135" s="2" t="s">
        <v>230</v>
      </c>
      <c r="M1135" s="2" t="s">
        <v>3228</v>
      </c>
      <c r="N1135" s="16">
        <v>1.9800000000000002E-2</v>
      </c>
      <c r="O1135" s="17">
        <f>N1135*'Financial Inputs'!$B$3</f>
        <v>1980000.0000000002</v>
      </c>
      <c r="P1135" s="18">
        <f>IF(I1135="L",'Financial Inputs'!$B$4,IF(I1135="M",'Financial Inputs'!$B$5,'Financial Inputs'!$B$6))</f>
        <v>0.4</v>
      </c>
      <c r="Q1135" s="17">
        <f>O1135*P1135</f>
        <v>792000.00000000012</v>
      </c>
      <c r="R1135" s="16">
        <f>'Financial Inputs'!$B$7</f>
        <v>0.35</v>
      </c>
      <c r="S1135" s="17">
        <f>Q1135*(1-R1135)</f>
        <v>514800.00000000012</v>
      </c>
      <c r="T1135" s="18">
        <f>S1135/'Financial Inputs'!$B$3</f>
        <v>5.1480000000000015E-3</v>
      </c>
      <c r="U1135" s="9" t="s">
        <v>52</v>
      </c>
      <c r="V1135" s="3" t="s">
        <v>53</v>
      </c>
    </row>
    <row r="1136" spans="1:22">
      <c r="A1136" s="2" t="s">
        <v>3630</v>
      </c>
      <c r="B1136" s="2" t="s">
        <v>3631</v>
      </c>
      <c r="C1136" s="2" t="s">
        <v>3528</v>
      </c>
      <c r="D1136" s="2" t="s">
        <v>133</v>
      </c>
      <c r="E1136" s="2" t="s">
        <v>122</v>
      </c>
      <c r="F1136" s="2" t="s">
        <v>66</v>
      </c>
      <c r="G1136" s="2" t="s">
        <v>56</v>
      </c>
      <c r="H1136" s="2" t="s">
        <v>46</v>
      </c>
      <c r="I1136" s="2" t="s">
        <v>47</v>
      </c>
      <c r="J1136" s="2" t="s">
        <v>3529</v>
      </c>
      <c r="K1136" s="2" t="s">
        <v>3632</v>
      </c>
      <c r="L1136" s="2" t="s">
        <v>234</v>
      </c>
      <c r="M1136" s="2" t="s">
        <v>3228</v>
      </c>
      <c r="N1136" s="16">
        <v>2.1600000000000001E-2</v>
      </c>
      <c r="O1136" s="17">
        <f>N1136*'Financial Inputs'!$B$3</f>
        <v>2160000</v>
      </c>
      <c r="P1136" s="18">
        <f>IF(I1136="L",'Financial Inputs'!$B$4,IF(I1136="M",'Financial Inputs'!$B$5,'Financial Inputs'!$B$6))</f>
        <v>0.4</v>
      </c>
      <c r="Q1136" s="17">
        <f>O1136*P1136</f>
        <v>864000</v>
      </c>
      <c r="R1136" s="16">
        <f>'Financial Inputs'!$B$7</f>
        <v>0.35</v>
      </c>
      <c r="S1136" s="17">
        <f>Q1136*(1-R1136)</f>
        <v>561600</v>
      </c>
      <c r="T1136" s="18">
        <f>S1136/'Financial Inputs'!$B$3</f>
        <v>5.6160000000000003E-3</v>
      </c>
      <c r="U1136" s="9" t="s">
        <v>52</v>
      </c>
      <c r="V1136" s="3" t="s">
        <v>53</v>
      </c>
    </row>
    <row r="1137" spans="1:22">
      <c r="A1137" s="2" t="s">
        <v>3633</v>
      </c>
      <c r="B1137" s="2" t="s">
        <v>3634</v>
      </c>
      <c r="C1137" s="2" t="s">
        <v>3528</v>
      </c>
      <c r="D1137" s="2" t="s">
        <v>102</v>
      </c>
      <c r="E1137" s="2" t="s">
        <v>73</v>
      </c>
      <c r="F1137" s="2" t="s">
        <v>110</v>
      </c>
      <c r="G1137" s="2" t="s">
        <v>83</v>
      </c>
      <c r="H1137" s="2" t="s">
        <v>46</v>
      </c>
      <c r="I1137" s="2" t="s">
        <v>47</v>
      </c>
      <c r="J1137" s="2" t="s">
        <v>3529</v>
      </c>
      <c r="K1137" s="2" t="s">
        <v>3635</v>
      </c>
      <c r="L1137" s="2" t="s">
        <v>238</v>
      </c>
      <c r="M1137" s="2" t="s">
        <v>3228</v>
      </c>
      <c r="N1137" s="16">
        <v>1.44E-2</v>
      </c>
      <c r="O1137" s="17">
        <f>N1137*'Financial Inputs'!$B$3</f>
        <v>1440000</v>
      </c>
      <c r="P1137" s="18">
        <f>IF(I1137="L",'Financial Inputs'!$B$4,IF(I1137="M",'Financial Inputs'!$B$5,'Financial Inputs'!$B$6))</f>
        <v>0.4</v>
      </c>
      <c r="Q1137" s="17">
        <f>O1137*P1137</f>
        <v>576000</v>
      </c>
      <c r="R1137" s="16">
        <f>'Financial Inputs'!$B$7</f>
        <v>0.35</v>
      </c>
      <c r="S1137" s="17">
        <f>Q1137*(1-R1137)</f>
        <v>374400</v>
      </c>
      <c r="T1137" s="18">
        <f>S1137/'Financial Inputs'!$B$3</f>
        <v>3.7439999999999999E-3</v>
      </c>
      <c r="U1137" s="9" t="s">
        <v>52</v>
      </c>
      <c r="V1137" s="3" t="s">
        <v>53</v>
      </c>
    </row>
    <row r="1138" spans="1:22">
      <c r="A1138" s="2" t="s">
        <v>3636</v>
      </c>
      <c r="B1138" s="2" t="s">
        <v>3637</v>
      </c>
      <c r="C1138" s="2" t="s">
        <v>3528</v>
      </c>
      <c r="D1138" s="2" t="s">
        <v>42</v>
      </c>
      <c r="E1138" s="2" t="s">
        <v>81</v>
      </c>
      <c r="F1138" s="2" t="s">
        <v>117</v>
      </c>
      <c r="G1138" s="2" t="s">
        <v>111</v>
      </c>
      <c r="H1138" s="2" t="s">
        <v>46</v>
      </c>
      <c r="I1138" s="2" t="s">
        <v>47</v>
      </c>
      <c r="J1138" s="2" t="s">
        <v>3529</v>
      </c>
      <c r="K1138" s="2" t="s">
        <v>3638</v>
      </c>
      <c r="L1138" s="2" t="s">
        <v>242</v>
      </c>
      <c r="M1138" s="2" t="s">
        <v>3228</v>
      </c>
      <c r="N1138" s="16">
        <v>1.6199999999999999E-2</v>
      </c>
      <c r="O1138" s="17">
        <f>N1138*'Financial Inputs'!$B$3</f>
        <v>1620000</v>
      </c>
      <c r="P1138" s="18">
        <f>IF(I1138="L",'Financial Inputs'!$B$4,IF(I1138="M",'Financial Inputs'!$B$5,'Financial Inputs'!$B$6))</f>
        <v>0.4</v>
      </c>
      <c r="Q1138" s="17">
        <f>O1138*P1138</f>
        <v>648000</v>
      </c>
      <c r="R1138" s="16">
        <f>'Financial Inputs'!$B$7</f>
        <v>0.35</v>
      </c>
      <c r="S1138" s="17">
        <f>Q1138*(1-R1138)</f>
        <v>421200</v>
      </c>
      <c r="T1138" s="18">
        <f>S1138/'Financial Inputs'!$B$3</f>
        <v>4.2119999999999996E-3</v>
      </c>
      <c r="U1138" s="9" t="s">
        <v>52</v>
      </c>
      <c r="V1138" s="3" t="s">
        <v>53</v>
      </c>
    </row>
    <row r="1139" spans="1:22">
      <c r="A1139" s="2" t="s">
        <v>3639</v>
      </c>
      <c r="B1139" s="2" t="s">
        <v>3640</v>
      </c>
      <c r="C1139" s="2" t="s">
        <v>3528</v>
      </c>
      <c r="D1139" s="2" t="s">
        <v>56</v>
      </c>
      <c r="E1139" s="2" t="s">
        <v>193</v>
      </c>
      <c r="F1139" s="2" t="s">
        <v>90</v>
      </c>
      <c r="G1139" s="2" t="s">
        <v>56</v>
      </c>
      <c r="H1139" s="2" t="s">
        <v>46</v>
      </c>
      <c r="I1139" s="2" t="s">
        <v>47</v>
      </c>
      <c r="J1139" s="2" t="s">
        <v>3529</v>
      </c>
      <c r="K1139" s="2" t="s">
        <v>3641</v>
      </c>
      <c r="L1139" s="2" t="s">
        <v>246</v>
      </c>
      <c r="M1139" s="2" t="s">
        <v>3228</v>
      </c>
      <c r="N1139" s="16">
        <v>1.7999999999999999E-2</v>
      </c>
      <c r="O1139" s="17">
        <f>N1139*'Financial Inputs'!$B$3</f>
        <v>1799999.9999999998</v>
      </c>
      <c r="P1139" s="18">
        <f>IF(I1139="L",'Financial Inputs'!$B$4,IF(I1139="M",'Financial Inputs'!$B$5,'Financial Inputs'!$B$6))</f>
        <v>0.4</v>
      </c>
      <c r="Q1139" s="17">
        <f>O1139*P1139</f>
        <v>720000</v>
      </c>
      <c r="R1139" s="16">
        <f>'Financial Inputs'!$B$7</f>
        <v>0.35</v>
      </c>
      <c r="S1139" s="17">
        <f>Q1139*(1-R1139)</f>
        <v>468000</v>
      </c>
      <c r="T1139" s="18">
        <f>S1139/'Financial Inputs'!$B$3</f>
        <v>4.6800000000000001E-3</v>
      </c>
      <c r="U1139" s="9" t="s">
        <v>52</v>
      </c>
      <c r="V1139" s="3" t="s">
        <v>53</v>
      </c>
    </row>
    <row r="1140" spans="1:22">
      <c r="A1140" s="2" t="s">
        <v>3642</v>
      </c>
      <c r="B1140" s="2" t="s">
        <v>3643</v>
      </c>
      <c r="C1140" s="2" t="s">
        <v>3528</v>
      </c>
      <c r="D1140" s="2" t="s">
        <v>64</v>
      </c>
      <c r="E1140" s="2" t="s">
        <v>198</v>
      </c>
      <c r="F1140" s="2" t="s">
        <v>97</v>
      </c>
      <c r="G1140" s="2" t="s">
        <v>138</v>
      </c>
      <c r="H1140" s="2" t="s">
        <v>46</v>
      </c>
      <c r="I1140" s="2" t="s">
        <v>47</v>
      </c>
      <c r="J1140" s="2" t="s">
        <v>3529</v>
      </c>
      <c r="K1140" s="2" t="s">
        <v>3644</v>
      </c>
      <c r="L1140" s="2" t="s">
        <v>250</v>
      </c>
      <c r="M1140" s="2" t="s">
        <v>3228</v>
      </c>
      <c r="N1140" s="16">
        <v>1.9800000000000002E-2</v>
      </c>
      <c r="O1140" s="17">
        <f>N1140*'Financial Inputs'!$B$3</f>
        <v>1980000.0000000002</v>
      </c>
      <c r="P1140" s="18">
        <f>IF(I1140="L",'Financial Inputs'!$B$4,IF(I1140="M",'Financial Inputs'!$B$5,'Financial Inputs'!$B$6))</f>
        <v>0.4</v>
      </c>
      <c r="Q1140" s="17">
        <f>O1140*P1140</f>
        <v>792000.00000000012</v>
      </c>
      <c r="R1140" s="16">
        <f>'Financial Inputs'!$B$7</f>
        <v>0.35</v>
      </c>
      <c r="S1140" s="17">
        <f>Q1140*(1-R1140)</f>
        <v>514800.00000000012</v>
      </c>
      <c r="T1140" s="18">
        <f>S1140/'Financial Inputs'!$B$3</f>
        <v>5.1480000000000015E-3</v>
      </c>
      <c r="U1140" s="9" t="s">
        <v>52</v>
      </c>
      <c r="V1140" s="3" t="s">
        <v>53</v>
      </c>
    </row>
    <row r="1141" spans="1:22">
      <c r="A1141" s="2" t="s">
        <v>3645</v>
      </c>
      <c r="B1141" s="2" t="s">
        <v>3646</v>
      </c>
      <c r="C1141" s="2" t="s">
        <v>3528</v>
      </c>
      <c r="D1141" s="2" t="s">
        <v>72</v>
      </c>
      <c r="E1141" s="2" t="s">
        <v>148</v>
      </c>
      <c r="F1141" s="2" t="s">
        <v>104</v>
      </c>
      <c r="G1141" s="2" t="s">
        <v>143</v>
      </c>
      <c r="H1141" s="2" t="s">
        <v>46</v>
      </c>
      <c r="I1141" s="2" t="s">
        <v>47</v>
      </c>
      <c r="J1141" s="2" t="s">
        <v>3529</v>
      </c>
      <c r="K1141" s="2" t="s">
        <v>3647</v>
      </c>
      <c r="L1141" s="2" t="s">
        <v>254</v>
      </c>
      <c r="M1141" s="2" t="s">
        <v>3228</v>
      </c>
      <c r="N1141" s="16">
        <v>2.1600000000000001E-2</v>
      </c>
      <c r="O1141" s="17">
        <f>N1141*'Financial Inputs'!$B$3</f>
        <v>2160000</v>
      </c>
      <c r="P1141" s="18">
        <f>IF(I1141="L",'Financial Inputs'!$B$4,IF(I1141="M",'Financial Inputs'!$B$5,'Financial Inputs'!$B$6))</f>
        <v>0.4</v>
      </c>
      <c r="Q1141" s="17">
        <f>O1141*P1141</f>
        <v>864000</v>
      </c>
      <c r="R1141" s="16">
        <f>'Financial Inputs'!$B$7</f>
        <v>0.35</v>
      </c>
      <c r="S1141" s="17">
        <f>Q1141*(1-R1141)</f>
        <v>561600</v>
      </c>
      <c r="T1141" s="18">
        <f>S1141/'Financial Inputs'!$B$3</f>
        <v>5.6160000000000003E-3</v>
      </c>
      <c r="U1141" s="9" t="s">
        <v>52</v>
      </c>
      <c r="V1141" s="3" t="s">
        <v>53</v>
      </c>
    </row>
    <row r="1142" spans="1:22">
      <c r="A1142" s="2" t="s">
        <v>3648</v>
      </c>
      <c r="B1142" s="2" t="s">
        <v>3649</v>
      </c>
      <c r="C1142" s="2" t="s">
        <v>3528</v>
      </c>
      <c r="D1142" s="2" t="s">
        <v>133</v>
      </c>
      <c r="E1142" s="2" t="s">
        <v>109</v>
      </c>
      <c r="F1142" s="2" t="s">
        <v>82</v>
      </c>
      <c r="G1142" s="2" t="s">
        <v>56</v>
      </c>
      <c r="H1142" s="2" t="s">
        <v>46</v>
      </c>
      <c r="I1142" s="2" t="s">
        <v>47</v>
      </c>
      <c r="J1142" s="2" t="s">
        <v>3529</v>
      </c>
      <c r="K1142" s="2" t="s">
        <v>3650</v>
      </c>
      <c r="L1142" s="2" t="s">
        <v>258</v>
      </c>
      <c r="M1142" s="2" t="s">
        <v>3228</v>
      </c>
      <c r="N1142" s="16">
        <v>1.44E-2</v>
      </c>
      <c r="O1142" s="17">
        <f>N1142*'Financial Inputs'!$B$3</f>
        <v>1440000</v>
      </c>
      <c r="P1142" s="18">
        <f>IF(I1142="L",'Financial Inputs'!$B$4,IF(I1142="M",'Financial Inputs'!$B$5,'Financial Inputs'!$B$6))</f>
        <v>0.4</v>
      </c>
      <c r="Q1142" s="17">
        <f>O1142*P1142</f>
        <v>576000</v>
      </c>
      <c r="R1142" s="16">
        <f>'Financial Inputs'!$B$7</f>
        <v>0.35</v>
      </c>
      <c r="S1142" s="17">
        <f>Q1142*(1-R1142)</f>
        <v>374400</v>
      </c>
      <c r="T1142" s="18">
        <f>S1142/'Financial Inputs'!$B$3</f>
        <v>3.7439999999999999E-3</v>
      </c>
      <c r="U1142" s="9" t="s">
        <v>52</v>
      </c>
      <c r="V1142" s="3" t="s">
        <v>53</v>
      </c>
    </row>
    <row r="1143" spans="1:22">
      <c r="A1143" s="2" t="s">
        <v>3651</v>
      </c>
      <c r="B1143" s="2" t="s">
        <v>3652</v>
      </c>
      <c r="C1143" s="2" t="s">
        <v>3528</v>
      </c>
      <c r="D1143" s="2" t="s">
        <v>88</v>
      </c>
      <c r="E1143" s="2" t="s">
        <v>116</v>
      </c>
      <c r="F1143" s="2" t="s">
        <v>44</v>
      </c>
      <c r="G1143" s="2" t="s">
        <v>138</v>
      </c>
      <c r="H1143" s="2" t="s">
        <v>46</v>
      </c>
      <c r="I1143" s="2" t="s">
        <v>47</v>
      </c>
      <c r="J1143" s="2" t="s">
        <v>3529</v>
      </c>
      <c r="K1143" s="2" t="s">
        <v>3653</v>
      </c>
      <c r="L1143" s="2" t="s">
        <v>262</v>
      </c>
      <c r="M1143" s="2" t="s">
        <v>3228</v>
      </c>
      <c r="N1143" s="16">
        <v>1.6199999999999999E-2</v>
      </c>
      <c r="O1143" s="17">
        <f>N1143*'Financial Inputs'!$B$3</f>
        <v>1620000</v>
      </c>
      <c r="P1143" s="18">
        <f>IF(I1143="L",'Financial Inputs'!$B$4,IF(I1143="M",'Financial Inputs'!$B$5,'Financial Inputs'!$B$6))</f>
        <v>0.4</v>
      </c>
      <c r="Q1143" s="17">
        <f>O1143*P1143</f>
        <v>648000</v>
      </c>
      <c r="R1143" s="16">
        <f>'Financial Inputs'!$B$7</f>
        <v>0.35</v>
      </c>
      <c r="S1143" s="17">
        <f>Q1143*(1-R1143)</f>
        <v>421200</v>
      </c>
      <c r="T1143" s="18">
        <f>S1143/'Financial Inputs'!$B$3</f>
        <v>4.2119999999999996E-3</v>
      </c>
      <c r="U1143" s="9" t="s">
        <v>52</v>
      </c>
      <c r="V1143" s="3" t="s">
        <v>53</v>
      </c>
    </row>
    <row r="1144" spans="1:22">
      <c r="A1144" s="2" t="s">
        <v>3654</v>
      </c>
      <c r="B1144" s="2" t="s">
        <v>3655</v>
      </c>
      <c r="C1144" s="2" t="s">
        <v>3528</v>
      </c>
      <c r="D1144" s="2" t="s">
        <v>95</v>
      </c>
      <c r="E1144" s="2" t="s">
        <v>215</v>
      </c>
      <c r="F1144" s="2" t="s">
        <v>58</v>
      </c>
      <c r="G1144" s="2" t="s">
        <v>143</v>
      </c>
      <c r="H1144" s="2" t="s">
        <v>46</v>
      </c>
      <c r="I1144" s="2" t="s">
        <v>47</v>
      </c>
      <c r="J1144" s="2" t="s">
        <v>3529</v>
      </c>
      <c r="K1144" s="2" t="s">
        <v>3656</v>
      </c>
      <c r="L1144" s="2" t="s">
        <v>266</v>
      </c>
      <c r="M1144" s="2" t="s">
        <v>3228</v>
      </c>
      <c r="N1144" s="16">
        <v>1.7999999999999999E-2</v>
      </c>
      <c r="O1144" s="17">
        <f>N1144*'Financial Inputs'!$B$3</f>
        <v>1799999.9999999998</v>
      </c>
      <c r="P1144" s="18">
        <f>IF(I1144="L",'Financial Inputs'!$B$4,IF(I1144="M",'Financial Inputs'!$B$5,'Financial Inputs'!$B$6))</f>
        <v>0.4</v>
      </c>
      <c r="Q1144" s="17">
        <f>O1144*P1144</f>
        <v>720000</v>
      </c>
      <c r="R1144" s="16">
        <f>'Financial Inputs'!$B$7</f>
        <v>0.35</v>
      </c>
      <c r="S1144" s="17">
        <f>Q1144*(1-R1144)</f>
        <v>468000</v>
      </c>
      <c r="T1144" s="18">
        <f>S1144/'Financial Inputs'!$B$3</f>
        <v>4.6800000000000001E-3</v>
      </c>
      <c r="U1144" s="9" t="s">
        <v>52</v>
      </c>
      <c r="V1144" s="3" t="s">
        <v>53</v>
      </c>
    </row>
    <row r="1145" spans="1:22">
      <c r="A1145" s="2" t="s">
        <v>3657</v>
      </c>
      <c r="B1145" s="2" t="s">
        <v>3658</v>
      </c>
      <c r="C1145" s="2" t="s">
        <v>3528</v>
      </c>
      <c r="D1145" s="2" t="s">
        <v>102</v>
      </c>
      <c r="E1145" s="2" t="s">
        <v>220</v>
      </c>
      <c r="F1145" s="2" t="s">
        <v>66</v>
      </c>
      <c r="G1145" s="2" t="s">
        <v>162</v>
      </c>
      <c r="H1145" s="2" t="s">
        <v>46</v>
      </c>
      <c r="I1145" s="2" t="s">
        <v>47</v>
      </c>
      <c r="J1145" s="2" t="s">
        <v>3529</v>
      </c>
      <c r="K1145" s="2" t="s">
        <v>3659</v>
      </c>
      <c r="L1145" s="2" t="s">
        <v>270</v>
      </c>
      <c r="M1145" s="2" t="s">
        <v>3228</v>
      </c>
      <c r="N1145" s="16">
        <v>1.9800000000000002E-2</v>
      </c>
      <c r="O1145" s="17">
        <f>N1145*'Financial Inputs'!$B$3</f>
        <v>1980000.0000000002</v>
      </c>
      <c r="P1145" s="18">
        <f>IF(I1145="L",'Financial Inputs'!$B$4,IF(I1145="M",'Financial Inputs'!$B$5,'Financial Inputs'!$B$6))</f>
        <v>0.4</v>
      </c>
      <c r="Q1145" s="17">
        <f>O1145*P1145</f>
        <v>792000.00000000012</v>
      </c>
      <c r="R1145" s="16">
        <f>'Financial Inputs'!$B$7</f>
        <v>0.35</v>
      </c>
      <c r="S1145" s="17">
        <f>Q1145*(1-R1145)</f>
        <v>514800.00000000012</v>
      </c>
      <c r="T1145" s="18">
        <f>S1145/'Financial Inputs'!$B$3</f>
        <v>5.1480000000000015E-3</v>
      </c>
      <c r="U1145" s="9" t="s">
        <v>52</v>
      </c>
      <c r="V1145" s="3" t="s">
        <v>53</v>
      </c>
    </row>
    <row r="1146" spans="1:22">
      <c r="A1146" s="2" t="s">
        <v>3660</v>
      </c>
      <c r="B1146" s="2" t="s">
        <v>3661</v>
      </c>
      <c r="C1146" s="2" t="s">
        <v>3528</v>
      </c>
      <c r="D1146" s="2" t="s">
        <v>42</v>
      </c>
      <c r="E1146" s="2" t="s">
        <v>171</v>
      </c>
      <c r="F1146" s="2" t="s">
        <v>74</v>
      </c>
      <c r="G1146" s="2" t="s">
        <v>45</v>
      </c>
      <c r="H1146" s="2" t="s">
        <v>46</v>
      </c>
      <c r="I1146" s="2" t="s">
        <v>47</v>
      </c>
      <c r="J1146" s="2" t="s">
        <v>3529</v>
      </c>
      <c r="K1146" s="2" t="s">
        <v>3662</v>
      </c>
      <c r="L1146" s="2" t="s">
        <v>274</v>
      </c>
      <c r="M1146" s="2" t="s">
        <v>3228</v>
      </c>
      <c r="N1146" s="16">
        <v>2.1600000000000001E-2</v>
      </c>
      <c r="O1146" s="17">
        <f>N1146*'Financial Inputs'!$B$3</f>
        <v>2160000</v>
      </c>
      <c r="P1146" s="18">
        <f>IF(I1146="L",'Financial Inputs'!$B$4,IF(I1146="M",'Financial Inputs'!$B$5,'Financial Inputs'!$B$6))</f>
        <v>0.4</v>
      </c>
      <c r="Q1146" s="17">
        <f>O1146*P1146</f>
        <v>864000</v>
      </c>
      <c r="R1146" s="16">
        <f>'Financial Inputs'!$B$7</f>
        <v>0.35</v>
      </c>
      <c r="S1146" s="17">
        <f>Q1146*(1-R1146)</f>
        <v>561600</v>
      </c>
      <c r="T1146" s="18">
        <f>S1146/'Financial Inputs'!$B$3</f>
        <v>5.6160000000000003E-3</v>
      </c>
      <c r="U1146" s="9" t="s">
        <v>52</v>
      </c>
      <c r="V1146" s="3" t="s">
        <v>53</v>
      </c>
    </row>
    <row r="1147" spans="1:22">
      <c r="A1147" s="2" t="s">
        <v>3663</v>
      </c>
      <c r="B1147" s="2" t="s">
        <v>3664</v>
      </c>
      <c r="C1147" s="2" t="s">
        <v>3528</v>
      </c>
      <c r="D1147" s="2" t="s">
        <v>72</v>
      </c>
      <c r="E1147" s="2" t="s">
        <v>57</v>
      </c>
      <c r="F1147" s="2" t="s">
        <v>117</v>
      </c>
      <c r="G1147" s="2" t="s">
        <v>143</v>
      </c>
      <c r="H1147" s="2" t="s">
        <v>46</v>
      </c>
      <c r="I1147" s="2" t="s">
        <v>47</v>
      </c>
      <c r="J1147" s="2" t="s">
        <v>3529</v>
      </c>
      <c r="K1147" s="2" t="s">
        <v>3665</v>
      </c>
      <c r="L1147" s="2" t="s">
        <v>278</v>
      </c>
      <c r="M1147" s="2" t="s">
        <v>3228</v>
      </c>
      <c r="N1147" s="16">
        <v>1.44E-2</v>
      </c>
      <c r="O1147" s="17">
        <f>N1147*'Financial Inputs'!$B$3</f>
        <v>1440000</v>
      </c>
      <c r="P1147" s="18">
        <f>IF(I1147="L",'Financial Inputs'!$B$4,IF(I1147="M",'Financial Inputs'!$B$5,'Financial Inputs'!$B$6))</f>
        <v>0.4</v>
      </c>
      <c r="Q1147" s="17">
        <f>O1147*P1147</f>
        <v>576000</v>
      </c>
      <c r="R1147" s="16">
        <f>'Financial Inputs'!$B$7</f>
        <v>0.35</v>
      </c>
      <c r="S1147" s="17">
        <f>Q1147*(1-R1147)</f>
        <v>374400</v>
      </c>
      <c r="T1147" s="18">
        <f>S1147/'Financial Inputs'!$B$3</f>
        <v>3.7439999999999999E-3</v>
      </c>
      <c r="U1147" s="9" t="s">
        <v>52</v>
      </c>
      <c r="V1147" s="3" t="s">
        <v>53</v>
      </c>
    </row>
    <row r="1148" spans="1:22">
      <c r="A1148" s="2" t="s">
        <v>3666</v>
      </c>
      <c r="B1148" s="2" t="s">
        <v>3667</v>
      </c>
      <c r="C1148" s="2" t="s">
        <v>3528</v>
      </c>
      <c r="D1148" s="2" t="s">
        <v>80</v>
      </c>
      <c r="E1148" s="2" t="s">
        <v>65</v>
      </c>
      <c r="F1148" s="2" t="s">
        <v>90</v>
      </c>
      <c r="G1148" s="2" t="s">
        <v>162</v>
      </c>
      <c r="H1148" s="2" t="s">
        <v>46</v>
      </c>
      <c r="I1148" s="2" t="s">
        <v>47</v>
      </c>
      <c r="J1148" s="2" t="s">
        <v>3529</v>
      </c>
      <c r="K1148" s="2" t="s">
        <v>3668</v>
      </c>
      <c r="L1148" s="2" t="s">
        <v>282</v>
      </c>
      <c r="M1148" s="2" t="s">
        <v>3228</v>
      </c>
      <c r="N1148" s="16">
        <v>1.6199999999999999E-2</v>
      </c>
      <c r="O1148" s="17">
        <f>N1148*'Financial Inputs'!$B$3</f>
        <v>1620000</v>
      </c>
      <c r="P1148" s="18">
        <f>IF(I1148="L",'Financial Inputs'!$B$4,IF(I1148="M",'Financial Inputs'!$B$5,'Financial Inputs'!$B$6))</f>
        <v>0.4</v>
      </c>
      <c r="Q1148" s="17">
        <f>O1148*P1148</f>
        <v>648000</v>
      </c>
      <c r="R1148" s="16">
        <f>'Financial Inputs'!$B$7</f>
        <v>0.35</v>
      </c>
      <c r="S1148" s="17">
        <f>Q1148*(1-R1148)</f>
        <v>421200</v>
      </c>
      <c r="T1148" s="18">
        <f>S1148/'Financial Inputs'!$B$3</f>
        <v>4.2119999999999996E-3</v>
      </c>
      <c r="U1148" s="9" t="s">
        <v>52</v>
      </c>
      <c r="V1148" s="3" t="s">
        <v>53</v>
      </c>
    </row>
    <row r="1149" spans="1:22">
      <c r="A1149" s="2" t="s">
        <v>3669</v>
      </c>
      <c r="B1149" s="2" t="s">
        <v>3670</v>
      </c>
      <c r="C1149" s="2" t="s">
        <v>3528</v>
      </c>
      <c r="D1149" s="2" t="s">
        <v>127</v>
      </c>
      <c r="E1149" s="2" t="s">
        <v>73</v>
      </c>
      <c r="F1149" s="2" t="s">
        <v>97</v>
      </c>
      <c r="G1149" s="2" t="s">
        <v>45</v>
      </c>
      <c r="H1149" s="2" t="s">
        <v>46</v>
      </c>
      <c r="I1149" s="2" t="s">
        <v>47</v>
      </c>
      <c r="J1149" s="2" t="s">
        <v>3529</v>
      </c>
      <c r="K1149" s="2" t="s">
        <v>3671</v>
      </c>
      <c r="L1149" s="2" t="s">
        <v>286</v>
      </c>
      <c r="M1149" s="2" t="s">
        <v>3228</v>
      </c>
      <c r="N1149" s="16">
        <v>1.7999999999999999E-2</v>
      </c>
      <c r="O1149" s="17">
        <f>N1149*'Financial Inputs'!$B$3</f>
        <v>1799999.9999999998</v>
      </c>
      <c r="P1149" s="18">
        <f>IF(I1149="L",'Financial Inputs'!$B$4,IF(I1149="M",'Financial Inputs'!$B$5,'Financial Inputs'!$B$6))</f>
        <v>0.4</v>
      </c>
      <c r="Q1149" s="17">
        <f>O1149*P1149</f>
        <v>720000</v>
      </c>
      <c r="R1149" s="16">
        <f>'Financial Inputs'!$B$7</f>
        <v>0.35</v>
      </c>
      <c r="S1149" s="17">
        <f>Q1149*(1-R1149)</f>
        <v>468000</v>
      </c>
      <c r="T1149" s="18">
        <f>S1149/'Financial Inputs'!$B$3</f>
        <v>4.6800000000000001E-3</v>
      </c>
      <c r="U1149" s="9" t="s">
        <v>52</v>
      </c>
      <c r="V1149" s="3" t="s">
        <v>53</v>
      </c>
    </row>
    <row r="1150" spans="1:22">
      <c r="A1150" s="2" t="s">
        <v>3672</v>
      </c>
      <c r="B1150" s="2" t="s">
        <v>3673</v>
      </c>
      <c r="C1150" s="2" t="s">
        <v>3528</v>
      </c>
      <c r="D1150" s="2" t="s">
        <v>133</v>
      </c>
      <c r="E1150" s="2" t="s">
        <v>81</v>
      </c>
      <c r="F1150" s="2" t="s">
        <v>104</v>
      </c>
      <c r="G1150" s="2" t="s">
        <v>59</v>
      </c>
      <c r="H1150" s="2" t="s">
        <v>46</v>
      </c>
      <c r="I1150" s="2" t="s">
        <v>47</v>
      </c>
      <c r="J1150" s="2" t="s">
        <v>3529</v>
      </c>
      <c r="K1150" s="2" t="s">
        <v>3674</v>
      </c>
      <c r="L1150" s="2" t="s">
        <v>290</v>
      </c>
      <c r="M1150" s="2" t="s">
        <v>3228</v>
      </c>
      <c r="N1150" s="16">
        <v>1.9800000000000002E-2</v>
      </c>
      <c r="O1150" s="17">
        <f>N1150*'Financial Inputs'!$B$3</f>
        <v>1980000.0000000002</v>
      </c>
      <c r="P1150" s="18">
        <f>IF(I1150="L",'Financial Inputs'!$B$4,IF(I1150="M",'Financial Inputs'!$B$5,'Financial Inputs'!$B$6))</f>
        <v>0.4</v>
      </c>
      <c r="Q1150" s="17">
        <f>O1150*P1150</f>
        <v>792000.00000000012</v>
      </c>
      <c r="R1150" s="16">
        <f>'Financial Inputs'!$B$7</f>
        <v>0.35</v>
      </c>
      <c r="S1150" s="17">
        <f>Q1150*(1-R1150)</f>
        <v>514800.00000000012</v>
      </c>
      <c r="T1150" s="18">
        <f>S1150/'Financial Inputs'!$B$3</f>
        <v>5.1480000000000015E-3</v>
      </c>
      <c r="U1150" s="9" t="s">
        <v>52</v>
      </c>
      <c r="V1150" s="3" t="s">
        <v>53</v>
      </c>
    </row>
    <row r="1151" spans="1:22">
      <c r="A1151" s="2" t="s">
        <v>3675</v>
      </c>
      <c r="B1151" s="2" t="s">
        <v>3676</v>
      </c>
      <c r="C1151" s="2" t="s">
        <v>3528</v>
      </c>
      <c r="D1151" s="2" t="s">
        <v>88</v>
      </c>
      <c r="E1151" s="2" t="s">
        <v>193</v>
      </c>
      <c r="F1151" s="2" t="s">
        <v>110</v>
      </c>
      <c r="G1151" s="2" t="s">
        <v>67</v>
      </c>
      <c r="H1151" s="2" t="s">
        <v>46</v>
      </c>
      <c r="I1151" s="2" t="s">
        <v>47</v>
      </c>
      <c r="J1151" s="2" t="s">
        <v>3529</v>
      </c>
      <c r="K1151" s="2" t="s">
        <v>3677</v>
      </c>
      <c r="L1151" s="2" t="s">
        <v>294</v>
      </c>
      <c r="M1151" s="2" t="s">
        <v>3228</v>
      </c>
      <c r="N1151" s="16">
        <v>2.1600000000000001E-2</v>
      </c>
      <c r="O1151" s="17">
        <f>N1151*'Financial Inputs'!$B$3</f>
        <v>2160000</v>
      </c>
      <c r="P1151" s="18">
        <f>IF(I1151="L",'Financial Inputs'!$B$4,IF(I1151="M",'Financial Inputs'!$B$5,'Financial Inputs'!$B$6))</f>
        <v>0.4</v>
      </c>
      <c r="Q1151" s="17">
        <f>O1151*P1151</f>
        <v>864000</v>
      </c>
      <c r="R1151" s="16">
        <f>'Financial Inputs'!$B$7</f>
        <v>0.35</v>
      </c>
      <c r="S1151" s="17">
        <f>Q1151*(1-R1151)</f>
        <v>561600</v>
      </c>
      <c r="T1151" s="18">
        <f>S1151/'Financial Inputs'!$B$3</f>
        <v>5.6160000000000003E-3</v>
      </c>
      <c r="U1151" s="9" t="s">
        <v>52</v>
      </c>
      <c r="V1151" s="3" t="s">
        <v>53</v>
      </c>
    </row>
    <row r="1152" spans="1:22">
      <c r="A1152" s="2" t="s">
        <v>3678</v>
      </c>
      <c r="B1152" s="2" t="s">
        <v>3679</v>
      </c>
      <c r="C1152" s="2" t="s">
        <v>3528</v>
      </c>
      <c r="D1152" s="2" t="s">
        <v>42</v>
      </c>
      <c r="E1152" s="2" t="s">
        <v>96</v>
      </c>
      <c r="F1152" s="2" t="s">
        <v>44</v>
      </c>
      <c r="G1152" s="2" t="s">
        <v>45</v>
      </c>
      <c r="H1152" s="2" t="s">
        <v>46</v>
      </c>
      <c r="I1152" s="2" t="s">
        <v>47</v>
      </c>
      <c r="J1152" s="2" t="s">
        <v>3529</v>
      </c>
      <c r="K1152" s="2" t="s">
        <v>3680</v>
      </c>
      <c r="L1152" s="2" t="s">
        <v>298</v>
      </c>
      <c r="M1152" s="2" t="s">
        <v>3228</v>
      </c>
      <c r="N1152" s="16">
        <v>1.44E-2</v>
      </c>
      <c r="O1152" s="17">
        <f>N1152*'Financial Inputs'!$B$3</f>
        <v>1440000</v>
      </c>
      <c r="P1152" s="18">
        <f>IF(I1152="L",'Financial Inputs'!$B$4,IF(I1152="M",'Financial Inputs'!$B$5,'Financial Inputs'!$B$6))</f>
        <v>0.4</v>
      </c>
      <c r="Q1152" s="17">
        <f>O1152*P1152</f>
        <v>576000</v>
      </c>
      <c r="R1152" s="16">
        <f>'Financial Inputs'!$B$7</f>
        <v>0.35</v>
      </c>
      <c r="S1152" s="17">
        <f>Q1152*(1-R1152)</f>
        <v>374400</v>
      </c>
      <c r="T1152" s="18">
        <f>S1152/'Financial Inputs'!$B$3</f>
        <v>3.7439999999999999E-3</v>
      </c>
      <c r="U1152" s="9" t="s">
        <v>52</v>
      </c>
      <c r="V1152" s="3" t="s">
        <v>53</v>
      </c>
    </row>
    <row r="1153" spans="1:22">
      <c r="A1153" s="2" t="s">
        <v>3681</v>
      </c>
      <c r="B1153" s="2" t="s">
        <v>3682</v>
      </c>
      <c r="C1153" s="2" t="s">
        <v>3528</v>
      </c>
      <c r="D1153" s="2" t="s">
        <v>56</v>
      </c>
      <c r="E1153" s="2" t="s">
        <v>103</v>
      </c>
      <c r="F1153" s="2" t="s">
        <v>58</v>
      </c>
      <c r="G1153" s="2" t="s">
        <v>59</v>
      </c>
      <c r="H1153" s="2" t="s">
        <v>46</v>
      </c>
      <c r="I1153" s="2" t="s">
        <v>47</v>
      </c>
      <c r="J1153" s="2" t="s">
        <v>3529</v>
      </c>
      <c r="K1153" s="2" t="s">
        <v>3683</v>
      </c>
      <c r="L1153" s="2" t="s">
        <v>302</v>
      </c>
      <c r="M1153" s="2" t="s">
        <v>3228</v>
      </c>
      <c r="N1153" s="16">
        <v>1.6199999999999999E-2</v>
      </c>
      <c r="O1153" s="17">
        <f>N1153*'Financial Inputs'!$B$3</f>
        <v>1620000</v>
      </c>
      <c r="P1153" s="18">
        <f>IF(I1153="L",'Financial Inputs'!$B$4,IF(I1153="M",'Financial Inputs'!$B$5,'Financial Inputs'!$B$6))</f>
        <v>0.4</v>
      </c>
      <c r="Q1153" s="17">
        <f>O1153*P1153</f>
        <v>648000</v>
      </c>
      <c r="R1153" s="16">
        <f>'Financial Inputs'!$B$7</f>
        <v>0.35</v>
      </c>
      <c r="S1153" s="17">
        <f>Q1153*(1-R1153)</f>
        <v>421200</v>
      </c>
      <c r="T1153" s="18">
        <f>S1153/'Financial Inputs'!$B$3</f>
        <v>4.2119999999999996E-3</v>
      </c>
      <c r="U1153" s="9" t="s">
        <v>52</v>
      </c>
      <c r="V1153" s="3" t="s">
        <v>53</v>
      </c>
    </row>
    <row r="1154" spans="1:22">
      <c r="A1154" s="2" t="s">
        <v>3684</v>
      </c>
      <c r="B1154" s="2" t="s">
        <v>3685</v>
      </c>
      <c r="C1154" s="2" t="s">
        <v>3528</v>
      </c>
      <c r="D1154" s="2" t="s">
        <v>64</v>
      </c>
      <c r="E1154" s="2" t="s">
        <v>109</v>
      </c>
      <c r="F1154" s="2" t="s">
        <v>66</v>
      </c>
      <c r="G1154" s="2" t="s">
        <v>67</v>
      </c>
      <c r="H1154" s="2" t="s">
        <v>46</v>
      </c>
      <c r="I1154" s="2" t="s">
        <v>47</v>
      </c>
      <c r="J1154" s="2" t="s">
        <v>3529</v>
      </c>
      <c r="K1154" s="2" t="s">
        <v>3686</v>
      </c>
      <c r="L1154" s="2" t="s">
        <v>306</v>
      </c>
      <c r="M1154" s="2" t="s">
        <v>3228</v>
      </c>
      <c r="N1154" s="16">
        <v>1.7999999999999999E-2</v>
      </c>
      <c r="O1154" s="17">
        <f>N1154*'Financial Inputs'!$B$3</f>
        <v>1799999.9999999998</v>
      </c>
      <c r="P1154" s="18">
        <f>IF(I1154="L",'Financial Inputs'!$B$4,IF(I1154="M",'Financial Inputs'!$B$5,'Financial Inputs'!$B$6))</f>
        <v>0.4</v>
      </c>
      <c r="Q1154" s="17">
        <f>O1154*P1154</f>
        <v>720000</v>
      </c>
      <c r="R1154" s="16">
        <f>'Financial Inputs'!$B$7</f>
        <v>0.35</v>
      </c>
      <c r="S1154" s="17">
        <f>Q1154*(1-R1154)</f>
        <v>468000</v>
      </c>
      <c r="T1154" s="18">
        <f>S1154/'Financial Inputs'!$B$3</f>
        <v>4.6800000000000001E-3</v>
      </c>
      <c r="U1154" s="9" t="s">
        <v>52</v>
      </c>
      <c r="V1154" s="3" t="s">
        <v>53</v>
      </c>
    </row>
    <row r="1155" spans="1:22">
      <c r="A1155" s="2" t="s">
        <v>3687</v>
      </c>
      <c r="B1155" s="2" t="s">
        <v>3688</v>
      </c>
      <c r="C1155" s="2" t="s">
        <v>3528</v>
      </c>
      <c r="D1155" s="2" t="s">
        <v>72</v>
      </c>
      <c r="E1155" s="2" t="s">
        <v>116</v>
      </c>
      <c r="F1155" s="2" t="s">
        <v>74</v>
      </c>
      <c r="G1155" s="2" t="s">
        <v>75</v>
      </c>
      <c r="H1155" s="2" t="s">
        <v>46</v>
      </c>
      <c r="I1155" s="2" t="s">
        <v>47</v>
      </c>
      <c r="J1155" s="2" t="s">
        <v>3529</v>
      </c>
      <c r="K1155" s="2" t="s">
        <v>3689</v>
      </c>
      <c r="L1155" s="2" t="s">
        <v>310</v>
      </c>
      <c r="M1155" s="2" t="s">
        <v>3228</v>
      </c>
      <c r="N1155" s="16">
        <v>1.9800000000000002E-2</v>
      </c>
      <c r="O1155" s="17">
        <f>N1155*'Financial Inputs'!$B$3</f>
        <v>1980000.0000000002</v>
      </c>
      <c r="P1155" s="18">
        <f>IF(I1155="L",'Financial Inputs'!$B$4,IF(I1155="M",'Financial Inputs'!$B$5,'Financial Inputs'!$B$6))</f>
        <v>0.4</v>
      </c>
      <c r="Q1155" s="17">
        <f>O1155*P1155</f>
        <v>792000.00000000012</v>
      </c>
      <c r="R1155" s="16">
        <f>'Financial Inputs'!$B$7</f>
        <v>0.35</v>
      </c>
      <c r="S1155" s="17">
        <f>Q1155*(1-R1155)</f>
        <v>514800.00000000012</v>
      </c>
      <c r="T1155" s="18">
        <f>S1155/'Financial Inputs'!$B$3</f>
        <v>5.1480000000000015E-3</v>
      </c>
      <c r="U1155" s="9" t="s">
        <v>52</v>
      </c>
      <c r="V1155" s="3" t="s">
        <v>53</v>
      </c>
    </row>
    <row r="1156" spans="1:22">
      <c r="A1156" s="2" t="s">
        <v>3690</v>
      </c>
      <c r="B1156" s="2" t="s">
        <v>3691</v>
      </c>
      <c r="C1156" s="2" t="s">
        <v>3528</v>
      </c>
      <c r="D1156" s="2" t="s">
        <v>80</v>
      </c>
      <c r="E1156" s="2" t="s">
        <v>215</v>
      </c>
      <c r="F1156" s="2" t="s">
        <v>82</v>
      </c>
      <c r="G1156" s="2" t="s">
        <v>83</v>
      </c>
      <c r="H1156" s="2" t="s">
        <v>46</v>
      </c>
      <c r="I1156" s="2" t="s">
        <v>47</v>
      </c>
      <c r="J1156" s="2" t="s">
        <v>3529</v>
      </c>
      <c r="K1156" s="2" t="s">
        <v>3692</v>
      </c>
      <c r="L1156" s="2" t="s">
        <v>314</v>
      </c>
      <c r="M1156" s="2" t="s">
        <v>3228</v>
      </c>
      <c r="N1156" s="16">
        <v>2.1600000000000001E-2</v>
      </c>
      <c r="O1156" s="17">
        <f>N1156*'Financial Inputs'!$B$3</f>
        <v>2160000</v>
      </c>
      <c r="P1156" s="18">
        <f>IF(I1156="L",'Financial Inputs'!$B$4,IF(I1156="M",'Financial Inputs'!$B$5,'Financial Inputs'!$B$6))</f>
        <v>0.4</v>
      </c>
      <c r="Q1156" s="17">
        <f>O1156*P1156</f>
        <v>864000</v>
      </c>
      <c r="R1156" s="16">
        <f>'Financial Inputs'!$B$7</f>
        <v>0.35</v>
      </c>
      <c r="S1156" s="17">
        <f>Q1156*(1-R1156)</f>
        <v>561600</v>
      </c>
      <c r="T1156" s="18">
        <f>S1156/'Financial Inputs'!$B$3</f>
        <v>5.6160000000000003E-3</v>
      </c>
      <c r="U1156" s="9" t="s">
        <v>52</v>
      </c>
      <c r="V1156" s="3" t="s">
        <v>53</v>
      </c>
    </row>
    <row r="1157" spans="1:22">
      <c r="A1157" s="2" t="s">
        <v>3693</v>
      </c>
      <c r="B1157" s="2" t="s">
        <v>3694</v>
      </c>
      <c r="C1157" s="2" t="s">
        <v>3528</v>
      </c>
      <c r="D1157" s="2" t="s">
        <v>88</v>
      </c>
      <c r="E1157" s="2" t="s">
        <v>128</v>
      </c>
      <c r="F1157" s="2" t="s">
        <v>90</v>
      </c>
      <c r="G1157" s="2" t="s">
        <v>67</v>
      </c>
      <c r="H1157" s="2" t="s">
        <v>46</v>
      </c>
      <c r="I1157" s="2" t="s">
        <v>47</v>
      </c>
      <c r="J1157" s="2" t="s">
        <v>3529</v>
      </c>
      <c r="K1157" s="2" t="s">
        <v>3695</v>
      </c>
      <c r="L1157" s="2" t="s">
        <v>318</v>
      </c>
      <c r="M1157" s="2" t="s">
        <v>3228</v>
      </c>
      <c r="N1157" s="16">
        <v>1.44E-2</v>
      </c>
      <c r="O1157" s="17">
        <f>N1157*'Financial Inputs'!$B$3</f>
        <v>1440000</v>
      </c>
      <c r="P1157" s="18">
        <f>IF(I1157="L",'Financial Inputs'!$B$4,IF(I1157="M",'Financial Inputs'!$B$5,'Financial Inputs'!$B$6))</f>
        <v>0.4</v>
      </c>
      <c r="Q1157" s="17">
        <f>O1157*P1157</f>
        <v>576000</v>
      </c>
      <c r="R1157" s="16">
        <f>'Financial Inputs'!$B$7</f>
        <v>0.35</v>
      </c>
      <c r="S1157" s="17">
        <f>Q1157*(1-R1157)</f>
        <v>374400</v>
      </c>
      <c r="T1157" s="18">
        <f>S1157/'Financial Inputs'!$B$3</f>
        <v>3.7439999999999999E-3</v>
      </c>
      <c r="U1157" s="9" t="s">
        <v>52</v>
      </c>
      <c r="V1157" s="3" t="s">
        <v>53</v>
      </c>
    </row>
    <row r="1158" spans="1:22">
      <c r="A1158" s="2" t="s">
        <v>3696</v>
      </c>
      <c r="B1158" s="2" t="s">
        <v>3697</v>
      </c>
      <c r="C1158" s="2" t="s">
        <v>3528</v>
      </c>
      <c r="D1158" s="2" t="s">
        <v>95</v>
      </c>
      <c r="E1158" s="2" t="s">
        <v>43</v>
      </c>
      <c r="F1158" s="2" t="s">
        <v>97</v>
      </c>
      <c r="G1158" s="2" t="s">
        <v>75</v>
      </c>
      <c r="H1158" s="2" t="s">
        <v>46</v>
      </c>
      <c r="I1158" s="2" t="s">
        <v>47</v>
      </c>
      <c r="J1158" s="2" t="s">
        <v>3529</v>
      </c>
      <c r="K1158" s="2" t="s">
        <v>3698</v>
      </c>
      <c r="L1158" s="2" t="s">
        <v>322</v>
      </c>
      <c r="M1158" s="2" t="s">
        <v>3228</v>
      </c>
      <c r="N1158" s="16">
        <v>1.6199999999999999E-2</v>
      </c>
      <c r="O1158" s="17">
        <f>N1158*'Financial Inputs'!$B$3</f>
        <v>1620000</v>
      </c>
      <c r="P1158" s="18">
        <f>IF(I1158="L",'Financial Inputs'!$B$4,IF(I1158="M",'Financial Inputs'!$B$5,'Financial Inputs'!$B$6))</f>
        <v>0.4</v>
      </c>
      <c r="Q1158" s="17">
        <f>O1158*P1158</f>
        <v>648000</v>
      </c>
      <c r="R1158" s="16">
        <f>'Financial Inputs'!$B$7</f>
        <v>0.35</v>
      </c>
      <c r="S1158" s="17">
        <f>Q1158*(1-R1158)</f>
        <v>421200</v>
      </c>
      <c r="T1158" s="18">
        <f>S1158/'Financial Inputs'!$B$3</f>
        <v>4.2119999999999996E-3</v>
      </c>
      <c r="U1158" s="9" t="s">
        <v>52</v>
      </c>
      <c r="V1158" s="3" t="s">
        <v>53</v>
      </c>
    </row>
    <row r="1159" spans="1:22">
      <c r="A1159" s="2" t="s">
        <v>3699</v>
      </c>
      <c r="B1159" s="2" t="s">
        <v>3700</v>
      </c>
      <c r="C1159" s="2" t="s">
        <v>3528</v>
      </c>
      <c r="D1159" s="2" t="s">
        <v>102</v>
      </c>
      <c r="E1159" s="2" t="s">
        <v>57</v>
      </c>
      <c r="F1159" s="2" t="s">
        <v>104</v>
      </c>
      <c r="G1159" s="2" t="s">
        <v>83</v>
      </c>
      <c r="H1159" s="2" t="s">
        <v>46</v>
      </c>
      <c r="I1159" s="2" t="s">
        <v>47</v>
      </c>
      <c r="J1159" s="2" t="s">
        <v>3529</v>
      </c>
      <c r="K1159" s="2" t="s">
        <v>3701</v>
      </c>
      <c r="L1159" s="2" t="s">
        <v>326</v>
      </c>
      <c r="M1159" s="2" t="s">
        <v>3228</v>
      </c>
      <c r="N1159" s="16">
        <v>1.7999999999999999E-2</v>
      </c>
      <c r="O1159" s="17">
        <f>N1159*'Financial Inputs'!$B$3</f>
        <v>1799999.9999999998</v>
      </c>
      <c r="P1159" s="18">
        <f>IF(I1159="L",'Financial Inputs'!$B$4,IF(I1159="M",'Financial Inputs'!$B$5,'Financial Inputs'!$B$6))</f>
        <v>0.4</v>
      </c>
      <c r="Q1159" s="17">
        <f>O1159*P1159</f>
        <v>720000</v>
      </c>
      <c r="R1159" s="16">
        <f>'Financial Inputs'!$B$7</f>
        <v>0.35</v>
      </c>
      <c r="S1159" s="17">
        <f>Q1159*(1-R1159)</f>
        <v>468000</v>
      </c>
      <c r="T1159" s="18">
        <f>S1159/'Financial Inputs'!$B$3</f>
        <v>4.6800000000000001E-3</v>
      </c>
      <c r="U1159" s="9" t="s">
        <v>52</v>
      </c>
      <c r="V1159" s="3" t="s">
        <v>53</v>
      </c>
    </row>
    <row r="1160" spans="1:22">
      <c r="A1160" s="2" t="s">
        <v>3702</v>
      </c>
      <c r="B1160" s="2" t="s">
        <v>3703</v>
      </c>
      <c r="C1160" s="2" t="s">
        <v>3528</v>
      </c>
      <c r="D1160" s="2" t="s">
        <v>42</v>
      </c>
      <c r="E1160" s="2" t="s">
        <v>65</v>
      </c>
      <c r="F1160" s="2" t="s">
        <v>110</v>
      </c>
      <c r="G1160" s="2" t="s">
        <v>111</v>
      </c>
      <c r="H1160" s="2" t="s">
        <v>46</v>
      </c>
      <c r="I1160" s="2" t="s">
        <v>47</v>
      </c>
      <c r="J1160" s="2" t="s">
        <v>3529</v>
      </c>
      <c r="K1160" s="2" t="s">
        <v>3704</v>
      </c>
      <c r="L1160" s="2" t="s">
        <v>330</v>
      </c>
      <c r="M1160" s="2" t="s">
        <v>3228</v>
      </c>
      <c r="N1160" s="16">
        <v>1.9800000000000002E-2</v>
      </c>
      <c r="O1160" s="17">
        <f>N1160*'Financial Inputs'!$B$3</f>
        <v>1980000.0000000002</v>
      </c>
      <c r="P1160" s="18">
        <f>IF(I1160="L",'Financial Inputs'!$B$4,IF(I1160="M",'Financial Inputs'!$B$5,'Financial Inputs'!$B$6))</f>
        <v>0.4</v>
      </c>
      <c r="Q1160" s="17">
        <f>O1160*P1160</f>
        <v>792000.00000000012</v>
      </c>
      <c r="R1160" s="16">
        <f>'Financial Inputs'!$B$7</f>
        <v>0.35</v>
      </c>
      <c r="S1160" s="17">
        <f>Q1160*(1-R1160)</f>
        <v>514800.00000000012</v>
      </c>
      <c r="T1160" s="18">
        <f>S1160/'Financial Inputs'!$B$3</f>
        <v>5.1480000000000015E-3</v>
      </c>
      <c r="U1160" s="9" t="s">
        <v>52</v>
      </c>
      <c r="V1160" s="3" t="s">
        <v>53</v>
      </c>
    </row>
    <row r="1161" spans="1:22">
      <c r="A1161" s="2" t="s">
        <v>3705</v>
      </c>
      <c r="B1161" s="2" t="s">
        <v>3706</v>
      </c>
      <c r="C1161" s="2" t="s">
        <v>3528</v>
      </c>
      <c r="D1161" s="2" t="s">
        <v>56</v>
      </c>
      <c r="E1161" s="2" t="s">
        <v>73</v>
      </c>
      <c r="F1161" s="2" t="s">
        <v>117</v>
      </c>
      <c r="G1161" s="2" t="s">
        <v>56</v>
      </c>
      <c r="H1161" s="2" t="s">
        <v>46</v>
      </c>
      <c r="I1161" s="2" t="s">
        <v>47</v>
      </c>
      <c r="J1161" s="2" t="s">
        <v>3529</v>
      </c>
      <c r="K1161" s="2" t="s">
        <v>3707</v>
      </c>
      <c r="L1161" s="2" t="s">
        <v>334</v>
      </c>
      <c r="M1161" s="2" t="s">
        <v>3228</v>
      </c>
      <c r="N1161" s="16">
        <v>2.1600000000000001E-2</v>
      </c>
      <c r="O1161" s="17">
        <f>N1161*'Financial Inputs'!$B$3</f>
        <v>2160000</v>
      </c>
      <c r="P1161" s="18">
        <f>IF(I1161="L",'Financial Inputs'!$B$4,IF(I1161="M",'Financial Inputs'!$B$5,'Financial Inputs'!$B$6))</f>
        <v>0.4</v>
      </c>
      <c r="Q1161" s="17">
        <f>O1161*P1161</f>
        <v>864000</v>
      </c>
      <c r="R1161" s="16">
        <f>'Financial Inputs'!$B$7</f>
        <v>0.35</v>
      </c>
      <c r="S1161" s="17">
        <f>Q1161*(1-R1161)</f>
        <v>561600</v>
      </c>
      <c r="T1161" s="18">
        <f>S1161/'Financial Inputs'!$B$3</f>
        <v>5.6160000000000003E-3</v>
      </c>
      <c r="U1161" s="9" t="s">
        <v>52</v>
      </c>
      <c r="V1161" s="3" t="s">
        <v>53</v>
      </c>
    </row>
    <row r="1162" spans="1:22">
      <c r="A1162" s="2" t="s">
        <v>3708</v>
      </c>
      <c r="B1162" s="2" t="s">
        <v>3709</v>
      </c>
      <c r="C1162" s="2" t="s">
        <v>3528</v>
      </c>
      <c r="D1162" s="2" t="s">
        <v>80</v>
      </c>
      <c r="E1162" s="2" t="s">
        <v>153</v>
      </c>
      <c r="F1162" s="2" t="s">
        <v>58</v>
      </c>
      <c r="G1162" s="2" t="s">
        <v>83</v>
      </c>
      <c r="H1162" s="2" t="s">
        <v>46</v>
      </c>
      <c r="I1162" s="2" t="s">
        <v>47</v>
      </c>
      <c r="J1162" s="2" t="s">
        <v>3529</v>
      </c>
      <c r="K1162" s="2" t="s">
        <v>3710</v>
      </c>
      <c r="L1162" s="2" t="s">
        <v>338</v>
      </c>
      <c r="M1162" s="2" t="s">
        <v>3228</v>
      </c>
      <c r="N1162" s="16">
        <v>1.44E-2</v>
      </c>
      <c r="O1162" s="17">
        <f>N1162*'Financial Inputs'!$B$3</f>
        <v>1440000</v>
      </c>
      <c r="P1162" s="18">
        <f>IF(I1162="L",'Financial Inputs'!$B$4,IF(I1162="M",'Financial Inputs'!$B$5,'Financial Inputs'!$B$6))</f>
        <v>0.4</v>
      </c>
      <c r="Q1162" s="17">
        <f>O1162*P1162</f>
        <v>576000</v>
      </c>
      <c r="R1162" s="16">
        <f>'Financial Inputs'!$B$7</f>
        <v>0.35</v>
      </c>
      <c r="S1162" s="17">
        <f>Q1162*(1-R1162)</f>
        <v>374400</v>
      </c>
      <c r="T1162" s="18">
        <f>S1162/'Financial Inputs'!$B$3</f>
        <v>3.7439999999999999E-3</v>
      </c>
      <c r="U1162" s="9" t="s">
        <v>52</v>
      </c>
      <c r="V1162" s="3" t="s">
        <v>53</v>
      </c>
    </row>
    <row r="1163" spans="1:22">
      <c r="A1163" s="2" t="s">
        <v>3711</v>
      </c>
      <c r="B1163" s="2" t="s">
        <v>3712</v>
      </c>
      <c r="C1163" s="2" t="s">
        <v>3528</v>
      </c>
      <c r="D1163" s="2" t="s">
        <v>127</v>
      </c>
      <c r="E1163" s="2" t="s">
        <v>89</v>
      </c>
      <c r="F1163" s="2" t="s">
        <v>66</v>
      </c>
      <c r="G1163" s="2" t="s">
        <v>111</v>
      </c>
      <c r="H1163" s="2" t="s">
        <v>46</v>
      </c>
      <c r="I1163" s="2" t="s">
        <v>47</v>
      </c>
      <c r="J1163" s="2" t="s">
        <v>3529</v>
      </c>
      <c r="K1163" s="2" t="s">
        <v>3713</v>
      </c>
      <c r="L1163" s="2" t="s">
        <v>342</v>
      </c>
      <c r="M1163" s="2" t="s">
        <v>3228</v>
      </c>
      <c r="N1163" s="16">
        <v>1.6199999999999999E-2</v>
      </c>
      <c r="O1163" s="17">
        <f>N1163*'Financial Inputs'!$B$3</f>
        <v>1620000</v>
      </c>
      <c r="P1163" s="18">
        <f>IF(I1163="L",'Financial Inputs'!$B$4,IF(I1163="M",'Financial Inputs'!$B$5,'Financial Inputs'!$B$6))</f>
        <v>0.4</v>
      </c>
      <c r="Q1163" s="17">
        <f>O1163*P1163</f>
        <v>648000</v>
      </c>
      <c r="R1163" s="16">
        <f>'Financial Inputs'!$B$7</f>
        <v>0.35</v>
      </c>
      <c r="S1163" s="17">
        <f>Q1163*(1-R1163)</f>
        <v>421200</v>
      </c>
      <c r="T1163" s="18">
        <f>S1163/'Financial Inputs'!$B$3</f>
        <v>4.2119999999999996E-3</v>
      </c>
      <c r="U1163" s="9" t="s">
        <v>52</v>
      </c>
      <c r="V1163" s="3" t="s">
        <v>53</v>
      </c>
    </row>
    <row r="1164" spans="1:22">
      <c r="A1164" s="2" t="s">
        <v>3714</v>
      </c>
      <c r="B1164" s="2" t="s">
        <v>3715</v>
      </c>
      <c r="C1164" s="2" t="s">
        <v>3528</v>
      </c>
      <c r="D1164" s="2" t="s">
        <v>133</v>
      </c>
      <c r="E1164" s="2" t="s">
        <v>96</v>
      </c>
      <c r="F1164" s="2" t="s">
        <v>74</v>
      </c>
      <c r="G1164" s="2" t="s">
        <v>56</v>
      </c>
      <c r="H1164" s="2" t="s">
        <v>46</v>
      </c>
      <c r="I1164" s="2" t="s">
        <v>47</v>
      </c>
      <c r="J1164" s="2" t="s">
        <v>3529</v>
      </c>
      <c r="K1164" s="2" t="s">
        <v>3716</v>
      </c>
      <c r="L1164" s="2" t="s">
        <v>346</v>
      </c>
      <c r="M1164" s="2" t="s">
        <v>3228</v>
      </c>
      <c r="N1164" s="16">
        <v>1.7999999999999999E-2</v>
      </c>
      <c r="O1164" s="17">
        <f>N1164*'Financial Inputs'!$B$3</f>
        <v>1799999.9999999998</v>
      </c>
      <c r="P1164" s="18">
        <f>IF(I1164="L",'Financial Inputs'!$B$4,IF(I1164="M",'Financial Inputs'!$B$5,'Financial Inputs'!$B$6))</f>
        <v>0.4</v>
      </c>
      <c r="Q1164" s="17">
        <f>O1164*P1164</f>
        <v>720000</v>
      </c>
      <c r="R1164" s="16">
        <f>'Financial Inputs'!$B$7</f>
        <v>0.35</v>
      </c>
      <c r="S1164" s="17">
        <f>Q1164*(1-R1164)</f>
        <v>468000</v>
      </c>
      <c r="T1164" s="18">
        <f>S1164/'Financial Inputs'!$B$3</f>
        <v>4.6800000000000001E-3</v>
      </c>
      <c r="U1164" s="9" t="s">
        <v>52</v>
      </c>
      <c r="V1164" s="3" t="s">
        <v>53</v>
      </c>
    </row>
    <row r="1165" spans="1:22">
      <c r="A1165" s="2" t="s">
        <v>3717</v>
      </c>
      <c r="B1165" s="2" t="s">
        <v>3718</v>
      </c>
      <c r="C1165" s="2" t="s">
        <v>3528</v>
      </c>
      <c r="D1165" s="2" t="s">
        <v>88</v>
      </c>
      <c r="E1165" s="2" t="s">
        <v>103</v>
      </c>
      <c r="F1165" s="2" t="s">
        <v>82</v>
      </c>
      <c r="G1165" s="2" t="s">
        <v>138</v>
      </c>
      <c r="H1165" s="2" t="s">
        <v>46</v>
      </c>
      <c r="I1165" s="2" t="s">
        <v>47</v>
      </c>
      <c r="J1165" s="2" t="s">
        <v>3529</v>
      </c>
      <c r="K1165" s="2" t="s">
        <v>3719</v>
      </c>
      <c r="L1165" s="2" t="s">
        <v>350</v>
      </c>
      <c r="M1165" s="2" t="s">
        <v>3228</v>
      </c>
      <c r="N1165" s="16">
        <v>1.9800000000000002E-2</v>
      </c>
      <c r="O1165" s="17">
        <f>N1165*'Financial Inputs'!$B$3</f>
        <v>1980000.0000000002</v>
      </c>
      <c r="P1165" s="18">
        <f>IF(I1165="L",'Financial Inputs'!$B$4,IF(I1165="M",'Financial Inputs'!$B$5,'Financial Inputs'!$B$6))</f>
        <v>0.4</v>
      </c>
      <c r="Q1165" s="17">
        <f>O1165*P1165</f>
        <v>792000.00000000012</v>
      </c>
      <c r="R1165" s="16">
        <f>'Financial Inputs'!$B$7</f>
        <v>0.35</v>
      </c>
      <c r="S1165" s="17">
        <f>Q1165*(1-R1165)</f>
        <v>514800.00000000012</v>
      </c>
      <c r="T1165" s="18">
        <f>S1165/'Financial Inputs'!$B$3</f>
        <v>5.1480000000000015E-3</v>
      </c>
      <c r="U1165" s="9" t="s">
        <v>52</v>
      </c>
      <c r="V1165" s="3" t="s">
        <v>53</v>
      </c>
    </row>
    <row r="1166" spans="1:22">
      <c r="A1166" s="2" t="s">
        <v>3720</v>
      </c>
      <c r="B1166" s="2" t="s">
        <v>3721</v>
      </c>
      <c r="C1166" s="2" t="s">
        <v>3528</v>
      </c>
      <c r="D1166" s="2" t="s">
        <v>95</v>
      </c>
      <c r="E1166" s="2" t="s">
        <v>109</v>
      </c>
      <c r="F1166" s="2" t="s">
        <v>44</v>
      </c>
      <c r="G1166" s="2" t="s">
        <v>143</v>
      </c>
      <c r="H1166" s="2" t="s">
        <v>46</v>
      </c>
      <c r="I1166" s="2" t="s">
        <v>47</v>
      </c>
      <c r="J1166" s="2" t="s">
        <v>3529</v>
      </c>
      <c r="K1166" s="2" t="s">
        <v>3722</v>
      </c>
      <c r="L1166" s="2" t="s">
        <v>354</v>
      </c>
      <c r="M1166" s="2" t="s">
        <v>3228</v>
      </c>
      <c r="N1166" s="16">
        <v>2.1600000000000001E-2</v>
      </c>
      <c r="O1166" s="17">
        <f>N1166*'Financial Inputs'!$B$3</f>
        <v>2160000</v>
      </c>
      <c r="P1166" s="18">
        <f>IF(I1166="L",'Financial Inputs'!$B$4,IF(I1166="M",'Financial Inputs'!$B$5,'Financial Inputs'!$B$6))</f>
        <v>0.4</v>
      </c>
      <c r="Q1166" s="17">
        <f>O1166*P1166</f>
        <v>864000</v>
      </c>
      <c r="R1166" s="16">
        <f>'Financial Inputs'!$B$7</f>
        <v>0.35</v>
      </c>
      <c r="S1166" s="17">
        <f>Q1166*(1-R1166)</f>
        <v>561600</v>
      </c>
      <c r="T1166" s="18">
        <f>S1166/'Financial Inputs'!$B$3</f>
        <v>5.6160000000000003E-3</v>
      </c>
      <c r="U1166" s="9" t="s">
        <v>52</v>
      </c>
      <c r="V1166" s="3" t="s">
        <v>53</v>
      </c>
    </row>
    <row r="1167" spans="1:22">
      <c r="A1167" s="2" t="s">
        <v>3723</v>
      </c>
      <c r="B1167" s="2" t="s">
        <v>3724</v>
      </c>
      <c r="C1167" s="2" t="s">
        <v>3528</v>
      </c>
      <c r="D1167" s="2" t="s">
        <v>56</v>
      </c>
      <c r="E1167" s="2" t="s">
        <v>176</v>
      </c>
      <c r="F1167" s="2" t="s">
        <v>97</v>
      </c>
      <c r="G1167" s="2" t="s">
        <v>56</v>
      </c>
      <c r="H1167" s="2" t="s">
        <v>46</v>
      </c>
      <c r="I1167" s="2" t="s">
        <v>47</v>
      </c>
      <c r="J1167" s="2" t="s">
        <v>3529</v>
      </c>
      <c r="K1167" s="2" t="s">
        <v>3725</v>
      </c>
      <c r="L1167" s="2" t="s">
        <v>358</v>
      </c>
      <c r="M1167" s="2" t="s">
        <v>3228</v>
      </c>
      <c r="N1167" s="16">
        <v>1.44E-2</v>
      </c>
      <c r="O1167" s="17">
        <f>N1167*'Financial Inputs'!$B$3</f>
        <v>1440000</v>
      </c>
      <c r="P1167" s="18">
        <f>IF(I1167="L",'Financial Inputs'!$B$4,IF(I1167="M",'Financial Inputs'!$B$5,'Financial Inputs'!$B$6))</f>
        <v>0.4</v>
      </c>
      <c r="Q1167" s="17">
        <f>O1167*P1167</f>
        <v>576000</v>
      </c>
      <c r="R1167" s="16">
        <f>'Financial Inputs'!$B$7</f>
        <v>0.35</v>
      </c>
      <c r="S1167" s="17">
        <f>Q1167*(1-R1167)</f>
        <v>374400</v>
      </c>
      <c r="T1167" s="18">
        <f>S1167/'Financial Inputs'!$B$3</f>
        <v>3.7439999999999999E-3</v>
      </c>
      <c r="U1167" s="9" t="s">
        <v>52</v>
      </c>
      <c r="V1167" s="3" t="s">
        <v>53</v>
      </c>
    </row>
    <row r="1168" spans="1:22">
      <c r="A1168" s="2" t="s">
        <v>3726</v>
      </c>
      <c r="B1168" s="2" t="s">
        <v>3727</v>
      </c>
      <c r="C1168" s="2" t="s">
        <v>3528</v>
      </c>
      <c r="D1168" s="2" t="s">
        <v>64</v>
      </c>
      <c r="E1168" s="2" t="s">
        <v>122</v>
      </c>
      <c r="F1168" s="2" t="s">
        <v>104</v>
      </c>
      <c r="G1168" s="2" t="s">
        <v>138</v>
      </c>
      <c r="H1168" s="2" t="s">
        <v>46</v>
      </c>
      <c r="I1168" s="2" t="s">
        <v>47</v>
      </c>
      <c r="J1168" s="2" t="s">
        <v>3529</v>
      </c>
      <c r="K1168" s="2" t="s">
        <v>3728</v>
      </c>
      <c r="L1168" s="2" t="s">
        <v>362</v>
      </c>
      <c r="M1168" s="2" t="s">
        <v>3228</v>
      </c>
      <c r="N1168" s="16">
        <v>1.6199999999999999E-2</v>
      </c>
      <c r="O1168" s="17">
        <f>N1168*'Financial Inputs'!$B$3</f>
        <v>1620000</v>
      </c>
      <c r="P1168" s="18">
        <f>IF(I1168="L",'Financial Inputs'!$B$4,IF(I1168="M",'Financial Inputs'!$B$5,'Financial Inputs'!$B$6))</f>
        <v>0.4</v>
      </c>
      <c r="Q1168" s="17">
        <f>O1168*P1168</f>
        <v>648000</v>
      </c>
      <c r="R1168" s="16">
        <f>'Financial Inputs'!$B$7</f>
        <v>0.35</v>
      </c>
      <c r="S1168" s="17">
        <f>Q1168*(1-R1168)</f>
        <v>421200</v>
      </c>
      <c r="T1168" s="18">
        <f>S1168/'Financial Inputs'!$B$3</f>
        <v>4.2119999999999996E-3</v>
      </c>
      <c r="U1168" s="9" t="s">
        <v>52</v>
      </c>
      <c r="V1168" s="3" t="s">
        <v>53</v>
      </c>
    </row>
    <row r="1169" spans="1:22">
      <c r="A1169" s="2" t="s">
        <v>3729</v>
      </c>
      <c r="B1169" s="2" t="s">
        <v>3730</v>
      </c>
      <c r="C1169" s="2" t="s">
        <v>3528</v>
      </c>
      <c r="D1169" s="2" t="s">
        <v>72</v>
      </c>
      <c r="E1169" s="2" t="s">
        <v>128</v>
      </c>
      <c r="F1169" s="2" t="s">
        <v>110</v>
      </c>
      <c r="G1169" s="2" t="s">
        <v>143</v>
      </c>
      <c r="H1169" s="2" t="s">
        <v>46</v>
      </c>
      <c r="I1169" s="2" t="s">
        <v>47</v>
      </c>
      <c r="J1169" s="2" t="s">
        <v>3529</v>
      </c>
      <c r="K1169" s="2" t="s">
        <v>3731</v>
      </c>
      <c r="L1169" s="2" t="s">
        <v>366</v>
      </c>
      <c r="M1169" s="2" t="s">
        <v>3228</v>
      </c>
      <c r="N1169" s="16">
        <v>1.7999999999999999E-2</v>
      </c>
      <c r="O1169" s="17">
        <f>N1169*'Financial Inputs'!$B$3</f>
        <v>1799999.9999999998</v>
      </c>
      <c r="P1169" s="18">
        <f>IF(I1169="L",'Financial Inputs'!$B$4,IF(I1169="M",'Financial Inputs'!$B$5,'Financial Inputs'!$B$6))</f>
        <v>0.4</v>
      </c>
      <c r="Q1169" s="17">
        <f>O1169*P1169</f>
        <v>720000</v>
      </c>
      <c r="R1169" s="16">
        <f>'Financial Inputs'!$B$7</f>
        <v>0.35</v>
      </c>
      <c r="S1169" s="17">
        <f>Q1169*(1-R1169)</f>
        <v>468000</v>
      </c>
      <c r="T1169" s="18">
        <f>S1169/'Financial Inputs'!$B$3</f>
        <v>4.6800000000000001E-3</v>
      </c>
      <c r="U1169" s="9" t="s">
        <v>52</v>
      </c>
      <c r="V1169" s="3" t="s">
        <v>53</v>
      </c>
    </row>
    <row r="1170" spans="1:22">
      <c r="A1170" s="2" t="s">
        <v>3732</v>
      </c>
      <c r="B1170" s="2" t="s">
        <v>3733</v>
      </c>
      <c r="C1170" s="2" t="s">
        <v>3528</v>
      </c>
      <c r="D1170" s="2" t="s">
        <v>80</v>
      </c>
      <c r="E1170" s="2" t="s">
        <v>43</v>
      </c>
      <c r="F1170" s="2" t="s">
        <v>117</v>
      </c>
      <c r="G1170" s="2" t="s">
        <v>162</v>
      </c>
      <c r="H1170" s="2" t="s">
        <v>46</v>
      </c>
      <c r="I1170" s="2" t="s">
        <v>47</v>
      </c>
      <c r="J1170" s="2" t="s">
        <v>3529</v>
      </c>
      <c r="K1170" s="2" t="s">
        <v>3734</v>
      </c>
      <c r="L1170" s="2" t="s">
        <v>370</v>
      </c>
      <c r="M1170" s="2" t="s">
        <v>3228</v>
      </c>
      <c r="N1170" s="16">
        <v>1.9800000000000002E-2</v>
      </c>
      <c r="O1170" s="17">
        <f>N1170*'Financial Inputs'!$B$3</f>
        <v>1980000.0000000002</v>
      </c>
      <c r="P1170" s="18">
        <f>IF(I1170="L",'Financial Inputs'!$B$4,IF(I1170="M",'Financial Inputs'!$B$5,'Financial Inputs'!$B$6))</f>
        <v>0.4</v>
      </c>
      <c r="Q1170" s="17">
        <f>O1170*P1170</f>
        <v>792000.00000000012</v>
      </c>
      <c r="R1170" s="16">
        <f>'Financial Inputs'!$B$7</f>
        <v>0.35</v>
      </c>
      <c r="S1170" s="17">
        <f>Q1170*(1-R1170)</f>
        <v>514800.00000000012</v>
      </c>
      <c r="T1170" s="18">
        <f>S1170/'Financial Inputs'!$B$3</f>
        <v>5.1480000000000015E-3</v>
      </c>
      <c r="U1170" s="9" t="s">
        <v>52</v>
      </c>
      <c r="V1170" s="3" t="s">
        <v>53</v>
      </c>
    </row>
    <row r="1171" spans="1:22">
      <c r="A1171" s="2" t="s">
        <v>3735</v>
      </c>
      <c r="B1171" s="2" t="s">
        <v>3736</v>
      </c>
      <c r="C1171" s="2" t="s">
        <v>3528</v>
      </c>
      <c r="D1171" s="2" t="s">
        <v>127</v>
      </c>
      <c r="E1171" s="2" t="s">
        <v>57</v>
      </c>
      <c r="F1171" s="2" t="s">
        <v>90</v>
      </c>
      <c r="G1171" s="2" t="s">
        <v>45</v>
      </c>
      <c r="H1171" s="2" t="s">
        <v>46</v>
      </c>
      <c r="I1171" s="2" t="s">
        <v>47</v>
      </c>
      <c r="J1171" s="2" t="s">
        <v>3529</v>
      </c>
      <c r="K1171" s="2" t="s">
        <v>3737</v>
      </c>
      <c r="L1171" s="2" t="s">
        <v>374</v>
      </c>
      <c r="M1171" s="2" t="s">
        <v>3228</v>
      </c>
      <c r="N1171" s="16">
        <v>2.1600000000000001E-2</v>
      </c>
      <c r="O1171" s="17">
        <f>N1171*'Financial Inputs'!$B$3</f>
        <v>2160000</v>
      </c>
      <c r="P1171" s="18">
        <f>IF(I1171="L",'Financial Inputs'!$B$4,IF(I1171="M",'Financial Inputs'!$B$5,'Financial Inputs'!$B$6))</f>
        <v>0.4</v>
      </c>
      <c r="Q1171" s="17">
        <f>O1171*P1171</f>
        <v>864000</v>
      </c>
      <c r="R1171" s="16">
        <f>'Financial Inputs'!$B$7</f>
        <v>0.35</v>
      </c>
      <c r="S1171" s="17">
        <f>Q1171*(1-R1171)</f>
        <v>561600</v>
      </c>
      <c r="T1171" s="18">
        <f>S1171/'Financial Inputs'!$B$3</f>
        <v>5.6160000000000003E-3</v>
      </c>
      <c r="U1171" s="9" t="s">
        <v>52</v>
      </c>
      <c r="V1171" s="3" t="s">
        <v>53</v>
      </c>
    </row>
    <row r="1172" spans="1:22">
      <c r="A1172" s="2" t="s">
        <v>3738</v>
      </c>
      <c r="B1172" s="2" t="s">
        <v>3739</v>
      </c>
      <c r="C1172" s="2" t="s">
        <v>3528</v>
      </c>
      <c r="D1172" s="2" t="s">
        <v>95</v>
      </c>
      <c r="E1172" s="2" t="s">
        <v>198</v>
      </c>
      <c r="F1172" s="2" t="s">
        <v>66</v>
      </c>
      <c r="G1172" s="2" t="s">
        <v>143</v>
      </c>
      <c r="H1172" s="2" t="s">
        <v>46</v>
      </c>
      <c r="I1172" s="2" t="s">
        <v>47</v>
      </c>
      <c r="J1172" s="2" t="s">
        <v>3529</v>
      </c>
      <c r="K1172" s="2" t="s">
        <v>3740</v>
      </c>
      <c r="L1172" s="2" t="s">
        <v>378</v>
      </c>
      <c r="M1172" s="2" t="s">
        <v>3228</v>
      </c>
      <c r="N1172" s="16">
        <v>1.44E-2</v>
      </c>
      <c r="O1172" s="17">
        <f>N1172*'Financial Inputs'!$B$3</f>
        <v>1440000</v>
      </c>
      <c r="P1172" s="18">
        <f>IF(I1172="L",'Financial Inputs'!$B$4,IF(I1172="M",'Financial Inputs'!$B$5,'Financial Inputs'!$B$6))</f>
        <v>0.4</v>
      </c>
      <c r="Q1172" s="17">
        <f>O1172*P1172</f>
        <v>576000</v>
      </c>
      <c r="R1172" s="16">
        <f>'Financial Inputs'!$B$7</f>
        <v>0.35</v>
      </c>
      <c r="S1172" s="17">
        <f>Q1172*(1-R1172)</f>
        <v>374400</v>
      </c>
      <c r="T1172" s="18">
        <f>S1172/'Financial Inputs'!$B$3</f>
        <v>3.7439999999999999E-3</v>
      </c>
      <c r="U1172" s="9" t="s">
        <v>52</v>
      </c>
      <c r="V1172" s="3" t="s">
        <v>53</v>
      </c>
    </row>
    <row r="1173" spans="1:22">
      <c r="A1173" s="2" t="s">
        <v>3741</v>
      </c>
      <c r="B1173" s="2" t="s">
        <v>3742</v>
      </c>
      <c r="C1173" s="2" t="s">
        <v>3528</v>
      </c>
      <c r="D1173" s="2" t="s">
        <v>102</v>
      </c>
      <c r="E1173" s="2" t="s">
        <v>148</v>
      </c>
      <c r="F1173" s="2" t="s">
        <v>74</v>
      </c>
      <c r="G1173" s="2" t="s">
        <v>162</v>
      </c>
      <c r="H1173" s="2" t="s">
        <v>46</v>
      </c>
      <c r="I1173" s="2" t="s">
        <v>47</v>
      </c>
      <c r="J1173" s="2" t="s">
        <v>3529</v>
      </c>
      <c r="K1173" s="2" t="s">
        <v>3743</v>
      </c>
      <c r="L1173" s="2" t="s">
        <v>382</v>
      </c>
      <c r="M1173" s="2" t="s">
        <v>3228</v>
      </c>
      <c r="N1173" s="16">
        <v>1.6199999999999999E-2</v>
      </c>
      <c r="O1173" s="17">
        <f>N1173*'Financial Inputs'!$B$3</f>
        <v>1620000</v>
      </c>
      <c r="P1173" s="18">
        <f>IF(I1173="L",'Financial Inputs'!$B$4,IF(I1173="M",'Financial Inputs'!$B$5,'Financial Inputs'!$B$6))</f>
        <v>0.4</v>
      </c>
      <c r="Q1173" s="17">
        <f>O1173*P1173</f>
        <v>648000</v>
      </c>
      <c r="R1173" s="16">
        <f>'Financial Inputs'!$B$7</f>
        <v>0.35</v>
      </c>
      <c r="S1173" s="17">
        <f>Q1173*(1-R1173)</f>
        <v>421200</v>
      </c>
      <c r="T1173" s="18">
        <f>S1173/'Financial Inputs'!$B$3</f>
        <v>4.2119999999999996E-3</v>
      </c>
      <c r="U1173" s="9" t="s">
        <v>52</v>
      </c>
      <c r="V1173" s="3" t="s">
        <v>53</v>
      </c>
    </row>
    <row r="1174" spans="1:22">
      <c r="A1174" s="2" t="s">
        <v>3744</v>
      </c>
      <c r="B1174" s="2" t="s">
        <v>3745</v>
      </c>
      <c r="C1174" s="2" t="s">
        <v>3528</v>
      </c>
      <c r="D1174" s="2" t="s">
        <v>42</v>
      </c>
      <c r="E1174" s="2" t="s">
        <v>153</v>
      </c>
      <c r="F1174" s="2" t="s">
        <v>82</v>
      </c>
      <c r="G1174" s="2" t="s">
        <v>45</v>
      </c>
      <c r="H1174" s="2" t="s">
        <v>46</v>
      </c>
      <c r="I1174" s="2" t="s">
        <v>47</v>
      </c>
      <c r="J1174" s="2" t="s">
        <v>3529</v>
      </c>
      <c r="K1174" s="2" t="s">
        <v>3746</v>
      </c>
      <c r="L1174" s="2" t="s">
        <v>386</v>
      </c>
      <c r="M1174" s="2" t="s">
        <v>3228</v>
      </c>
      <c r="N1174" s="16">
        <v>1.7999999999999999E-2</v>
      </c>
      <c r="O1174" s="17">
        <f>N1174*'Financial Inputs'!$B$3</f>
        <v>1799999.9999999998</v>
      </c>
      <c r="P1174" s="18">
        <f>IF(I1174="L",'Financial Inputs'!$B$4,IF(I1174="M",'Financial Inputs'!$B$5,'Financial Inputs'!$B$6))</f>
        <v>0.4</v>
      </c>
      <c r="Q1174" s="17">
        <f>O1174*P1174</f>
        <v>720000</v>
      </c>
      <c r="R1174" s="16">
        <f>'Financial Inputs'!$B$7</f>
        <v>0.35</v>
      </c>
      <c r="S1174" s="17">
        <f>Q1174*(1-R1174)</f>
        <v>468000</v>
      </c>
      <c r="T1174" s="18">
        <f>S1174/'Financial Inputs'!$B$3</f>
        <v>4.6800000000000001E-3</v>
      </c>
      <c r="U1174" s="9" t="s">
        <v>52</v>
      </c>
      <c r="V1174" s="3" t="s">
        <v>53</v>
      </c>
    </row>
    <row r="1175" spans="1:22">
      <c r="A1175" s="2" t="s">
        <v>3747</v>
      </c>
      <c r="B1175" s="2" t="s">
        <v>3748</v>
      </c>
      <c r="C1175" s="2" t="s">
        <v>3528</v>
      </c>
      <c r="D1175" s="2" t="s">
        <v>56</v>
      </c>
      <c r="E1175" s="2" t="s">
        <v>89</v>
      </c>
      <c r="F1175" s="2" t="s">
        <v>44</v>
      </c>
      <c r="G1175" s="2" t="s">
        <v>59</v>
      </c>
      <c r="H1175" s="2" t="s">
        <v>46</v>
      </c>
      <c r="I1175" s="2" t="s">
        <v>47</v>
      </c>
      <c r="J1175" s="2" t="s">
        <v>3529</v>
      </c>
      <c r="K1175" s="2" t="s">
        <v>3749</v>
      </c>
      <c r="L1175" s="2" t="s">
        <v>390</v>
      </c>
      <c r="M1175" s="2" t="s">
        <v>3228</v>
      </c>
      <c r="N1175" s="16">
        <v>1.9800000000000002E-2</v>
      </c>
      <c r="O1175" s="17">
        <f>N1175*'Financial Inputs'!$B$3</f>
        <v>1980000.0000000002</v>
      </c>
      <c r="P1175" s="18">
        <f>IF(I1175="L",'Financial Inputs'!$B$4,IF(I1175="M",'Financial Inputs'!$B$5,'Financial Inputs'!$B$6))</f>
        <v>0.4</v>
      </c>
      <c r="Q1175" s="17">
        <f>O1175*P1175</f>
        <v>792000.00000000012</v>
      </c>
      <c r="R1175" s="16">
        <f>'Financial Inputs'!$B$7</f>
        <v>0.35</v>
      </c>
      <c r="S1175" s="17">
        <f>Q1175*(1-R1175)</f>
        <v>514800.00000000012</v>
      </c>
      <c r="T1175" s="18">
        <f>S1175/'Financial Inputs'!$B$3</f>
        <v>5.1480000000000015E-3</v>
      </c>
      <c r="U1175" s="9" t="s">
        <v>52</v>
      </c>
      <c r="V1175" s="3" t="s">
        <v>53</v>
      </c>
    </row>
    <row r="1176" spans="1:22">
      <c r="A1176" s="2" t="s">
        <v>3750</v>
      </c>
      <c r="B1176" s="2" t="s">
        <v>3751</v>
      </c>
      <c r="C1176" s="2" t="s">
        <v>3528</v>
      </c>
      <c r="D1176" s="2" t="s">
        <v>64</v>
      </c>
      <c r="E1176" s="2" t="s">
        <v>96</v>
      </c>
      <c r="F1176" s="2" t="s">
        <v>58</v>
      </c>
      <c r="G1176" s="2" t="s">
        <v>67</v>
      </c>
      <c r="H1176" s="2" t="s">
        <v>46</v>
      </c>
      <c r="I1176" s="2" t="s">
        <v>47</v>
      </c>
      <c r="J1176" s="2" t="s">
        <v>3529</v>
      </c>
      <c r="K1176" s="2" t="s">
        <v>3752</v>
      </c>
      <c r="L1176" s="2" t="s">
        <v>394</v>
      </c>
      <c r="M1176" s="2" t="s">
        <v>3228</v>
      </c>
      <c r="N1176" s="16">
        <v>2.1600000000000001E-2</v>
      </c>
      <c r="O1176" s="17">
        <f>N1176*'Financial Inputs'!$B$3</f>
        <v>2160000</v>
      </c>
      <c r="P1176" s="18">
        <f>IF(I1176="L",'Financial Inputs'!$B$4,IF(I1176="M",'Financial Inputs'!$B$5,'Financial Inputs'!$B$6))</f>
        <v>0.4</v>
      </c>
      <c r="Q1176" s="17">
        <f>O1176*P1176</f>
        <v>864000</v>
      </c>
      <c r="R1176" s="16">
        <f>'Financial Inputs'!$B$7</f>
        <v>0.35</v>
      </c>
      <c r="S1176" s="17">
        <f>Q1176*(1-R1176)</f>
        <v>561600</v>
      </c>
      <c r="T1176" s="18">
        <f>S1176/'Financial Inputs'!$B$3</f>
        <v>5.6160000000000003E-3</v>
      </c>
      <c r="U1176" s="9" t="s">
        <v>52</v>
      </c>
      <c r="V1176" s="3" t="s">
        <v>53</v>
      </c>
    </row>
    <row r="1177" spans="1:22">
      <c r="A1177" s="2" t="s">
        <v>3753</v>
      </c>
      <c r="B1177" s="2" t="s">
        <v>3754</v>
      </c>
      <c r="C1177" s="2" t="s">
        <v>3528</v>
      </c>
      <c r="D1177" s="2" t="s">
        <v>127</v>
      </c>
      <c r="E1177" s="2" t="s">
        <v>220</v>
      </c>
      <c r="F1177" s="2" t="s">
        <v>104</v>
      </c>
      <c r="G1177" s="2" t="s">
        <v>45</v>
      </c>
      <c r="H1177" s="2" t="s">
        <v>46</v>
      </c>
      <c r="I1177" s="2" t="s">
        <v>47</v>
      </c>
      <c r="J1177" s="2" t="s">
        <v>3529</v>
      </c>
      <c r="K1177" s="2" t="s">
        <v>3755</v>
      </c>
      <c r="L1177" s="2" t="s">
        <v>398</v>
      </c>
      <c r="M1177" s="2" t="s">
        <v>3228</v>
      </c>
      <c r="N1177" s="16">
        <v>1.44E-2</v>
      </c>
      <c r="O1177" s="17">
        <f>N1177*'Financial Inputs'!$B$3</f>
        <v>1440000</v>
      </c>
      <c r="P1177" s="18">
        <f>IF(I1177="L",'Financial Inputs'!$B$4,IF(I1177="M",'Financial Inputs'!$B$5,'Financial Inputs'!$B$6))</f>
        <v>0.4</v>
      </c>
      <c r="Q1177" s="17">
        <f>O1177*P1177</f>
        <v>576000</v>
      </c>
      <c r="R1177" s="16">
        <f>'Financial Inputs'!$B$7</f>
        <v>0.35</v>
      </c>
      <c r="S1177" s="17">
        <f>Q1177*(1-R1177)</f>
        <v>374400</v>
      </c>
      <c r="T1177" s="18">
        <f>S1177/'Financial Inputs'!$B$3</f>
        <v>3.7439999999999999E-3</v>
      </c>
      <c r="U1177" s="9" t="s">
        <v>52</v>
      </c>
      <c r="V1177" s="3" t="s">
        <v>53</v>
      </c>
    </row>
    <row r="1178" spans="1:22">
      <c r="A1178" s="2" t="s">
        <v>3756</v>
      </c>
      <c r="B1178" s="2" t="s">
        <v>3757</v>
      </c>
      <c r="C1178" s="2" t="s">
        <v>3528</v>
      </c>
      <c r="D1178" s="2" t="s">
        <v>133</v>
      </c>
      <c r="E1178" s="2" t="s">
        <v>171</v>
      </c>
      <c r="F1178" s="2" t="s">
        <v>110</v>
      </c>
      <c r="G1178" s="2" t="s">
        <v>59</v>
      </c>
      <c r="H1178" s="2" t="s">
        <v>46</v>
      </c>
      <c r="I1178" s="2" t="s">
        <v>47</v>
      </c>
      <c r="J1178" s="2" t="s">
        <v>3529</v>
      </c>
      <c r="K1178" s="2" t="s">
        <v>3758</v>
      </c>
      <c r="L1178" s="2" t="s">
        <v>402</v>
      </c>
      <c r="M1178" s="2" t="s">
        <v>3228</v>
      </c>
      <c r="N1178" s="16">
        <v>1.6199999999999999E-2</v>
      </c>
      <c r="O1178" s="17">
        <f>N1178*'Financial Inputs'!$B$3</f>
        <v>1620000</v>
      </c>
      <c r="P1178" s="18">
        <f>IF(I1178="L",'Financial Inputs'!$B$4,IF(I1178="M",'Financial Inputs'!$B$5,'Financial Inputs'!$B$6))</f>
        <v>0.4</v>
      </c>
      <c r="Q1178" s="17">
        <f>O1178*P1178</f>
        <v>648000</v>
      </c>
      <c r="R1178" s="16">
        <f>'Financial Inputs'!$B$7</f>
        <v>0.35</v>
      </c>
      <c r="S1178" s="17">
        <f>Q1178*(1-R1178)</f>
        <v>421200</v>
      </c>
      <c r="T1178" s="18">
        <f>S1178/'Financial Inputs'!$B$3</f>
        <v>4.2119999999999996E-3</v>
      </c>
      <c r="U1178" s="9" t="s">
        <v>52</v>
      </c>
      <c r="V1178" s="3" t="s">
        <v>53</v>
      </c>
    </row>
    <row r="1179" spans="1:22">
      <c r="A1179" s="2" t="s">
        <v>3759</v>
      </c>
      <c r="B1179" s="2" t="s">
        <v>3760</v>
      </c>
      <c r="C1179" s="2" t="s">
        <v>3528</v>
      </c>
      <c r="D1179" s="2" t="s">
        <v>88</v>
      </c>
      <c r="E1179" s="2" t="s">
        <v>176</v>
      </c>
      <c r="F1179" s="2" t="s">
        <v>117</v>
      </c>
      <c r="G1179" s="2" t="s">
        <v>67</v>
      </c>
      <c r="H1179" s="2" t="s">
        <v>46</v>
      </c>
      <c r="I1179" s="2" t="s">
        <v>47</v>
      </c>
      <c r="J1179" s="2" t="s">
        <v>3529</v>
      </c>
      <c r="K1179" s="2" t="s">
        <v>3761</v>
      </c>
      <c r="L1179" s="2" t="s">
        <v>406</v>
      </c>
      <c r="M1179" s="2" t="s">
        <v>3228</v>
      </c>
      <c r="N1179" s="16">
        <v>1.7999999999999999E-2</v>
      </c>
      <c r="O1179" s="17">
        <f>N1179*'Financial Inputs'!$B$3</f>
        <v>1799999.9999999998</v>
      </c>
      <c r="P1179" s="18">
        <f>IF(I1179="L",'Financial Inputs'!$B$4,IF(I1179="M",'Financial Inputs'!$B$5,'Financial Inputs'!$B$6))</f>
        <v>0.4</v>
      </c>
      <c r="Q1179" s="17">
        <f>O1179*P1179</f>
        <v>720000</v>
      </c>
      <c r="R1179" s="16">
        <f>'Financial Inputs'!$B$7</f>
        <v>0.35</v>
      </c>
      <c r="S1179" s="17">
        <f>Q1179*(1-R1179)</f>
        <v>468000</v>
      </c>
      <c r="T1179" s="18">
        <f>S1179/'Financial Inputs'!$B$3</f>
        <v>4.6800000000000001E-3</v>
      </c>
      <c r="U1179" s="9" t="s">
        <v>52</v>
      </c>
      <c r="V1179" s="3" t="s">
        <v>53</v>
      </c>
    </row>
    <row r="1180" spans="1:22">
      <c r="A1180" s="2" t="s">
        <v>3762</v>
      </c>
      <c r="B1180" s="2" t="s">
        <v>3763</v>
      </c>
      <c r="C1180" s="2" t="s">
        <v>3528</v>
      </c>
      <c r="D1180" s="2" t="s">
        <v>95</v>
      </c>
      <c r="E1180" s="2" t="s">
        <v>122</v>
      </c>
      <c r="F1180" s="2" t="s">
        <v>90</v>
      </c>
      <c r="G1180" s="2" t="s">
        <v>75</v>
      </c>
      <c r="H1180" s="2" t="s">
        <v>46</v>
      </c>
      <c r="I1180" s="2" t="s">
        <v>47</v>
      </c>
      <c r="J1180" s="2" t="s">
        <v>3529</v>
      </c>
      <c r="K1180" s="2" t="s">
        <v>3764</v>
      </c>
      <c r="L1180" s="2" t="s">
        <v>410</v>
      </c>
      <c r="M1180" s="2" t="s">
        <v>3228</v>
      </c>
      <c r="N1180" s="16">
        <v>1.9800000000000002E-2</v>
      </c>
      <c r="O1180" s="17">
        <f>N1180*'Financial Inputs'!$B$3</f>
        <v>1980000.0000000002</v>
      </c>
      <c r="P1180" s="18">
        <f>IF(I1180="L",'Financial Inputs'!$B$4,IF(I1180="M",'Financial Inputs'!$B$5,'Financial Inputs'!$B$6))</f>
        <v>0.4</v>
      </c>
      <c r="Q1180" s="17">
        <f>O1180*P1180</f>
        <v>792000.00000000012</v>
      </c>
      <c r="R1180" s="16">
        <f>'Financial Inputs'!$B$7</f>
        <v>0.35</v>
      </c>
      <c r="S1180" s="17">
        <f>Q1180*(1-R1180)</f>
        <v>514800.00000000012</v>
      </c>
      <c r="T1180" s="18">
        <f>S1180/'Financial Inputs'!$B$3</f>
        <v>5.1480000000000015E-3</v>
      </c>
      <c r="U1180" s="9" t="s">
        <v>52</v>
      </c>
      <c r="V1180" s="3" t="s">
        <v>53</v>
      </c>
    </row>
    <row r="1181" spans="1:22">
      <c r="A1181" s="2" t="s">
        <v>3765</v>
      </c>
      <c r="B1181" s="2" t="s">
        <v>3766</v>
      </c>
      <c r="C1181" s="2" t="s">
        <v>3528</v>
      </c>
      <c r="D1181" s="2" t="s">
        <v>102</v>
      </c>
      <c r="E1181" s="2" t="s">
        <v>128</v>
      </c>
      <c r="F1181" s="2" t="s">
        <v>97</v>
      </c>
      <c r="G1181" s="2" t="s">
        <v>83</v>
      </c>
      <c r="H1181" s="2" t="s">
        <v>46</v>
      </c>
      <c r="I1181" s="2" t="s">
        <v>47</v>
      </c>
      <c r="J1181" s="2" t="s">
        <v>3529</v>
      </c>
      <c r="K1181" s="2" t="s">
        <v>3767</v>
      </c>
      <c r="L1181" s="2" t="s">
        <v>414</v>
      </c>
      <c r="M1181" s="2" t="s">
        <v>3228</v>
      </c>
      <c r="N1181" s="16">
        <v>2.1600000000000001E-2</v>
      </c>
      <c r="O1181" s="17">
        <f>N1181*'Financial Inputs'!$B$3</f>
        <v>2160000</v>
      </c>
      <c r="P1181" s="18">
        <f>IF(I1181="L",'Financial Inputs'!$B$4,IF(I1181="M",'Financial Inputs'!$B$5,'Financial Inputs'!$B$6))</f>
        <v>0.4</v>
      </c>
      <c r="Q1181" s="17">
        <f>O1181*P1181</f>
        <v>864000</v>
      </c>
      <c r="R1181" s="16">
        <f>'Financial Inputs'!$B$7</f>
        <v>0.35</v>
      </c>
      <c r="S1181" s="17">
        <f>Q1181*(1-R1181)</f>
        <v>561600</v>
      </c>
      <c r="T1181" s="18">
        <f>S1181/'Financial Inputs'!$B$3</f>
        <v>5.6160000000000003E-3</v>
      </c>
      <c r="U1181" s="9" t="s">
        <v>52</v>
      </c>
      <c r="V1181" s="3" t="s">
        <v>53</v>
      </c>
    </row>
    <row r="1182" spans="1:22">
      <c r="A1182" s="2" t="s">
        <v>3768</v>
      </c>
      <c r="B1182" s="2" t="s">
        <v>3769</v>
      </c>
      <c r="C1182" s="2" t="s">
        <v>3528</v>
      </c>
      <c r="D1182" s="2" t="s">
        <v>64</v>
      </c>
      <c r="E1182" s="2" t="s">
        <v>81</v>
      </c>
      <c r="F1182" s="2" t="s">
        <v>74</v>
      </c>
      <c r="G1182" s="2" t="s">
        <v>67</v>
      </c>
      <c r="H1182" s="2" t="s">
        <v>46</v>
      </c>
      <c r="I1182" s="2" t="s">
        <v>47</v>
      </c>
      <c r="J1182" s="2" t="s">
        <v>3529</v>
      </c>
      <c r="K1182" s="2" t="s">
        <v>3770</v>
      </c>
      <c r="L1182" s="2" t="s">
        <v>418</v>
      </c>
      <c r="M1182" s="2" t="s">
        <v>3228</v>
      </c>
      <c r="N1182" s="16">
        <v>1.44E-2</v>
      </c>
      <c r="O1182" s="17">
        <f>N1182*'Financial Inputs'!$B$3</f>
        <v>1440000</v>
      </c>
      <c r="P1182" s="18">
        <f>IF(I1182="L",'Financial Inputs'!$B$4,IF(I1182="M",'Financial Inputs'!$B$5,'Financial Inputs'!$B$6))</f>
        <v>0.4</v>
      </c>
      <c r="Q1182" s="17">
        <f>O1182*P1182</f>
        <v>576000</v>
      </c>
      <c r="R1182" s="16">
        <f>'Financial Inputs'!$B$7</f>
        <v>0.35</v>
      </c>
      <c r="S1182" s="17">
        <f>Q1182*(1-R1182)</f>
        <v>374400</v>
      </c>
      <c r="T1182" s="18">
        <f>S1182/'Financial Inputs'!$B$3</f>
        <v>3.7439999999999999E-3</v>
      </c>
      <c r="U1182" s="9" t="s">
        <v>52</v>
      </c>
      <c r="V1182" s="3" t="s">
        <v>53</v>
      </c>
    </row>
    <row r="1183" spans="1:22">
      <c r="A1183" s="2" t="s">
        <v>3771</v>
      </c>
      <c r="B1183" s="2" t="s">
        <v>3772</v>
      </c>
      <c r="C1183" s="2" t="s">
        <v>3528</v>
      </c>
      <c r="D1183" s="2" t="s">
        <v>72</v>
      </c>
      <c r="E1183" s="2" t="s">
        <v>193</v>
      </c>
      <c r="F1183" s="2" t="s">
        <v>82</v>
      </c>
      <c r="G1183" s="2" t="s">
        <v>75</v>
      </c>
      <c r="H1183" s="2" t="s">
        <v>46</v>
      </c>
      <c r="I1183" s="2" t="s">
        <v>47</v>
      </c>
      <c r="J1183" s="2" t="s">
        <v>3529</v>
      </c>
      <c r="K1183" s="2" t="s">
        <v>3773</v>
      </c>
      <c r="L1183" s="2" t="s">
        <v>422</v>
      </c>
      <c r="M1183" s="2" t="s">
        <v>3228</v>
      </c>
      <c r="N1183" s="16">
        <v>1.6199999999999999E-2</v>
      </c>
      <c r="O1183" s="17">
        <f>N1183*'Financial Inputs'!$B$3</f>
        <v>1620000</v>
      </c>
      <c r="P1183" s="18">
        <f>IF(I1183="L",'Financial Inputs'!$B$4,IF(I1183="M",'Financial Inputs'!$B$5,'Financial Inputs'!$B$6))</f>
        <v>0.4</v>
      </c>
      <c r="Q1183" s="17">
        <f>O1183*P1183</f>
        <v>648000</v>
      </c>
      <c r="R1183" s="16">
        <f>'Financial Inputs'!$B$7</f>
        <v>0.35</v>
      </c>
      <c r="S1183" s="17">
        <f>Q1183*(1-R1183)</f>
        <v>421200</v>
      </c>
      <c r="T1183" s="18">
        <f>S1183/'Financial Inputs'!$B$3</f>
        <v>4.2119999999999996E-3</v>
      </c>
      <c r="U1183" s="9" t="s">
        <v>52</v>
      </c>
      <c r="V1183" s="3" t="s">
        <v>53</v>
      </c>
    </row>
    <row r="1184" spans="1:22">
      <c r="A1184" s="2" t="s">
        <v>3774</v>
      </c>
      <c r="B1184" s="2" t="s">
        <v>3775</v>
      </c>
      <c r="C1184" s="2" t="s">
        <v>3528</v>
      </c>
      <c r="D1184" s="2" t="s">
        <v>80</v>
      </c>
      <c r="E1184" s="2" t="s">
        <v>198</v>
      </c>
      <c r="F1184" s="2" t="s">
        <v>44</v>
      </c>
      <c r="G1184" s="2" t="s">
        <v>83</v>
      </c>
      <c r="H1184" s="2" t="s">
        <v>46</v>
      </c>
      <c r="I1184" s="2" t="s">
        <v>47</v>
      </c>
      <c r="J1184" s="2" t="s">
        <v>3529</v>
      </c>
      <c r="K1184" s="2" t="s">
        <v>3776</v>
      </c>
      <c r="L1184" s="2" t="s">
        <v>426</v>
      </c>
      <c r="M1184" s="2" t="s">
        <v>3228</v>
      </c>
      <c r="N1184" s="16">
        <v>1.7999999999999999E-2</v>
      </c>
      <c r="O1184" s="17">
        <f>N1184*'Financial Inputs'!$B$3</f>
        <v>1799999.9999999998</v>
      </c>
      <c r="P1184" s="18">
        <f>IF(I1184="L",'Financial Inputs'!$B$4,IF(I1184="M",'Financial Inputs'!$B$5,'Financial Inputs'!$B$6))</f>
        <v>0.4</v>
      </c>
      <c r="Q1184" s="17">
        <f>O1184*P1184</f>
        <v>720000</v>
      </c>
      <c r="R1184" s="16">
        <f>'Financial Inputs'!$B$7</f>
        <v>0.35</v>
      </c>
      <c r="S1184" s="17">
        <f>Q1184*(1-R1184)</f>
        <v>468000</v>
      </c>
      <c r="T1184" s="18">
        <f>S1184/'Financial Inputs'!$B$3</f>
        <v>4.6800000000000001E-3</v>
      </c>
      <c r="U1184" s="9" t="s">
        <v>52</v>
      </c>
      <c r="V1184" s="3" t="s">
        <v>53</v>
      </c>
    </row>
    <row r="1185" spans="1:22">
      <c r="A1185" s="2" t="s">
        <v>3777</v>
      </c>
      <c r="B1185" s="2" t="s">
        <v>3778</v>
      </c>
      <c r="C1185" s="2" t="s">
        <v>3528</v>
      </c>
      <c r="D1185" s="2" t="s">
        <v>127</v>
      </c>
      <c r="E1185" s="2" t="s">
        <v>148</v>
      </c>
      <c r="F1185" s="2" t="s">
        <v>58</v>
      </c>
      <c r="G1185" s="2" t="s">
        <v>111</v>
      </c>
      <c r="H1185" s="2" t="s">
        <v>46</v>
      </c>
      <c r="I1185" s="2" t="s">
        <v>47</v>
      </c>
      <c r="J1185" s="2" t="s">
        <v>3529</v>
      </c>
      <c r="K1185" s="2" t="s">
        <v>3779</v>
      </c>
      <c r="L1185" s="2" t="s">
        <v>430</v>
      </c>
      <c r="M1185" s="2" t="s">
        <v>3228</v>
      </c>
      <c r="N1185" s="16">
        <v>1.9800000000000002E-2</v>
      </c>
      <c r="O1185" s="17">
        <f>N1185*'Financial Inputs'!$B$3</f>
        <v>1980000.0000000002</v>
      </c>
      <c r="P1185" s="18">
        <f>IF(I1185="L",'Financial Inputs'!$B$4,IF(I1185="M",'Financial Inputs'!$B$5,'Financial Inputs'!$B$6))</f>
        <v>0.4</v>
      </c>
      <c r="Q1185" s="17">
        <f>O1185*P1185</f>
        <v>792000.00000000012</v>
      </c>
      <c r="R1185" s="16">
        <f>'Financial Inputs'!$B$7</f>
        <v>0.35</v>
      </c>
      <c r="S1185" s="17">
        <f>Q1185*(1-R1185)</f>
        <v>514800.00000000012</v>
      </c>
      <c r="T1185" s="18">
        <f>S1185/'Financial Inputs'!$B$3</f>
        <v>5.1480000000000015E-3</v>
      </c>
      <c r="U1185" s="9" t="s">
        <v>52</v>
      </c>
      <c r="V1185" s="3" t="s">
        <v>53</v>
      </c>
    </row>
    <row r="1186" spans="1:22">
      <c r="A1186" s="2" t="s">
        <v>3780</v>
      </c>
      <c r="B1186" s="2" t="s">
        <v>3781</v>
      </c>
      <c r="C1186" s="2" t="s">
        <v>3528</v>
      </c>
      <c r="D1186" s="2" t="s">
        <v>133</v>
      </c>
      <c r="E1186" s="2" t="s">
        <v>153</v>
      </c>
      <c r="F1186" s="2" t="s">
        <v>66</v>
      </c>
      <c r="G1186" s="2" t="s">
        <v>56</v>
      </c>
      <c r="H1186" s="2" t="s">
        <v>46</v>
      </c>
      <c r="I1186" s="2" t="s">
        <v>47</v>
      </c>
      <c r="J1186" s="2" t="s">
        <v>3529</v>
      </c>
      <c r="K1186" s="2" t="s">
        <v>3782</v>
      </c>
      <c r="L1186" s="2" t="s">
        <v>434</v>
      </c>
      <c r="M1186" s="2" t="s">
        <v>3228</v>
      </c>
      <c r="N1186" s="16">
        <v>2.1600000000000001E-2</v>
      </c>
      <c r="O1186" s="17">
        <f>N1186*'Financial Inputs'!$B$3</f>
        <v>2160000</v>
      </c>
      <c r="P1186" s="18">
        <f>IF(I1186="L",'Financial Inputs'!$B$4,IF(I1186="M",'Financial Inputs'!$B$5,'Financial Inputs'!$B$6))</f>
        <v>0.4</v>
      </c>
      <c r="Q1186" s="17">
        <f>O1186*P1186</f>
        <v>864000</v>
      </c>
      <c r="R1186" s="16">
        <f>'Financial Inputs'!$B$7</f>
        <v>0.35</v>
      </c>
      <c r="S1186" s="17">
        <f>Q1186*(1-R1186)</f>
        <v>561600</v>
      </c>
      <c r="T1186" s="18">
        <f>S1186/'Financial Inputs'!$B$3</f>
        <v>5.6160000000000003E-3</v>
      </c>
      <c r="U1186" s="9" t="s">
        <v>52</v>
      </c>
      <c r="V1186" s="3" t="s">
        <v>53</v>
      </c>
    </row>
    <row r="1187" spans="1:22">
      <c r="A1187" s="2" t="s">
        <v>3783</v>
      </c>
      <c r="B1187" s="2" t="s">
        <v>3784</v>
      </c>
      <c r="C1187" s="2" t="s">
        <v>3528</v>
      </c>
      <c r="D1187" s="2" t="s">
        <v>102</v>
      </c>
      <c r="E1187" s="2" t="s">
        <v>116</v>
      </c>
      <c r="F1187" s="2" t="s">
        <v>110</v>
      </c>
      <c r="G1187" s="2" t="s">
        <v>83</v>
      </c>
      <c r="H1187" s="2" t="s">
        <v>46</v>
      </c>
      <c r="I1187" s="2" t="s">
        <v>47</v>
      </c>
      <c r="J1187" s="2" t="s">
        <v>3529</v>
      </c>
      <c r="K1187" s="2" t="s">
        <v>3785</v>
      </c>
      <c r="L1187" s="2" t="s">
        <v>438</v>
      </c>
      <c r="M1187" s="2" t="s">
        <v>3228</v>
      </c>
      <c r="N1187" s="16">
        <v>1.44E-2</v>
      </c>
      <c r="O1187" s="17">
        <f>N1187*'Financial Inputs'!$B$3</f>
        <v>1440000</v>
      </c>
      <c r="P1187" s="18">
        <f>IF(I1187="L",'Financial Inputs'!$B$4,IF(I1187="M",'Financial Inputs'!$B$5,'Financial Inputs'!$B$6))</f>
        <v>0.4</v>
      </c>
      <c r="Q1187" s="17">
        <f>O1187*P1187</f>
        <v>576000</v>
      </c>
      <c r="R1187" s="16">
        <f>'Financial Inputs'!$B$7</f>
        <v>0.35</v>
      </c>
      <c r="S1187" s="17">
        <f>Q1187*(1-R1187)</f>
        <v>374400</v>
      </c>
      <c r="T1187" s="18">
        <f>S1187/'Financial Inputs'!$B$3</f>
        <v>3.7439999999999999E-3</v>
      </c>
      <c r="U1187" s="9" t="s">
        <v>52</v>
      </c>
      <c r="V1187" s="3" t="s">
        <v>53</v>
      </c>
    </row>
    <row r="1188" spans="1:22">
      <c r="A1188" s="2" t="s">
        <v>3786</v>
      </c>
      <c r="B1188" s="2" t="s">
        <v>3787</v>
      </c>
      <c r="C1188" s="2" t="s">
        <v>3528</v>
      </c>
      <c r="D1188" s="2" t="s">
        <v>42</v>
      </c>
      <c r="E1188" s="2" t="s">
        <v>215</v>
      </c>
      <c r="F1188" s="2" t="s">
        <v>117</v>
      </c>
      <c r="G1188" s="2" t="s">
        <v>111</v>
      </c>
      <c r="H1188" s="2" t="s">
        <v>46</v>
      </c>
      <c r="I1188" s="2" t="s">
        <v>47</v>
      </c>
      <c r="J1188" s="2" t="s">
        <v>3529</v>
      </c>
      <c r="K1188" s="2" t="s">
        <v>3788</v>
      </c>
      <c r="L1188" s="2" t="s">
        <v>442</v>
      </c>
      <c r="M1188" s="2" t="s">
        <v>3228</v>
      </c>
      <c r="N1188" s="16">
        <v>1.6199999999999999E-2</v>
      </c>
      <c r="O1188" s="17">
        <f>N1188*'Financial Inputs'!$B$3</f>
        <v>1620000</v>
      </c>
      <c r="P1188" s="18">
        <f>IF(I1188="L",'Financial Inputs'!$B$4,IF(I1188="M",'Financial Inputs'!$B$5,'Financial Inputs'!$B$6))</f>
        <v>0.4</v>
      </c>
      <c r="Q1188" s="17">
        <f>O1188*P1188</f>
        <v>648000</v>
      </c>
      <c r="R1188" s="16">
        <f>'Financial Inputs'!$B$7</f>
        <v>0.35</v>
      </c>
      <c r="S1188" s="17">
        <f>Q1188*(1-R1188)</f>
        <v>421200</v>
      </c>
      <c r="T1188" s="18">
        <f>S1188/'Financial Inputs'!$B$3</f>
        <v>4.2119999999999996E-3</v>
      </c>
      <c r="U1188" s="9" t="s">
        <v>52</v>
      </c>
      <c r="V1188" s="3" t="s">
        <v>53</v>
      </c>
    </row>
    <row r="1189" spans="1:22">
      <c r="A1189" s="2" t="s">
        <v>3789</v>
      </c>
      <c r="B1189" s="2" t="s">
        <v>3790</v>
      </c>
      <c r="C1189" s="2" t="s">
        <v>3528</v>
      </c>
      <c r="D1189" s="2" t="s">
        <v>56</v>
      </c>
      <c r="E1189" s="2" t="s">
        <v>220</v>
      </c>
      <c r="F1189" s="2" t="s">
        <v>90</v>
      </c>
      <c r="G1189" s="2" t="s">
        <v>56</v>
      </c>
      <c r="H1189" s="2" t="s">
        <v>46</v>
      </c>
      <c r="I1189" s="2" t="s">
        <v>47</v>
      </c>
      <c r="J1189" s="2" t="s">
        <v>3529</v>
      </c>
      <c r="K1189" s="2" t="s">
        <v>3791</v>
      </c>
      <c r="L1189" s="2" t="s">
        <v>446</v>
      </c>
      <c r="M1189" s="2" t="s">
        <v>3228</v>
      </c>
      <c r="N1189" s="16">
        <v>1.7999999999999999E-2</v>
      </c>
      <c r="O1189" s="17">
        <f>N1189*'Financial Inputs'!$B$3</f>
        <v>1799999.9999999998</v>
      </c>
      <c r="P1189" s="18">
        <f>IF(I1189="L",'Financial Inputs'!$B$4,IF(I1189="M",'Financial Inputs'!$B$5,'Financial Inputs'!$B$6))</f>
        <v>0.4</v>
      </c>
      <c r="Q1189" s="17">
        <f>O1189*P1189</f>
        <v>720000</v>
      </c>
      <c r="R1189" s="16">
        <f>'Financial Inputs'!$B$7</f>
        <v>0.35</v>
      </c>
      <c r="S1189" s="17">
        <f>Q1189*(1-R1189)</f>
        <v>468000</v>
      </c>
      <c r="T1189" s="18">
        <f>S1189/'Financial Inputs'!$B$3</f>
        <v>4.6800000000000001E-3</v>
      </c>
      <c r="U1189" s="9" t="s">
        <v>52</v>
      </c>
      <c r="V1189" s="3" t="s">
        <v>53</v>
      </c>
    </row>
    <row r="1190" spans="1:22">
      <c r="A1190" s="2" t="s">
        <v>3792</v>
      </c>
      <c r="B1190" s="2" t="s">
        <v>3793</v>
      </c>
      <c r="C1190" s="2" t="s">
        <v>3528</v>
      </c>
      <c r="D1190" s="2" t="s">
        <v>64</v>
      </c>
      <c r="E1190" s="2" t="s">
        <v>171</v>
      </c>
      <c r="F1190" s="2" t="s">
        <v>97</v>
      </c>
      <c r="G1190" s="2" t="s">
        <v>138</v>
      </c>
      <c r="H1190" s="2" t="s">
        <v>46</v>
      </c>
      <c r="I1190" s="2" t="s">
        <v>47</v>
      </c>
      <c r="J1190" s="2" t="s">
        <v>3529</v>
      </c>
      <c r="K1190" s="2" t="s">
        <v>3794</v>
      </c>
      <c r="L1190" s="2" t="s">
        <v>450</v>
      </c>
      <c r="M1190" s="2" t="s">
        <v>3228</v>
      </c>
      <c r="N1190" s="16">
        <v>1.9800000000000002E-2</v>
      </c>
      <c r="O1190" s="17">
        <f>N1190*'Financial Inputs'!$B$3</f>
        <v>1980000.0000000002</v>
      </c>
      <c r="P1190" s="18">
        <f>IF(I1190="L",'Financial Inputs'!$B$4,IF(I1190="M",'Financial Inputs'!$B$5,'Financial Inputs'!$B$6))</f>
        <v>0.4</v>
      </c>
      <c r="Q1190" s="17">
        <f>O1190*P1190</f>
        <v>792000.00000000012</v>
      </c>
      <c r="R1190" s="16">
        <f>'Financial Inputs'!$B$7</f>
        <v>0.35</v>
      </c>
      <c r="S1190" s="17">
        <f>Q1190*(1-R1190)</f>
        <v>514800.00000000012</v>
      </c>
      <c r="T1190" s="18">
        <f>S1190/'Financial Inputs'!$B$3</f>
        <v>5.1480000000000015E-3</v>
      </c>
      <c r="U1190" s="9" t="s">
        <v>52</v>
      </c>
      <c r="V1190" s="3" t="s">
        <v>53</v>
      </c>
    </row>
    <row r="1191" spans="1:22">
      <c r="A1191" s="2" t="s">
        <v>3795</v>
      </c>
      <c r="B1191" s="2" t="s">
        <v>3796</v>
      </c>
      <c r="C1191" s="2" t="s">
        <v>3528</v>
      </c>
      <c r="D1191" s="2" t="s">
        <v>72</v>
      </c>
      <c r="E1191" s="2" t="s">
        <v>176</v>
      </c>
      <c r="F1191" s="2" t="s">
        <v>104</v>
      </c>
      <c r="G1191" s="2" t="s">
        <v>143</v>
      </c>
      <c r="H1191" s="2" t="s">
        <v>46</v>
      </c>
      <c r="I1191" s="2" t="s">
        <v>47</v>
      </c>
      <c r="J1191" s="2" t="s">
        <v>3529</v>
      </c>
      <c r="K1191" s="2" t="s">
        <v>3797</v>
      </c>
      <c r="L1191" s="2" t="s">
        <v>454</v>
      </c>
      <c r="M1191" s="2" t="s">
        <v>3228</v>
      </c>
      <c r="N1191" s="16">
        <v>2.1600000000000001E-2</v>
      </c>
      <c r="O1191" s="17">
        <f>N1191*'Financial Inputs'!$B$3</f>
        <v>2160000</v>
      </c>
      <c r="P1191" s="18">
        <f>IF(I1191="L",'Financial Inputs'!$B$4,IF(I1191="M",'Financial Inputs'!$B$5,'Financial Inputs'!$B$6))</f>
        <v>0.4</v>
      </c>
      <c r="Q1191" s="17">
        <f>O1191*P1191</f>
        <v>864000</v>
      </c>
      <c r="R1191" s="16">
        <f>'Financial Inputs'!$B$7</f>
        <v>0.35</v>
      </c>
      <c r="S1191" s="17">
        <f>Q1191*(1-R1191)</f>
        <v>561600</v>
      </c>
      <c r="T1191" s="18">
        <f>S1191/'Financial Inputs'!$B$3</f>
        <v>5.6160000000000003E-3</v>
      </c>
      <c r="U1191" s="9" t="s">
        <v>52</v>
      </c>
      <c r="V1191" s="3" t="s">
        <v>53</v>
      </c>
    </row>
    <row r="1192" spans="1:22">
      <c r="A1192" s="2" t="s">
        <v>3798</v>
      </c>
      <c r="B1192" s="2" t="s">
        <v>3799</v>
      </c>
      <c r="C1192" s="2" t="s">
        <v>3528</v>
      </c>
      <c r="D1192" s="2" t="s">
        <v>133</v>
      </c>
      <c r="E1192" s="2" t="s">
        <v>65</v>
      </c>
      <c r="F1192" s="2" t="s">
        <v>82</v>
      </c>
      <c r="G1192" s="2" t="s">
        <v>56</v>
      </c>
      <c r="H1192" s="2" t="s">
        <v>46</v>
      </c>
      <c r="I1192" s="2" t="s">
        <v>47</v>
      </c>
      <c r="J1192" s="2" t="s">
        <v>3529</v>
      </c>
      <c r="K1192" s="2" t="s">
        <v>3800</v>
      </c>
      <c r="L1192" s="2" t="s">
        <v>458</v>
      </c>
      <c r="M1192" s="2" t="s">
        <v>3228</v>
      </c>
      <c r="N1192" s="16">
        <v>1.44E-2</v>
      </c>
      <c r="O1192" s="17">
        <f>N1192*'Financial Inputs'!$B$3</f>
        <v>1440000</v>
      </c>
      <c r="P1192" s="18">
        <f>IF(I1192="L",'Financial Inputs'!$B$4,IF(I1192="M",'Financial Inputs'!$B$5,'Financial Inputs'!$B$6))</f>
        <v>0.4</v>
      </c>
      <c r="Q1192" s="17">
        <f>O1192*P1192</f>
        <v>576000</v>
      </c>
      <c r="R1192" s="16">
        <f>'Financial Inputs'!$B$7</f>
        <v>0.35</v>
      </c>
      <c r="S1192" s="17">
        <f>Q1192*(1-R1192)</f>
        <v>374400</v>
      </c>
      <c r="T1192" s="18">
        <f>S1192/'Financial Inputs'!$B$3</f>
        <v>3.7439999999999999E-3</v>
      </c>
      <c r="U1192" s="9" t="s">
        <v>52</v>
      </c>
      <c r="V1192" s="3" t="s">
        <v>53</v>
      </c>
    </row>
    <row r="1193" spans="1:22">
      <c r="A1193" s="2" t="s">
        <v>3801</v>
      </c>
      <c r="B1193" s="2" t="s">
        <v>3802</v>
      </c>
      <c r="C1193" s="2" t="s">
        <v>3528</v>
      </c>
      <c r="D1193" s="2" t="s">
        <v>88</v>
      </c>
      <c r="E1193" s="2" t="s">
        <v>73</v>
      </c>
      <c r="F1193" s="2" t="s">
        <v>44</v>
      </c>
      <c r="G1193" s="2" t="s">
        <v>138</v>
      </c>
      <c r="H1193" s="2" t="s">
        <v>46</v>
      </c>
      <c r="I1193" s="2" t="s">
        <v>47</v>
      </c>
      <c r="J1193" s="2" t="s">
        <v>3529</v>
      </c>
      <c r="K1193" s="2" t="s">
        <v>3803</v>
      </c>
      <c r="L1193" s="2" t="s">
        <v>462</v>
      </c>
      <c r="M1193" s="2" t="s">
        <v>3228</v>
      </c>
      <c r="N1193" s="16">
        <v>1.6199999999999999E-2</v>
      </c>
      <c r="O1193" s="17">
        <f>N1193*'Financial Inputs'!$B$3</f>
        <v>1620000</v>
      </c>
      <c r="P1193" s="18">
        <f>IF(I1193="L",'Financial Inputs'!$B$4,IF(I1193="M",'Financial Inputs'!$B$5,'Financial Inputs'!$B$6))</f>
        <v>0.4</v>
      </c>
      <c r="Q1193" s="17">
        <f>O1193*P1193</f>
        <v>648000</v>
      </c>
      <c r="R1193" s="16">
        <f>'Financial Inputs'!$B$7</f>
        <v>0.35</v>
      </c>
      <c r="S1193" s="17">
        <f>Q1193*(1-R1193)</f>
        <v>421200</v>
      </c>
      <c r="T1193" s="18">
        <f>S1193/'Financial Inputs'!$B$3</f>
        <v>4.2119999999999996E-3</v>
      </c>
      <c r="U1193" s="9" t="s">
        <v>52</v>
      </c>
      <c r="V1193" s="3" t="s">
        <v>53</v>
      </c>
    </row>
    <row r="1194" spans="1:22">
      <c r="A1194" s="2" t="s">
        <v>3804</v>
      </c>
      <c r="B1194" s="2" t="s">
        <v>3805</v>
      </c>
      <c r="C1194" s="2" t="s">
        <v>3528</v>
      </c>
      <c r="D1194" s="2" t="s">
        <v>95</v>
      </c>
      <c r="E1194" s="2" t="s">
        <v>81</v>
      </c>
      <c r="F1194" s="2" t="s">
        <v>58</v>
      </c>
      <c r="G1194" s="2" t="s">
        <v>143</v>
      </c>
      <c r="H1194" s="2" t="s">
        <v>46</v>
      </c>
      <c r="I1194" s="2" t="s">
        <v>47</v>
      </c>
      <c r="J1194" s="2" t="s">
        <v>3529</v>
      </c>
      <c r="K1194" s="2" t="s">
        <v>3806</v>
      </c>
      <c r="L1194" s="2" t="s">
        <v>466</v>
      </c>
      <c r="M1194" s="2" t="s">
        <v>3228</v>
      </c>
      <c r="N1194" s="16">
        <v>1.7999999999999999E-2</v>
      </c>
      <c r="O1194" s="17">
        <f>N1194*'Financial Inputs'!$B$3</f>
        <v>1799999.9999999998</v>
      </c>
      <c r="P1194" s="18">
        <f>IF(I1194="L",'Financial Inputs'!$B$4,IF(I1194="M",'Financial Inputs'!$B$5,'Financial Inputs'!$B$6))</f>
        <v>0.4</v>
      </c>
      <c r="Q1194" s="17">
        <f>O1194*P1194</f>
        <v>720000</v>
      </c>
      <c r="R1194" s="16">
        <f>'Financial Inputs'!$B$7</f>
        <v>0.35</v>
      </c>
      <c r="S1194" s="17">
        <f>Q1194*(1-R1194)</f>
        <v>468000</v>
      </c>
      <c r="T1194" s="18">
        <f>S1194/'Financial Inputs'!$B$3</f>
        <v>4.6800000000000001E-3</v>
      </c>
      <c r="U1194" s="9" t="s">
        <v>52</v>
      </c>
      <c r="V1194" s="3" t="s">
        <v>53</v>
      </c>
    </row>
    <row r="1195" spans="1:22">
      <c r="A1195" s="2" t="s">
        <v>3807</v>
      </c>
      <c r="B1195" s="2" t="s">
        <v>3808</v>
      </c>
      <c r="C1195" s="2" t="s">
        <v>3528</v>
      </c>
      <c r="D1195" s="2" t="s">
        <v>102</v>
      </c>
      <c r="E1195" s="2" t="s">
        <v>193</v>
      </c>
      <c r="F1195" s="2" t="s">
        <v>66</v>
      </c>
      <c r="G1195" s="2" t="s">
        <v>162</v>
      </c>
      <c r="H1195" s="2" t="s">
        <v>46</v>
      </c>
      <c r="I1195" s="2" t="s">
        <v>47</v>
      </c>
      <c r="J1195" s="2" t="s">
        <v>3529</v>
      </c>
      <c r="K1195" s="2" t="s">
        <v>3809</v>
      </c>
      <c r="L1195" s="2" t="s">
        <v>470</v>
      </c>
      <c r="M1195" s="2" t="s">
        <v>3228</v>
      </c>
      <c r="N1195" s="16">
        <v>1.9800000000000002E-2</v>
      </c>
      <c r="O1195" s="17">
        <f>N1195*'Financial Inputs'!$B$3</f>
        <v>1980000.0000000002</v>
      </c>
      <c r="P1195" s="18">
        <f>IF(I1195="L",'Financial Inputs'!$B$4,IF(I1195="M",'Financial Inputs'!$B$5,'Financial Inputs'!$B$6))</f>
        <v>0.4</v>
      </c>
      <c r="Q1195" s="17">
        <f>O1195*P1195</f>
        <v>792000.00000000012</v>
      </c>
      <c r="R1195" s="16">
        <f>'Financial Inputs'!$B$7</f>
        <v>0.35</v>
      </c>
      <c r="S1195" s="17">
        <f>Q1195*(1-R1195)</f>
        <v>514800.00000000012</v>
      </c>
      <c r="T1195" s="18">
        <f>S1195/'Financial Inputs'!$B$3</f>
        <v>5.1480000000000015E-3</v>
      </c>
      <c r="U1195" s="9" t="s">
        <v>52</v>
      </c>
      <c r="V1195" s="3" t="s">
        <v>53</v>
      </c>
    </row>
    <row r="1196" spans="1:22">
      <c r="A1196" s="2" t="s">
        <v>3810</v>
      </c>
      <c r="B1196" s="2" t="s">
        <v>3811</v>
      </c>
      <c r="C1196" s="2" t="s">
        <v>3528</v>
      </c>
      <c r="D1196" s="2" t="s">
        <v>42</v>
      </c>
      <c r="E1196" s="2" t="s">
        <v>198</v>
      </c>
      <c r="F1196" s="2" t="s">
        <v>74</v>
      </c>
      <c r="G1196" s="2" t="s">
        <v>45</v>
      </c>
      <c r="H1196" s="2" t="s">
        <v>46</v>
      </c>
      <c r="I1196" s="2" t="s">
        <v>47</v>
      </c>
      <c r="J1196" s="2" t="s">
        <v>3529</v>
      </c>
      <c r="K1196" s="2" t="s">
        <v>3812</v>
      </c>
      <c r="L1196" s="2" t="s">
        <v>474</v>
      </c>
      <c r="M1196" s="2" t="s">
        <v>3228</v>
      </c>
      <c r="N1196" s="16">
        <v>2.1600000000000001E-2</v>
      </c>
      <c r="O1196" s="17">
        <f>N1196*'Financial Inputs'!$B$3</f>
        <v>2160000</v>
      </c>
      <c r="P1196" s="18">
        <f>IF(I1196="L",'Financial Inputs'!$B$4,IF(I1196="M",'Financial Inputs'!$B$5,'Financial Inputs'!$B$6))</f>
        <v>0.4</v>
      </c>
      <c r="Q1196" s="17">
        <f>O1196*P1196</f>
        <v>864000</v>
      </c>
      <c r="R1196" s="16">
        <f>'Financial Inputs'!$B$7</f>
        <v>0.35</v>
      </c>
      <c r="S1196" s="17">
        <f>Q1196*(1-R1196)</f>
        <v>561600</v>
      </c>
      <c r="T1196" s="18">
        <f>S1196/'Financial Inputs'!$B$3</f>
        <v>5.6160000000000003E-3</v>
      </c>
      <c r="U1196" s="9" t="s">
        <v>52</v>
      </c>
      <c r="V1196" s="3" t="s">
        <v>53</v>
      </c>
    </row>
    <row r="1197" spans="1:22">
      <c r="A1197" s="2" t="s">
        <v>3813</v>
      </c>
      <c r="B1197" s="2" t="s">
        <v>3814</v>
      </c>
      <c r="C1197" s="2" t="s">
        <v>3528</v>
      </c>
      <c r="D1197" s="2" t="s">
        <v>72</v>
      </c>
      <c r="E1197" s="2" t="s">
        <v>103</v>
      </c>
      <c r="F1197" s="2" t="s">
        <v>117</v>
      </c>
      <c r="G1197" s="2" t="s">
        <v>143</v>
      </c>
      <c r="H1197" s="2" t="s">
        <v>46</v>
      </c>
      <c r="I1197" s="2" t="s">
        <v>47</v>
      </c>
      <c r="J1197" s="2" t="s">
        <v>3529</v>
      </c>
      <c r="K1197" s="2" t="s">
        <v>3815</v>
      </c>
      <c r="L1197" s="2" t="s">
        <v>478</v>
      </c>
      <c r="M1197" s="2" t="s">
        <v>3228</v>
      </c>
      <c r="N1197" s="16">
        <v>1.44E-2</v>
      </c>
      <c r="O1197" s="17">
        <f>N1197*'Financial Inputs'!$B$3</f>
        <v>1440000</v>
      </c>
      <c r="P1197" s="18">
        <f>IF(I1197="L",'Financial Inputs'!$B$4,IF(I1197="M",'Financial Inputs'!$B$5,'Financial Inputs'!$B$6))</f>
        <v>0.4</v>
      </c>
      <c r="Q1197" s="17">
        <f>O1197*P1197</f>
        <v>576000</v>
      </c>
      <c r="R1197" s="16">
        <f>'Financial Inputs'!$B$7</f>
        <v>0.35</v>
      </c>
      <c r="S1197" s="17">
        <f>Q1197*(1-R1197)</f>
        <v>374400</v>
      </c>
      <c r="T1197" s="18">
        <f>S1197/'Financial Inputs'!$B$3</f>
        <v>3.7439999999999999E-3</v>
      </c>
      <c r="U1197" s="9" t="s">
        <v>52</v>
      </c>
      <c r="V1197" s="3" t="s">
        <v>53</v>
      </c>
    </row>
    <row r="1198" spans="1:22">
      <c r="A1198" s="2" t="s">
        <v>3816</v>
      </c>
      <c r="B1198" s="2" t="s">
        <v>3817</v>
      </c>
      <c r="C1198" s="2" t="s">
        <v>3528</v>
      </c>
      <c r="D1198" s="2" t="s">
        <v>80</v>
      </c>
      <c r="E1198" s="2" t="s">
        <v>109</v>
      </c>
      <c r="F1198" s="2" t="s">
        <v>90</v>
      </c>
      <c r="G1198" s="2" t="s">
        <v>162</v>
      </c>
      <c r="H1198" s="2" t="s">
        <v>46</v>
      </c>
      <c r="I1198" s="2" t="s">
        <v>47</v>
      </c>
      <c r="J1198" s="2" t="s">
        <v>3529</v>
      </c>
      <c r="K1198" s="2" t="s">
        <v>3818</v>
      </c>
      <c r="L1198" s="2" t="s">
        <v>482</v>
      </c>
      <c r="M1198" s="2" t="s">
        <v>3228</v>
      </c>
      <c r="N1198" s="16">
        <v>1.6199999999999999E-2</v>
      </c>
      <c r="O1198" s="17">
        <f>N1198*'Financial Inputs'!$B$3</f>
        <v>1620000</v>
      </c>
      <c r="P1198" s="18">
        <f>IF(I1198="L",'Financial Inputs'!$B$4,IF(I1198="M",'Financial Inputs'!$B$5,'Financial Inputs'!$B$6))</f>
        <v>0.4</v>
      </c>
      <c r="Q1198" s="17">
        <f>O1198*P1198</f>
        <v>648000</v>
      </c>
      <c r="R1198" s="16">
        <f>'Financial Inputs'!$B$7</f>
        <v>0.35</v>
      </c>
      <c r="S1198" s="17">
        <f>Q1198*(1-R1198)</f>
        <v>421200</v>
      </c>
      <c r="T1198" s="18">
        <f>S1198/'Financial Inputs'!$B$3</f>
        <v>4.2119999999999996E-3</v>
      </c>
      <c r="U1198" s="9" t="s">
        <v>52</v>
      </c>
      <c r="V1198" s="3" t="s">
        <v>53</v>
      </c>
    </row>
    <row r="1199" spans="1:22">
      <c r="A1199" s="2" t="s">
        <v>3819</v>
      </c>
      <c r="B1199" s="2" t="s">
        <v>3820</v>
      </c>
      <c r="C1199" s="2" t="s">
        <v>3528</v>
      </c>
      <c r="D1199" s="2" t="s">
        <v>127</v>
      </c>
      <c r="E1199" s="2" t="s">
        <v>116</v>
      </c>
      <c r="F1199" s="2" t="s">
        <v>97</v>
      </c>
      <c r="G1199" s="2" t="s">
        <v>45</v>
      </c>
      <c r="H1199" s="2" t="s">
        <v>46</v>
      </c>
      <c r="I1199" s="2" t="s">
        <v>47</v>
      </c>
      <c r="J1199" s="2" t="s">
        <v>3529</v>
      </c>
      <c r="K1199" s="2" t="s">
        <v>3821</v>
      </c>
      <c r="L1199" s="2" t="s">
        <v>486</v>
      </c>
      <c r="M1199" s="2" t="s">
        <v>3228</v>
      </c>
      <c r="N1199" s="16">
        <v>1.7999999999999999E-2</v>
      </c>
      <c r="O1199" s="17">
        <f>N1199*'Financial Inputs'!$B$3</f>
        <v>1799999.9999999998</v>
      </c>
      <c r="P1199" s="18">
        <f>IF(I1199="L",'Financial Inputs'!$B$4,IF(I1199="M",'Financial Inputs'!$B$5,'Financial Inputs'!$B$6))</f>
        <v>0.4</v>
      </c>
      <c r="Q1199" s="17">
        <f>O1199*P1199</f>
        <v>720000</v>
      </c>
      <c r="R1199" s="16">
        <f>'Financial Inputs'!$B$7</f>
        <v>0.35</v>
      </c>
      <c r="S1199" s="17">
        <f>Q1199*(1-R1199)</f>
        <v>468000</v>
      </c>
      <c r="T1199" s="18">
        <f>S1199/'Financial Inputs'!$B$3</f>
        <v>4.6800000000000001E-3</v>
      </c>
      <c r="U1199" s="9" t="s">
        <v>52</v>
      </c>
      <c r="V1199" s="3" t="s">
        <v>53</v>
      </c>
    </row>
    <row r="1200" spans="1:22">
      <c r="A1200" s="2" t="s">
        <v>3822</v>
      </c>
      <c r="B1200" s="2" t="s">
        <v>3823</v>
      </c>
      <c r="C1200" s="2" t="s">
        <v>3528</v>
      </c>
      <c r="D1200" s="2" t="s">
        <v>133</v>
      </c>
      <c r="E1200" s="2" t="s">
        <v>215</v>
      </c>
      <c r="F1200" s="2" t="s">
        <v>104</v>
      </c>
      <c r="G1200" s="2" t="s">
        <v>59</v>
      </c>
      <c r="H1200" s="2" t="s">
        <v>46</v>
      </c>
      <c r="I1200" s="2" t="s">
        <v>47</v>
      </c>
      <c r="J1200" s="2" t="s">
        <v>3529</v>
      </c>
      <c r="K1200" s="2" t="s">
        <v>3824</v>
      </c>
      <c r="L1200" s="2" t="s">
        <v>490</v>
      </c>
      <c r="M1200" s="2" t="s">
        <v>3228</v>
      </c>
      <c r="N1200" s="16">
        <v>1.9800000000000002E-2</v>
      </c>
      <c r="O1200" s="17">
        <f>N1200*'Financial Inputs'!$B$3</f>
        <v>1980000.0000000002</v>
      </c>
      <c r="P1200" s="18">
        <f>IF(I1200="L",'Financial Inputs'!$B$4,IF(I1200="M",'Financial Inputs'!$B$5,'Financial Inputs'!$B$6))</f>
        <v>0.4</v>
      </c>
      <c r="Q1200" s="17">
        <f>O1200*P1200</f>
        <v>792000.00000000012</v>
      </c>
      <c r="R1200" s="16">
        <f>'Financial Inputs'!$B$7</f>
        <v>0.35</v>
      </c>
      <c r="S1200" s="17">
        <f>Q1200*(1-R1200)</f>
        <v>514800.00000000012</v>
      </c>
      <c r="T1200" s="18">
        <f>S1200/'Financial Inputs'!$B$3</f>
        <v>5.1480000000000015E-3</v>
      </c>
      <c r="U1200" s="9" t="s">
        <v>52</v>
      </c>
      <c r="V1200" s="3" t="s">
        <v>53</v>
      </c>
    </row>
    <row r="1201" spans="1:22">
      <c r="A1201" s="2" t="s">
        <v>3825</v>
      </c>
      <c r="B1201" s="2" t="s">
        <v>3826</v>
      </c>
      <c r="C1201" s="2" t="s">
        <v>3528</v>
      </c>
      <c r="D1201" s="2" t="s">
        <v>88</v>
      </c>
      <c r="E1201" s="2" t="s">
        <v>220</v>
      </c>
      <c r="F1201" s="2" t="s">
        <v>110</v>
      </c>
      <c r="G1201" s="2" t="s">
        <v>67</v>
      </c>
      <c r="H1201" s="2" t="s">
        <v>46</v>
      </c>
      <c r="I1201" s="2" t="s">
        <v>47</v>
      </c>
      <c r="J1201" s="2" t="s">
        <v>3529</v>
      </c>
      <c r="K1201" s="2" t="s">
        <v>3827</v>
      </c>
      <c r="L1201" s="2" t="s">
        <v>494</v>
      </c>
      <c r="M1201" s="2" t="s">
        <v>3228</v>
      </c>
      <c r="N1201" s="16">
        <v>2.1600000000000001E-2</v>
      </c>
      <c r="O1201" s="17">
        <f>N1201*'Financial Inputs'!$B$3</f>
        <v>2160000</v>
      </c>
      <c r="P1201" s="18">
        <f>IF(I1201="L",'Financial Inputs'!$B$4,IF(I1201="M",'Financial Inputs'!$B$5,'Financial Inputs'!$B$6))</f>
        <v>0.4</v>
      </c>
      <c r="Q1201" s="17">
        <f>O1201*P1201</f>
        <v>864000</v>
      </c>
      <c r="R1201" s="16">
        <f>'Financial Inputs'!$B$7</f>
        <v>0.35</v>
      </c>
      <c r="S1201" s="17">
        <f>Q1201*(1-R1201)</f>
        <v>561600</v>
      </c>
      <c r="T1201" s="18">
        <f>S1201/'Financial Inputs'!$B$3</f>
        <v>5.6160000000000003E-3</v>
      </c>
      <c r="U1201" s="9" t="s">
        <v>52</v>
      </c>
      <c r="V1201" s="3" t="s">
        <v>53</v>
      </c>
    </row>
    <row r="1202" spans="1:22">
      <c r="A1202" s="2" t="s">
        <v>3828</v>
      </c>
      <c r="B1202" s="2" t="s">
        <v>3829</v>
      </c>
      <c r="C1202" s="2" t="s">
        <v>3830</v>
      </c>
      <c r="D1202" s="2" t="s">
        <v>42</v>
      </c>
      <c r="E1202" s="2" t="s">
        <v>43</v>
      </c>
      <c r="F1202" s="2" t="s">
        <v>44</v>
      </c>
      <c r="G1202" s="2" t="s">
        <v>45</v>
      </c>
      <c r="H1202" s="2" t="s">
        <v>46</v>
      </c>
      <c r="I1202" s="2" t="s">
        <v>3831</v>
      </c>
      <c r="J1202" s="2" t="s">
        <v>500</v>
      </c>
      <c r="K1202" s="2" t="s">
        <v>3832</v>
      </c>
      <c r="L1202" s="2" t="s">
        <v>50</v>
      </c>
      <c r="M1202" s="2" t="s">
        <v>2320</v>
      </c>
      <c r="N1202" s="16">
        <v>8.0000000000000002E-3</v>
      </c>
      <c r="O1202" s="17">
        <f>N1202*'Financial Inputs'!$B$3</f>
        <v>800000</v>
      </c>
      <c r="P1202" s="18">
        <f>IF(I1202="L",'Financial Inputs'!$B$4,IF(I1202="M",'Financial Inputs'!$B$5,'Financial Inputs'!$B$6))</f>
        <v>0.15</v>
      </c>
      <c r="Q1202" s="17">
        <f>O1202*P1202</f>
        <v>120000</v>
      </c>
      <c r="R1202" s="16">
        <f>'Financial Inputs'!$B$7</f>
        <v>0.35</v>
      </c>
      <c r="S1202" s="17">
        <f>Q1202*(1-R1202)</f>
        <v>78000</v>
      </c>
      <c r="T1202" s="18">
        <f>S1202/'Financial Inputs'!$B$3</f>
        <v>7.7999999999999999E-4</v>
      </c>
      <c r="U1202" s="9" t="s">
        <v>52</v>
      </c>
      <c r="V1202" s="3" t="s">
        <v>53</v>
      </c>
    </row>
    <row r="1203" spans="1:22">
      <c r="A1203" s="2" t="s">
        <v>3833</v>
      </c>
      <c r="B1203" s="2" t="s">
        <v>3834</v>
      </c>
      <c r="C1203" s="2" t="s">
        <v>3830</v>
      </c>
      <c r="D1203" s="2" t="s">
        <v>56</v>
      </c>
      <c r="E1203" s="2" t="s">
        <v>57</v>
      </c>
      <c r="F1203" s="2" t="s">
        <v>58</v>
      </c>
      <c r="G1203" s="2" t="s">
        <v>59</v>
      </c>
      <c r="H1203" s="2" t="s">
        <v>46</v>
      </c>
      <c r="I1203" s="2" t="s">
        <v>3831</v>
      </c>
      <c r="J1203" s="2" t="s">
        <v>500</v>
      </c>
      <c r="K1203" s="2" t="s">
        <v>3835</v>
      </c>
      <c r="L1203" s="2" t="s">
        <v>61</v>
      </c>
      <c r="M1203" s="2" t="s">
        <v>2320</v>
      </c>
      <c r="N1203" s="16">
        <v>9.0000000000000011E-3</v>
      </c>
      <c r="O1203" s="17">
        <f>N1203*'Financial Inputs'!$B$3</f>
        <v>900000.00000000012</v>
      </c>
      <c r="P1203" s="18">
        <f>IF(I1203="L",'Financial Inputs'!$B$4,IF(I1203="M",'Financial Inputs'!$B$5,'Financial Inputs'!$B$6))</f>
        <v>0.15</v>
      </c>
      <c r="Q1203" s="17">
        <f>O1203*P1203</f>
        <v>135000</v>
      </c>
      <c r="R1203" s="16">
        <f>'Financial Inputs'!$B$7</f>
        <v>0.35</v>
      </c>
      <c r="S1203" s="17">
        <f>Q1203*(1-R1203)</f>
        <v>87750</v>
      </c>
      <c r="T1203" s="18">
        <f>S1203/'Financial Inputs'!$B$3</f>
        <v>8.7750000000000002E-4</v>
      </c>
      <c r="U1203" s="9" t="s">
        <v>52</v>
      </c>
      <c r="V1203" s="3" t="s">
        <v>53</v>
      </c>
    </row>
    <row r="1204" spans="1:22">
      <c r="A1204" s="2" t="s">
        <v>3836</v>
      </c>
      <c r="B1204" s="2" t="s">
        <v>3837</v>
      </c>
      <c r="C1204" s="2" t="s">
        <v>3830</v>
      </c>
      <c r="D1204" s="2" t="s">
        <v>64</v>
      </c>
      <c r="E1204" s="2" t="s">
        <v>65</v>
      </c>
      <c r="F1204" s="2" t="s">
        <v>66</v>
      </c>
      <c r="G1204" s="2" t="s">
        <v>67</v>
      </c>
      <c r="H1204" s="2" t="s">
        <v>46</v>
      </c>
      <c r="I1204" s="2" t="s">
        <v>3831</v>
      </c>
      <c r="J1204" s="2" t="s">
        <v>500</v>
      </c>
      <c r="K1204" s="2" t="s">
        <v>3838</v>
      </c>
      <c r="L1204" s="2" t="s">
        <v>69</v>
      </c>
      <c r="M1204" s="2" t="s">
        <v>2320</v>
      </c>
      <c r="N1204" s="16">
        <v>0.01</v>
      </c>
      <c r="O1204" s="17">
        <f>N1204*'Financial Inputs'!$B$3</f>
        <v>1000000</v>
      </c>
      <c r="P1204" s="18">
        <f>IF(I1204="L",'Financial Inputs'!$B$4,IF(I1204="M",'Financial Inputs'!$B$5,'Financial Inputs'!$B$6))</f>
        <v>0.15</v>
      </c>
      <c r="Q1204" s="17">
        <f>O1204*P1204</f>
        <v>150000</v>
      </c>
      <c r="R1204" s="16">
        <f>'Financial Inputs'!$B$7</f>
        <v>0.35</v>
      </c>
      <c r="S1204" s="17">
        <f>Q1204*(1-R1204)</f>
        <v>97500</v>
      </c>
      <c r="T1204" s="18">
        <f>S1204/'Financial Inputs'!$B$3</f>
        <v>9.7499999999999996E-4</v>
      </c>
      <c r="U1204" s="9" t="s">
        <v>52</v>
      </c>
      <c r="V1204" s="3" t="s">
        <v>53</v>
      </c>
    </row>
    <row r="1205" spans="1:22">
      <c r="A1205" s="2" t="s">
        <v>3839</v>
      </c>
      <c r="B1205" s="2" t="s">
        <v>3840</v>
      </c>
      <c r="C1205" s="2" t="s">
        <v>3830</v>
      </c>
      <c r="D1205" s="2" t="s">
        <v>72</v>
      </c>
      <c r="E1205" s="2" t="s">
        <v>73</v>
      </c>
      <c r="F1205" s="2" t="s">
        <v>74</v>
      </c>
      <c r="G1205" s="2" t="s">
        <v>75</v>
      </c>
      <c r="H1205" s="2" t="s">
        <v>46</v>
      </c>
      <c r="I1205" s="2" t="s">
        <v>3831</v>
      </c>
      <c r="J1205" s="2" t="s">
        <v>500</v>
      </c>
      <c r="K1205" s="2" t="s">
        <v>3841</v>
      </c>
      <c r="L1205" s="2" t="s">
        <v>77</v>
      </c>
      <c r="M1205" s="2" t="s">
        <v>2320</v>
      </c>
      <c r="N1205" s="16">
        <v>1.0999999999999999E-2</v>
      </c>
      <c r="O1205" s="17">
        <f>N1205*'Financial Inputs'!$B$3</f>
        <v>1100000</v>
      </c>
      <c r="P1205" s="18">
        <f>IF(I1205="L",'Financial Inputs'!$B$4,IF(I1205="M",'Financial Inputs'!$B$5,'Financial Inputs'!$B$6))</f>
        <v>0.15</v>
      </c>
      <c r="Q1205" s="17">
        <f>O1205*P1205</f>
        <v>165000</v>
      </c>
      <c r="R1205" s="16">
        <f>'Financial Inputs'!$B$7</f>
        <v>0.35</v>
      </c>
      <c r="S1205" s="17">
        <f>Q1205*(1-R1205)</f>
        <v>107250</v>
      </c>
      <c r="T1205" s="18">
        <f>S1205/'Financial Inputs'!$B$3</f>
        <v>1.0725000000000001E-3</v>
      </c>
      <c r="U1205" s="9" t="s">
        <v>52</v>
      </c>
      <c r="V1205" s="3" t="s">
        <v>53</v>
      </c>
    </row>
    <row r="1206" spans="1:22">
      <c r="A1206" s="2" t="s">
        <v>3842</v>
      </c>
      <c r="B1206" s="2" t="s">
        <v>3843</v>
      </c>
      <c r="C1206" s="2" t="s">
        <v>3830</v>
      </c>
      <c r="D1206" s="2" t="s">
        <v>80</v>
      </c>
      <c r="E1206" s="2" t="s">
        <v>81</v>
      </c>
      <c r="F1206" s="2" t="s">
        <v>82</v>
      </c>
      <c r="G1206" s="2" t="s">
        <v>83</v>
      </c>
      <c r="H1206" s="2" t="s">
        <v>46</v>
      </c>
      <c r="I1206" s="2" t="s">
        <v>3831</v>
      </c>
      <c r="J1206" s="2" t="s">
        <v>500</v>
      </c>
      <c r="K1206" s="2" t="s">
        <v>3844</v>
      </c>
      <c r="L1206" s="2" t="s">
        <v>85</v>
      </c>
      <c r="M1206" s="2" t="s">
        <v>2320</v>
      </c>
      <c r="N1206" s="16">
        <v>1.2E-2</v>
      </c>
      <c r="O1206" s="17">
        <f>N1206*'Financial Inputs'!$B$3</f>
        <v>1200000</v>
      </c>
      <c r="P1206" s="18">
        <f>IF(I1206="L",'Financial Inputs'!$B$4,IF(I1206="M",'Financial Inputs'!$B$5,'Financial Inputs'!$B$6))</f>
        <v>0.15</v>
      </c>
      <c r="Q1206" s="17">
        <f>O1206*P1206</f>
        <v>180000</v>
      </c>
      <c r="R1206" s="16">
        <f>'Financial Inputs'!$B$7</f>
        <v>0.35</v>
      </c>
      <c r="S1206" s="17">
        <f>Q1206*(1-R1206)</f>
        <v>117000</v>
      </c>
      <c r="T1206" s="18">
        <f>S1206/'Financial Inputs'!$B$3</f>
        <v>1.17E-3</v>
      </c>
      <c r="U1206" s="9" t="s">
        <v>52</v>
      </c>
      <c r="V1206" s="3" t="s">
        <v>53</v>
      </c>
    </row>
    <row r="1207" spans="1:22">
      <c r="A1207" s="2" t="s">
        <v>3845</v>
      </c>
      <c r="B1207" s="2" t="s">
        <v>3846</v>
      </c>
      <c r="C1207" s="2" t="s">
        <v>3830</v>
      </c>
      <c r="D1207" s="2" t="s">
        <v>88</v>
      </c>
      <c r="E1207" s="2" t="s">
        <v>89</v>
      </c>
      <c r="F1207" s="2" t="s">
        <v>90</v>
      </c>
      <c r="G1207" s="2" t="s">
        <v>67</v>
      </c>
      <c r="H1207" s="2" t="s">
        <v>46</v>
      </c>
      <c r="I1207" s="2" t="s">
        <v>3831</v>
      </c>
      <c r="J1207" s="2" t="s">
        <v>500</v>
      </c>
      <c r="K1207" s="2" t="s">
        <v>3847</v>
      </c>
      <c r="L1207" s="2" t="s">
        <v>92</v>
      </c>
      <c r="M1207" s="2" t="s">
        <v>2320</v>
      </c>
      <c r="N1207" s="16">
        <v>8.0000000000000002E-3</v>
      </c>
      <c r="O1207" s="17">
        <f>N1207*'Financial Inputs'!$B$3</f>
        <v>800000</v>
      </c>
      <c r="P1207" s="18">
        <f>IF(I1207="L",'Financial Inputs'!$B$4,IF(I1207="M",'Financial Inputs'!$B$5,'Financial Inputs'!$B$6))</f>
        <v>0.15</v>
      </c>
      <c r="Q1207" s="17">
        <f>O1207*P1207</f>
        <v>120000</v>
      </c>
      <c r="R1207" s="16">
        <f>'Financial Inputs'!$B$7</f>
        <v>0.35</v>
      </c>
      <c r="S1207" s="17">
        <f>Q1207*(1-R1207)</f>
        <v>78000</v>
      </c>
      <c r="T1207" s="18">
        <f>S1207/'Financial Inputs'!$B$3</f>
        <v>7.7999999999999999E-4</v>
      </c>
      <c r="U1207" s="9" t="s">
        <v>52</v>
      </c>
      <c r="V1207" s="3" t="s">
        <v>53</v>
      </c>
    </row>
    <row r="1208" spans="1:22">
      <c r="A1208" s="2" t="s">
        <v>3848</v>
      </c>
      <c r="B1208" s="2" t="s">
        <v>3849</v>
      </c>
      <c r="C1208" s="2" t="s">
        <v>3830</v>
      </c>
      <c r="D1208" s="2" t="s">
        <v>95</v>
      </c>
      <c r="E1208" s="2" t="s">
        <v>96</v>
      </c>
      <c r="F1208" s="2" t="s">
        <v>97</v>
      </c>
      <c r="G1208" s="2" t="s">
        <v>75</v>
      </c>
      <c r="H1208" s="2" t="s">
        <v>46</v>
      </c>
      <c r="I1208" s="2" t="s">
        <v>3831</v>
      </c>
      <c r="J1208" s="2" t="s">
        <v>500</v>
      </c>
      <c r="K1208" s="2" t="s">
        <v>3850</v>
      </c>
      <c r="L1208" s="2" t="s">
        <v>99</v>
      </c>
      <c r="M1208" s="2" t="s">
        <v>2320</v>
      </c>
      <c r="N1208" s="16">
        <v>9.0000000000000011E-3</v>
      </c>
      <c r="O1208" s="17">
        <f>N1208*'Financial Inputs'!$B$3</f>
        <v>900000.00000000012</v>
      </c>
      <c r="P1208" s="18">
        <f>IF(I1208="L",'Financial Inputs'!$B$4,IF(I1208="M",'Financial Inputs'!$B$5,'Financial Inputs'!$B$6))</f>
        <v>0.15</v>
      </c>
      <c r="Q1208" s="17">
        <f>O1208*P1208</f>
        <v>135000</v>
      </c>
      <c r="R1208" s="16">
        <f>'Financial Inputs'!$B$7</f>
        <v>0.35</v>
      </c>
      <c r="S1208" s="17">
        <f>Q1208*(1-R1208)</f>
        <v>87750</v>
      </c>
      <c r="T1208" s="18">
        <f>S1208/'Financial Inputs'!$B$3</f>
        <v>8.7750000000000002E-4</v>
      </c>
      <c r="U1208" s="9" t="s">
        <v>52</v>
      </c>
      <c r="V1208" s="3" t="s">
        <v>53</v>
      </c>
    </row>
    <row r="1209" spans="1:22">
      <c r="A1209" s="2" t="s">
        <v>3851</v>
      </c>
      <c r="B1209" s="2" t="s">
        <v>3852</v>
      </c>
      <c r="C1209" s="2" t="s">
        <v>3830</v>
      </c>
      <c r="D1209" s="2" t="s">
        <v>102</v>
      </c>
      <c r="E1209" s="2" t="s">
        <v>103</v>
      </c>
      <c r="F1209" s="2" t="s">
        <v>104</v>
      </c>
      <c r="G1209" s="2" t="s">
        <v>83</v>
      </c>
      <c r="H1209" s="2" t="s">
        <v>46</v>
      </c>
      <c r="I1209" s="2" t="s">
        <v>3831</v>
      </c>
      <c r="J1209" s="2" t="s">
        <v>500</v>
      </c>
      <c r="K1209" s="2" t="s">
        <v>3853</v>
      </c>
      <c r="L1209" s="2" t="s">
        <v>106</v>
      </c>
      <c r="M1209" s="2" t="s">
        <v>2320</v>
      </c>
      <c r="N1209" s="16">
        <v>0.01</v>
      </c>
      <c r="O1209" s="17">
        <f>N1209*'Financial Inputs'!$B$3</f>
        <v>1000000</v>
      </c>
      <c r="P1209" s="18">
        <f>IF(I1209="L",'Financial Inputs'!$B$4,IF(I1209="M",'Financial Inputs'!$B$5,'Financial Inputs'!$B$6))</f>
        <v>0.15</v>
      </c>
      <c r="Q1209" s="17">
        <f>O1209*P1209</f>
        <v>150000</v>
      </c>
      <c r="R1209" s="16">
        <f>'Financial Inputs'!$B$7</f>
        <v>0.35</v>
      </c>
      <c r="S1209" s="17">
        <f>Q1209*(1-R1209)</f>
        <v>97500</v>
      </c>
      <c r="T1209" s="18">
        <f>S1209/'Financial Inputs'!$B$3</f>
        <v>9.7499999999999996E-4</v>
      </c>
      <c r="U1209" s="9" t="s">
        <v>52</v>
      </c>
      <c r="V1209" s="3" t="s">
        <v>53</v>
      </c>
    </row>
    <row r="1210" spans="1:22">
      <c r="A1210" s="2" t="s">
        <v>3854</v>
      </c>
      <c r="B1210" s="2" t="s">
        <v>3855</v>
      </c>
      <c r="C1210" s="2" t="s">
        <v>3830</v>
      </c>
      <c r="D1210" s="2" t="s">
        <v>42</v>
      </c>
      <c r="E1210" s="2" t="s">
        <v>109</v>
      </c>
      <c r="F1210" s="2" t="s">
        <v>110</v>
      </c>
      <c r="G1210" s="2" t="s">
        <v>111</v>
      </c>
      <c r="H1210" s="2" t="s">
        <v>46</v>
      </c>
      <c r="I1210" s="2" t="s">
        <v>3831</v>
      </c>
      <c r="J1210" s="2" t="s">
        <v>500</v>
      </c>
      <c r="K1210" s="2" t="s">
        <v>3856</v>
      </c>
      <c r="L1210" s="2" t="s">
        <v>113</v>
      </c>
      <c r="M1210" s="2" t="s">
        <v>2320</v>
      </c>
      <c r="N1210" s="16">
        <v>1.0999999999999999E-2</v>
      </c>
      <c r="O1210" s="17">
        <f>N1210*'Financial Inputs'!$B$3</f>
        <v>1100000</v>
      </c>
      <c r="P1210" s="18">
        <f>IF(I1210="L",'Financial Inputs'!$B$4,IF(I1210="M",'Financial Inputs'!$B$5,'Financial Inputs'!$B$6))</f>
        <v>0.15</v>
      </c>
      <c r="Q1210" s="17">
        <f>O1210*P1210</f>
        <v>165000</v>
      </c>
      <c r="R1210" s="16">
        <f>'Financial Inputs'!$B$7</f>
        <v>0.35</v>
      </c>
      <c r="S1210" s="17">
        <f>Q1210*(1-R1210)</f>
        <v>107250</v>
      </c>
      <c r="T1210" s="18">
        <f>S1210/'Financial Inputs'!$B$3</f>
        <v>1.0725000000000001E-3</v>
      </c>
      <c r="U1210" s="9" t="s">
        <v>52</v>
      </c>
      <c r="V1210" s="3" t="s">
        <v>53</v>
      </c>
    </row>
    <row r="1211" spans="1:22">
      <c r="A1211" s="2" t="s">
        <v>3857</v>
      </c>
      <c r="B1211" s="2" t="s">
        <v>3858</v>
      </c>
      <c r="C1211" s="2" t="s">
        <v>3830</v>
      </c>
      <c r="D1211" s="2" t="s">
        <v>56</v>
      </c>
      <c r="E1211" s="2" t="s">
        <v>116</v>
      </c>
      <c r="F1211" s="2" t="s">
        <v>117</v>
      </c>
      <c r="G1211" s="2" t="s">
        <v>56</v>
      </c>
      <c r="H1211" s="2" t="s">
        <v>46</v>
      </c>
      <c r="I1211" s="2" t="s">
        <v>3831</v>
      </c>
      <c r="J1211" s="2" t="s">
        <v>500</v>
      </c>
      <c r="K1211" s="2" t="s">
        <v>3859</v>
      </c>
      <c r="L1211" s="2" t="s">
        <v>119</v>
      </c>
      <c r="M1211" s="2" t="s">
        <v>2320</v>
      </c>
      <c r="N1211" s="16">
        <v>1.2E-2</v>
      </c>
      <c r="O1211" s="17">
        <f>N1211*'Financial Inputs'!$B$3</f>
        <v>1200000</v>
      </c>
      <c r="P1211" s="18">
        <f>IF(I1211="L",'Financial Inputs'!$B$4,IF(I1211="M",'Financial Inputs'!$B$5,'Financial Inputs'!$B$6))</f>
        <v>0.15</v>
      </c>
      <c r="Q1211" s="17">
        <f>O1211*P1211</f>
        <v>180000</v>
      </c>
      <c r="R1211" s="16">
        <f>'Financial Inputs'!$B$7</f>
        <v>0.35</v>
      </c>
      <c r="S1211" s="17">
        <f>Q1211*(1-R1211)</f>
        <v>117000</v>
      </c>
      <c r="T1211" s="18">
        <f>S1211/'Financial Inputs'!$B$3</f>
        <v>1.17E-3</v>
      </c>
      <c r="U1211" s="9" t="s">
        <v>52</v>
      </c>
      <c r="V1211" s="3" t="s">
        <v>53</v>
      </c>
    </row>
    <row r="1212" spans="1:22">
      <c r="A1212" s="2" t="s">
        <v>3860</v>
      </c>
      <c r="B1212" s="2" t="s">
        <v>3861</v>
      </c>
      <c r="C1212" s="2" t="s">
        <v>3830</v>
      </c>
      <c r="D1212" s="2" t="s">
        <v>80</v>
      </c>
      <c r="E1212" s="2" t="s">
        <v>122</v>
      </c>
      <c r="F1212" s="2" t="s">
        <v>58</v>
      </c>
      <c r="G1212" s="2" t="s">
        <v>83</v>
      </c>
      <c r="H1212" s="2" t="s">
        <v>46</v>
      </c>
      <c r="I1212" s="2" t="s">
        <v>3831</v>
      </c>
      <c r="J1212" s="2" t="s">
        <v>500</v>
      </c>
      <c r="K1212" s="2" t="s">
        <v>3862</v>
      </c>
      <c r="L1212" s="2" t="s">
        <v>124</v>
      </c>
      <c r="M1212" s="2" t="s">
        <v>2320</v>
      </c>
      <c r="N1212" s="16">
        <v>8.0000000000000002E-3</v>
      </c>
      <c r="O1212" s="17">
        <f>N1212*'Financial Inputs'!$B$3</f>
        <v>800000</v>
      </c>
      <c r="P1212" s="18">
        <f>IF(I1212="L",'Financial Inputs'!$B$4,IF(I1212="M",'Financial Inputs'!$B$5,'Financial Inputs'!$B$6))</f>
        <v>0.15</v>
      </c>
      <c r="Q1212" s="17">
        <f>O1212*P1212</f>
        <v>120000</v>
      </c>
      <c r="R1212" s="16">
        <f>'Financial Inputs'!$B$7</f>
        <v>0.35</v>
      </c>
      <c r="S1212" s="17">
        <f>Q1212*(1-R1212)</f>
        <v>78000</v>
      </c>
      <c r="T1212" s="18">
        <f>S1212/'Financial Inputs'!$B$3</f>
        <v>7.7999999999999999E-4</v>
      </c>
      <c r="U1212" s="9" t="s">
        <v>52</v>
      </c>
      <c r="V1212" s="3" t="s">
        <v>53</v>
      </c>
    </row>
    <row r="1213" spans="1:22">
      <c r="A1213" s="2" t="s">
        <v>3863</v>
      </c>
      <c r="B1213" s="2" t="s">
        <v>3864</v>
      </c>
      <c r="C1213" s="2" t="s">
        <v>3830</v>
      </c>
      <c r="D1213" s="2" t="s">
        <v>127</v>
      </c>
      <c r="E1213" s="2" t="s">
        <v>128</v>
      </c>
      <c r="F1213" s="2" t="s">
        <v>66</v>
      </c>
      <c r="G1213" s="2" t="s">
        <v>111</v>
      </c>
      <c r="H1213" s="2" t="s">
        <v>46</v>
      </c>
      <c r="I1213" s="2" t="s">
        <v>3831</v>
      </c>
      <c r="J1213" s="2" t="s">
        <v>500</v>
      </c>
      <c r="K1213" s="2" t="s">
        <v>3865</v>
      </c>
      <c r="L1213" s="2" t="s">
        <v>130</v>
      </c>
      <c r="M1213" s="2" t="s">
        <v>2320</v>
      </c>
      <c r="N1213" s="16">
        <v>9.0000000000000011E-3</v>
      </c>
      <c r="O1213" s="17">
        <f>N1213*'Financial Inputs'!$B$3</f>
        <v>900000.00000000012</v>
      </c>
      <c r="P1213" s="18">
        <f>IF(I1213="L",'Financial Inputs'!$B$4,IF(I1213="M",'Financial Inputs'!$B$5,'Financial Inputs'!$B$6))</f>
        <v>0.15</v>
      </c>
      <c r="Q1213" s="17">
        <f>O1213*P1213</f>
        <v>135000</v>
      </c>
      <c r="R1213" s="16">
        <f>'Financial Inputs'!$B$7</f>
        <v>0.35</v>
      </c>
      <c r="S1213" s="17">
        <f>Q1213*(1-R1213)</f>
        <v>87750</v>
      </c>
      <c r="T1213" s="18">
        <f>S1213/'Financial Inputs'!$B$3</f>
        <v>8.7750000000000002E-4</v>
      </c>
      <c r="U1213" s="9" t="s">
        <v>52</v>
      </c>
      <c r="V1213" s="3" t="s">
        <v>53</v>
      </c>
    </row>
    <row r="1214" spans="1:22">
      <c r="A1214" s="2" t="s">
        <v>3866</v>
      </c>
      <c r="B1214" s="2" t="s">
        <v>3867</v>
      </c>
      <c r="C1214" s="2" t="s">
        <v>3830</v>
      </c>
      <c r="D1214" s="2" t="s">
        <v>133</v>
      </c>
      <c r="E1214" s="2" t="s">
        <v>43</v>
      </c>
      <c r="F1214" s="2" t="s">
        <v>74</v>
      </c>
      <c r="G1214" s="2" t="s">
        <v>56</v>
      </c>
      <c r="H1214" s="2" t="s">
        <v>46</v>
      </c>
      <c r="I1214" s="2" t="s">
        <v>3831</v>
      </c>
      <c r="J1214" s="2" t="s">
        <v>500</v>
      </c>
      <c r="K1214" s="2" t="s">
        <v>3868</v>
      </c>
      <c r="L1214" s="2" t="s">
        <v>135</v>
      </c>
      <c r="M1214" s="2" t="s">
        <v>2320</v>
      </c>
      <c r="N1214" s="16">
        <v>0.01</v>
      </c>
      <c r="O1214" s="17">
        <f>N1214*'Financial Inputs'!$B$3</f>
        <v>1000000</v>
      </c>
      <c r="P1214" s="18">
        <f>IF(I1214="L",'Financial Inputs'!$B$4,IF(I1214="M",'Financial Inputs'!$B$5,'Financial Inputs'!$B$6))</f>
        <v>0.15</v>
      </c>
      <c r="Q1214" s="17">
        <f>O1214*P1214</f>
        <v>150000</v>
      </c>
      <c r="R1214" s="16">
        <f>'Financial Inputs'!$B$7</f>
        <v>0.35</v>
      </c>
      <c r="S1214" s="17">
        <f>Q1214*(1-R1214)</f>
        <v>97500</v>
      </c>
      <c r="T1214" s="18">
        <f>S1214/'Financial Inputs'!$B$3</f>
        <v>9.7499999999999996E-4</v>
      </c>
      <c r="U1214" s="9" t="s">
        <v>52</v>
      </c>
      <c r="V1214" s="3" t="s">
        <v>53</v>
      </c>
    </row>
    <row r="1215" spans="1:22">
      <c r="A1215" s="2" t="s">
        <v>3869</v>
      </c>
      <c r="B1215" s="2" t="s">
        <v>3870</v>
      </c>
      <c r="C1215" s="2" t="s">
        <v>3830</v>
      </c>
      <c r="D1215" s="2" t="s">
        <v>88</v>
      </c>
      <c r="E1215" s="2" t="s">
        <v>57</v>
      </c>
      <c r="F1215" s="2" t="s">
        <v>82</v>
      </c>
      <c r="G1215" s="2" t="s">
        <v>138</v>
      </c>
      <c r="H1215" s="2" t="s">
        <v>46</v>
      </c>
      <c r="I1215" s="2" t="s">
        <v>3831</v>
      </c>
      <c r="J1215" s="2" t="s">
        <v>500</v>
      </c>
      <c r="K1215" s="2" t="s">
        <v>3871</v>
      </c>
      <c r="L1215" s="2" t="s">
        <v>140</v>
      </c>
      <c r="M1215" s="2" t="s">
        <v>2320</v>
      </c>
      <c r="N1215" s="16">
        <v>1.0999999999999999E-2</v>
      </c>
      <c r="O1215" s="17">
        <f>N1215*'Financial Inputs'!$B$3</f>
        <v>1100000</v>
      </c>
      <c r="P1215" s="18">
        <f>IF(I1215="L",'Financial Inputs'!$B$4,IF(I1215="M",'Financial Inputs'!$B$5,'Financial Inputs'!$B$6))</f>
        <v>0.15</v>
      </c>
      <c r="Q1215" s="17">
        <f>O1215*P1215</f>
        <v>165000</v>
      </c>
      <c r="R1215" s="16">
        <f>'Financial Inputs'!$B$7</f>
        <v>0.35</v>
      </c>
      <c r="S1215" s="17">
        <f>Q1215*(1-R1215)</f>
        <v>107250</v>
      </c>
      <c r="T1215" s="18">
        <f>S1215/'Financial Inputs'!$B$3</f>
        <v>1.0725000000000001E-3</v>
      </c>
      <c r="U1215" s="9" t="s">
        <v>52</v>
      </c>
      <c r="V1215" s="3" t="s">
        <v>53</v>
      </c>
    </row>
    <row r="1216" spans="1:22">
      <c r="A1216" s="2" t="s">
        <v>3872</v>
      </c>
      <c r="B1216" s="2" t="s">
        <v>3873</v>
      </c>
      <c r="C1216" s="2" t="s">
        <v>3830</v>
      </c>
      <c r="D1216" s="2" t="s">
        <v>95</v>
      </c>
      <c r="E1216" s="2" t="s">
        <v>65</v>
      </c>
      <c r="F1216" s="2" t="s">
        <v>44</v>
      </c>
      <c r="G1216" s="2" t="s">
        <v>143</v>
      </c>
      <c r="H1216" s="2" t="s">
        <v>46</v>
      </c>
      <c r="I1216" s="2" t="s">
        <v>3831</v>
      </c>
      <c r="J1216" s="2" t="s">
        <v>500</v>
      </c>
      <c r="K1216" s="2" t="s">
        <v>3874</v>
      </c>
      <c r="L1216" s="2" t="s">
        <v>145</v>
      </c>
      <c r="M1216" s="2" t="s">
        <v>2320</v>
      </c>
      <c r="N1216" s="16">
        <v>1.2E-2</v>
      </c>
      <c r="O1216" s="17">
        <f>N1216*'Financial Inputs'!$B$3</f>
        <v>1200000</v>
      </c>
      <c r="P1216" s="18">
        <f>IF(I1216="L",'Financial Inputs'!$B$4,IF(I1216="M",'Financial Inputs'!$B$5,'Financial Inputs'!$B$6))</f>
        <v>0.15</v>
      </c>
      <c r="Q1216" s="17">
        <f>O1216*P1216</f>
        <v>180000</v>
      </c>
      <c r="R1216" s="16">
        <f>'Financial Inputs'!$B$7</f>
        <v>0.35</v>
      </c>
      <c r="S1216" s="17">
        <f>Q1216*(1-R1216)</f>
        <v>117000</v>
      </c>
      <c r="T1216" s="18">
        <f>S1216/'Financial Inputs'!$B$3</f>
        <v>1.17E-3</v>
      </c>
      <c r="U1216" s="9" t="s">
        <v>52</v>
      </c>
      <c r="V1216" s="3" t="s">
        <v>53</v>
      </c>
    </row>
    <row r="1217" spans="1:22">
      <c r="A1217" s="2" t="s">
        <v>3875</v>
      </c>
      <c r="B1217" s="2" t="s">
        <v>3876</v>
      </c>
      <c r="C1217" s="2" t="s">
        <v>3830</v>
      </c>
      <c r="D1217" s="2" t="s">
        <v>56</v>
      </c>
      <c r="E1217" s="2" t="s">
        <v>148</v>
      </c>
      <c r="F1217" s="2" t="s">
        <v>97</v>
      </c>
      <c r="G1217" s="2" t="s">
        <v>56</v>
      </c>
      <c r="H1217" s="2" t="s">
        <v>46</v>
      </c>
      <c r="I1217" s="2" t="s">
        <v>3831</v>
      </c>
      <c r="J1217" s="2" t="s">
        <v>500</v>
      </c>
      <c r="K1217" s="2" t="s">
        <v>3877</v>
      </c>
      <c r="L1217" s="2" t="s">
        <v>150</v>
      </c>
      <c r="M1217" s="2" t="s">
        <v>2320</v>
      </c>
      <c r="N1217" s="16">
        <v>8.0000000000000002E-3</v>
      </c>
      <c r="O1217" s="17">
        <f>N1217*'Financial Inputs'!$B$3</f>
        <v>800000</v>
      </c>
      <c r="P1217" s="18">
        <f>IF(I1217="L",'Financial Inputs'!$B$4,IF(I1217="M",'Financial Inputs'!$B$5,'Financial Inputs'!$B$6))</f>
        <v>0.15</v>
      </c>
      <c r="Q1217" s="17">
        <f>O1217*P1217</f>
        <v>120000</v>
      </c>
      <c r="R1217" s="16">
        <f>'Financial Inputs'!$B$7</f>
        <v>0.35</v>
      </c>
      <c r="S1217" s="17">
        <f>Q1217*(1-R1217)</f>
        <v>78000</v>
      </c>
      <c r="T1217" s="18">
        <f>S1217/'Financial Inputs'!$B$3</f>
        <v>7.7999999999999999E-4</v>
      </c>
      <c r="U1217" s="9" t="s">
        <v>52</v>
      </c>
      <c r="V1217" s="3" t="s">
        <v>53</v>
      </c>
    </row>
    <row r="1218" spans="1:22">
      <c r="A1218" s="2" t="s">
        <v>3878</v>
      </c>
      <c r="B1218" s="2" t="s">
        <v>3879</v>
      </c>
      <c r="C1218" s="2" t="s">
        <v>3830</v>
      </c>
      <c r="D1218" s="2" t="s">
        <v>64</v>
      </c>
      <c r="E1218" s="2" t="s">
        <v>153</v>
      </c>
      <c r="F1218" s="2" t="s">
        <v>104</v>
      </c>
      <c r="G1218" s="2" t="s">
        <v>138</v>
      </c>
      <c r="H1218" s="2" t="s">
        <v>46</v>
      </c>
      <c r="I1218" s="2" t="s">
        <v>3831</v>
      </c>
      <c r="J1218" s="2" t="s">
        <v>500</v>
      </c>
      <c r="K1218" s="2" t="s">
        <v>3880</v>
      </c>
      <c r="L1218" s="2" t="s">
        <v>155</v>
      </c>
      <c r="M1218" s="2" t="s">
        <v>2320</v>
      </c>
      <c r="N1218" s="16">
        <v>9.0000000000000011E-3</v>
      </c>
      <c r="O1218" s="17">
        <f>N1218*'Financial Inputs'!$B$3</f>
        <v>900000.00000000012</v>
      </c>
      <c r="P1218" s="18">
        <f>IF(I1218="L",'Financial Inputs'!$B$4,IF(I1218="M",'Financial Inputs'!$B$5,'Financial Inputs'!$B$6))</f>
        <v>0.15</v>
      </c>
      <c r="Q1218" s="17">
        <f>O1218*P1218</f>
        <v>135000</v>
      </c>
      <c r="R1218" s="16">
        <f>'Financial Inputs'!$B$7</f>
        <v>0.35</v>
      </c>
      <c r="S1218" s="17">
        <f>Q1218*(1-R1218)</f>
        <v>87750</v>
      </c>
      <c r="T1218" s="18">
        <f>S1218/'Financial Inputs'!$B$3</f>
        <v>8.7750000000000002E-4</v>
      </c>
      <c r="U1218" s="9" t="s">
        <v>52</v>
      </c>
      <c r="V1218" s="3" t="s">
        <v>53</v>
      </c>
    </row>
    <row r="1219" spans="1:22">
      <c r="A1219" s="2" t="s">
        <v>3881</v>
      </c>
      <c r="B1219" s="2" t="s">
        <v>3882</v>
      </c>
      <c r="C1219" s="2" t="s">
        <v>3830</v>
      </c>
      <c r="D1219" s="2" t="s">
        <v>72</v>
      </c>
      <c r="E1219" s="2" t="s">
        <v>89</v>
      </c>
      <c r="F1219" s="2" t="s">
        <v>110</v>
      </c>
      <c r="G1219" s="2" t="s">
        <v>143</v>
      </c>
      <c r="H1219" s="2" t="s">
        <v>46</v>
      </c>
      <c r="I1219" s="2" t="s">
        <v>3831</v>
      </c>
      <c r="J1219" s="2" t="s">
        <v>500</v>
      </c>
      <c r="K1219" s="2" t="s">
        <v>3883</v>
      </c>
      <c r="L1219" s="2" t="s">
        <v>159</v>
      </c>
      <c r="M1219" s="2" t="s">
        <v>2320</v>
      </c>
      <c r="N1219" s="16">
        <v>0.01</v>
      </c>
      <c r="O1219" s="17">
        <f>N1219*'Financial Inputs'!$B$3</f>
        <v>1000000</v>
      </c>
      <c r="P1219" s="18">
        <f>IF(I1219="L",'Financial Inputs'!$B$4,IF(I1219="M",'Financial Inputs'!$B$5,'Financial Inputs'!$B$6))</f>
        <v>0.15</v>
      </c>
      <c r="Q1219" s="17">
        <f>O1219*P1219</f>
        <v>150000</v>
      </c>
      <c r="R1219" s="16">
        <f>'Financial Inputs'!$B$7</f>
        <v>0.35</v>
      </c>
      <c r="S1219" s="17">
        <f>Q1219*(1-R1219)</f>
        <v>97500</v>
      </c>
      <c r="T1219" s="18">
        <f>S1219/'Financial Inputs'!$B$3</f>
        <v>9.7499999999999996E-4</v>
      </c>
      <c r="U1219" s="9" t="s">
        <v>52</v>
      </c>
      <c r="V1219" s="3" t="s">
        <v>53</v>
      </c>
    </row>
    <row r="1220" spans="1:22">
      <c r="A1220" s="2" t="s">
        <v>3884</v>
      </c>
      <c r="B1220" s="2" t="s">
        <v>3885</v>
      </c>
      <c r="C1220" s="2" t="s">
        <v>3830</v>
      </c>
      <c r="D1220" s="2" t="s">
        <v>80</v>
      </c>
      <c r="E1220" s="2" t="s">
        <v>96</v>
      </c>
      <c r="F1220" s="2" t="s">
        <v>117</v>
      </c>
      <c r="G1220" s="2" t="s">
        <v>162</v>
      </c>
      <c r="H1220" s="2" t="s">
        <v>46</v>
      </c>
      <c r="I1220" s="2" t="s">
        <v>3831</v>
      </c>
      <c r="J1220" s="2" t="s">
        <v>500</v>
      </c>
      <c r="K1220" s="2" t="s">
        <v>3886</v>
      </c>
      <c r="L1220" s="2" t="s">
        <v>164</v>
      </c>
      <c r="M1220" s="2" t="s">
        <v>2320</v>
      </c>
      <c r="N1220" s="16">
        <v>1.0999999999999999E-2</v>
      </c>
      <c r="O1220" s="17">
        <f>N1220*'Financial Inputs'!$B$3</f>
        <v>1100000</v>
      </c>
      <c r="P1220" s="18">
        <f>IF(I1220="L",'Financial Inputs'!$B$4,IF(I1220="M",'Financial Inputs'!$B$5,'Financial Inputs'!$B$6))</f>
        <v>0.15</v>
      </c>
      <c r="Q1220" s="17">
        <f>O1220*P1220</f>
        <v>165000</v>
      </c>
      <c r="R1220" s="16">
        <f>'Financial Inputs'!$B$7</f>
        <v>0.35</v>
      </c>
      <c r="S1220" s="17">
        <f>Q1220*(1-R1220)</f>
        <v>107250</v>
      </c>
      <c r="T1220" s="18">
        <f>S1220/'Financial Inputs'!$B$3</f>
        <v>1.0725000000000001E-3</v>
      </c>
      <c r="U1220" s="9" t="s">
        <v>52</v>
      </c>
      <c r="V1220" s="3" t="s">
        <v>53</v>
      </c>
    </row>
    <row r="1221" spans="1:22">
      <c r="A1221" s="2" t="s">
        <v>3887</v>
      </c>
      <c r="B1221" s="2" t="s">
        <v>3888</v>
      </c>
      <c r="C1221" s="2" t="s">
        <v>3830</v>
      </c>
      <c r="D1221" s="2" t="s">
        <v>127</v>
      </c>
      <c r="E1221" s="2" t="s">
        <v>103</v>
      </c>
      <c r="F1221" s="2" t="s">
        <v>90</v>
      </c>
      <c r="G1221" s="2" t="s">
        <v>45</v>
      </c>
      <c r="H1221" s="2" t="s">
        <v>46</v>
      </c>
      <c r="I1221" s="2" t="s">
        <v>3831</v>
      </c>
      <c r="J1221" s="2" t="s">
        <v>500</v>
      </c>
      <c r="K1221" s="2" t="s">
        <v>3889</v>
      </c>
      <c r="L1221" s="2" t="s">
        <v>168</v>
      </c>
      <c r="M1221" s="2" t="s">
        <v>2320</v>
      </c>
      <c r="N1221" s="16">
        <v>1.2E-2</v>
      </c>
      <c r="O1221" s="17">
        <f>N1221*'Financial Inputs'!$B$3</f>
        <v>1200000</v>
      </c>
      <c r="P1221" s="18">
        <f>IF(I1221="L",'Financial Inputs'!$B$4,IF(I1221="M",'Financial Inputs'!$B$5,'Financial Inputs'!$B$6))</f>
        <v>0.15</v>
      </c>
      <c r="Q1221" s="17">
        <f>O1221*P1221</f>
        <v>180000</v>
      </c>
      <c r="R1221" s="16">
        <f>'Financial Inputs'!$B$7</f>
        <v>0.35</v>
      </c>
      <c r="S1221" s="17">
        <f>Q1221*(1-R1221)</f>
        <v>117000</v>
      </c>
      <c r="T1221" s="18">
        <f>S1221/'Financial Inputs'!$B$3</f>
        <v>1.17E-3</v>
      </c>
      <c r="U1221" s="9" t="s">
        <v>52</v>
      </c>
      <c r="V1221" s="3" t="s">
        <v>53</v>
      </c>
    </row>
    <row r="1222" spans="1:22">
      <c r="A1222" s="2" t="s">
        <v>3890</v>
      </c>
      <c r="B1222" s="2" t="s">
        <v>3891</v>
      </c>
      <c r="C1222" s="2" t="s">
        <v>3830</v>
      </c>
      <c r="D1222" s="2" t="s">
        <v>95</v>
      </c>
      <c r="E1222" s="2" t="s">
        <v>171</v>
      </c>
      <c r="F1222" s="2" t="s">
        <v>66</v>
      </c>
      <c r="G1222" s="2" t="s">
        <v>143</v>
      </c>
      <c r="H1222" s="2" t="s">
        <v>46</v>
      </c>
      <c r="I1222" s="2" t="s">
        <v>3831</v>
      </c>
      <c r="J1222" s="2" t="s">
        <v>500</v>
      </c>
      <c r="K1222" s="2" t="s">
        <v>3892</v>
      </c>
      <c r="L1222" s="2" t="s">
        <v>173</v>
      </c>
      <c r="M1222" s="2" t="s">
        <v>2320</v>
      </c>
      <c r="N1222" s="16">
        <v>8.0000000000000002E-3</v>
      </c>
      <c r="O1222" s="17">
        <f>N1222*'Financial Inputs'!$B$3</f>
        <v>800000</v>
      </c>
      <c r="P1222" s="18">
        <f>IF(I1222="L",'Financial Inputs'!$B$4,IF(I1222="M",'Financial Inputs'!$B$5,'Financial Inputs'!$B$6))</f>
        <v>0.15</v>
      </c>
      <c r="Q1222" s="17">
        <f>O1222*P1222</f>
        <v>120000</v>
      </c>
      <c r="R1222" s="16">
        <f>'Financial Inputs'!$B$7</f>
        <v>0.35</v>
      </c>
      <c r="S1222" s="17">
        <f>Q1222*(1-R1222)</f>
        <v>78000</v>
      </c>
      <c r="T1222" s="18">
        <f>S1222/'Financial Inputs'!$B$3</f>
        <v>7.7999999999999999E-4</v>
      </c>
      <c r="U1222" s="9" t="s">
        <v>52</v>
      </c>
      <c r="V1222" s="3" t="s">
        <v>53</v>
      </c>
    </row>
    <row r="1223" spans="1:22">
      <c r="A1223" s="2" t="s">
        <v>3893</v>
      </c>
      <c r="B1223" s="2" t="s">
        <v>3894</v>
      </c>
      <c r="C1223" s="2" t="s">
        <v>3830</v>
      </c>
      <c r="D1223" s="2" t="s">
        <v>102</v>
      </c>
      <c r="E1223" s="2" t="s">
        <v>176</v>
      </c>
      <c r="F1223" s="2" t="s">
        <v>74</v>
      </c>
      <c r="G1223" s="2" t="s">
        <v>162</v>
      </c>
      <c r="H1223" s="2" t="s">
        <v>46</v>
      </c>
      <c r="I1223" s="2" t="s">
        <v>3831</v>
      </c>
      <c r="J1223" s="2" t="s">
        <v>500</v>
      </c>
      <c r="K1223" s="2" t="s">
        <v>3895</v>
      </c>
      <c r="L1223" s="2" t="s">
        <v>178</v>
      </c>
      <c r="M1223" s="2" t="s">
        <v>2320</v>
      </c>
      <c r="N1223" s="16">
        <v>9.0000000000000011E-3</v>
      </c>
      <c r="O1223" s="17">
        <f>N1223*'Financial Inputs'!$B$3</f>
        <v>900000.00000000012</v>
      </c>
      <c r="P1223" s="18">
        <f>IF(I1223="L",'Financial Inputs'!$B$4,IF(I1223="M",'Financial Inputs'!$B$5,'Financial Inputs'!$B$6))</f>
        <v>0.15</v>
      </c>
      <c r="Q1223" s="17">
        <f>O1223*P1223</f>
        <v>135000</v>
      </c>
      <c r="R1223" s="16">
        <f>'Financial Inputs'!$B$7</f>
        <v>0.35</v>
      </c>
      <c r="S1223" s="17">
        <f>Q1223*(1-R1223)</f>
        <v>87750</v>
      </c>
      <c r="T1223" s="18">
        <f>S1223/'Financial Inputs'!$B$3</f>
        <v>8.7750000000000002E-4</v>
      </c>
      <c r="U1223" s="9" t="s">
        <v>52</v>
      </c>
      <c r="V1223" s="3" t="s">
        <v>53</v>
      </c>
    </row>
    <row r="1224" spans="1:22">
      <c r="A1224" s="2" t="s">
        <v>3896</v>
      </c>
      <c r="B1224" s="2" t="s">
        <v>3897</v>
      </c>
      <c r="C1224" s="2" t="s">
        <v>3830</v>
      </c>
      <c r="D1224" s="2" t="s">
        <v>42</v>
      </c>
      <c r="E1224" s="2" t="s">
        <v>122</v>
      </c>
      <c r="F1224" s="2" t="s">
        <v>82</v>
      </c>
      <c r="G1224" s="2" t="s">
        <v>45</v>
      </c>
      <c r="H1224" s="2" t="s">
        <v>46</v>
      </c>
      <c r="I1224" s="2" t="s">
        <v>3831</v>
      </c>
      <c r="J1224" s="2" t="s">
        <v>500</v>
      </c>
      <c r="K1224" s="2" t="s">
        <v>3898</v>
      </c>
      <c r="L1224" s="2" t="s">
        <v>182</v>
      </c>
      <c r="M1224" s="2" t="s">
        <v>2320</v>
      </c>
      <c r="N1224" s="16">
        <v>0.01</v>
      </c>
      <c r="O1224" s="17">
        <f>N1224*'Financial Inputs'!$B$3</f>
        <v>1000000</v>
      </c>
      <c r="P1224" s="18">
        <f>IF(I1224="L",'Financial Inputs'!$B$4,IF(I1224="M",'Financial Inputs'!$B$5,'Financial Inputs'!$B$6))</f>
        <v>0.15</v>
      </c>
      <c r="Q1224" s="17">
        <f>O1224*P1224</f>
        <v>150000</v>
      </c>
      <c r="R1224" s="16">
        <f>'Financial Inputs'!$B$7</f>
        <v>0.35</v>
      </c>
      <c r="S1224" s="17">
        <f>Q1224*(1-R1224)</f>
        <v>97500</v>
      </c>
      <c r="T1224" s="18">
        <f>S1224/'Financial Inputs'!$B$3</f>
        <v>9.7499999999999996E-4</v>
      </c>
      <c r="U1224" s="9" t="s">
        <v>52</v>
      </c>
      <c r="V1224" s="3" t="s">
        <v>53</v>
      </c>
    </row>
    <row r="1225" spans="1:22">
      <c r="A1225" s="2" t="s">
        <v>3899</v>
      </c>
      <c r="B1225" s="2" t="s">
        <v>3900</v>
      </c>
      <c r="C1225" s="2" t="s">
        <v>3830</v>
      </c>
      <c r="D1225" s="2" t="s">
        <v>56</v>
      </c>
      <c r="E1225" s="2" t="s">
        <v>128</v>
      </c>
      <c r="F1225" s="2" t="s">
        <v>44</v>
      </c>
      <c r="G1225" s="2" t="s">
        <v>59</v>
      </c>
      <c r="H1225" s="2" t="s">
        <v>46</v>
      </c>
      <c r="I1225" s="2" t="s">
        <v>3831</v>
      </c>
      <c r="J1225" s="2" t="s">
        <v>500</v>
      </c>
      <c r="K1225" s="2" t="s">
        <v>3901</v>
      </c>
      <c r="L1225" s="2" t="s">
        <v>186</v>
      </c>
      <c r="M1225" s="2" t="s">
        <v>2320</v>
      </c>
      <c r="N1225" s="16">
        <v>1.0999999999999999E-2</v>
      </c>
      <c r="O1225" s="17">
        <f>N1225*'Financial Inputs'!$B$3</f>
        <v>1100000</v>
      </c>
      <c r="P1225" s="18">
        <f>IF(I1225="L",'Financial Inputs'!$B$4,IF(I1225="M",'Financial Inputs'!$B$5,'Financial Inputs'!$B$6))</f>
        <v>0.15</v>
      </c>
      <c r="Q1225" s="17">
        <f>O1225*P1225</f>
        <v>165000</v>
      </c>
      <c r="R1225" s="16">
        <f>'Financial Inputs'!$B$7</f>
        <v>0.35</v>
      </c>
      <c r="S1225" s="17">
        <f>Q1225*(1-R1225)</f>
        <v>107250</v>
      </c>
      <c r="T1225" s="18">
        <f>S1225/'Financial Inputs'!$B$3</f>
        <v>1.0725000000000001E-3</v>
      </c>
      <c r="U1225" s="9" t="s">
        <v>52</v>
      </c>
      <c r="V1225" s="3" t="s">
        <v>53</v>
      </c>
    </row>
    <row r="1226" spans="1:22">
      <c r="A1226" s="2" t="s">
        <v>3902</v>
      </c>
      <c r="B1226" s="2" t="s">
        <v>3903</v>
      </c>
      <c r="C1226" s="2" t="s">
        <v>3830</v>
      </c>
      <c r="D1226" s="2" t="s">
        <v>64</v>
      </c>
      <c r="E1226" s="2" t="s">
        <v>43</v>
      </c>
      <c r="F1226" s="2" t="s">
        <v>58</v>
      </c>
      <c r="G1226" s="2" t="s">
        <v>67</v>
      </c>
      <c r="H1226" s="2" t="s">
        <v>46</v>
      </c>
      <c r="I1226" s="2" t="s">
        <v>3831</v>
      </c>
      <c r="J1226" s="2" t="s">
        <v>500</v>
      </c>
      <c r="K1226" s="2" t="s">
        <v>3904</v>
      </c>
      <c r="L1226" s="2" t="s">
        <v>190</v>
      </c>
      <c r="M1226" s="2" t="s">
        <v>2320</v>
      </c>
      <c r="N1226" s="16">
        <v>1.2E-2</v>
      </c>
      <c r="O1226" s="17">
        <f>N1226*'Financial Inputs'!$B$3</f>
        <v>1200000</v>
      </c>
      <c r="P1226" s="18">
        <f>IF(I1226="L",'Financial Inputs'!$B$4,IF(I1226="M",'Financial Inputs'!$B$5,'Financial Inputs'!$B$6))</f>
        <v>0.15</v>
      </c>
      <c r="Q1226" s="17">
        <f>O1226*P1226</f>
        <v>180000</v>
      </c>
      <c r="R1226" s="16">
        <f>'Financial Inputs'!$B$7</f>
        <v>0.35</v>
      </c>
      <c r="S1226" s="17">
        <f>Q1226*(1-R1226)</f>
        <v>117000</v>
      </c>
      <c r="T1226" s="18">
        <f>S1226/'Financial Inputs'!$B$3</f>
        <v>1.17E-3</v>
      </c>
      <c r="U1226" s="9" t="s">
        <v>52</v>
      </c>
      <c r="V1226" s="3" t="s">
        <v>53</v>
      </c>
    </row>
    <row r="1227" spans="1:22">
      <c r="A1227" s="2" t="s">
        <v>3905</v>
      </c>
      <c r="B1227" s="2" t="s">
        <v>3906</v>
      </c>
      <c r="C1227" s="2" t="s">
        <v>3830</v>
      </c>
      <c r="D1227" s="2" t="s">
        <v>127</v>
      </c>
      <c r="E1227" s="2" t="s">
        <v>193</v>
      </c>
      <c r="F1227" s="2" t="s">
        <v>104</v>
      </c>
      <c r="G1227" s="2" t="s">
        <v>45</v>
      </c>
      <c r="H1227" s="2" t="s">
        <v>46</v>
      </c>
      <c r="I1227" s="2" t="s">
        <v>3831</v>
      </c>
      <c r="J1227" s="2" t="s">
        <v>500</v>
      </c>
      <c r="K1227" s="2" t="s">
        <v>3907</v>
      </c>
      <c r="L1227" s="2" t="s">
        <v>195</v>
      </c>
      <c r="M1227" s="2" t="s">
        <v>2320</v>
      </c>
      <c r="N1227" s="16">
        <v>8.0000000000000002E-3</v>
      </c>
      <c r="O1227" s="17">
        <f>N1227*'Financial Inputs'!$B$3</f>
        <v>800000</v>
      </c>
      <c r="P1227" s="18">
        <f>IF(I1227="L",'Financial Inputs'!$B$4,IF(I1227="M",'Financial Inputs'!$B$5,'Financial Inputs'!$B$6))</f>
        <v>0.15</v>
      </c>
      <c r="Q1227" s="17">
        <f>O1227*P1227</f>
        <v>120000</v>
      </c>
      <c r="R1227" s="16">
        <f>'Financial Inputs'!$B$7</f>
        <v>0.35</v>
      </c>
      <c r="S1227" s="17">
        <f>Q1227*(1-R1227)</f>
        <v>78000</v>
      </c>
      <c r="T1227" s="18">
        <f>S1227/'Financial Inputs'!$B$3</f>
        <v>7.7999999999999999E-4</v>
      </c>
      <c r="U1227" s="9" t="s">
        <v>52</v>
      </c>
      <c r="V1227" s="3" t="s">
        <v>53</v>
      </c>
    </row>
    <row r="1228" spans="1:22">
      <c r="A1228" s="2" t="s">
        <v>3908</v>
      </c>
      <c r="B1228" s="2" t="s">
        <v>3909</v>
      </c>
      <c r="C1228" s="2" t="s">
        <v>3830</v>
      </c>
      <c r="D1228" s="2" t="s">
        <v>133</v>
      </c>
      <c r="E1228" s="2" t="s">
        <v>198</v>
      </c>
      <c r="F1228" s="2" t="s">
        <v>110</v>
      </c>
      <c r="G1228" s="2" t="s">
        <v>59</v>
      </c>
      <c r="H1228" s="2" t="s">
        <v>46</v>
      </c>
      <c r="I1228" s="2" t="s">
        <v>3831</v>
      </c>
      <c r="J1228" s="2" t="s">
        <v>500</v>
      </c>
      <c r="K1228" s="2" t="s">
        <v>3910</v>
      </c>
      <c r="L1228" s="2" t="s">
        <v>200</v>
      </c>
      <c r="M1228" s="2" t="s">
        <v>2320</v>
      </c>
      <c r="N1228" s="16">
        <v>9.0000000000000011E-3</v>
      </c>
      <c r="O1228" s="17">
        <f>N1228*'Financial Inputs'!$B$3</f>
        <v>900000.00000000012</v>
      </c>
      <c r="P1228" s="18">
        <f>IF(I1228="L",'Financial Inputs'!$B$4,IF(I1228="M",'Financial Inputs'!$B$5,'Financial Inputs'!$B$6))</f>
        <v>0.15</v>
      </c>
      <c r="Q1228" s="17">
        <f>O1228*P1228</f>
        <v>135000</v>
      </c>
      <c r="R1228" s="16">
        <f>'Financial Inputs'!$B$7</f>
        <v>0.35</v>
      </c>
      <c r="S1228" s="17">
        <f>Q1228*(1-R1228)</f>
        <v>87750</v>
      </c>
      <c r="T1228" s="18">
        <f>S1228/'Financial Inputs'!$B$3</f>
        <v>8.7750000000000002E-4</v>
      </c>
      <c r="U1228" s="9" t="s">
        <v>52</v>
      </c>
      <c r="V1228" s="3" t="s">
        <v>53</v>
      </c>
    </row>
    <row r="1229" spans="1:22">
      <c r="A1229" s="2" t="s">
        <v>3911</v>
      </c>
      <c r="B1229" s="2" t="s">
        <v>3912</v>
      </c>
      <c r="C1229" s="2" t="s">
        <v>3830</v>
      </c>
      <c r="D1229" s="2" t="s">
        <v>88</v>
      </c>
      <c r="E1229" s="2" t="s">
        <v>148</v>
      </c>
      <c r="F1229" s="2" t="s">
        <v>117</v>
      </c>
      <c r="G1229" s="2" t="s">
        <v>67</v>
      </c>
      <c r="H1229" s="2" t="s">
        <v>46</v>
      </c>
      <c r="I1229" s="2" t="s">
        <v>3831</v>
      </c>
      <c r="J1229" s="2" t="s">
        <v>500</v>
      </c>
      <c r="K1229" s="2" t="s">
        <v>3913</v>
      </c>
      <c r="L1229" s="2" t="s">
        <v>204</v>
      </c>
      <c r="M1229" s="2" t="s">
        <v>2320</v>
      </c>
      <c r="N1229" s="16">
        <v>0.01</v>
      </c>
      <c r="O1229" s="17">
        <f>N1229*'Financial Inputs'!$B$3</f>
        <v>1000000</v>
      </c>
      <c r="P1229" s="18">
        <f>IF(I1229="L",'Financial Inputs'!$B$4,IF(I1229="M",'Financial Inputs'!$B$5,'Financial Inputs'!$B$6))</f>
        <v>0.15</v>
      </c>
      <c r="Q1229" s="17">
        <f>O1229*P1229</f>
        <v>150000</v>
      </c>
      <c r="R1229" s="16">
        <f>'Financial Inputs'!$B$7</f>
        <v>0.35</v>
      </c>
      <c r="S1229" s="17">
        <f>Q1229*(1-R1229)</f>
        <v>97500</v>
      </c>
      <c r="T1229" s="18">
        <f>S1229/'Financial Inputs'!$B$3</f>
        <v>9.7499999999999996E-4</v>
      </c>
      <c r="U1229" s="9" t="s">
        <v>52</v>
      </c>
      <c r="V1229" s="3" t="s">
        <v>53</v>
      </c>
    </row>
    <row r="1230" spans="1:22">
      <c r="A1230" s="2" t="s">
        <v>3914</v>
      </c>
      <c r="B1230" s="2" t="s">
        <v>3915</v>
      </c>
      <c r="C1230" s="2" t="s">
        <v>3830</v>
      </c>
      <c r="D1230" s="2" t="s">
        <v>95</v>
      </c>
      <c r="E1230" s="2" t="s">
        <v>153</v>
      </c>
      <c r="F1230" s="2" t="s">
        <v>90</v>
      </c>
      <c r="G1230" s="2" t="s">
        <v>75</v>
      </c>
      <c r="H1230" s="2" t="s">
        <v>46</v>
      </c>
      <c r="I1230" s="2" t="s">
        <v>3831</v>
      </c>
      <c r="J1230" s="2" t="s">
        <v>500</v>
      </c>
      <c r="K1230" s="2" t="s">
        <v>3916</v>
      </c>
      <c r="L1230" s="2" t="s">
        <v>208</v>
      </c>
      <c r="M1230" s="2" t="s">
        <v>2320</v>
      </c>
      <c r="N1230" s="16">
        <v>1.0999999999999999E-2</v>
      </c>
      <c r="O1230" s="17">
        <f>N1230*'Financial Inputs'!$B$3</f>
        <v>1100000</v>
      </c>
      <c r="P1230" s="18">
        <f>IF(I1230="L",'Financial Inputs'!$B$4,IF(I1230="M",'Financial Inputs'!$B$5,'Financial Inputs'!$B$6))</f>
        <v>0.15</v>
      </c>
      <c r="Q1230" s="17">
        <f>O1230*P1230</f>
        <v>165000</v>
      </c>
      <c r="R1230" s="16">
        <f>'Financial Inputs'!$B$7</f>
        <v>0.35</v>
      </c>
      <c r="S1230" s="17">
        <f>Q1230*(1-R1230)</f>
        <v>107250</v>
      </c>
      <c r="T1230" s="18">
        <f>S1230/'Financial Inputs'!$B$3</f>
        <v>1.0725000000000001E-3</v>
      </c>
      <c r="U1230" s="9" t="s">
        <v>52</v>
      </c>
      <c r="V1230" s="3" t="s">
        <v>53</v>
      </c>
    </row>
    <row r="1231" spans="1:22">
      <c r="A1231" s="2" t="s">
        <v>3917</v>
      </c>
      <c r="B1231" s="2" t="s">
        <v>3918</v>
      </c>
      <c r="C1231" s="2" t="s">
        <v>3830</v>
      </c>
      <c r="D1231" s="2" t="s">
        <v>102</v>
      </c>
      <c r="E1231" s="2" t="s">
        <v>89</v>
      </c>
      <c r="F1231" s="2" t="s">
        <v>97</v>
      </c>
      <c r="G1231" s="2" t="s">
        <v>83</v>
      </c>
      <c r="H1231" s="2" t="s">
        <v>46</v>
      </c>
      <c r="I1231" s="2" t="s">
        <v>3831</v>
      </c>
      <c r="J1231" s="2" t="s">
        <v>500</v>
      </c>
      <c r="K1231" s="2" t="s">
        <v>3919</v>
      </c>
      <c r="L1231" s="2" t="s">
        <v>212</v>
      </c>
      <c r="M1231" s="2" t="s">
        <v>2320</v>
      </c>
      <c r="N1231" s="16">
        <v>1.2E-2</v>
      </c>
      <c r="O1231" s="17">
        <f>N1231*'Financial Inputs'!$B$3</f>
        <v>1200000</v>
      </c>
      <c r="P1231" s="18">
        <f>IF(I1231="L",'Financial Inputs'!$B$4,IF(I1231="M",'Financial Inputs'!$B$5,'Financial Inputs'!$B$6))</f>
        <v>0.15</v>
      </c>
      <c r="Q1231" s="17">
        <f>O1231*P1231</f>
        <v>180000</v>
      </c>
      <c r="R1231" s="16">
        <f>'Financial Inputs'!$B$7</f>
        <v>0.35</v>
      </c>
      <c r="S1231" s="17">
        <f>Q1231*(1-R1231)</f>
        <v>117000</v>
      </c>
      <c r="T1231" s="18">
        <f>S1231/'Financial Inputs'!$B$3</f>
        <v>1.17E-3</v>
      </c>
      <c r="U1231" s="9" t="s">
        <v>52</v>
      </c>
      <c r="V1231" s="3" t="s">
        <v>53</v>
      </c>
    </row>
    <row r="1232" spans="1:22">
      <c r="A1232" s="2" t="s">
        <v>3920</v>
      </c>
      <c r="B1232" s="2" t="s">
        <v>3921</v>
      </c>
      <c r="C1232" s="2" t="s">
        <v>3830</v>
      </c>
      <c r="D1232" s="2" t="s">
        <v>64</v>
      </c>
      <c r="E1232" s="2" t="s">
        <v>215</v>
      </c>
      <c r="F1232" s="2" t="s">
        <v>74</v>
      </c>
      <c r="G1232" s="2" t="s">
        <v>67</v>
      </c>
      <c r="H1232" s="2" t="s">
        <v>46</v>
      </c>
      <c r="I1232" s="2" t="s">
        <v>3831</v>
      </c>
      <c r="J1232" s="2" t="s">
        <v>500</v>
      </c>
      <c r="K1232" s="2" t="s">
        <v>3922</v>
      </c>
      <c r="L1232" s="2" t="s">
        <v>217</v>
      </c>
      <c r="M1232" s="2" t="s">
        <v>2320</v>
      </c>
      <c r="N1232" s="16">
        <v>8.0000000000000002E-3</v>
      </c>
      <c r="O1232" s="17">
        <f>N1232*'Financial Inputs'!$B$3</f>
        <v>800000</v>
      </c>
      <c r="P1232" s="18">
        <f>IF(I1232="L",'Financial Inputs'!$B$4,IF(I1232="M",'Financial Inputs'!$B$5,'Financial Inputs'!$B$6))</f>
        <v>0.15</v>
      </c>
      <c r="Q1232" s="17">
        <f>O1232*P1232</f>
        <v>120000</v>
      </c>
      <c r="R1232" s="16">
        <f>'Financial Inputs'!$B$7</f>
        <v>0.35</v>
      </c>
      <c r="S1232" s="17">
        <f>Q1232*(1-R1232)</f>
        <v>78000</v>
      </c>
      <c r="T1232" s="18">
        <f>S1232/'Financial Inputs'!$B$3</f>
        <v>7.7999999999999999E-4</v>
      </c>
      <c r="U1232" s="9" t="s">
        <v>52</v>
      </c>
      <c r="V1232" s="3" t="s">
        <v>53</v>
      </c>
    </row>
    <row r="1233" spans="1:22">
      <c r="A1233" s="2" t="s">
        <v>3923</v>
      </c>
      <c r="B1233" s="2" t="s">
        <v>3924</v>
      </c>
      <c r="C1233" s="2" t="s">
        <v>3830</v>
      </c>
      <c r="D1233" s="2" t="s">
        <v>72</v>
      </c>
      <c r="E1233" s="2" t="s">
        <v>220</v>
      </c>
      <c r="F1233" s="2" t="s">
        <v>82</v>
      </c>
      <c r="G1233" s="2" t="s">
        <v>75</v>
      </c>
      <c r="H1233" s="2" t="s">
        <v>46</v>
      </c>
      <c r="I1233" s="2" t="s">
        <v>3831</v>
      </c>
      <c r="J1233" s="2" t="s">
        <v>500</v>
      </c>
      <c r="K1233" s="2" t="s">
        <v>3925</v>
      </c>
      <c r="L1233" s="2" t="s">
        <v>222</v>
      </c>
      <c r="M1233" s="2" t="s">
        <v>2320</v>
      </c>
      <c r="N1233" s="16">
        <v>9.0000000000000011E-3</v>
      </c>
      <c r="O1233" s="17">
        <f>N1233*'Financial Inputs'!$B$3</f>
        <v>900000.00000000012</v>
      </c>
      <c r="P1233" s="18">
        <f>IF(I1233="L",'Financial Inputs'!$B$4,IF(I1233="M",'Financial Inputs'!$B$5,'Financial Inputs'!$B$6))</f>
        <v>0.15</v>
      </c>
      <c r="Q1233" s="17">
        <f>O1233*P1233</f>
        <v>135000</v>
      </c>
      <c r="R1233" s="16">
        <f>'Financial Inputs'!$B$7</f>
        <v>0.35</v>
      </c>
      <c r="S1233" s="17">
        <f>Q1233*(1-R1233)</f>
        <v>87750</v>
      </c>
      <c r="T1233" s="18">
        <f>S1233/'Financial Inputs'!$B$3</f>
        <v>8.7750000000000002E-4</v>
      </c>
      <c r="U1233" s="9" t="s">
        <v>52</v>
      </c>
      <c r="V1233" s="3" t="s">
        <v>53</v>
      </c>
    </row>
    <row r="1234" spans="1:22">
      <c r="A1234" s="2" t="s">
        <v>3926</v>
      </c>
      <c r="B1234" s="2" t="s">
        <v>3927</v>
      </c>
      <c r="C1234" s="2" t="s">
        <v>3830</v>
      </c>
      <c r="D1234" s="2" t="s">
        <v>80</v>
      </c>
      <c r="E1234" s="2" t="s">
        <v>171</v>
      </c>
      <c r="F1234" s="2" t="s">
        <v>44</v>
      </c>
      <c r="G1234" s="2" t="s">
        <v>83</v>
      </c>
      <c r="H1234" s="2" t="s">
        <v>46</v>
      </c>
      <c r="I1234" s="2" t="s">
        <v>3831</v>
      </c>
      <c r="J1234" s="2" t="s">
        <v>500</v>
      </c>
      <c r="K1234" s="2" t="s">
        <v>3928</v>
      </c>
      <c r="L1234" s="2" t="s">
        <v>226</v>
      </c>
      <c r="M1234" s="2" t="s">
        <v>2320</v>
      </c>
      <c r="N1234" s="16">
        <v>0.01</v>
      </c>
      <c r="O1234" s="17">
        <f>N1234*'Financial Inputs'!$B$3</f>
        <v>1000000</v>
      </c>
      <c r="P1234" s="18">
        <f>IF(I1234="L",'Financial Inputs'!$B$4,IF(I1234="M",'Financial Inputs'!$B$5,'Financial Inputs'!$B$6))</f>
        <v>0.15</v>
      </c>
      <c r="Q1234" s="17">
        <f>O1234*P1234</f>
        <v>150000</v>
      </c>
      <c r="R1234" s="16">
        <f>'Financial Inputs'!$B$7</f>
        <v>0.35</v>
      </c>
      <c r="S1234" s="17">
        <f>Q1234*(1-R1234)</f>
        <v>97500</v>
      </c>
      <c r="T1234" s="18">
        <f>S1234/'Financial Inputs'!$B$3</f>
        <v>9.7499999999999996E-4</v>
      </c>
      <c r="U1234" s="9" t="s">
        <v>52</v>
      </c>
      <c r="V1234" s="3" t="s">
        <v>53</v>
      </c>
    </row>
    <row r="1235" spans="1:22">
      <c r="A1235" s="2" t="s">
        <v>3929</v>
      </c>
      <c r="B1235" s="2" t="s">
        <v>3930</v>
      </c>
      <c r="C1235" s="2" t="s">
        <v>3830</v>
      </c>
      <c r="D1235" s="2" t="s">
        <v>127</v>
      </c>
      <c r="E1235" s="2" t="s">
        <v>176</v>
      </c>
      <c r="F1235" s="2" t="s">
        <v>58</v>
      </c>
      <c r="G1235" s="2" t="s">
        <v>111</v>
      </c>
      <c r="H1235" s="2" t="s">
        <v>46</v>
      </c>
      <c r="I1235" s="2" t="s">
        <v>3831</v>
      </c>
      <c r="J1235" s="2" t="s">
        <v>500</v>
      </c>
      <c r="K1235" s="2" t="s">
        <v>3931</v>
      </c>
      <c r="L1235" s="2" t="s">
        <v>230</v>
      </c>
      <c r="M1235" s="2" t="s">
        <v>2320</v>
      </c>
      <c r="N1235" s="16">
        <v>1.0999999999999999E-2</v>
      </c>
      <c r="O1235" s="17">
        <f>N1235*'Financial Inputs'!$B$3</f>
        <v>1100000</v>
      </c>
      <c r="P1235" s="18">
        <f>IF(I1235="L",'Financial Inputs'!$B$4,IF(I1235="M",'Financial Inputs'!$B$5,'Financial Inputs'!$B$6))</f>
        <v>0.15</v>
      </c>
      <c r="Q1235" s="17">
        <f>O1235*P1235</f>
        <v>165000</v>
      </c>
      <c r="R1235" s="16">
        <f>'Financial Inputs'!$B$7</f>
        <v>0.35</v>
      </c>
      <c r="S1235" s="17">
        <f>Q1235*(1-R1235)</f>
        <v>107250</v>
      </c>
      <c r="T1235" s="18">
        <f>S1235/'Financial Inputs'!$B$3</f>
        <v>1.0725000000000001E-3</v>
      </c>
      <c r="U1235" s="9" t="s">
        <v>52</v>
      </c>
      <c r="V1235" s="3" t="s">
        <v>53</v>
      </c>
    </row>
    <row r="1236" spans="1:22">
      <c r="A1236" s="2" t="s">
        <v>3932</v>
      </c>
      <c r="B1236" s="2" t="s">
        <v>3933</v>
      </c>
      <c r="C1236" s="2" t="s">
        <v>3830</v>
      </c>
      <c r="D1236" s="2" t="s">
        <v>133</v>
      </c>
      <c r="E1236" s="2" t="s">
        <v>122</v>
      </c>
      <c r="F1236" s="2" t="s">
        <v>66</v>
      </c>
      <c r="G1236" s="2" t="s">
        <v>56</v>
      </c>
      <c r="H1236" s="2" t="s">
        <v>46</v>
      </c>
      <c r="I1236" s="2" t="s">
        <v>3831</v>
      </c>
      <c r="J1236" s="2" t="s">
        <v>500</v>
      </c>
      <c r="K1236" s="2" t="s">
        <v>3934</v>
      </c>
      <c r="L1236" s="2" t="s">
        <v>234</v>
      </c>
      <c r="M1236" s="2" t="s">
        <v>2320</v>
      </c>
      <c r="N1236" s="16">
        <v>1.2E-2</v>
      </c>
      <c r="O1236" s="17">
        <f>N1236*'Financial Inputs'!$B$3</f>
        <v>1200000</v>
      </c>
      <c r="P1236" s="18">
        <f>IF(I1236="L",'Financial Inputs'!$B$4,IF(I1236="M",'Financial Inputs'!$B$5,'Financial Inputs'!$B$6))</f>
        <v>0.15</v>
      </c>
      <c r="Q1236" s="17">
        <f>O1236*P1236</f>
        <v>180000</v>
      </c>
      <c r="R1236" s="16">
        <f>'Financial Inputs'!$B$7</f>
        <v>0.35</v>
      </c>
      <c r="S1236" s="17">
        <f>Q1236*(1-R1236)</f>
        <v>117000</v>
      </c>
      <c r="T1236" s="18">
        <f>S1236/'Financial Inputs'!$B$3</f>
        <v>1.17E-3</v>
      </c>
      <c r="U1236" s="9" t="s">
        <v>52</v>
      </c>
      <c r="V1236" s="3" t="s">
        <v>53</v>
      </c>
    </row>
    <row r="1237" spans="1:22">
      <c r="A1237" s="2" t="s">
        <v>3935</v>
      </c>
      <c r="B1237" s="2" t="s">
        <v>3936</v>
      </c>
      <c r="C1237" s="2" t="s">
        <v>3830</v>
      </c>
      <c r="D1237" s="2" t="s">
        <v>102</v>
      </c>
      <c r="E1237" s="2" t="s">
        <v>73</v>
      </c>
      <c r="F1237" s="2" t="s">
        <v>110</v>
      </c>
      <c r="G1237" s="2" t="s">
        <v>83</v>
      </c>
      <c r="H1237" s="2" t="s">
        <v>46</v>
      </c>
      <c r="I1237" s="2" t="s">
        <v>3831</v>
      </c>
      <c r="J1237" s="2" t="s">
        <v>500</v>
      </c>
      <c r="K1237" s="2" t="s">
        <v>3937</v>
      </c>
      <c r="L1237" s="2" t="s">
        <v>238</v>
      </c>
      <c r="M1237" s="2" t="s">
        <v>2320</v>
      </c>
      <c r="N1237" s="16">
        <v>8.0000000000000002E-3</v>
      </c>
      <c r="O1237" s="17">
        <f>N1237*'Financial Inputs'!$B$3</f>
        <v>800000</v>
      </c>
      <c r="P1237" s="18">
        <f>IF(I1237="L",'Financial Inputs'!$B$4,IF(I1237="M",'Financial Inputs'!$B$5,'Financial Inputs'!$B$6))</f>
        <v>0.15</v>
      </c>
      <c r="Q1237" s="17">
        <f>O1237*P1237</f>
        <v>120000</v>
      </c>
      <c r="R1237" s="16">
        <f>'Financial Inputs'!$B$7</f>
        <v>0.35</v>
      </c>
      <c r="S1237" s="17">
        <f>Q1237*(1-R1237)</f>
        <v>78000</v>
      </c>
      <c r="T1237" s="18">
        <f>S1237/'Financial Inputs'!$B$3</f>
        <v>7.7999999999999999E-4</v>
      </c>
      <c r="U1237" s="9" t="s">
        <v>52</v>
      </c>
      <c r="V1237" s="3" t="s">
        <v>53</v>
      </c>
    </row>
    <row r="1238" spans="1:22">
      <c r="A1238" s="2" t="s">
        <v>3938</v>
      </c>
      <c r="B1238" s="2" t="s">
        <v>3939</v>
      </c>
      <c r="C1238" s="2" t="s">
        <v>3830</v>
      </c>
      <c r="D1238" s="2" t="s">
        <v>42</v>
      </c>
      <c r="E1238" s="2" t="s">
        <v>81</v>
      </c>
      <c r="F1238" s="2" t="s">
        <v>117</v>
      </c>
      <c r="G1238" s="2" t="s">
        <v>111</v>
      </c>
      <c r="H1238" s="2" t="s">
        <v>46</v>
      </c>
      <c r="I1238" s="2" t="s">
        <v>3831</v>
      </c>
      <c r="J1238" s="2" t="s">
        <v>500</v>
      </c>
      <c r="K1238" s="2" t="s">
        <v>3940</v>
      </c>
      <c r="L1238" s="2" t="s">
        <v>242</v>
      </c>
      <c r="M1238" s="2" t="s">
        <v>2320</v>
      </c>
      <c r="N1238" s="16">
        <v>9.0000000000000011E-3</v>
      </c>
      <c r="O1238" s="17">
        <f>N1238*'Financial Inputs'!$B$3</f>
        <v>900000.00000000012</v>
      </c>
      <c r="P1238" s="18">
        <f>IF(I1238="L",'Financial Inputs'!$B$4,IF(I1238="M",'Financial Inputs'!$B$5,'Financial Inputs'!$B$6))</f>
        <v>0.15</v>
      </c>
      <c r="Q1238" s="17">
        <f>O1238*P1238</f>
        <v>135000</v>
      </c>
      <c r="R1238" s="16">
        <f>'Financial Inputs'!$B$7</f>
        <v>0.35</v>
      </c>
      <c r="S1238" s="17">
        <f>Q1238*(1-R1238)</f>
        <v>87750</v>
      </c>
      <c r="T1238" s="18">
        <f>S1238/'Financial Inputs'!$B$3</f>
        <v>8.7750000000000002E-4</v>
      </c>
      <c r="U1238" s="9" t="s">
        <v>52</v>
      </c>
      <c r="V1238" s="3" t="s">
        <v>53</v>
      </c>
    </row>
    <row r="1239" spans="1:22">
      <c r="A1239" s="2" t="s">
        <v>3941</v>
      </c>
      <c r="B1239" s="2" t="s">
        <v>3942</v>
      </c>
      <c r="C1239" s="2" t="s">
        <v>3830</v>
      </c>
      <c r="D1239" s="2" t="s">
        <v>56</v>
      </c>
      <c r="E1239" s="2" t="s">
        <v>193</v>
      </c>
      <c r="F1239" s="2" t="s">
        <v>90</v>
      </c>
      <c r="G1239" s="2" t="s">
        <v>56</v>
      </c>
      <c r="H1239" s="2" t="s">
        <v>46</v>
      </c>
      <c r="I1239" s="2" t="s">
        <v>3831</v>
      </c>
      <c r="J1239" s="2" t="s">
        <v>500</v>
      </c>
      <c r="K1239" s="2" t="s">
        <v>3943</v>
      </c>
      <c r="L1239" s="2" t="s">
        <v>246</v>
      </c>
      <c r="M1239" s="2" t="s">
        <v>2320</v>
      </c>
      <c r="N1239" s="16">
        <v>0.01</v>
      </c>
      <c r="O1239" s="17">
        <f>N1239*'Financial Inputs'!$B$3</f>
        <v>1000000</v>
      </c>
      <c r="P1239" s="18">
        <f>IF(I1239="L",'Financial Inputs'!$B$4,IF(I1239="M",'Financial Inputs'!$B$5,'Financial Inputs'!$B$6))</f>
        <v>0.15</v>
      </c>
      <c r="Q1239" s="17">
        <f>O1239*P1239</f>
        <v>150000</v>
      </c>
      <c r="R1239" s="16">
        <f>'Financial Inputs'!$B$7</f>
        <v>0.35</v>
      </c>
      <c r="S1239" s="17">
        <f>Q1239*(1-R1239)</f>
        <v>97500</v>
      </c>
      <c r="T1239" s="18">
        <f>S1239/'Financial Inputs'!$B$3</f>
        <v>9.7499999999999996E-4</v>
      </c>
      <c r="U1239" s="9" t="s">
        <v>52</v>
      </c>
      <c r="V1239" s="3" t="s">
        <v>53</v>
      </c>
    </row>
    <row r="1240" spans="1:22">
      <c r="A1240" s="2" t="s">
        <v>3944</v>
      </c>
      <c r="B1240" s="2" t="s">
        <v>3945</v>
      </c>
      <c r="C1240" s="2" t="s">
        <v>3830</v>
      </c>
      <c r="D1240" s="2" t="s">
        <v>64</v>
      </c>
      <c r="E1240" s="2" t="s">
        <v>198</v>
      </c>
      <c r="F1240" s="2" t="s">
        <v>97</v>
      </c>
      <c r="G1240" s="2" t="s">
        <v>138</v>
      </c>
      <c r="H1240" s="2" t="s">
        <v>46</v>
      </c>
      <c r="I1240" s="2" t="s">
        <v>3831</v>
      </c>
      <c r="J1240" s="2" t="s">
        <v>500</v>
      </c>
      <c r="K1240" s="2" t="s">
        <v>3946</v>
      </c>
      <c r="L1240" s="2" t="s">
        <v>250</v>
      </c>
      <c r="M1240" s="2" t="s">
        <v>2320</v>
      </c>
      <c r="N1240" s="16">
        <v>1.0999999999999999E-2</v>
      </c>
      <c r="O1240" s="17">
        <f>N1240*'Financial Inputs'!$B$3</f>
        <v>1100000</v>
      </c>
      <c r="P1240" s="18">
        <f>IF(I1240="L",'Financial Inputs'!$B$4,IF(I1240="M",'Financial Inputs'!$B$5,'Financial Inputs'!$B$6))</f>
        <v>0.15</v>
      </c>
      <c r="Q1240" s="17">
        <f>O1240*P1240</f>
        <v>165000</v>
      </c>
      <c r="R1240" s="16">
        <f>'Financial Inputs'!$B$7</f>
        <v>0.35</v>
      </c>
      <c r="S1240" s="17">
        <f>Q1240*(1-R1240)</f>
        <v>107250</v>
      </c>
      <c r="T1240" s="18">
        <f>S1240/'Financial Inputs'!$B$3</f>
        <v>1.0725000000000001E-3</v>
      </c>
      <c r="U1240" s="9" t="s">
        <v>52</v>
      </c>
      <c r="V1240" s="3" t="s">
        <v>53</v>
      </c>
    </row>
    <row r="1241" spans="1:22">
      <c r="A1241" s="2" t="s">
        <v>3947</v>
      </c>
      <c r="B1241" s="2" t="s">
        <v>3948</v>
      </c>
      <c r="C1241" s="2" t="s">
        <v>3830</v>
      </c>
      <c r="D1241" s="2" t="s">
        <v>72</v>
      </c>
      <c r="E1241" s="2" t="s">
        <v>148</v>
      </c>
      <c r="F1241" s="2" t="s">
        <v>104</v>
      </c>
      <c r="G1241" s="2" t="s">
        <v>143</v>
      </c>
      <c r="H1241" s="2" t="s">
        <v>46</v>
      </c>
      <c r="I1241" s="2" t="s">
        <v>3831</v>
      </c>
      <c r="J1241" s="2" t="s">
        <v>500</v>
      </c>
      <c r="K1241" s="2" t="s">
        <v>3949</v>
      </c>
      <c r="L1241" s="2" t="s">
        <v>254</v>
      </c>
      <c r="M1241" s="2" t="s">
        <v>2320</v>
      </c>
      <c r="N1241" s="16">
        <v>1.2E-2</v>
      </c>
      <c r="O1241" s="17">
        <f>N1241*'Financial Inputs'!$B$3</f>
        <v>1200000</v>
      </c>
      <c r="P1241" s="18">
        <f>IF(I1241="L",'Financial Inputs'!$B$4,IF(I1241="M",'Financial Inputs'!$B$5,'Financial Inputs'!$B$6))</f>
        <v>0.15</v>
      </c>
      <c r="Q1241" s="17">
        <f>O1241*P1241</f>
        <v>180000</v>
      </c>
      <c r="R1241" s="16">
        <f>'Financial Inputs'!$B$7</f>
        <v>0.35</v>
      </c>
      <c r="S1241" s="17">
        <f>Q1241*(1-R1241)</f>
        <v>117000</v>
      </c>
      <c r="T1241" s="18">
        <f>S1241/'Financial Inputs'!$B$3</f>
        <v>1.17E-3</v>
      </c>
      <c r="U1241" s="9" t="s">
        <v>52</v>
      </c>
      <c r="V1241" s="3" t="s">
        <v>53</v>
      </c>
    </row>
    <row r="1242" spans="1:22">
      <c r="A1242" s="2" t="s">
        <v>3950</v>
      </c>
      <c r="B1242" s="2" t="s">
        <v>3951</v>
      </c>
      <c r="C1242" s="2" t="s">
        <v>3830</v>
      </c>
      <c r="D1242" s="2" t="s">
        <v>133</v>
      </c>
      <c r="E1242" s="2" t="s">
        <v>109</v>
      </c>
      <c r="F1242" s="2" t="s">
        <v>82</v>
      </c>
      <c r="G1242" s="2" t="s">
        <v>56</v>
      </c>
      <c r="H1242" s="2" t="s">
        <v>46</v>
      </c>
      <c r="I1242" s="2" t="s">
        <v>3831</v>
      </c>
      <c r="J1242" s="2" t="s">
        <v>500</v>
      </c>
      <c r="K1242" s="2" t="s">
        <v>3952</v>
      </c>
      <c r="L1242" s="2" t="s">
        <v>258</v>
      </c>
      <c r="M1242" s="2" t="s">
        <v>2320</v>
      </c>
      <c r="N1242" s="16">
        <v>8.0000000000000002E-3</v>
      </c>
      <c r="O1242" s="17">
        <f>N1242*'Financial Inputs'!$B$3</f>
        <v>800000</v>
      </c>
      <c r="P1242" s="18">
        <f>IF(I1242="L",'Financial Inputs'!$B$4,IF(I1242="M",'Financial Inputs'!$B$5,'Financial Inputs'!$B$6))</f>
        <v>0.15</v>
      </c>
      <c r="Q1242" s="17">
        <f>O1242*P1242</f>
        <v>120000</v>
      </c>
      <c r="R1242" s="16">
        <f>'Financial Inputs'!$B$7</f>
        <v>0.35</v>
      </c>
      <c r="S1242" s="17">
        <f>Q1242*(1-R1242)</f>
        <v>78000</v>
      </c>
      <c r="T1242" s="18">
        <f>S1242/'Financial Inputs'!$B$3</f>
        <v>7.7999999999999999E-4</v>
      </c>
      <c r="U1242" s="9" t="s">
        <v>52</v>
      </c>
      <c r="V1242" s="3" t="s">
        <v>53</v>
      </c>
    </row>
    <row r="1243" spans="1:22">
      <c r="A1243" s="2" t="s">
        <v>3953</v>
      </c>
      <c r="B1243" s="2" t="s">
        <v>3954</v>
      </c>
      <c r="C1243" s="2" t="s">
        <v>3830</v>
      </c>
      <c r="D1243" s="2" t="s">
        <v>88</v>
      </c>
      <c r="E1243" s="2" t="s">
        <v>116</v>
      </c>
      <c r="F1243" s="2" t="s">
        <v>44</v>
      </c>
      <c r="G1243" s="2" t="s">
        <v>138</v>
      </c>
      <c r="H1243" s="2" t="s">
        <v>46</v>
      </c>
      <c r="I1243" s="2" t="s">
        <v>3831</v>
      </c>
      <c r="J1243" s="2" t="s">
        <v>500</v>
      </c>
      <c r="K1243" s="2" t="s">
        <v>3955</v>
      </c>
      <c r="L1243" s="2" t="s">
        <v>262</v>
      </c>
      <c r="M1243" s="2" t="s">
        <v>2320</v>
      </c>
      <c r="N1243" s="16">
        <v>9.0000000000000011E-3</v>
      </c>
      <c r="O1243" s="17">
        <f>N1243*'Financial Inputs'!$B$3</f>
        <v>900000.00000000012</v>
      </c>
      <c r="P1243" s="18">
        <f>IF(I1243="L",'Financial Inputs'!$B$4,IF(I1243="M",'Financial Inputs'!$B$5,'Financial Inputs'!$B$6))</f>
        <v>0.15</v>
      </c>
      <c r="Q1243" s="17">
        <f>O1243*P1243</f>
        <v>135000</v>
      </c>
      <c r="R1243" s="16">
        <f>'Financial Inputs'!$B$7</f>
        <v>0.35</v>
      </c>
      <c r="S1243" s="17">
        <f>Q1243*(1-R1243)</f>
        <v>87750</v>
      </c>
      <c r="T1243" s="18">
        <f>S1243/'Financial Inputs'!$B$3</f>
        <v>8.7750000000000002E-4</v>
      </c>
      <c r="U1243" s="9" t="s">
        <v>52</v>
      </c>
      <c r="V1243" s="3" t="s">
        <v>53</v>
      </c>
    </row>
    <row r="1244" spans="1:22">
      <c r="A1244" s="2" t="s">
        <v>3956</v>
      </c>
      <c r="B1244" s="2" t="s">
        <v>3957</v>
      </c>
      <c r="C1244" s="2" t="s">
        <v>3830</v>
      </c>
      <c r="D1244" s="2" t="s">
        <v>95</v>
      </c>
      <c r="E1244" s="2" t="s">
        <v>215</v>
      </c>
      <c r="F1244" s="2" t="s">
        <v>58</v>
      </c>
      <c r="G1244" s="2" t="s">
        <v>143</v>
      </c>
      <c r="H1244" s="2" t="s">
        <v>46</v>
      </c>
      <c r="I1244" s="2" t="s">
        <v>3831</v>
      </c>
      <c r="J1244" s="2" t="s">
        <v>500</v>
      </c>
      <c r="K1244" s="2" t="s">
        <v>3958</v>
      </c>
      <c r="L1244" s="2" t="s">
        <v>266</v>
      </c>
      <c r="M1244" s="2" t="s">
        <v>2320</v>
      </c>
      <c r="N1244" s="16">
        <v>0.01</v>
      </c>
      <c r="O1244" s="17">
        <f>N1244*'Financial Inputs'!$B$3</f>
        <v>1000000</v>
      </c>
      <c r="P1244" s="18">
        <f>IF(I1244="L",'Financial Inputs'!$B$4,IF(I1244="M",'Financial Inputs'!$B$5,'Financial Inputs'!$B$6))</f>
        <v>0.15</v>
      </c>
      <c r="Q1244" s="17">
        <f>O1244*P1244</f>
        <v>150000</v>
      </c>
      <c r="R1244" s="16">
        <f>'Financial Inputs'!$B$7</f>
        <v>0.35</v>
      </c>
      <c r="S1244" s="17">
        <f>Q1244*(1-R1244)</f>
        <v>97500</v>
      </c>
      <c r="T1244" s="18">
        <f>S1244/'Financial Inputs'!$B$3</f>
        <v>9.7499999999999996E-4</v>
      </c>
      <c r="U1244" s="9" t="s">
        <v>52</v>
      </c>
      <c r="V1244" s="3" t="s">
        <v>53</v>
      </c>
    </row>
    <row r="1245" spans="1:22">
      <c r="A1245" s="2" t="s">
        <v>3959</v>
      </c>
      <c r="B1245" s="2" t="s">
        <v>3960</v>
      </c>
      <c r="C1245" s="2" t="s">
        <v>3830</v>
      </c>
      <c r="D1245" s="2" t="s">
        <v>102</v>
      </c>
      <c r="E1245" s="2" t="s">
        <v>220</v>
      </c>
      <c r="F1245" s="2" t="s">
        <v>66</v>
      </c>
      <c r="G1245" s="2" t="s">
        <v>162</v>
      </c>
      <c r="H1245" s="2" t="s">
        <v>46</v>
      </c>
      <c r="I1245" s="2" t="s">
        <v>3831</v>
      </c>
      <c r="J1245" s="2" t="s">
        <v>500</v>
      </c>
      <c r="K1245" s="2" t="s">
        <v>3961</v>
      </c>
      <c r="L1245" s="2" t="s">
        <v>270</v>
      </c>
      <c r="M1245" s="2" t="s">
        <v>2320</v>
      </c>
      <c r="N1245" s="16">
        <v>1.0999999999999999E-2</v>
      </c>
      <c r="O1245" s="17">
        <f>N1245*'Financial Inputs'!$B$3</f>
        <v>1100000</v>
      </c>
      <c r="P1245" s="18">
        <f>IF(I1245="L",'Financial Inputs'!$B$4,IF(I1245="M",'Financial Inputs'!$B$5,'Financial Inputs'!$B$6))</f>
        <v>0.15</v>
      </c>
      <c r="Q1245" s="17">
        <f>O1245*P1245</f>
        <v>165000</v>
      </c>
      <c r="R1245" s="16">
        <f>'Financial Inputs'!$B$7</f>
        <v>0.35</v>
      </c>
      <c r="S1245" s="17">
        <f>Q1245*(1-R1245)</f>
        <v>107250</v>
      </c>
      <c r="T1245" s="18">
        <f>S1245/'Financial Inputs'!$B$3</f>
        <v>1.0725000000000001E-3</v>
      </c>
      <c r="U1245" s="9" t="s">
        <v>52</v>
      </c>
      <c r="V1245" s="3" t="s">
        <v>53</v>
      </c>
    </row>
    <row r="1246" spans="1:22">
      <c r="A1246" s="2" t="s">
        <v>3962</v>
      </c>
      <c r="B1246" s="2" t="s">
        <v>3963</v>
      </c>
      <c r="C1246" s="2" t="s">
        <v>3830</v>
      </c>
      <c r="D1246" s="2" t="s">
        <v>42</v>
      </c>
      <c r="E1246" s="2" t="s">
        <v>171</v>
      </c>
      <c r="F1246" s="2" t="s">
        <v>74</v>
      </c>
      <c r="G1246" s="2" t="s">
        <v>45</v>
      </c>
      <c r="H1246" s="2" t="s">
        <v>46</v>
      </c>
      <c r="I1246" s="2" t="s">
        <v>3831</v>
      </c>
      <c r="J1246" s="2" t="s">
        <v>500</v>
      </c>
      <c r="K1246" s="2" t="s">
        <v>3964</v>
      </c>
      <c r="L1246" s="2" t="s">
        <v>274</v>
      </c>
      <c r="M1246" s="2" t="s">
        <v>2320</v>
      </c>
      <c r="N1246" s="16">
        <v>1.2E-2</v>
      </c>
      <c r="O1246" s="17">
        <f>N1246*'Financial Inputs'!$B$3</f>
        <v>1200000</v>
      </c>
      <c r="P1246" s="18">
        <f>IF(I1246="L",'Financial Inputs'!$B$4,IF(I1246="M",'Financial Inputs'!$B$5,'Financial Inputs'!$B$6))</f>
        <v>0.15</v>
      </c>
      <c r="Q1246" s="17">
        <f>O1246*P1246</f>
        <v>180000</v>
      </c>
      <c r="R1246" s="16">
        <f>'Financial Inputs'!$B$7</f>
        <v>0.35</v>
      </c>
      <c r="S1246" s="17">
        <f>Q1246*(1-R1246)</f>
        <v>117000</v>
      </c>
      <c r="T1246" s="18">
        <f>S1246/'Financial Inputs'!$B$3</f>
        <v>1.17E-3</v>
      </c>
      <c r="U1246" s="9" t="s">
        <v>52</v>
      </c>
      <c r="V1246" s="3" t="s">
        <v>53</v>
      </c>
    </row>
    <row r="1247" spans="1:22">
      <c r="A1247" s="2" t="s">
        <v>3965</v>
      </c>
      <c r="B1247" s="2" t="s">
        <v>3966</v>
      </c>
      <c r="C1247" s="2" t="s">
        <v>3830</v>
      </c>
      <c r="D1247" s="2" t="s">
        <v>72</v>
      </c>
      <c r="E1247" s="2" t="s">
        <v>57</v>
      </c>
      <c r="F1247" s="2" t="s">
        <v>117</v>
      </c>
      <c r="G1247" s="2" t="s">
        <v>143</v>
      </c>
      <c r="H1247" s="2" t="s">
        <v>46</v>
      </c>
      <c r="I1247" s="2" t="s">
        <v>3831</v>
      </c>
      <c r="J1247" s="2" t="s">
        <v>500</v>
      </c>
      <c r="K1247" s="2" t="s">
        <v>3967</v>
      </c>
      <c r="L1247" s="2" t="s">
        <v>278</v>
      </c>
      <c r="M1247" s="2" t="s">
        <v>2320</v>
      </c>
      <c r="N1247" s="16">
        <v>8.0000000000000002E-3</v>
      </c>
      <c r="O1247" s="17">
        <f>N1247*'Financial Inputs'!$B$3</f>
        <v>800000</v>
      </c>
      <c r="P1247" s="18">
        <f>IF(I1247="L",'Financial Inputs'!$B$4,IF(I1247="M",'Financial Inputs'!$B$5,'Financial Inputs'!$B$6))</f>
        <v>0.15</v>
      </c>
      <c r="Q1247" s="17">
        <f>O1247*P1247</f>
        <v>120000</v>
      </c>
      <c r="R1247" s="16">
        <f>'Financial Inputs'!$B$7</f>
        <v>0.35</v>
      </c>
      <c r="S1247" s="17">
        <f>Q1247*(1-R1247)</f>
        <v>78000</v>
      </c>
      <c r="T1247" s="18">
        <f>S1247/'Financial Inputs'!$B$3</f>
        <v>7.7999999999999999E-4</v>
      </c>
      <c r="U1247" s="9" t="s">
        <v>52</v>
      </c>
      <c r="V1247" s="3" t="s">
        <v>53</v>
      </c>
    </row>
    <row r="1248" spans="1:22">
      <c r="A1248" s="2" t="s">
        <v>3968</v>
      </c>
      <c r="B1248" s="2" t="s">
        <v>3969</v>
      </c>
      <c r="C1248" s="2" t="s">
        <v>3830</v>
      </c>
      <c r="D1248" s="2" t="s">
        <v>80</v>
      </c>
      <c r="E1248" s="2" t="s">
        <v>65</v>
      </c>
      <c r="F1248" s="2" t="s">
        <v>90</v>
      </c>
      <c r="G1248" s="2" t="s">
        <v>162</v>
      </c>
      <c r="H1248" s="2" t="s">
        <v>46</v>
      </c>
      <c r="I1248" s="2" t="s">
        <v>3831</v>
      </c>
      <c r="J1248" s="2" t="s">
        <v>500</v>
      </c>
      <c r="K1248" s="2" t="s">
        <v>3970</v>
      </c>
      <c r="L1248" s="2" t="s">
        <v>282</v>
      </c>
      <c r="M1248" s="2" t="s">
        <v>2320</v>
      </c>
      <c r="N1248" s="16">
        <v>9.0000000000000011E-3</v>
      </c>
      <c r="O1248" s="17">
        <f>N1248*'Financial Inputs'!$B$3</f>
        <v>900000.00000000012</v>
      </c>
      <c r="P1248" s="18">
        <f>IF(I1248="L",'Financial Inputs'!$B$4,IF(I1248="M",'Financial Inputs'!$B$5,'Financial Inputs'!$B$6))</f>
        <v>0.15</v>
      </c>
      <c r="Q1248" s="17">
        <f>O1248*P1248</f>
        <v>135000</v>
      </c>
      <c r="R1248" s="16">
        <f>'Financial Inputs'!$B$7</f>
        <v>0.35</v>
      </c>
      <c r="S1248" s="17">
        <f>Q1248*(1-R1248)</f>
        <v>87750</v>
      </c>
      <c r="T1248" s="18">
        <f>S1248/'Financial Inputs'!$B$3</f>
        <v>8.7750000000000002E-4</v>
      </c>
      <c r="U1248" s="9" t="s">
        <v>52</v>
      </c>
      <c r="V1248" s="3" t="s">
        <v>53</v>
      </c>
    </row>
    <row r="1249" spans="1:22">
      <c r="A1249" s="2" t="s">
        <v>3971</v>
      </c>
      <c r="B1249" s="2" t="s">
        <v>3972</v>
      </c>
      <c r="C1249" s="2" t="s">
        <v>3830</v>
      </c>
      <c r="D1249" s="2" t="s">
        <v>127</v>
      </c>
      <c r="E1249" s="2" t="s">
        <v>73</v>
      </c>
      <c r="F1249" s="2" t="s">
        <v>97</v>
      </c>
      <c r="G1249" s="2" t="s">
        <v>45</v>
      </c>
      <c r="H1249" s="2" t="s">
        <v>46</v>
      </c>
      <c r="I1249" s="2" t="s">
        <v>3831</v>
      </c>
      <c r="J1249" s="2" t="s">
        <v>500</v>
      </c>
      <c r="K1249" s="2" t="s">
        <v>3973</v>
      </c>
      <c r="L1249" s="2" t="s">
        <v>286</v>
      </c>
      <c r="M1249" s="2" t="s">
        <v>2320</v>
      </c>
      <c r="N1249" s="16">
        <v>0.01</v>
      </c>
      <c r="O1249" s="17">
        <f>N1249*'Financial Inputs'!$B$3</f>
        <v>1000000</v>
      </c>
      <c r="P1249" s="18">
        <f>IF(I1249="L",'Financial Inputs'!$B$4,IF(I1249="M",'Financial Inputs'!$B$5,'Financial Inputs'!$B$6))</f>
        <v>0.15</v>
      </c>
      <c r="Q1249" s="17">
        <f>O1249*P1249</f>
        <v>150000</v>
      </c>
      <c r="R1249" s="16">
        <f>'Financial Inputs'!$B$7</f>
        <v>0.35</v>
      </c>
      <c r="S1249" s="17">
        <f>Q1249*(1-R1249)</f>
        <v>97500</v>
      </c>
      <c r="T1249" s="18">
        <f>S1249/'Financial Inputs'!$B$3</f>
        <v>9.7499999999999996E-4</v>
      </c>
      <c r="U1249" s="9" t="s">
        <v>52</v>
      </c>
      <c r="V1249" s="3" t="s">
        <v>53</v>
      </c>
    </row>
    <row r="1250" spans="1:22">
      <c r="A1250" s="2" t="s">
        <v>3974</v>
      </c>
      <c r="B1250" s="2" t="s">
        <v>3975</v>
      </c>
      <c r="C1250" s="2" t="s">
        <v>3830</v>
      </c>
      <c r="D1250" s="2" t="s">
        <v>133</v>
      </c>
      <c r="E1250" s="2" t="s">
        <v>81</v>
      </c>
      <c r="F1250" s="2" t="s">
        <v>104</v>
      </c>
      <c r="G1250" s="2" t="s">
        <v>59</v>
      </c>
      <c r="H1250" s="2" t="s">
        <v>46</v>
      </c>
      <c r="I1250" s="2" t="s">
        <v>3831</v>
      </c>
      <c r="J1250" s="2" t="s">
        <v>500</v>
      </c>
      <c r="K1250" s="2" t="s">
        <v>3976</v>
      </c>
      <c r="L1250" s="2" t="s">
        <v>290</v>
      </c>
      <c r="M1250" s="2" t="s">
        <v>2320</v>
      </c>
      <c r="N1250" s="16">
        <v>1.0999999999999999E-2</v>
      </c>
      <c r="O1250" s="17">
        <f>N1250*'Financial Inputs'!$B$3</f>
        <v>1100000</v>
      </c>
      <c r="P1250" s="18">
        <f>IF(I1250="L",'Financial Inputs'!$B$4,IF(I1250="M",'Financial Inputs'!$B$5,'Financial Inputs'!$B$6))</f>
        <v>0.15</v>
      </c>
      <c r="Q1250" s="17">
        <f>O1250*P1250</f>
        <v>165000</v>
      </c>
      <c r="R1250" s="16">
        <f>'Financial Inputs'!$B$7</f>
        <v>0.35</v>
      </c>
      <c r="S1250" s="17">
        <f>Q1250*(1-R1250)</f>
        <v>107250</v>
      </c>
      <c r="T1250" s="18">
        <f>S1250/'Financial Inputs'!$B$3</f>
        <v>1.0725000000000001E-3</v>
      </c>
      <c r="U1250" s="9" t="s">
        <v>52</v>
      </c>
      <c r="V1250" s="3" t="s">
        <v>53</v>
      </c>
    </row>
    <row r="1251" spans="1:22">
      <c r="A1251" s="2" t="s">
        <v>3977</v>
      </c>
      <c r="B1251" s="2" t="s">
        <v>3978</v>
      </c>
      <c r="C1251" s="2" t="s">
        <v>3830</v>
      </c>
      <c r="D1251" s="2" t="s">
        <v>88</v>
      </c>
      <c r="E1251" s="2" t="s">
        <v>193</v>
      </c>
      <c r="F1251" s="2" t="s">
        <v>110</v>
      </c>
      <c r="G1251" s="2" t="s">
        <v>67</v>
      </c>
      <c r="H1251" s="2" t="s">
        <v>46</v>
      </c>
      <c r="I1251" s="2" t="s">
        <v>3831</v>
      </c>
      <c r="J1251" s="2" t="s">
        <v>500</v>
      </c>
      <c r="K1251" s="2" t="s">
        <v>3979</v>
      </c>
      <c r="L1251" s="2" t="s">
        <v>294</v>
      </c>
      <c r="M1251" s="2" t="s">
        <v>2320</v>
      </c>
      <c r="N1251" s="16">
        <v>1.2E-2</v>
      </c>
      <c r="O1251" s="17">
        <f>N1251*'Financial Inputs'!$B$3</f>
        <v>1200000</v>
      </c>
      <c r="P1251" s="18">
        <f>IF(I1251="L",'Financial Inputs'!$B$4,IF(I1251="M",'Financial Inputs'!$B$5,'Financial Inputs'!$B$6))</f>
        <v>0.15</v>
      </c>
      <c r="Q1251" s="17">
        <f>O1251*P1251</f>
        <v>180000</v>
      </c>
      <c r="R1251" s="16">
        <f>'Financial Inputs'!$B$7</f>
        <v>0.35</v>
      </c>
      <c r="S1251" s="17">
        <f>Q1251*(1-R1251)</f>
        <v>117000</v>
      </c>
      <c r="T1251" s="18">
        <f>S1251/'Financial Inputs'!$B$3</f>
        <v>1.17E-3</v>
      </c>
      <c r="U1251" s="9" t="s">
        <v>52</v>
      </c>
      <c r="V1251" s="3" t="s">
        <v>53</v>
      </c>
    </row>
    <row r="1252" spans="1:22">
      <c r="A1252" s="2" t="s">
        <v>3980</v>
      </c>
      <c r="B1252" s="2" t="s">
        <v>3981</v>
      </c>
      <c r="C1252" s="2" t="s">
        <v>3830</v>
      </c>
      <c r="D1252" s="2" t="s">
        <v>42</v>
      </c>
      <c r="E1252" s="2" t="s">
        <v>96</v>
      </c>
      <c r="F1252" s="2" t="s">
        <v>44</v>
      </c>
      <c r="G1252" s="2" t="s">
        <v>45</v>
      </c>
      <c r="H1252" s="2" t="s">
        <v>46</v>
      </c>
      <c r="I1252" s="2" t="s">
        <v>3831</v>
      </c>
      <c r="J1252" s="2" t="s">
        <v>500</v>
      </c>
      <c r="K1252" s="2" t="s">
        <v>3982</v>
      </c>
      <c r="L1252" s="2" t="s">
        <v>298</v>
      </c>
      <c r="M1252" s="2" t="s">
        <v>2320</v>
      </c>
      <c r="N1252" s="16">
        <v>8.0000000000000002E-3</v>
      </c>
      <c r="O1252" s="17">
        <f>N1252*'Financial Inputs'!$B$3</f>
        <v>800000</v>
      </c>
      <c r="P1252" s="18">
        <f>IF(I1252="L",'Financial Inputs'!$B$4,IF(I1252="M",'Financial Inputs'!$B$5,'Financial Inputs'!$B$6))</f>
        <v>0.15</v>
      </c>
      <c r="Q1252" s="17">
        <f>O1252*P1252</f>
        <v>120000</v>
      </c>
      <c r="R1252" s="16">
        <f>'Financial Inputs'!$B$7</f>
        <v>0.35</v>
      </c>
      <c r="S1252" s="17">
        <f>Q1252*(1-R1252)</f>
        <v>78000</v>
      </c>
      <c r="T1252" s="18">
        <f>S1252/'Financial Inputs'!$B$3</f>
        <v>7.7999999999999999E-4</v>
      </c>
      <c r="U1252" s="9" t="s">
        <v>52</v>
      </c>
      <c r="V1252" s="3" t="s">
        <v>53</v>
      </c>
    </row>
    <row r="1253" spans="1:22">
      <c r="A1253" s="2" t="s">
        <v>3983</v>
      </c>
      <c r="B1253" s="2" t="s">
        <v>3984</v>
      </c>
      <c r="C1253" s="2" t="s">
        <v>3830</v>
      </c>
      <c r="D1253" s="2" t="s">
        <v>56</v>
      </c>
      <c r="E1253" s="2" t="s">
        <v>103</v>
      </c>
      <c r="F1253" s="2" t="s">
        <v>58</v>
      </c>
      <c r="G1253" s="2" t="s">
        <v>59</v>
      </c>
      <c r="H1253" s="2" t="s">
        <v>46</v>
      </c>
      <c r="I1253" s="2" t="s">
        <v>3831</v>
      </c>
      <c r="J1253" s="2" t="s">
        <v>500</v>
      </c>
      <c r="K1253" s="2" t="s">
        <v>3985</v>
      </c>
      <c r="L1253" s="2" t="s">
        <v>302</v>
      </c>
      <c r="M1253" s="2" t="s">
        <v>2320</v>
      </c>
      <c r="N1253" s="16">
        <v>9.0000000000000011E-3</v>
      </c>
      <c r="O1253" s="17">
        <f>N1253*'Financial Inputs'!$B$3</f>
        <v>900000.00000000012</v>
      </c>
      <c r="P1253" s="18">
        <f>IF(I1253="L",'Financial Inputs'!$B$4,IF(I1253="M",'Financial Inputs'!$B$5,'Financial Inputs'!$B$6))</f>
        <v>0.15</v>
      </c>
      <c r="Q1253" s="17">
        <f>O1253*P1253</f>
        <v>135000</v>
      </c>
      <c r="R1253" s="16">
        <f>'Financial Inputs'!$B$7</f>
        <v>0.35</v>
      </c>
      <c r="S1253" s="17">
        <f>Q1253*(1-R1253)</f>
        <v>87750</v>
      </c>
      <c r="T1253" s="18">
        <f>S1253/'Financial Inputs'!$B$3</f>
        <v>8.7750000000000002E-4</v>
      </c>
      <c r="U1253" s="9" t="s">
        <v>52</v>
      </c>
      <c r="V1253" s="3" t="s">
        <v>53</v>
      </c>
    </row>
    <row r="1254" spans="1:22">
      <c r="A1254" s="2" t="s">
        <v>3986</v>
      </c>
      <c r="B1254" s="2" t="s">
        <v>3987</v>
      </c>
      <c r="C1254" s="2" t="s">
        <v>3830</v>
      </c>
      <c r="D1254" s="2" t="s">
        <v>64</v>
      </c>
      <c r="E1254" s="2" t="s">
        <v>109</v>
      </c>
      <c r="F1254" s="2" t="s">
        <v>66</v>
      </c>
      <c r="G1254" s="2" t="s">
        <v>67</v>
      </c>
      <c r="H1254" s="2" t="s">
        <v>46</v>
      </c>
      <c r="I1254" s="2" t="s">
        <v>3831</v>
      </c>
      <c r="J1254" s="2" t="s">
        <v>500</v>
      </c>
      <c r="K1254" s="2" t="s">
        <v>3988</v>
      </c>
      <c r="L1254" s="2" t="s">
        <v>306</v>
      </c>
      <c r="M1254" s="2" t="s">
        <v>2320</v>
      </c>
      <c r="N1254" s="16">
        <v>0.01</v>
      </c>
      <c r="O1254" s="17">
        <f>N1254*'Financial Inputs'!$B$3</f>
        <v>1000000</v>
      </c>
      <c r="P1254" s="18">
        <f>IF(I1254="L",'Financial Inputs'!$B$4,IF(I1254="M",'Financial Inputs'!$B$5,'Financial Inputs'!$B$6))</f>
        <v>0.15</v>
      </c>
      <c r="Q1254" s="17">
        <f>O1254*P1254</f>
        <v>150000</v>
      </c>
      <c r="R1254" s="16">
        <f>'Financial Inputs'!$B$7</f>
        <v>0.35</v>
      </c>
      <c r="S1254" s="17">
        <f>Q1254*(1-R1254)</f>
        <v>97500</v>
      </c>
      <c r="T1254" s="18">
        <f>S1254/'Financial Inputs'!$B$3</f>
        <v>9.7499999999999996E-4</v>
      </c>
      <c r="U1254" s="9" t="s">
        <v>52</v>
      </c>
      <c r="V1254" s="3" t="s">
        <v>53</v>
      </c>
    </row>
    <row r="1255" spans="1:22">
      <c r="A1255" s="2" t="s">
        <v>3989</v>
      </c>
      <c r="B1255" s="2" t="s">
        <v>3990</v>
      </c>
      <c r="C1255" s="2" t="s">
        <v>3830</v>
      </c>
      <c r="D1255" s="2" t="s">
        <v>72</v>
      </c>
      <c r="E1255" s="2" t="s">
        <v>116</v>
      </c>
      <c r="F1255" s="2" t="s">
        <v>74</v>
      </c>
      <c r="G1255" s="2" t="s">
        <v>75</v>
      </c>
      <c r="H1255" s="2" t="s">
        <v>46</v>
      </c>
      <c r="I1255" s="2" t="s">
        <v>3831</v>
      </c>
      <c r="J1255" s="2" t="s">
        <v>500</v>
      </c>
      <c r="K1255" s="2" t="s">
        <v>3991</v>
      </c>
      <c r="L1255" s="2" t="s">
        <v>310</v>
      </c>
      <c r="M1255" s="2" t="s">
        <v>2320</v>
      </c>
      <c r="N1255" s="16">
        <v>1.0999999999999999E-2</v>
      </c>
      <c r="O1255" s="17">
        <f>N1255*'Financial Inputs'!$B$3</f>
        <v>1100000</v>
      </c>
      <c r="P1255" s="18">
        <f>IF(I1255="L",'Financial Inputs'!$B$4,IF(I1255="M",'Financial Inputs'!$B$5,'Financial Inputs'!$B$6))</f>
        <v>0.15</v>
      </c>
      <c r="Q1255" s="17">
        <f>O1255*P1255</f>
        <v>165000</v>
      </c>
      <c r="R1255" s="16">
        <f>'Financial Inputs'!$B$7</f>
        <v>0.35</v>
      </c>
      <c r="S1255" s="17">
        <f>Q1255*(1-R1255)</f>
        <v>107250</v>
      </c>
      <c r="T1255" s="18">
        <f>S1255/'Financial Inputs'!$B$3</f>
        <v>1.0725000000000001E-3</v>
      </c>
      <c r="U1255" s="9" t="s">
        <v>52</v>
      </c>
      <c r="V1255" s="3" t="s">
        <v>53</v>
      </c>
    </row>
    <row r="1256" spans="1:22">
      <c r="A1256" s="2" t="s">
        <v>3992</v>
      </c>
      <c r="B1256" s="2" t="s">
        <v>3993</v>
      </c>
      <c r="C1256" s="2" t="s">
        <v>3830</v>
      </c>
      <c r="D1256" s="2" t="s">
        <v>80</v>
      </c>
      <c r="E1256" s="2" t="s">
        <v>215</v>
      </c>
      <c r="F1256" s="2" t="s">
        <v>82</v>
      </c>
      <c r="G1256" s="2" t="s">
        <v>83</v>
      </c>
      <c r="H1256" s="2" t="s">
        <v>46</v>
      </c>
      <c r="I1256" s="2" t="s">
        <v>3831</v>
      </c>
      <c r="J1256" s="2" t="s">
        <v>500</v>
      </c>
      <c r="K1256" s="2" t="s">
        <v>3994</v>
      </c>
      <c r="L1256" s="2" t="s">
        <v>314</v>
      </c>
      <c r="M1256" s="2" t="s">
        <v>2320</v>
      </c>
      <c r="N1256" s="16">
        <v>1.2E-2</v>
      </c>
      <c r="O1256" s="17">
        <f>N1256*'Financial Inputs'!$B$3</f>
        <v>1200000</v>
      </c>
      <c r="P1256" s="18">
        <f>IF(I1256="L",'Financial Inputs'!$B$4,IF(I1256="M",'Financial Inputs'!$B$5,'Financial Inputs'!$B$6))</f>
        <v>0.15</v>
      </c>
      <c r="Q1256" s="17">
        <f>O1256*P1256</f>
        <v>180000</v>
      </c>
      <c r="R1256" s="16">
        <f>'Financial Inputs'!$B$7</f>
        <v>0.35</v>
      </c>
      <c r="S1256" s="17">
        <f>Q1256*(1-R1256)</f>
        <v>117000</v>
      </c>
      <c r="T1256" s="18">
        <f>S1256/'Financial Inputs'!$B$3</f>
        <v>1.17E-3</v>
      </c>
      <c r="U1256" s="9" t="s">
        <v>52</v>
      </c>
      <c r="V1256" s="3" t="s">
        <v>53</v>
      </c>
    </row>
    <row r="1257" spans="1:22">
      <c r="A1257" s="2" t="s">
        <v>3995</v>
      </c>
      <c r="B1257" s="2" t="s">
        <v>3996</v>
      </c>
      <c r="C1257" s="2" t="s">
        <v>3830</v>
      </c>
      <c r="D1257" s="2" t="s">
        <v>88</v>
      </c>
      <c r="E1257" s="2" t="s">
        <v>128</v>
      </c>
      <c r="F1257" s="2" t="s">
        <v>90</v>
      </c>
      <c r="G1257" s="2" t="s">
        <v>67</v>
      </c>
      <c r="H1257" s="2" t="s">
        <v>46</v>
      </c>
      <c r="I1257" s="2" t="s">
        <v>3831</v>
      </c>
      <c r="J1257" s="2" t="s">
        <v>500</v>
      </c>
      <c r="K1257" s="2" t="s">
        <v>3997</v>
      </c>
      <c r="L1257" s="2" t="s">
        <v>318</v>
      </c>
      <c r="M1257" s="2" t="s">
        <v>2320</v>
      </c>
      <c r="N1257" s="16">
        <v>8.0000000000000002E-3</v>
      </c>
      <c r="O1257" s="17">
        <f>N1257*'Financial Inputs'!$B$3</f>
        <v>800000</v>
      </c>
      <c r="P1257" s="18">
        <f>IF(I1257="L",'Financial Inputs'!$B$4,IF(I1257="M",'Financial Inputs'!$B$5,'Financial Inputs'!$B$6))</f>
        <v>0.15</v>
      </c>
      <c r="Q1257" s="17">
        <f>O1257*P1257</f>
        <v>120000</v>
      </c>
      <c r="R1257" s="16">
        <f>'Financial Inputs'!$B$7</f>
        <v>0.35</v>
      </c>
      <c r="S1257" s="17">
        <f>Q1257*(1-R1257)</f>
        <v>78000</v>
      </c>
      <c r="T1257" s="18">
        <f>S1257/'Financial Inputs'!$B$3</f>
        <v>7.7999999999999999E-4</v>
      </c>
      <c r="U1257" s="9" t="s">
        <v>52</v>
      </c>
      <c r="V1257" s="3" t="s">
        <v>53</v>
      </c>
    </row>
    <row r="1258" spans="1:22">
      <c r="A1258" s="2" t="s">
        <v>3998</v>
      </c>
      <c r="B1258" s="2" t="s">
        <v>3999</v>
      </c>
      <c r="C1258" s="2" t="s">
        <v>3830</v>
      </c>
      <c r="D1258" s="2" t="s">
        <v>95</v>
      </c>
      <c r="E1258" s="2" t="s">
        <v>43</v>
      </c>
      <c r="F1258" s="2" t="s">
        <v>97</v>
      </c>
      <c r="G1258" s="2" t="s">
        <v>75</v>
      </c>
      <c r="H1258" s="2" t="s">
        <v>46</v>
      </c>
      <c r="I1258" s="2" t="s">
        <v>3831</v>
      </c>
      <c r="J1258" s="2" t="s">
        <v>500</v>
      </c>
      <c r="K1258" s="2" t="s">
        <v>4000</v>
      </c>
      <c r="L1258" s="2" t="s">
        <v>322</v>
      </c>
      <c r="M1258" s="2" t="s">
        <v>2320</v>
      </c>
      <c r="N1258" s="16">
        <v>9.0000000000000011E-3</v>
      </c>
      <c r="O1258" s="17">
        <f>N1258*'Financial Inputs'!$B$3</f>
        <v>900000.00000000012</v>
      </c>
      <c r="P1258" s="18">
        <f>IF(I1258="L",'Financial Inputs'!$B$4,IF(I1258="M",'Financial Inputs'!$B$5,'Financial Inputs'!$B$6))</f>
        <v>0.15</v>
      </c>
      <c r="Q1258" s="17">
        <f>O1258*P1258</f>
        <v>135000</v>
      </c>
      <c r="R1258" s="16">
        <f>'Financial Inputs'!$B$7</f>
        <v>0.35</v>
      </c>
      <c r="S1258" s="17">
        <f>Q1258*(1-R1258)</f>
        <v>87750</v>
      </c>
      <c r="T1258" s="18">
        <f>S1258/'Financial Inputs'!$B$3</f>
        <v>8.7750000000000002E-4</v>
      </c>
      <c r="U1258" s="9" t="s">
        <v>52</v>
      </c>
      <c r="V1258" s="3" t="s">
        <v>53</v>
      </c>
    </row>
    <row r="1259" spans="1:22">
      <c r="A1259" s="2" t="s">
        <v>4001</v>
      </c>
      <c r="B1259" s="2" t="s">
        <v>4002</v>
      </c>
      <c r="C1259" s="2" t="s">
        <v>3830</v>
      </c>
      <c r="D1259" s="2" t="s">
        <v>102</v>
      </c>
      <c r="E1259" s="2" t="s">
        <v>57</v>
      </c>
      <c r="F1259" s="2" t="s">
        <v>104</v>
      </c>
      <c r="G1259" s="2" t="s">
        <v>83</v>
      </c>
      <c r="H1259" s="2" t="s">
        <v>46</v>
      </c>
      <c r="I1259" s="2" t="s">
        <v>3831</v>
      </c>
      <c r="J1259" s="2" t="s">
        <v>500</v>
      </c>
      <c r="K1259" s="2" t="s">
        <v>4003</v>
      </c>
      <c r="L1259" s="2" t="s">
        <v>326</v>
      </c>
      <c r="M1259" s="2" t="s">
        <v>2320</v>
      </c>
      <c r="N1259" s="16">
        <v>0.01</v>
      </c>
      <c r="O1259" s="17">
        <f>N1259*'Financial Inputs'!$B$3</f>
        <v>1000000</v>
      </c>
      <c r="P1259" s="18">
        <f>IF(I1259="L",'Financial Inputs'!$B$4,IF(I1259="M",'Financial Inputs'!$B$5,'Financial Inputs'!$B$6))</f>
        <v>0.15</v>
      </c>
      <c r="Q1259" s="17">
        <f>O1259*P1259</f>
        <v>150000</v>
      </c>
      <c r="R1259" s="16">
        <f>'Financial Inputs'!$B$7</f>
        <v>0.35</v>
      </c>
      <c r="S1259" s="17">
        <f>Q1259*(1-R1259)</f>
        <v>97500</v>
      </c>
      <c r="T1259" s="18">
        <f>S1259/'Financial Inputs'!$B$3</f>
        <v>9.7499999999999996E-4</v>
      </c>
      <c r="U1259" s="9" t="s">
        <v>52</v>
      </c>
      <c r="V1259" s="3" t="s">
        <v>53</v>
      </c>
    </row>
    <row r="1260" spans="1:22">
      <c r="A1260" s="2" t="s">
        <v>4004</v>
      </c>
      <c r="B1260" s="2" t="s">
        <v>4005</v>
      </c>
      <c r="C1260" s="2" t="s">
        <v>3830</v>
      </c>
      <c r="D1260" s="2" t="s">
        <v>42</v>
      </c>
      <c r="E1260" s="2" t="s">
        <v>65</v>
      </c>
      <c r="F1260" s="2" t="s">
        <v>110</v>
      </c>
      <c r="G1260" s="2" t="s">
        <v>111</v>
      </c>
      <c r="H1260" s="2" t="s">
        <v>46</v>
      </c>
      <c r="I1260" s="2" t="s">
        <v>3831</v>
      </c>
      <c r="J1260" s="2" t="s">
        <v>500</v>
      </c>
      <c r="K1260" s="2" t="s">
        <v>4006</v>
      </c>
      <c r="L1260" s="2" t="s">
        <v>330</v>
      </c>
      <c r="M1260" s="2" t="s">
        <v>2320</v>
      </c>
      <c r="N1260" s="16">
        <v>1.0999999999999999E-2</v>
      </c>
      <c r="O1260" s="17">
        <f>N1260*'Financial Inputs'!$B$3</f>
        <v>1100000</v>
      </c>
      <c r="P1260" s="18">
        <f>IF(I1260="L",'Financial Inputs'!$B$4,IF(I1260="M",'Financial Inputs'!$B$5,'Financial Inputs'!$B$6))</f>
        <v>0.15</v>
      </c>
      <c r="Q1260" s="17">
        <f>O1260*P1260</f>
        <v>165000</v>
      </c>
      <c r="R1260" s="16">
        <f>'Financial Inputs'!$B$7</f>
        <v>0.35</v>
      </c>
      <c r="S1260" s="17">
        <f>Q1260*(1-R1260)</f>
        <v>107250</v>
      </c>
      <c r="T1260" s="18">
        <f>S1260/'Financial Inputs'!$B$3</f>
        <v>1.0725000000000001E-3</v>
      </c>
      <c r="U1260" s="9" t="s">
        <v>52</v>
      </c>
      <c r="V1260" s="3" t="s">
        <v>53</v>
      </c>
    </row>
    <row r="1261" spans="1:22">
      <c r="A1261" s="2" t="s">
        <v>4007</v>
      </c>
      <c r="B1261" s="2" t="s">
        <v>4008</v>
      </c>
      <c r="C1261" s="2" t="s">
        <v>3830</v>
      </c>
      <c r="D1261" s="2" t="s">
        <v>56</v>
      </c>
      <c r="E1261" s="2" t="s">
        <v>73</v>
      </c>
      <c r="F1261" s="2" t="s">
        <v>117</v>
      </c>
      <c r="G1261" s="2" t="s">
        <v>56</v>
      </c>
      <c r="H1261" s="2" t="s">
        <v>46</v>
      </c>
      <c r="I1261" s="2" t="s">
        <v>3831</v>
      </c>
      <c r="J1261" s="2" t="s">
        <v>500</v>
      </c>
      <c r="K1261" s="2" t="s">
        <v>4009</v>
      </c>
      <c r="L1261" s="2" t="s">
        <v>334</v>
      </c>
      <c r="M1261" s="2" t="s">
        <v>2320</v>
      </c>
      <c r="N1261" s="16">
        <v>1.2E-2</v>
      </c>
      <c r="O1261" s="17">
        <f>N1261*'Financial Inputs'!$B$3</f>
        <v>1200000</v>
      </c>
      <c r="P1261" s="18">
        <f>IF(I1261="L",'Financial Inputs'!$B$4,IF(I1261="M",'Financial Inputs'!$B$5,'Financial Inputs'!$B$6))</f>
        <v>0.15</v>
      </c>
      <c r="Q1261" s="17">
        <f>O1261*P1261</f>
        <v>180000</v>
      </c>
      <c r="R1261" s="16">
        <f>'Financial Inputs'!$B$7</f>
        <v>0.35</v>
      </c>
      <c r="S1261" s="17">
        <f>Q1261*(1-R1261)</f>
        <v>117000</v>
      </c>
      <c r="T1261" s="18">
        <f>S1261/'Financial Inputs'!$B$3</f>
        <v>1.17E-3</v>
      </c>
      <c r="U1261" s="9" t="s">
        <v>52</v>
      </c>
      <c r="V1261" s="3" t="s">
        <v>53</v>
      </c>
    </row>
    <row r="1262" spans="1:22">
      <c r="A1262" s="2" t="s">
        <v>4010</v>
      </c>
      <c r="B1262" s="2" t="s">
        <v>4011</v>
      </c>
      <c r="C1262" s="2" t="s">
        <v>3830</v>
      </c>
      <c r="D1262" s="2" t="s">
        <v>80</v>
      </c>
      <c r="E1262" s="2" t="s">
        <v>153</v>
      </c>
      <c r="F1262" s="2" t="s">
        <v>58</v>
      </c>
      <c r="G1262" s="2" t="s">
        <v>83</v>
      </c>
      <c r="H1262" s="2" t="s">
        <v>46</v>
      </c>
      <c r="I1262" s="2" t="s">
        <v>3831</v>
      </c>
      <c r="J1262" s="2" t="s">
        <v>500</v>
      </c>
      <c r="K1262" s="2" t="s">
        <v>4012</v>
      </c>
      <c r="L1262" s="2" t="s">
        <v>338</v>
      </c>
      <c r="M1262" s="2" t="s">
        <v>2320</v>
      </c>
      <c r="N1262" s="16">
        <v>8.0000000000000002E-3</v>
      </c>
      <c r="O1262" s="17">
        <f>N1262*'Financial Inputs'!$B$3</f>
        <v>800000</v>
      </c>
      <c r="P1262" s="18">
        <f>IF(I1262="L",'Financial Inputs'!$B$4,IF(I1262="M",'Financial Inputs'!$B$5,'Financial Inputs'!$B$6))</f>
        <v>0.15</v>
      </c>
      <c r="Q1262" s="17">
        <f>O1262*P1262</f>
        <v>120000</v>
      </c>
      <c r="R1262" s="16">
        <f>'Financial Inputs'!$B$7</f>
        <v>0.35</v>
      </c>
      <c r="S1262" s="17">
        <f>Q1262*(1-R1262)</f>
        <v>78000</v>
      </c>
      <c r="T1262" s="18">
        <f>S1262/'Financial Inputs'!$B$3</f>
        <v>7.7999999999999999E-4</v>
      </c>
      <c r="U1262" s="9" t="s">
        <v>52</v>
      </c>
      <c r="V1262" s="3" t="s">
        <v>53</v>
      </c>
    </row>
    <row r="1263" spans="1:22">
      <c r="A1263" s="2" t="s">
        <v>4013</v>
      </c>
      <c r="B1263" s="2" t="s">
        <v>4014</v>
      </c>
      <c r="C1263" s="2" t="s">
        <v>3830</v>
      </c>
      <c r="D1263" s="2" t="s">
        <v>127</v>
      </c>
      <c r="E1263" s="2" t="s">
        <v>89</v>
      </c>
      <c r="F1263" s="2" t="s">
        <v>66</v>
      </c>
      <c r="G1263" s="2" t="s">
        <v>111</v>
      </c>
      <c r="H1263" s="2" t="s">
        <v>46</v>
      </c>
      <c r="I1263" s="2" t="s">
        <v>3831</v>
      </c>
      <c r="J1263" s="2" t="s">
        <v>500</v>
      </c>
      <c r="K1263" s="2" t="s">
        <v>4015</v>
      </c>
      <c r="L1263" s="2" t="s">
        <v>342</v>
      </c>
      <c r="M1263" s="2" t="s">
        <v>2320</v>
      </c>
      <c r="N1263" s="16">
        <v>9.0000000000000011E-3</v>
      </c>
      <c r="O1263" s="17">
        <f>N1263*'Financial Inputs'!$B$3</f>
        <v>900000.00000000012</v>
      </c>
      <c r="P1263" s="18">
        <f>IF(I1263="L",'Financial Inputs'!$B$4,IF(I1263="M",'Financial Inputs'!$B$5,'Financial Inputs'!$B$6))</f>
        <v>0.15</v>
      </c>
      <c r="Q1263" s="17">
        <f>O1263*P1263</f>
        <v>135000</v>
      </c>
      <c r="R1263" s="16">
        <f>'Financial Inputs'!$B$7</f>
        <v>0.35</v>
      </c>
      <c r="S1263" s="17">
        <f>Q1263*(1-R1263)</f>
        <v>87750</v>
      </c>
      <c r="T1263" s="18">
        <f>S1263/'Financial Inputs'!$B$3</f>
        <v>8.7750000000000002E-4</v>
      </c>
      <c r="U1263" s="9" t="s">
        <v>52</v>
      </c>
      <c r="V1263" s="3" t="s">
        <v>53</v>
      </c>
    </row>
    <row r="1264" spans="1:22">
      <c r="A1264" s="2" t="s">
        <v>4016</v>
      </c>
      <c r="B1264" s="2" t="s">
        <v>4017</v>
      </c>
      <c r="C1264" s="2" t="s">
        <v>3830</v>
      </c>
      <c r="D1264" s="2" t="s">
        <v>133</v>
      </c>
      <c r="E1264" s="2" t="s">
        <v>96</v>
      </c>
      <c r="F1264" s="2" t="s">
        <v>74</v>
      </c>
      <c r="G1264" s="2" t="s">
        <v>56</v>
      </c>
      <c r="H1264" s="2" t="s">
        <v>46</v>
      </c>
      <c r="I1264" s="2" t="s">
        <v>3831</v>
      </c>
      <c r="J1264" s="2" t="s">
        <v>500</v>
      </c>
      <c r="K1264" s="2" t="s">
        <v>4018</v>
      </c>
      <c r="L1264" s="2" t="s">
        <v>346</v>
      </c>
      <c r="M1264" s="2" t="s">
        <v>2320</v>
      </c>
      <c r="N1264" s="16">
        <v>0.01</v>
      </c>
      <c r="O1264" s="17">
        <f>N1264*'Financial Inputs'!$B$3</f>
        <v>1000000</v>
      </c>
      <c r="P1264" s="18">
        <f>IF(I1264="L",'Financial Inputs'!$B$4,IF(I1264="M",'Financial Inputs'!$B$5,'Financial Inputs'!$B$6))</f>
        <v>0.15</v>
      </c>
      <c r="Q1264" s="17">
        <f>O1264*P1264</f>
        <v>150000</v>
      </c>
      <c r="R1264" s="16">
        <f>'Financial Inputs'!$B$7</f>
        <v>0.35</v>
      </c>
      <c r="S1264" s="17">
        <f>Q1264*(1-R1264)</f>
        <v>97500</v>
      </c>
      <c r="T1264" s="18">
        <f>S1264/'Financial Inputs'!$B$3</f>
        <v>9.7499999999999996E-4</v>
      </c>
      <c r="U1264" s="9" t="s">
        <v>52</v>
      </c>
      <c r="V1264" s="3" t="s">
        <v>53</v>
      </c>
    </row>
    <row r="1265" spans="1:22">
      <c r="A1265" s="2" t="s">
        <v>4019</v>
      </c>
      <c r="B1265" s="2" t="s">
        <v>4020</v>
      </c>
      <c r="C1265" s="2" t="s">
        <v>3830</v>
      </c>
      <c r="D1265" s="2" t="s">
        <v>88</v>
      </c>
      <c r="E1265" s="2" t="s">
        <v>103</v>
      </c>
      <c r="F1265" s="2" t="s">
        <v>82</v>
      </c>
      <c r="G1265" s="2" t="s">
        <v>138</v>
      </c>
      <c r="H1265" s="2" t="s">
        <v>46</v>
      </c>
      <c r="I1265" s="2" t="s">
        <v>3831</v>
      </c>
      <c r="J1265" s="2" t="s">
        <v>500</v>
      </c>
      <c r="K1265" s="2" t="s">
        <v>4021</v>
      </c>
      <c r="L1265" s="2" t="s">
        <v>350</v>
      </c>
      <c r="M1265" s="2" t="s">
        <v>2320</v>
      </c>
      <c r="N1265" s="16">
        <v>1.0999999999999999E-2</v>
      </c>
      <c r="O1265" s="17">
        <f>N1265*'Financial Inputs'!$B$3</f>
        <v>1100000</v>
      </c>
      <c r="P1265" s="18">
        <f>IF(I1265="L",'Financial Inputs'!$B$4,IF(I1265="M",'Financial Inputs'!$B$5,'Financial Inputs'!$B$6))</f>
        <v>0.15</v>
      </c>
      <c r="Q1265" s="17">
        <f>O1265*P1265</f>
        <v>165000</v>
      </c>
      <c r="R1265" s="16">
        <f>'Financial Inputs'!$B$7</f>
        <v>0.35</v>
      </c>
      <c r="S1265" s="17">
        <f>Q1265*(1-R1265)</f>
        <v>107250</v>
      </c>
      <c r="T1265" s="18">
        <f>S1265/'Financial Inputs'!$B$3</f>
        <v>1.0725000000000001E-3</v>
      </c>
      <c r="U1265" s="9" t="s">
        <v>52</v>
      </c>
      <c r="V1265" s="3" t="s">
        <v>53</v>
      </c>
    </row>
    <row r="1266" spans="1:22">
      <c r="A1266" s="2" t="s">
        <v>4022</v>
      </c>
      <c r="B1266" s="2" t="s">
        <v>4023</v>
      </c>
      <c r="C1266" s="2" t="s">
        <v>3830</v>
      </c>
      <c r="D1266" s="2" t="s">
        <v>95</v>
      </c>
      <c r="E1266" s="2" t="s">
        <v>109</v>
      </c>
      <c r="F1266" s="2" t="s">
        <v>44</v>
      </c>
      <c r="G1266" s="2" t="s">
        <v>143</v>
      </c>
      <c r="H1266" s="2" t="s">
        <v>46</v>
      </c>
      <c r="I1266" s="2" t="s">
        <v>3831</v>
      </c>
      <c r="J1266" s="2" t="s">
        <v>500</v>
      </c>
      <c r="K1266" s="2" t="s">
        <v>4024</v>
      </c>
      <c r="L1266" s="2" t="s">
        <v>354</v>
      </c>
      <c r="M1266" s="2" t="s">
        <v>2320</v>
      </c>
      <c r="N1266" s="16">
        <v>1.2E-2</v>
      </c>
      <c r="O1266" s="17">
        <f>N1266*'Financial Inputs'!$B$3</f>
        <v>1200000</v>
      </c>
      <c r="P1266" s="18">
        <f>IF(I1266="L",'Financial Inputs'!$B$4,IF(I1266="M",'Financial Inputs'!$B$5,'Financial Inputs'!$B$6))</f>
        <v>0.15</v>
      </c>
      <c r="Q1266" s="17">
        <f>O1266*P1266</f>
        <v>180000</v>
      </c>
      <c r="R1266" s="16">
        <f>'Financial Inputs'!$B$7</f>
        <v>0.35</v>
      </c>
      <c r="S1266" s="17">
        <f>Q1266*(1-R1266)</f>
        <v>117000</v>
      </c>
      <c r="T1266" s="18">
        <f>S1266/'Financial Inputs'!$B$3</f>
        <v>1.17E-3</v>
      </c>
      <c r="U1266" s="9" t="s">
        <v>52</v>
      </c>
      <c r="V1266" s="3" t="s">
        <v>53</v>
      </c>
    </row>
    <row r="1267" spans="1:22">
      <c r="A1267" s="2" t="s">
        <v>4025</v>
      </c>
      <c r="B1267" s="2" t="s">
        <v>4026</v>
      </c>
      <c r="C1267" s="2" t="s">
        <v>3830</v>
      </c>
      <c r="D1267" s="2" t="s">
        <v>56</v>
      </c>
      <c r="E1267" s="2" t="s">
        <v>176</v>
      </c>
      <c r="F1267" s="2" t="s">
        <v>97</v>
      </c>
      <c r="G1267" s="2" t="s">
        <v>56</v>
      </c>
      <c r="H1267" s="2" t="s">
        <v>46</v>
      </c>
      <c r="I1267" s="2" t="s">
        <v>3831</v>
      </c>
      <c r="J1267" s="2" t="s">
        <v>500</v>
      </c>
      <c r="K1267" s="2" t="s">
        <v>4027</v>
      </c>
      <c r="L1267" s="2" t="s">
        <v>358</v>
      </c>
      <c r="M1267" s="2" t="s">
        <v>2320</v>
      </c>
      <c r="N1267" s="16">
        <v>8.0000000000000002E-3</v>
      </c>
      <c r="O1267" s="17">
        <f>N1267*'Financial Inputs'!$B$3</f>
        <v>800000</v>
      </c>
      <c r="P1267" s="18">
        <f>IF(I1267="L",'Financial Inputs'!$B$4,IF(I1267="M",'Financial Inputs'!$B$5,'Financial Inputs'!$B$6))</f>
        <v>0.15</v>
      </c>
      <c r="Q1267" s="17">
        <f>O1267*P1267</f>
        <v>120000</v>
      </c>
      <c r="R1267" s="16">
        <f>'Financial Inputs'!$B$7</f>
        <v>0.35</v>
      </c>
      <c r="S1267" s="17">
        <f>Q1267*(1-R1267)</f>
        <v>78000</v>
      </c>
      <c r="T1267" s="18">
        <f>S1267/'Financial Inputs'!$B$3</f>
        <v>7.7999999999999999E-4</v>
      </c>
      <c r="U1267" s="9" t="s">
        <v>52</v>
      </c>
      <c r="V1267" s="3" t="s">
        <v>53</v>
      </c>
    </row>
    <row r="1268" spans="1:22">
      <c r="A1268" s="2" t="s">
        <v>4028</v>
      </c>
      <c r="B1268" s="2" t="s">
        <v>4029</v>
      </c>
      <c r="C1268" s="2" t="s">
        <v>3830</v>
      </c>
      <c r="D1268" s="2" t="s">
        <v>64</v>
      </c>
      <c r="E1268" s="2" t="s">
        <v>122</v>
      </c>
      <c r="F1268" s="2" t="s">
        <v>104</v>
      </c>
      <c r="G1268" s="2" t="s">
        <v>138</v>
      </c>
      <c r="H1268" s="2" t="s">
        <v>46</v>
      </c>
      <c r="I1268" s="2" t="s">
        <v>3831</v>
      </c>
      <c r="J1268" s="2" t="s">
        <v>500</v>
      </c>
      <c r="K1268" s="2" t="s">
        <v>4030</v>
      </c>
      <c r="L1268" s="2" t="s">
        <v>362</v>
      </c>
      <c r="M1268" s="2" t="s">
        <v>2320</v>
      </c>
      <c r="N1268" s="16">
        <v>9.0000000000000011E-3</v>
      </c>
      <c r="O1268" s="17">
        <f>N1268*'Financial Inputs'!$B$3</f>
        <v>900000.00000000012</v>
      </c>
      <c r="P1268" s="18">
        <f>IF(I1268="L",'Financial Inputs'!$B$4,IF(I1268="M",'Financial Inputs'!$B$5,'Financial Inputs'!$B$6))</f>
        <v>0.15</v>
      </c>
      <c r="Q1268" s="17">
        <f>O1268*P1268</f>
        <v>135000</v>
      </c>
      <c r="R1268" s="16">
        <f>'Financial Inputs'!$B$7</f>
        <v>0.35</v>
      </c>
      <c r="S1268" s="17">
        <f>Q1268*(1-R1268)</f>
        <v>87750</v>
      </c>
      <c r="T1268" s="18">
        <f>S1268/'Financial Inputs'!$B$3</f>
        <v>8.7750000000000002E-4</v>
      </c>
      <c r="U1268" s="9" t="s">
        <v>52</v>
      </c>
      <c r="V1268" s="3" t="s">
        <v>53</v>
      </c>
    </row>
    <row r="1269" spans="1:22">
      <c r="A1269" s="2" t="s">
        <v>4031</v>
      </c>
      <c r="B1269" s="2" t="s">
        <v>4032</v>
      </c>
      <c r="C1269" s="2" t="s">
        <v>3830</v>
      </c>
      <c r="D1269" s="2" t="s">
        <v>72</v>
      </c>
      <c r="E1269" s="2" t="s">
        <v>128</v>
      </c>
      <c r="F1269" s="2" t="s">
        <v>110</v>
      </c>
      <c r="G1269" s="2" t="s">
        <v>143</v>
      </c>
      <c r="H1269" s="2" t="s">
        <v>46</v>
      </c>
      <c r="I1269" s="2" t="s">
        <v>3831</v>
      </c>
      <c r="J1269" s="2" t="s">
        <v>500</v>
      </c>
      <c r="K1269" s="2" t="s">
        <v>4033</v>
      </c>
      <c r="L1269" s="2" t="s">
        <v>366</v>
      </c>
      <c r="M1269" s="2" t="s">
        <v>2320</v>
      </c>
      <c r="N1269" s="16">
        <v>0.01</v>
      </c>
      <c r="O1269" s="17">
        <f>N1269*'Financial Inputs'!$B$3</f>
        <v>1000000</v>
      </c>
      <c r="P1269" s="18">
        <f>IF(I1269="L",'Financial Inputs'!$B$4,IF(I1269="M",'Financial Inputs'!$B$5,'Financial Inputs'!$B$6))</f>
        <v>0.15</v>
      </c>
      <c r="Q1269" s="17">
        <f>O1269*P1269</f>
        <v>150000</v>
      </c>
      <c r="R1269" s="16">
        <f>'Financial Inputs'!$B$7</f>
        <v>0.35</v>
      </c>
      <c r="S1269" s="17">
        <f>Q1269*(1-R1269)</f>
        <v>97500</v>
      </c>
      <c r="T1269" s="18">
        <f>S1269/'Financial Inputs'!$B$3</f>
        <v>9.7499999999999996E-4</v>
      </c>
      <c r="U1269" s="9" t="s">
        <v>52</v>
      </c>
      <c r="V1269" s="3" t="s">
        <v>53</v>
      </c>
    </row>
    <row r="1270" spans="1:22">
      <c r="A1270" s="2" t="s">
        <v>4034</v>
      </c>
      <c r="B1270" s="2" t="s">
        <v>4035</v>
      </c>
      <c r="C1270" s="2" t="s">
        <v>3830</v>
      </c>
      <c r="D1270" s="2" t="s">
        <v>80</v>
      </c>
      <c r="E1270" s="2" t="s">
        <v>43</v>
      </c>
      <c r="F1270" s="2" t="s">
        <v>117</v>
      </c>
      <c r="G1270" s="2" t="s">
        <v>162</v>
      </c>
      <c r="H1270" s="2" t="s">
        <v>46</v>
      </c>
      <c r="I1270" s="2" t="s">
        <v>3831</v>
      </c>
      <c r="J1270" s="2" t="s">
        <v>500</v>
      </c>
      <c r="K1270" s="2" t="s">
        <v>4036</v>
      </c>
      <c r="L1270" s="2" t="s">
        <v>370</v>
      </c>
      <c r="M1270" s="2" t="s">
        <v>2320</v>
      </c>
      <c r="N1270" s="16">
        <v>1.0999999999999999E-2</v>
      </c>
      <c r="O1270" s="17">
        <f>N1270*'Financial Inputs'!$B$3</f>
        <v>1100000</v>
      </c>
      <c r="P1270" s="18">
        <f>IF(I1270="L",'Financial Inputs'!$B$4,IF(I1270="M",'Financial Inputs'!$B$5,'Financial Inputs'!$B$6))</f>
        <v>0.15</v>
      </c>
      <c r="Q1270" s="17">
        <f>O1270*P1270</f>
        <v>165000</v>
      </c>
      <c r="R1270" s="16">
        <f>'Financial Inputs'!$B$7</f>
        <v>0.35</v>
      </c>
      <c r="S1270" s="17">
        <f>Q1270*(1-R1270)</f>
        <v>107250</v>
      </c>
      <c r="T1270" s="18">
        <f>S1270/'Financial Inputs'!$B$3</f>
        <v>1.0725000000000001E-3</v>
      </c>
      <c r="U1270" s="9" t="s">
        <v>52</v>
      </c>
      <c r="V1270" s="3" t="s">
        <v>53</v>
      </c>
    </row>
    <row r="1271" spans="1:22">
      <c r="A1271" s="2" t="s">
        <v>4037</v>
      </c>
      <c r="B1271" s="2" t="s">
        <v>4038</v>
      </c>
      <c r="C1271" s="2" t="s">
        <v>3830</v>
      </c>
      <c r="D1271" s="2" t="s">
        <v>127</v>
      </c>
      <c r="E1271" s="2" t="s">
        <v>57</v>
      </c>
      <c r="F1271" s="2" t="s">
        <v>90</v>
      </c>
      <c r="G1271" s="2" t="s">
        <v>45</v>
      </c>
      <c r="H1271" s="2" t="s">
        <v>46</v>
      </c>
      <c r="I1271" s="2" t="s">
        <v>3831</v>
      </c>
      <c r="J1271" s="2" t="s">
        <v>500</v>
      </c>
      <c r="K1271" s="2" t="s">
        <v>4039</v>
      </c>
      <c r="L1271" s="2" t="s">
        <v>374</v>
      </c>
      <c r="M1271" s="2" t="s">
        <v>2320</v>
      </c>
      <c r="N1271" s="16">
        <v>1.2E-2</v>
      </c>
      <c r="O1271" s="17">
        <f>N1271*'Financial Inputs'!$B$3</f>
        <v>1200000</v>
      </c>
      <c r="P1271" s="18">
        <f>IF(I1271="L",'Financial Inputs'!$B$4,IF(I1271="M",'Financial Inputs'!$B$5,'Financial Inputs'!$B$6))</f>
        <v>0.15</v>
      </c>
      <c r="Q1271" s="17">
        <f>O1271*P1271</f>
        <v>180000</v>
      </c>
      <c r="R1271" s="16">
        <f>'Financial Inputs'!$B$7</f>
        <v>0.35</v>
      </c>
      <c r="S1271" s="17">
        <f>Q1271*(1-R1271)</f>
        <v>117000</v>
      </c>
      <c r="T1271" s="18">
        <f>S1271/'Financial Inputs'!$B$3</f>
        <v>1.17E-3</v>
      </c>
      <c r="U1271" s="9" t="s">
        <v>52</v>
      </c>
      <c r="V1271" s="3" t="s">
        <v>53</v>
      </c>
    </row>
    <row r="1272" spans="1:22">
      <c r="A1272" s="2" t="s">
        <v>4040</v>
      </c>
      <c r="B1272" s="2" t="s">
        <v>4041</v>
      </c>
      <c r="C1272" s="2" t="s">
        <v>3830</v>
      </c>
      <c r="D1272" s="2" t="s">
        <v>95</v>
      </c>
      <c r="E1272" s="2" t="s">
        <v>198</v>
      </c>
      <c r="F1272" s="2" t="s">
        <v>66</v>
      </c>
      <c r="G1272" s="2" t="s">
        <v>143</v>
      </c>
      <c r="H1272" s="2" t="s">
        <v>46</v>
      </c>
      <c r="I1272" s="2" t="s">
        <v>3831</v>
      </c>
      <c r="J1272" s="2" t="s">
        <v>500</v>
      </c>
      <c r="K1272" s="2" t="s">
        <v>4042</v>
      </c>
      <c r="L1272" s="2" t="s">
        <v>378</v>
      </c>
      <c r="M1272" s="2" t="s">
        <v>2320</v>
      </c>
      <c r="N1272" s="16">
        <v>8.0000000000000002E-3</v>
      </c>
      <c r="O1272" s="17">
        <f>N1272*'Financial Inputs'!$B$3</f>
        <v>800000</v>
      </c>
      <c r="P1272" s="18">
        <f>IF(I1272="L",'Financial Inputs'!$B$4,IF(I1272="M",'Financial Inputs'!$B$5,'Financial Inputs'!$B$6))</f>
        <v>0.15</v>
      </c>
      <c r="Q1272" s="17">
        <f>O1272*P1272</f>
        <v>120000</v>
      </c>
      <c r="R1272" s="16">
        <f>'Financial Inputs'!$B$7</f>
        <v>0.35</v>
      </c>
      <c r="S1272" s="17">
        <f>Q1272*(1-R1272)</f>
        <v>78000</v>
      </c>
      <c r="T1272" s="18">
        <f>S1272/'Financial Inputs'!$B$3</f>
        <v>7.7999999999999999E-4</v>
      </c>
      <c r="U1272" s="9" t="s">
        <v>52</v>
      </c>
      <c r="V1272" s="3" t="s">
        <v>53</v>
      </c>
    </row>
    <row r="1273" spans="1:22">
      <c r="A1273" s="2" t="s">
        <v>4043</v>
      </c>
      <c r="B1273" s="2" t="s">
        <v>4044</v>
      </c>
      <c r="C1273" s="2" t="s">
        <v>3830</v>
      </c>
      <c r="D1273" s="2" t="s">
        <v>102</v>
      </c>
      <c r="E1273" s="2" t="s">
        <v>148</v>
      </c>
      <c r="F1273" s="2" t="s">
        <v>74</v>
      </c>
      <c r="G1273" s="2" t="s">
        <v>162</v>
      </c>
      <c r="H1273" s="2" t="s">
        <v>46</v>
      </c>
      <c r="I1273" s="2" t="s">
        <v>3831</v>
      </c>
      <c r="J1273" s="2" t="s">
        <v>500</v>
      </c>
      <c r="K1273" s="2" t="s">
        <v>4045</v>
      </c>
      <c r="L1273" s="2" t="s">
        <v>382</v>
      </c>
      <c r="M1273" s="2" t="s">
        <v>2320</v>
      </c>
      <c r="N1273" s="16">
        <v>9.0000000000000011E-3</v>
      </c>
      <c r="O1273" s="17">
        <f>N1273*'Financial Inputs'!$B$3</f>
        <v>900000.00000000012</v>
      </c>
      <c r="P1273" s="18">
        <f>IF(I1273="L",'Financial Inputs'!$B$4,IF(I1273="M",'Financial Inputs'!$B$5,'Financial Inputs'!$B$6))</f>
        <v>0.15</v>
      </c>
      <c r="Q1273" s="17">
        <f>O1273*P1273</f>
        <v>135000</v>
      </c>
      <c r="R1273" s="16">
        <f>'Financial Inputs'!$B$7</f>
        <v>0.35</v>
      </c>
      <c r="S1273" s="17">
        <f>Q1273*(1-R1273)</f>
        <v>87750</v>
      </c>
      <c r="T1273" s="18">
        <f>S1273/'Financial Inputs'!$B$3</f>
        <v>8.7750000000000002E-4</v>
      </c>
      <c r="U1273" s="9" t="s">
        <v>52</v>
      </c>
      <c r="V1273" s="3" t="s">
        <v>53</v>
      </c>
    </row>
    <row r="1274" spans="1:22">
      <c r="A1274" s="2" t="s">
        <v>4046</v>
      </c>
      <c r="B1274" s="2" t="s">
        <v>4047</v>
      </c>
      <c r="C1274" s="2" t="s">
        <v>3830</v>
      </c>
      <c r="D1274" s="2" t="s">
        <v>42</v>
      </c>
      <c r="E1274" s="2" t="s">
        <v>153</v>
      </c>
      <c r="F1274" s="2" t="s">
        <v>82</v>
      </c>
      <c r="G1274" s="2" t="s">
        <v>45</v>
      </c>
      <c r="H1274" s="2" t="s">
        <v>46</v>
      </c>
      <c r="I1274" s="2" t="s">
        <v>3831</v>
      </c>
      <c r="J1274" s="2" t="s">
        <v>500</v>
      </c>
      <c r="K1274" s="2" t="s">
        <v>4048</v>
      </c>
      <c r="L1274" s="2" t="s">
        <v>386</v>
      </c>
      <c r="M1274" s="2" t="s">
        <v>2320</v>
      </c>
      <c r="N1274" s="16">
        <v>0.01</v>
      </c>
      <c r="O1274" s="17">
        <f>N1274*'Financial Inputs'!$B$3</f>
        <v>1000000</v>
      </c>
      <c r="P1274" s="18">
        <f>IF(I1274="L",'Financial Inputs'!$B$4,IF(I1274="M",'Financial Inputs'!$B$5,'Financial Inputs'!$B$6))</f>
        <v>0.15</v>
      </c>
      <c r="Q1274" s="17">
        <f>O1274*P1274</f>
        <v>150000</v>
      </c>
      <c r="R1274" s="16">
        <f>'Financial Inputs'!$B$7</f>
        <v>0.35</v>
      </c>
      <c r="S1274" s="17">
        <f>Q1274*(1-R1274)</f>
        <v>97500</v>
      </c>
      <c r="T1274" s="18">
        <f>S1274/'Financial Inputs'!$B$3</f>
        <v>9.7499999999999996E-4</v>
      </c>
      <c r="U1274" s="9" t="s">
        <v>52</v>
      </c>
      <c r="V1274" s="3" t="s">
        <v>53</v>
      </c>
    </row>
    <row r="1275" spans="1:22">
      <c r="A1275" s="2" t="s">
        <v>4049</v>
      </c>
      <c r="B1275" s="2" t="s">
        <v>4050</v>
      </c>
      <c r="C1275" s="2" t="s">
        <v>3830</v>
      </c>
      <c r="D1275" s="2" t="s">
        <v>56</v>
      </c>
      <c r="E1275" s="2" t="s">
        <v>89</v>
      </c>
      <c r="F1275" s="2" t="s">
        <v>44</v>
      </c>
      <c r="G1275" s="2" t="s">
        <v>59</v>
      </c>
      <c r="H1275" s="2" t="s">
        <v>46</v>
      </c>
      <c r="I1275" s="2" t="s">
        <v>3831</v>
      </c>
      <c r="J1275" s="2" t="s">
        <v>500</v>
      </c>
      <c r="K1275" s="2" t="s">
        <v>4051</v>
      </c>
      <c r="L1275" s="2" t="s">
        <v>390</v>
      </c>
      <c r="M1275" s="2" t="s">
        <v>2320</v>
      </c>
      <c r="N1275" s="16">
        <v>1.0999999999999999E-2</v>
      </c>
      <c r="O1275" s="17">
        <f>N1275*'Financial Inputs'!$B$3</f>
        <v>1100000</v>
      </c>
      <c r="P1275" s="18">
        <f>IF(I1275="L",'Financial Inputs'!$B$4,IF(I1275="M",'Financial Inputs'!$B$5,'Financial Inputs'!$B$6))</f>
        <v>0.15</v>
      </c>
      <c r="Q1275" s="17">
        <f>O1275*P1275</f>
        <v>165000</v>
      </c>
      <c r="R1275" s="16">
        <f>'Financial Inputs'!$B$7</f>
        <v>0.35</v>
      </c>
      <c r="S1275" s="17">
        <f>Q1275*(1-R1275)</f>
        <v>107250</v>
      </c>
      <c r="T1275" s="18">
        <f>S1275/'Financial Inputs'!$B$3</f>
        <v>1.0725000000000001E-3</v>
      </c>
      <c r="U1275" s="9" t="s">
        <v>52</v>
      </c>
      <c r="V1275" s="3" t="s">
        <v>53</v>
      </c>
    </row>
    <row r="1276" spans="1:22">
      <c r="A1276" s="2" t="s">
        <v>4052</v>
      </c>
      <c r="B1276" s="2" t="s">
        <v>4053</v>
      </c>
      <c r="C1276" s="2" t="s">
        <v>3830</v>
      </c>
      <c r="D1276" s="2" t="s">
        <v>64</v>
      </c>
      <c r="E1276" s="2" t="s">
        <v>96</v>
      </c>
      <c r="F1276" s="2" t="s">
        <v>58</v>
      </c>
      <c r="G1276" s="2" t="s">
        <v>67</v>
      </c>
      <c r="H1276" s="2" t="s">
        <v>46</v>
      </c>
      <c r="I1276" s="2" t="s">
        <v>3831</v>
      </c>
      <c r="J1276" s="2" t="s">
        <v>500</v>
      </c>
      <c r="K1276" s="2" t="s">
        <v>4054</v>
      </c>
      <c r="L1276" s="2" t="s">
        <v>394</v>
      </c>
      <c r="M1276" s="2" t="s">
        <v>2320</v>
      </c>
      <c r="N1276" s="16">
        <v>1.2E-2</v>
      </c>
      <c r="O1276" s="17">
        <f>N1276*'Financial Inputs'!$B$3</f>
        <v>1200000</v>
      </c>
      <c r="P1276" s="18">
        <f>IF(I1276="L",'Financial Inputs'!$B$4,IF(I1276="M",'Financial Inputs'!$B$5,'Financial Inputs'!$B$6))</f>
        <v>0.15</v>
      </c>
      <c r="Q1276" s="17">
        <f>O1276*P1276</f>
        <v>180000</v>
      </c>
      <c r="R1276" s="16">
        <f>'Financial Inputs'!$B$7</f>
        <v>0.35</v>
      </c>
      <c r="S1276" s="17">
        <f>Q1276*(1-R1276)</f>
        <v>117000</v>
      </c>
      <c r="T1276" s="18">
        <f>S1276/'Financial Inputs'!$B$3</f>
        <v>1.17E-3</v>
      </c>
      <c r="U1276" s="9" t="s">
        <v>52</v>
      </c>
      <c r="V1276" s="3" t="s">
        <v>53</v>
      </c>
    </row>
    <row r="1277" spans="1:22">
      <c r="A1277" s="2" t="s">
        <v>4055</v>
      </c>
      <c r="B1277" s="2" t="s">
        <v>4056</v>
      </c>
      <c r="C1277" s="2" t="s">
        <v>3830</v>
      </c>
      <c r="D1277" s="2" t="s">
        <v>127</v>
      </c>
      <c r="E1277" s="2" t="s">
        <v>220</v>
      </c>
      <c r="F1277" s="2" t="s">
        <v>104</v>
      </c>
      <c r="G1277" s="2" t="s">
        <v>45</v>
      </c>
      <c r="H1277" s="2" t="s">
        <v>46</v>
      </c>
      <c r="I1277" s="2" t="s">
        <v>3831</v>
      </c>
      <c r="J1277" s="2" t="s">
        <v>500</v>
      </c>
      <c r="K1277" s="2" t="s">
        <v>4057</v>
      </c>
      <c r="L1277" s="2" t="s">
        <v>398</v>
      </c>
      <c r="M1277" s="2" t="s">
        <v>2320</v>
      </c>
      <c r="N1277" s="16">
        <v>8.0000000000000002E-3</v>
      </c>
      <c r="O1277" s="17">
        <f>N1277*'Financial Inputs'!$B$3</f>
        <v>800000</v>
      </c>
      <c r="P1277" s="18">
        <f>IF(I1277="L",'Financial Inputs'!$B$4,IF(I1277="M",'Financial Inputs'!$B$5,'Financial Inputs'!$B$6))</f>
        <v>0.15</v>
      </c>
      <c r="Q1277" s="17">
        <f>O1277*P1277</f>
        <v>120000</v>
      </c>
      <c r="R1277" s="16">
        <f>'Financial Inputs'!$B$7</f>
        <v>0.35</v>
      </c>
      <c r="S1277" s="17">
        <f>Q1277*(1-R1277)</f>
        <v>78000</v>
      </c>
      <c r="T1277" s="18">
        <f>S1277/'Financial Inputs'!$B$3</f>
        <v>7.7999999999999999E-4</v>
      </c>
      <c r="U1277" s="9" t="s">
        <v>52</v>
      </c>
      <c r="V1277" s="3" t="s">
        <v>53</v>
      </c>
    </row>
    <row r="1278" spans="1:22">
      <c r="A1278" s="2" t="s">
        <v>4058</v>
      </c>
      <c r="B1278" s="2" t="s">
        <v>4059</v>
      </c>
      <c r="C1278" s="2" t="s">
        <v>3830</v>
      </c>
      <c r="D1278" s="2" t="s">
        <v>133</v>
      </c>
      <c r="E1278" s="2" t="s">
        <v>171</v>
      </c>
      <c r="F1278" s="2" t="s">
        <v>110</v>
      </c>
      <c r="G1278" s="2" t="s">
        <v>59</v>
      </c>
      <c r="H1278" s="2" t="s">
        <v>46</v>
      </c>
      <c r="I1278" s="2" t="s">
        <v>3831</v>
      </c>
      <c r="J1278" s="2" t="s">
        <v>500</v>
      </c>
      <c r="K1278" s="2" t="s">
        <v>4060</v>
      </c>
      <c r="L1278" s="2" t="s">
        <v>402</v>
      </c>
      <c r="M1278" s="2" t="s">
        <v>2320</v>
      </c>
      <c r="N1278" s="16">
        <v>9.0000000000000011E-3</v>
      </c>
      <c r="O1278" s="17">
        <f>N1278*'Financial Inputs'!$B$3</f>
        <v>900000.00000000012</v>
      </c>
      <c r="P1278" s="18">
        <f>IF(I1278="L",'Financial Inputs'!$B$4,IF(I1278="M",'Financial Inputs'!$B$5,'Financial Inputs'!$B$6))</f>
        <v>0.15</v>
      </c>
      <c r="Q1278" s="17">
        <f>O1278*P1278</f>
        <v>135000</v>
      </c>
      <c r="R1278" s="16">
        <f>'Financial Inputs'!$B$7</f>
        <v>0.35</v>
      </c>
      <c r="S1278" s="17">
        <f>Q1278*(1-R1278)</f>
        <v>87750</v>
      </c>
      <c r="T1278" s="18">
        <f>S1278/'Financial Inputs'!$B$3</f>
        <v>8.7750000000000002E-4</v>
      </c>
      <c r="U1278" s="9" t="s">
        <v>52</v>
      </c>
      <c r="V1278" s="3" t="s">
        <v>53</v>
      </c>
    </row>
    <row r="1279" spans="1:22">
      <c r="A1279" s="2" t="s">
        <v>4061</v>
      </c>
      <c r="B1279" s="2" t="s">
        <v>4062</v>
      </c>
      <c r="C1279" s="2" t="s">
        <v>3830</v>
      </c>
      <c r="D1279" s="2" t="s">
        <v>88</v>
      </c>
      <c r="E1279" s="2" t="s">
        <v>176</v>
      </c>
      <c r="F1279" s="2" t="s">
        <v>117</v>
      </c>
      <c r="G1279" s="2" t="s">
        <v>67</v>
      </c>
      <c r="H1279" s="2" t="s">
        <v>46</v>
      </c>
      <c r="I1279" s="2" t="s">
        <v>3831</v>
      </c>
      <c r="J1279" s="2" t="s">
        <v>500</v>
      </c>
      <c r="K1279" s="2" t="s">
        <v>4063</v>
      </c>
      <c r="L1279" s="2" t="s">
        <v>406</v>
      </c>
      <c r="M1279" s="2" t="s">
        <v>2320</v>
      </c>
      <c r="N1279" s="16">
        <v>0.01</v>
      </c>
      <c r="O1279" s="17">
        <f>N1279*'Financial Inputs'!$B$3</f>
        <v>1000000</v>
      </c>
      <c r="P1279" s="18">
        <f>IF(I1279="L",'Financial Inputs'!$B$4,IF(I1279="M",'Financial Inputs'!$B$5,'Financial Inputs'!$B$6))</f>
        <v>0.15</v>
      </c>
      <c r="Q1279" s="17">
        <f>O1279*P1279</f>
        <v>150000</v>
      </c>
      <c r="R1279" s="16">
        <f>'Financial Inputs'!$B$7</f>
        <v>0.35</v>
      </c>
      <c r="S1279" s="17">
        <f>Q1279*(1-R1279)</f>
        <v>97500</v>
      </c>
      <c r="T1279" s="18">
        <f>S1279/'Financial Inputs'!$B$3</f>
        <v>9.7499999999999996E-4</v>
      </c>
      <c r="U1279" s="9" t="s">
        <v>52</v>
      </c>
      <c r="V1279" s="3" t="s">
        <v>53</v>
      </c>
    </row>
    <row r="1280" spans="1:22">
      <c r="A1280" s="2" t="s">
        <v>4064</v>
      </c>
      <c r="B1280" s="2" t="s">
        <v>4065</v>
      </c>
      <c r="C1280" s="2" t="s">
        <v>3830</v>
      </c>
      <c r="D1280" s="2" t="s">
        <v>95</v>
      </c>
      <c r="E1280" s="2" t="s">
        <v>122</v>
      </c>
      <c r="F1280" s="2" t="s">
        <v>90</v>
      </c>
      <c r="G1280" s="2" t="s">
        <v>75</v>
      </c>
      <c r="H1280" s="2" t="s">
        <v>46</v>
      </c>
      <c r="I1280" s="2" t="s">
        <v>3831</v>
      </c>
      <c r="J1280" s="2" t="s">
        <v>500</v>
      </c>
      <c r="K1280" s="2" t="s">
        <v>4066</v>
      </c>
      <c r="L1280" s="2" t="s">
        <v>410</v>
      </c>
      <c r="M1280" s="2" t="s">
        <v>2320</v>
      </c>
      <c r="N1280" s="16">
        <v>1.0999999999999999E-2</v>
      </c>
      <c r="O1280" s="17">
        <f>N1280*'Financial Inputs'!$B$3</f>
        <v>1100000</v>
      </c>
      <c r="P1280" s="18">
        <f>IF(I1280="L",'Financial Inputs'!$B$4,IF(I1280="M",'Financial Inputs'!$B$5,'Financial Inputs'!$B$6))</f>
        <v>0.15</v>
      </c>
      <c r="Q1280" s="17">
        <f>O1280*P1280</f>
        <v>165000</v>
      </c>
      <c r="R1280" s="16">
        <f>'Financial Inputs'!$B$7</f>
        <v>0.35</v>
      </c>
      <c r="S1280" s="17">
        <f>Q1280*(1-R1280)</f>
        <v>107250</v>
      </c>
      <c r="T1280" s="18">
        <f>S1280/'Financial Inputs'!$B$3</f>
        <v>1.0725000000000001E-3</v>
      </c>
      <c r="U1280" s="9" t="s">
        <v>52</v>
      </c>
      <c r="V1280" s="3" t="s">
        <v>53</v>
      </c>
    </row>
    <row r="1281" spans="1:22">
      <c r="A1281" s="2" t="s">
        <v>4067</v>
      </c>
      <c r="B1281" s="2" t="s">
        <v>4068</v>
      </c>
      <c r="C1281" s="2" t="s">
        <v>3830</v>
      </c>
      <c r="D1281" s="2" t="s">
        <v>102</v>
      </c>
      <c r="E1281" s="2" t="s">
        <v>128</v>
      </c>
      <c r="F1281" s="2" t="s">
        <v>97</v>
      </c>
      <c r="G1281" s="2" t="s">
        <v>83</v>
      </c>
      <c r="H1281" s="2" t="s">
        <v>46</v>
      </c>
      <c r="I1281" s="2" t="s">
        <v>3831</v>
      </c>
      <c r="J1281" s="2" t="s">
        <v>500</v>
      </c>
      <c r="K1281" s="2" t="s">
        <v>4069</v>
      </c>
      <c r="L1281" s="2" t="s">
        <v>414</v>
      </c>
      <c r="M1281" s="2" t="s">
        <v>2320</v>
      </c>
      <c r="N1281" s="16">
        <v>1.2E-2</v>
      </c>
      <c r="O1281" s="17">
        <f>N1281*'Financial Inputs'!$B$3</f>
        <v>1200000</v>
      </c>
      <c r="P1281" s="18">
        <f>IF(I1281="L",'Financial Inputs'!$B$4,IF(I1281="M",'Financial Inputs'!$B$5,'Financial Inputs'!$B$6))</f>
        <v>0.15</v>
      </c>
      <c r="Q1281" s="17">
        <f>O1281*P1281</f>
        <v>180000</v>
      </c>
      <c r="R1281" s="16">
        <f>'Financial Inputs'!$B$7</f>
        <v>0.35</v>
      </c>
      <c r="S1281" s="17">
        <f>Q1281*(1-R1281)</f>
        <v>117000</v>
      </c>
      <c r="T1281" s="18">
        <f>S1281/'Financial Inputs'!$B$3</f>
        <v>1.17E-3</v>
      </c>
      <c r="U1281" s="9" t="s">
        <v>52</v>
      </c>
      <c r="V1281" s="3" t="s">
        <v>53</v>
      </c>
    </row>
    <row r="1282" spans="1:22">
      <c r="A1282" s="2" t="s">
        <v>4070</v>
      </c>
      <c r="B1282" s="2" t="s">
        <v>4071</v>
      </c>
      <c r="C1282" s="2" t="s">
        <v>3830</v>
      </c>
      <c r="D1282" s="2" t="s">
        <v>64</v>
      </c>
      <c r="E1282" s="2" t="s">
        <v>81</v>
      </c>
      <c r="F1282" s="2" t="s">
        <v>74</v>
      </c>
      <c r="G1282" s="2" t="s">
        <v>67</v>
      </c>
      <c r="H1282" s="2" t="s">
        <v>46</v>
      </c>
      <c r="I1282" s="2" t="s">
        <v>3831</v>
      </c>
      <c r="J1282" s="2" t="s">
        <v>500</v>
      </c>
      <c r="K1282" s="2" t="s">
        <v>4072</v>
      </c>
      <c r="L1282" s="2" t="s">
        <v>418</v>
      </c>
      <c r="M1282" s="2" t="s">
        <v>2320</v>
      </c>
      <c r="N1282" s="16">
        <v>8.0000000000000002E-3</v>
      </c>
      <c r="O1282" s="17">
        <f>N1282*'Financial Inputs'!$B$3</f>
        <v>800000</v>
      </c>
      <c r="P1282" s="18">
        <f>IF(I1282="L",'Financial Inputs'!$B$4,IF(I1282="M",'Financial Inputs'!$B$5,'Financial Inputs'!$B$6))</f>
        <v>0.15</v>
      </c>
      <c r="Q1282" s="17">
        <f>O1282*P1282</f>
        <v>120000</v>
      </c>
      <c r="R1282" s="16">
        <f>'Financial Inputs'!$B$7</f>
        <v>0.35</v>
      </c>
      <c r="S1282" s="17">
        <f>Q1282*(1-R1282)</f>
        <v>78000</v>
      </c>
      <c r="T1282" s="18">
        <f>S1282/'Financial Inputs'!$B$3</f>
        <v>7.7999999999999999E-4</v>
      </c>
      <c r="U1282" s="9" t="s">
        <v>52</v>
      </c>
      <c r="V1282" s="3" t="s">
        <v>53</v>
      </c>
    </row>
    <row r="1283" spans="1:22">
      <c r="A1283" s="2" t="s">
        <v>4073</v>
      </c>
      <c r="B1283" s="2" t="s">
        <v>4074</v>
      </c>
      <c r="C1283" s="2" t="s">
        <v>3830</v>
      </c>
      <c r="D1283" s="2" t="s">
        <v>72</v>
      </c>
      <c r="E1283" s="2" t="s">
        <v>193</v>
      </c>
      <c r="F1283" s="2" t="s">
        <v>82</v>
      </c>
      <c r="G1283" s="2" t="s">
        <v>75</v>
      </c>
      <c r="H1283" s="2" t="s">
        <v>46</v>
      </c>
      <c r="I1283" s="2" t="s">
        <v>3831</v>
      </c>
      <c r="J1283" s="2" t="s">
        <v>500</v>
      </c>
      <c r="K1283" s="2" t="s">
        <v>4075</v>
      </c>
      <c r="L1283" s="2" t="s">
        <v>422</v>
      </c>
      <c r="M1283" s="2" t="s">
        <v>2320</v>
      </c>
      <c r="N1283" s="16">
        <v>9.0000000000000011E-3</v>
      </c>
      <c r="O1283" s="17">
        <f>N1283*'Financial Inputs'!$B$3</f>
        <v>900000.00000000012</v>
      </c>
      <c r="P1283" s="18">
        <f>IF(I1283="L",'Financial Inputs'!$B$4,IF(I1283="M",'Financial Inputs'!$B$5,'Financial Inputs'!$B$6))</f>
        <v>0.15</v>
      </c>
      <c r="Q1283" s="17">
        <f>O1283*P1283</f>
        <v>135000</v>
      </c>
      <c r="R1283" s="16">
        <f>'Financial Inputs'!$B$7</f>
        <v>0.35</v>
      </c>
      <c r="S1283" s="17">
        <f>Q1283*(1-R1283)</f>
        <v>87750</v>
      </c>
      <c r="T1283" s="18">
        <f>S1283/'Financial Inputs'!$B$3</f>
        <v>8.7750000000000002E-4</v>
      </c>
      <c r="U1283" s="9" t="s">
        <v>52</v>
      </c>
      <c r="V1283" s="3" t="s">
        <v>53</v>
      </c>
    </row>
    <row r="1284" spans="1:22">
      <c r="A1284" s="2" t="s">
        <v>4076</v>
      </c>
      <c r="B1284" s="2" t="s">
        <v>4077</v>
      </c>
      <c r="C1284" s="2" t="s">
        <v>3830</v>
      </c>
      <c r="D1284" s="2" t="s">
        <v>80</v>
      </c>
      <c r="E1284" s="2" t="s">
        <v>198</v>
      </c>
      <c r="F1284" s="2" t="s">
        <v>44</v>
      </c>
      <c r="G1284" s="2" t="s">
        <v>83</v>
      </c>
      <c r="H1284" s="2" t="s">
        <v>46</v>
      </c>
      <c r="I1284" s="2" t="s">
        <v>3831</v>
      </c>
      <c r="J1284" s="2" t="s">
        <v>500</v>
      </c>
      <c r="K1284" s="2" t="s">
        <v>4078</v>
      </c>
      <c r="L1284" s="2" t="s">
        <v>426</v>
      </c>
      <c r="M1284" s="2" t="s">
        <v>2320</v>
      </c>
      <c r="N1284" s="16">
        <v>0.01</v>
      </c>
      <c r="O1284" s="17">
        <f>N1284*'Financial Inputs'!$B$3</f>
        <v>1000000</v>
      </c>
      <c r="P1284" s="18">
        <f>IF(I1284="L",'Financial Inputs'!$B$4,IF(I1284="M",'Financial Inputs'!$B$5,'Financial Inputs'!$B$6))</f>
        <v>0.15</v>
      </c>
      <c r="Q1284" s="17">
        <f>O1284*P1284</f>
        <v>150000</v>
      </c>
      <c r="R1284" s="16">
        <f>'Financial Inputs'!$B$7</f>
        <v>0.35</v>
      </c>
      <c r="S1284" s="17">
        <f>Q1284*(1-R1284)</f>
        <v>97500</v>
      </c>
      <c r="T1284" s="18">
        <f>S1284/'Financial Inputs'!$B$3</f>
        <v>9.7499999999999996E-4</v>
      </c>
      <c r="U1284" s="9" t="s">
        <v>52</v>
      </c>
      <c r="V1284" s="3" t="s">
        <v>53</v>
      </c>
    </row>
    <row r="1285" spans="1:22">
      <c r="A1285" s="2" t="s">
        <v>4079</v>
      </c>
      <c r="B1285" s="2" t="s">
        <v>4080</v>
      </c>
      <c r="C1285" s="2" t="s">
        <v>3830</v>
      </c>
      <c r="D1285" s="2" t="s">
        <v>127</v>
      </c>
      <c r="E1285" s="2" t="s">
        <v>148</v>
      </c>
      <c r="F1285" s="2" t="s">
        <v>58</v>
      </c>
      <c r="G1285" s="2" t="s">
        <v>111</v>
      </c>
      <c r="H1285" s="2" t="s">
        <v>46</v>
      </c>
      <c r="I1285" s="2" t="s">
        <v>3831</v>
      </c>
      <c r="J1285" s="2" t="s">
        <v>500</v>
      </c>
      <c r="K1285" s="2" t="s">
        <v>4081</v>
      </c>
      <c r="L1285" s="2" t="s">
        <v>430</v>
      </c>
      <c r="M1285" s="2" t="s">
        <v>2320</v>
      </c>
      <c r="N1285" s="16">
        <v>1.0999999999999999E-2</v>
      </c>
      <c r="O1285" s="17">
        <f>N1285*'Financial Inputs'!$B$3</f>
        <v>1100000</v>
      </c>
      <c r="P1285" s="18">
        <f>IF(I1285="L",'Financial Inputs'!$B$4,IF(I1285="M",'Financial Inputs'!$B$5,'Financial Inputs'!$B$6))</f>
        <v>0.15</v>
      </c>
      <c r="Q1285" s="17">
        <f>O1285*P1285</f>
        <v>165000</v>
      </c>
      <c r="R1285" s="16">
        <f>'Financial Inputs'!$B$7</f>
        <v>0.35</v>
      </c>
      <c r="S1285" s="17">
        <f>Q1285*(1-R1285)</f>
        <v>107250</v>
      </c>
      <c r="T1285" s="18">
        <f>S1285/'Financial Inputs'!$B$3</f>
        <v>1.0725000000000001E-3</v>
      </c>
      <c r="U1285" s="9" t="s">
        <v>52</v>
      </c>
      <c r="V1285" s="3" t="s">
        <v>53</v>
      </c>
    </row>
    <row r="1286" spans="1:22">
      <c r="A1286" s="2" t="s">
        <v>4082</v>
      </c>
      <c r="B1286" s="2" t="s">
        <v>4083</v>
      </c>
      <c r="C1286" s="2" t="s">
        <v>3830</v>
      </c>
      <c r="D1286" s="2" t="s">
        <v>133</v>
      </c>
      <c r="E1286" s="2" t="s">
        <v>153</v>
      </c>
      <c r="F1286" s="2" t="s">
        <v>66</v>
      </c>
      <c r="G1286" s="2" t="s">
        <v>56</v>
      </c>
      <c r="H1286" s="2" t="s">
        <v>46</v>
      </c>
      <c r="I1286" s="2" t="s">
        <v>3831</v>
      </c>
      <c r="J1286" s="2" t="s">
        <v>500</v>
      </c>
      <c r="K1286" s="2" t="s">
        <v>4084</v>
      </c>
      <c r="L1286" s="2" t="s">
        <v>434</v>
      </c>
      <c r="M1286" s="2" t="s">
        <v>2320</v>
      </c>
      <c r="N1286" s="16">
        <v>1.2E-2</v>
      </c>
      <c r="O1286" s="17">
        <f>N1286*'Financial Inputs'!$B$3</f>
        <v>1200000</v>
      </c>
      <c r="P1286" s="18">
        <f>IF(I1286="L",'Financial Inputs'!$B$4,IF(I1286="M",'Financial Inputs'!$B$5,'Financial Inputs'!$B$6))</f>
        <v>0.15</v>
      </c>
      <c r="Q1286" s="17">
        <f>O1286*P1286</f>
        <v>180000</v>
      </c>
      <c r="R1286" s="16">
        <f>'Financial Inputs'!$B$7</f>
        <v>0.35</v>
      </c>
      <c r="S1286" s="17">
        <f>Q1286*(1-R1286)</f>
        <v>117000</v>
      </c>
      <c r="T1286" s="18">
        <f>S1286/'Financial Inputs'!$B$3</f>
        <v>1.17E-3</v>
      </c>
      <c r="U1286" s="9" t="s">
        <v>52</v>
      </c>
      <c r="V1286" s="3" t="s">
        <v>53</v>
      </c>
    </row>
    <row r="1287" spans="1:22">
      <c r="A1287" s="2" t="s">
        <v>4085</v>
      </c>
      <c r="B1287" s="2" t="s">
        <v>4086</v>
      </c>
      <c r="C1287" s="2" t="s">
        <v>3830</v>
      </c>
      <c r="D1287" s="2" t="s">
        <v>102</v>
      </c>
      <c r="E1287" s="2" t="s">
        <v>116</v>
      </c>
      <c r="F1287" s="2" t="s">
        <v>110</v>
      </c>
      <c r="G1287" s="2" t="s">
        <v>83</v>
      </c>
      <c r="H1287" s="2" t="s">
        <v>46</v>
      </c>
      <c r="I1287" s="2" t="s">
        <v>3831</v>
      </c>
      <c r="J1287" s="2" t="s">
        <v>500</v>
      </c>
      <c r="K1287" s="2" t="s">
        <v>4087</v>
      </c>
      <c r="L1287" s="2" t="s">
        <v>438</v>
      </c>
      <c r="M1287" s="2" t="s">
        <v>2320</v>
      </c>
      <c r="N1287" s="16">
        <v>8.0000000000000002E-3</v>
      </c>
      <c r="O1287" s="17">
        <f>N1287*'Financial Inputs'!$B$3</f>
        <v>800000</v>
      </c>
      <c r="P1287" s="18">
        <f>IF(I1287="L",'Financial Inputs'!$B$4,IF(I1287="M",'Financial Inputs'!$B$5,'Financial Inputs'!$B$6))</f>
        <v>0.15</v>
      </c>
      <c r="Q1287" s="17">
        <f>O1287*P1287</f>
        <v>120000</v>
      </c>
      <c r="R1287" s="16">
        <f>'Financial Inputs'!$B$7</f>
        <v>0.35</v>
      </c>
      <c r="S1287" s="17">
        <f>Q1287*(1-R1287)</f>
        <v>78000</v>
      </c>
      <c r="T1287" s="18">
        <f>S1287/'Financial Inputs'!$B$3</f>
        <v>7.7999999999999999E-4</v>
      </c>
      <c r="U1287" s="9" t="s">
        <v>52</v>
      </c>
      <c r="V1287" s="3" t="s">
        <v>53</v>
      </c>
    </row>
    <row r="1288" spans="1:22">
      <c r="A1288" s="2" t="s">
        <v>4088</v>
      </c>
      <c r="B1288" s="2" t="s">
        <v>4089</v>
      </c>
      <c r="C1288" s="2" t="s">
        <v>3830</v>
      </c>
      <c r="D1288" s="2" t="s">
        <v>42</v>
      </c>
      <c r="E1288" s="2" t="s">
        <v>215</v>
      </c>
      <c r="F1288" s="2" t="s">
        <v>117</v>
      </c>
      <c r="G1288" s="2" t="s">
        <v>111</v>
      </c>
      <c r="H1288" s="2" t="s">
        <v>46</v>
      </c>
      <c r="I1288" s="2" t="s">
        <v>3831</v>
      </c>
      <c r="J1288" s="2" t="s">
        <v>500</v>
      </c>
      <c r="K1288" s="2" t="s">
        <v>4090</v>
      </c>
      <c r="L1288" s="2" t="s">
        <v>442</v>
      </c>
      <c r="M1288" s="2" t="s">
        <v>2320</v>
      </c>
      <c r="N1288" s="16">
        <v>9.0000000000000011E-3</v>
      </c>
      <c r="O1288" s="17">
        <f>N1288*'Financial Inputs'!$B$3</f>
        <v>900000.00000000012</v>
      </c>
      <c r="P1288" s="18">
        <f>IF(I1288="L",'Financial Inputs'!$B$4,IF(I1288="M",'Financial Inputs'!$B$5,'Financial Inputs'!$B$6))</f>
        <v>0.15</v>
      </c>
      <c r="Q1288" s="17">
        <f>O1288*P1288</f>
        <v>135000</v>
      </c>
      <c r="R1288" s="16">
        <f>'Financial Inputs'!$B$7</f>
        <v>0.35</v>
      </c>
      <c r="S1288" s="17">
        <f>Q1288*(1-R1288)</f>
        <v>87750</v>
      </c>
      <c r="T1288" s="18">
        <f>S1288/'Financial Inputs'!$B$3</f>
        <v>8.7750000000000002E-4</v>
      </c>
      <c r="U1288" s="9" t="s">
        <v>52</v>
      </c>
      <c r="V1288" s="3" t="s">
        <v>53</v>
      </c>
    </row>
    <row r="1289" spans="1:22">
      <c r="A1289" s="2" t="s">
        <v>4091</v>
      </c>
      <c r="B1289" s="2" t="s">
        <v>4092</v>
      </c>
      <c r="C1289" s="2" t="s">
        <v>3830</v>
      </c>
      <c r="D1289" s="2" t="s">
        <v>56</v>
      </c>
      <c r="E1289" s="2" t="s">
        <v>220</v>
      </c>
      <c r="F1289" s="2" t="s">
        <v>90</v>
      </c>
      <c r="G1289" s="2" t="s">
        <v>56</v>
      </c>
      <c r="H1289" s="2" t="s">
        <v>46</v>
      </c>
      <c r="I1289" s="2" t="s">
        <v>3831</v>
      </c>
      <c r="J1289" s="2" t="s">
        <v>500</v>
      </c>
      <c r="K1289" s="2" t="s">
        <v>4093</v>
      </c>
      <c r="L1289" s="2" t="s">
        <v>446</v>
      </c>
      <c r="M1289" s="2" t="s">
        <v>2320</v>
      </c>
      <c r="N1289" s="16">
        <v>0.01</v>
      </c>
      <c r="O1289" s="17">
        <f>N1289*'Financial Inputs'!$B$3</f>
        <v>1000000</v>
      </c>
      <c r="P1289" s="18">
        <f>IF(I1289="L",'Financial Inputs'!$B$4,IF(I1289="M",'Financial Inputs'!$B$5,'Financial Inputs'!$B$6))</f>
        <v>0.15</v>
      </c>
      <c r="Q1289" s="17">
        <f>O1289*P1289</f>
        <v>150000</v>
      </c>
      <c r="R1289" s="16">
        <f>'Financial Inputs'!$B$7</f>
        <v>0.35</v>
      </c>
      <c r="S1289" s="17">
        <f>Q1289*(1-R1289)</f>
        <v>97500</v>
      </c>
      <c r="T1289" s="18">
        <f>S1289/'Financial Inputs'!$B$3</f>
        <v>9.7499999999999996E-4</v>
      </c>
      <c r="U1289" s="9" t="s">
        <v>52</v>
      </c>
      <c r="V1289" s="3" t="s">
        <v>53</v>
      </c>
    </row>
    <row r="1290" spans="1:22">
      <c r="A1290" s="2" t="s">
        <v>4094</v>
      </c>
      <c r="B1290" s="2" t="s">
        <v>4095</v>
      </c>
      <c r="C1290" s="2" t="s">
        <v>3830</v>
      </c>
      <c r="D1290" s="2" t="s">
        <v>64</v>
      </c>
      <c r="E1290" s="2" t="s">
        <v>171</v>
      </c>
      <c r="F1290" s="2" t="s">
        <v>97</v>
      </c>
      <c r="G1290" s="2" t="s">
        <v>138</v>
      </c>
      <c r="H1290" s="2" t="s">
        <v>46</v>
      </c>
      <c r="I1290" s="2" t="s">
        <v>3831</v>
      </c>
      <c r="J1290" s="2" t="s">
        <v>500</v>
      </c>
      <c r="K1290" s="2" t="s">
        <v>4096</v>
      </c>
      <c r="L1290" s="2" t="s">
        <v>450</v>
      </c>
      <c r="M1290" s="2" t="s">
        <v>2320</v>
      </c>
      <c r="N1290" s="16">
        <v>1.0999999999999999E-2</v>
      </c>
      <c r="O1290" s="17">
        <f>N1290*'Financial Inputs'!$B$3</f>
        <v>1100000</v>
      </c>
      <c r="P1290" s="18">
        <f>IF(I1290="L",'Financial Inputs'!$B$4,IF(I1290="M",'Financial Inputs'!$B$5,'Financial Inputs'!$B$6))</f>
        <v>0.15</v>
      </c>
      <c r="Q1290" s="17">
        <f>O1290*P1290</f>
        <v>165000</v>
      </c>
      <c r="R1290" s="16">
        <f>'Financial Inputs'!$B$7</f>
        <v>0.35</v>
      </c>
      <c r="S1290" s="17">
        <f>Q1290*(1-R1290)</f>
        <v>107250</v>
      </c>
      <c r="T1290" s="18">
        <f>S1290/'Financial Inputs'!$B$3</f>
        <v>1.0725000000000001E-3</v>
      </c>
      <c r="U1290" s="9" t="s">
        <v>52</v>
      </c>
      <c r="V1290" s="3" t="s">
        <v>53</v>
      </c>
    </row>
    <row r="1291" spans="1:22">
      <c r="A1291" s="2" t="s">
        <v>4097</v>
      </c>
      <c r="B1291" s="2" t="s">
        <v>4098</v>
      </c>
      <c r="C1291" s="2" t="s">
        <v>3830</v>
      </c>
      <c r="D1291" s="2" t="s">
        <v>72</v>
      </c>
      <c r="E1291" s="2" t="s">
        <v>176</v>
      </c>
      <c r="F1291" s="2" t="s">
        <v>104</v>
      </c>
      <c r="G1291" s="2" t="s">
        <v>143</v>
      </c>
      <c r="H1291" s="2" t="s">
        <v>46</v>
      </c>
      <c r="I1291" s="2" t="s">
        <v>3831</v>
      </c>
      <c r="J1291" s="2" t="s">
        <v>500</v>
      </c>
      <c r="K1291" s="2" t="s">
        <v>4099</v>
      </c>
      <c r="L1291" s="2" t="s">
        <v>454</v>
      </c>
      <c r="M1291" s="2" t="s">
        <v>2320</v>
      </c>
      <c r="N1291" s="16">
        <v>1.2E-2</v>
      </c>
      <c r="O1291" s="17">
        <f>N1291*'Financial Inputs'!$B$3</f>
        <v>1200000</v>
      </c>
      <c r="P1291" s="18">
        <f>IF(I1291="L",'Financial Inputs'!$B$4,IF(I1291="M",'Financial Inputs'!$B$5,'Financial Inputs'!$B$6))</f>
        <v>0.15</v>
      </c>
      <c r="Q1291" s="17">
        <f>O1291*P1291</f>
        <v>180000</v>
      </c>
      <c r="R1291" s="16">
        <f>'Financial Inputs'!$B$7</f>
        <v>0.35</v>
      </c>
      <c r="S1291" s="17">
        <f>Q1291*(1-R1291)</f>
        <v>117000</v>
      </c>
      <c r="T1291" s="18">
        <f>S1291/'Financial Inputs'!$B$3</f>
        <v>1.17E-3</v>
      </c>
      <c r="U1291" s="9" t="s">
        <v>52</v>
      </c>
      <c r="V1291" s="3" t="s">
        <v>53</v>
      </c>
    </row>
    <row r="1292" spans="1:22">
      <c r="A1292" s="2" t="s">
        <v>4100</v>
      </c>
      <c r="B1292" s="2" t="s">
        <v>4101</v>
      </c>
      <c r="C1292" s="2" t="s">
        <v>3830</v>
      </c>
      <c r="D1292" s="2" t="s">
        <v>133</v>
      </c>
      <c r="E1292" s="2" t="s">
        <v>65</v>
      </c>
      <c r="F1292" s="2" t="s">
        <v>82</v>
      </c>
      <c r="G1292" s="2" t="s">
        <v>56</v>
      </c>
      <c r="H1292" s="2" t="s">
        <v>46</v>
      </c>
      <c r="I1292" s="2" t="s">
        <v>3831</v>
      </c>
      <c r="J1292" s="2" t="s">
        <v>500</v>
      </c>
      <c r="K1292" s="2" t="s">
        <v>4102</v>
      </c>
      <c r="L1292" s="2" t="s">
        <v>458</v>
      </c>
      <c r="M1292" s="2" t="s">
        <v>2320</v>
      </c>
      <c r="N1292" s="16">
        <v>8.0000000000000002E-3</v>
      </c>
      <c r="O1292" s="17">
        <f>N1292*'Financial Inputs'!$B$3</f>
        <v>800000</v>
      </c>
      <c r="P1292" s="18">
        <f>IF(I1292="L",'Financial Inputs'!$B$4,IF(I1292="M",'Financial Inputs'!$B$5,'Financial Inputs'!$B$6))</f>
        <v>0.15</v>
      </c>
      <c r="Q1292" s="17">
        <f>O1292*P1292</f>
        <v>120000</v>
      </c>
      <c r="R1292" s="16">
        <f>'Financial Inputs'!$B$7</f>
        <v>0.35</v>
      </c>
      <c r="S1292" s="17">
        <f>Q1292*(1-R1292)</f>
        <v>78000</v>
      </c>
      <c r="T1292" s="18">
        <f>S1292/'Financial Inputs'!$B$3</f>
        <v>7.7999999999999999E-4</v>
      </c>
      <c r="U1292" s="9" t="s">
        <v>52</v>
      </c>
      <c r="V1292" s="3" t="s">
        <v>53</v>
      </c>
    </row>
    <row r="1293" spans="1:22">
      <c r="A1293" s="2" t="s">
        <v>4103</v>
      </c>
      <c r="B1293" s="2" t="s">
        <v>4104</v>
      </c>
      <c r="C1293" s="2" t="s">
        <v>3830</v>
      </c>
      <c r="D1293" s="2" t="s">
        <v>88</v>
      </c>
      <c r="E1293" s="2" t="s">
        <v>73</v>
      </c>
      <c r="F1293" s="2" t="s">
        <v>44</v>
      </c>
      <c r="G1293" s="2" t="s">
        <v>138</v>
      </c>
      <c r="H1293" s="2" t="s">
        <v>46</v>
      </c>
      <c r="I1293" s="2" t="s">
        <v>3831</v>
      </c>
      <c r="J1293" s="2" t="s">
        <v>500</v>
      </c>
      <c r="K1293" s="2" t="s">
        <v>4105</v>
      </c>
      <c r="L1293" s="2" t="s">
        <v>462</v>
      </c>
      <c r="M1293" s="2" t="s">
        <v>2320</v>
      </c>
      <c r="N1293" s="16">
        <v>9.0000000000000011E-3</v>
      </c>
      <c r="O1293" s="17">
        <f>N1293*'Financial Inputs'!$B$3</f>
        <v>900000.00000000012</v>
      </c>
      <c r="P1293" s="18">
        <f>IF(I1293="L",'Financial Inputs'!$B$4,IF(I1293="M",'Financial Inputs'!$B$5,'Financial Inputs'!$B$6))</f>
        <v>0.15</v>
      </c>
      <c r="Q1293" s="17">
        <f>O1293*P1293</f>
        <v>135000</v>
      </c>
      <c r="R1293" s="16">
        <f>'Financial Inputs'!$B$7</f>
        <v>0.35</v>
      </c>
      <c r="S1293" s="17">
        <f>Q1293*(1-R1293)</f>
        <v>87750</v>
      </c>
      <c r="T1293" s="18">
        <f>S1293/'Financial Inputs'!$B$3</f>
        <v>8.7750000000000002E-4</v>
      </c>
      <c r="U1293" s="9" t="s">
        <v>52</v>
      </c>
      <c r="V1293" s="3" t="s">
        <v>53</v>
      </c>
    </row>
    <row r="1294" spans="1:22">
      <c r="A1294" s="2" t="s">
        <v>4106</v>
      </c>
      <c r="B1294" s="2" t="s">
        <v>4107</v>
      </c>
      <c r="C1294" s="2" t="s">
        <v>3830</v>
      </c>
      <c r="D1294" s="2" t="s">
        <v>95</v>
      </c>
      <c r="E1294" s="2" t="s">
        <v>81</v>
      </c>
      <c r="F1294" s="2" t="s">
        <v>58</v>
      </c>
      <c r="G1294" s="2" t="s">
        <v>143</v>
      </c>
      <c r="H1294" s="2" t="s">
        <v>46</v>
      </c>
      <c r="I1294" s="2" t="s">
        <v>3831</v>
      </c>
      <c r="J1294" s="2" t="s">
        <v>500</v>
      </c>
      <c r="K1294" s="2" t="s">
        <v>4108</v>
      </c>
      <c r="L1294" s="2" t="s">
        <v>466</v>
      </c>
      <c r="M1294" s="2" t="s">
        <v>2320</v>
      </c>
      <c r="N1294" s="16">
        <v>0.01</v>
      </c>
      <c r="O1294" s="17">
        <f>N1294*'Financial Inputs'!$B$3</f>
        <v>1000000</v>
      </c>
      <c r="P1294" s="18">
        <f>IF(I1294="L",'Financial Inputs'!$B$4,IF(I1294="M",'Financial Inputs'!$B$5,'Financial Inputs'!$B$6))</f>
        <v>0.15</v>
      </c>
      <c r="Q1294" s="17">
        <f>O1294*P1294</f>
        <v>150000</v>
      </c>
      <c r="R1294" s="16">
        <f>'Financial Inputs'!$B$7</f>
        <v>0.35</v>
      </c>
      <c r="S1294" s="17">
        <f>Q1294*(1-R1294)</f>
        <v>97500</v>
      </c>
      <c r="T1294" s="18">
        <f>S1294/'Financial Inputs'!$B$3</f>
        <v>9.7499999999999996E-4</v>
      </c>
      <c r="U1294" s="9" t="s">
        <v>52</v>
      </c>
      <c r="V1294" s="3" t="s">
        <v>53</v>
      </c>
    </row>
    <row r="1295" spans="1:22">
      <c r="A1295" s="2" t="s">
        <v>4109</v>
      </c>
      <c r="B1295" s="2" t="s">
        <v>4110</v>
      </c>
      <c r="C1295" s="2" t="s">
        <v>3830</v>
      </c>
      <c r="D1295" s="2" t="s">
        <v>102</v>
      </c>
      <c r="E1295" s="2" t="s">
        <v>193</v>
      </c>
      <c r="F1295" s="2" t="s">
        <v>66</v>
      </c>
      <c r="G1295" s="2" t="s">
        <v>162</v>
      </c>
      <c r="H1295" s="2" t="s">
        <v>46</v>
      </c>
      <c r="I1295" s="2" t="s">
        <v>3831</v>
      </c>
      <c r="J1295" s="2" t="s">
        <v>500</v>
      </c>
      <c r="K1295" s="2" t="s">
        <v>4111</v>
      </c>
      <c r="L1295" s="2" t="s">
        <v>470</v>
      </c>
      <c r="M1295" s="2" t="s">
        <v>2320</v>
      </c>
      <c r="N1295" s="16">
        <v>1.0999999999999999E-2</v>
      </c>
      <c r="O1295" s="17">
        <f>N1295*'Financial Inputs'!$B$3</f>
        <v>1100000</v>
      </c>
      <c r="P1295" s="18">
        <f>IF(I1295="L",'Financial Inputs'!$B$4,IF(I1295="M",'Financial Inputs'!$B$5,'Financial Inputs'!$B$6))</f>
        <v>0.15</v>
      </c>
      <c r="Q1295" s="17">
        <f>O1295*P1295</f>
        <v>165000</v>
      </c>
      <c r="R1295" s="16">
        <f>'Financial Inputs'!$B$7</f>
        <v>0.35</v>
      </c>
      <c r="S1295" s="17">
        <f>Q1295*(1-R1295)</f>
        <v>107250</v>
      </c>
      <c r="T1295" s="18">
        <f>S1295/'Financial Inputs'!$B$3</f>
        <v>1.0725000000000001E-3</v>
      </c>
      <c r="U1295" s="9" t="s">
        <v>52</v>
      </c>
      <c r="V1295" s="3" t="s">
        <v>53</v>
      </c>
    </row>
    <row r="1296" spans="1:22">
      <c r="A1296" s="2" t="s">
        <v>4112</v>
      </c>
      <c r="B1296" s="2" t="s">
        <v>4113</v>
      </c>
      <c r="C1296" s="2" t="s">
        <v>3830</v>
      </c>
      <c r="D1296" s="2" t="s">
        <v>42</v>
      </c>
      <c r="E1296" s="2" t="s">
        <v>198</v>
      </c>
      <c r="F1296" s="2" t="s">
        <v>74</v>
      </c>
      <c r="G1296" s="2" t="s">
        <v>45</v>
      </c>
      <c r="H1296" s="2" t="s">
        <v>46</v>
      </c>
      <c r="I1296" s="2" t="s">
        <v>3831</v>
      </c>
      <c r="J1296" s="2" t="s">
        <v>500</v>
      </c>
      <c r="K1296" s="2" t="s">
        <v>4114</v>
      </c>
      <c r="L1296" s="2" t="s">
        <v>474</v>
      </c>
      <c r="M1296" s="2" t="s">
        <v>2320</v>
      </c>
      <c r="N1296" s="16">
        <v>1.2E-2</v>
      </c>
      <c r="O1296" s="17">
        <f>N1296*'Financial Inputs'!$B$3</f>
        <v>1200000</v>
      </c>
      <c r="P1296" s="18">
        <f>IF(I1296="L",'Financial Inputs'!$B$4,IF(I1296="M",'Financial Inputs'!$B$5,'Financial Inputs'!$B$6))</f>
        <v>0.15</v>
      </c>
      <c r="Q1296" s="17">
        <f>O1296*P1296</f>
        <v>180000</v>
      </c>
      <c r="R1296" s="16">
        <f>'Financial Inputs'!$B$7</f>
        <v>0.35</v>
      </c>
      <c r="S1296" s="17">
        <f>Q1296*(1-R1296)</f>
        <v>117000</v>
      </c>
      <c r="T1296" s="18">
        <f>S1296/'Financial Inputs'!$B$3</f>
        <v>1.17E-3</v>
      </c>
      <c r="U1296" s="9" t="s">
        <v>52</v>
      </c>
      <c r="V1296" s="3" t="s">
        <v>53</v>
      </c>
    </row>
    <row r="1297" spans="1:22">
      <c r="A1297" s="2" t="s">
        <v>4115</v>
      </c>
      <c r="B1297" s="2" t="s">
        <v>4116</v>
      </c>
      <c r="C1297" s="2" t="s">
        <v>3830</v>
      </c>
      <c r="D1297" s="2" t="s">
        <v>72</v>
      </c>
      <c r="E1297" s="2" t="s">
        <v>103</v>
      </c>
      <c r="F1297" s="2" t="s">
        <v>117</v>
      </c>
      <c r="G1297" s="2" t="s">
        <v>143</v>
      </c>
      <c r="H1297" s="2" t="s">
        <v>46</v>
      </c>
      <c r="I1297" s="2" t="s">
        <v>3831</v>
      </c>
      <c r="J1297" s="2" t="s">
        <v>500</v>
      </c>
      <c r="K1297" s="2" t="s">
        <v>4117</v>
      </c>
      <c r="L1297" s="2" t="s">
        <v>478</v>
      </c>
      <c r="M1297" s="2" t="s">
        <v>2320</v>
      </c>
      <c r="N1297" s="16">
        <v>8.0000000000000002E-3</v>
      </c>
      <c r="O1297" s="17">
        <f>N1297*'Financial Inputs'!$B$3</f>
        <v>800000</v>
      </c>
      <c r="P1297" s="18">
        <f>IF(I1297="L",'Financial Inputs'!$B$4,IF(I1297="M",'Financial Inputs'!$B$5,'Financial Inputs'!$B$6))</f>
        <v>0.15</v>
      </c>
      <c r="Q1297" s="17">
        <f>O1297*P1297</f>
        <v>120000</v>
      </c>
      <c r="R1297" s="16">
        <f>'Financial Inputs'!$B$7</f>
        <v>0.35</v>
      </c>
      <c r="S1297" s="17">
        <f>Q1297*(1-R1297)</f>
        <v>78000</v>
      </c>
      <c r="T1297" s="18">
        <f>S1297/'Financial Inputs'!$B$3</f>
        <v>7.7999999999999999E-4</v>
      </c>
      <c r="U1297" s="9" t="s">
        <v>52</v>
      </c>
      <c r="V1297" s="3" t="s">
        <v>53</v>
      </c>
    </row>
    <row r="1298" spans="1:22">
      <c r="A1298" s="2" t="s">
        <v>4118</v>
      </c>
      <c r="B1298" s="2" t="s">
        <v>4119</v>
      </c>
      <c r="C1298" s="2" t="s">
        <v>3830</v>
      </c>
      <c r="D1298" s="2" t="s">
        <v>80</v>
      </c>
      <c r="E1298" s="2" t="s">
        <v>109</v>
      </c>
      <c r="F1298" s="2" t="s">
        <v>90</v>
      </c>
      <c r="G1298" s="2" t="s">
        <v>162</v>
      </c>
      <c r="H1298" s="2" t="s">
        <v>46</v>
      </c>
      <c r="I1298" s="2" t="s">
        <v>3831</v>
      </c>
      <c r="J1298" s="2" t="s">
        <v>500</v>
      </c>
      <c r="K1298" s="2" t="s">
        <v>4120</v>
      </c>
      <c r="L1298" s="2" t="s">
        <v>482</v>
      </c>
      <c r="M1298" s="2" t="s">
        <v>2320</v>
      </c>
      <c r="N1298" s="16">
        <v>9.0000000000000011E-3</v>
      </c>
      <c r="O1298" s="17">
        <f>N1298*'Financial Inputs'!$B$3</f>
        <v>900000.00000000012</v>
      </c>
      <c r="P1298" s="18">
        <f>IF(I1298="L",'Financial Inputs'!$B$4,IF(I1298="M",'Financial Inputs'!$B$5,'Financial Inputs'!$B$6))</f>
        <v>0.15</v>
      </c>
      <c r="Q1298" s="17">
        <f>O1298*P1298</f>
        <v>135000</v>
      </c>
      <c r="R1298" s="16">
        <f>'Financial Inputs'!$B$7</f>
        <v>0.35</v>
      </c>
      <c r="S1298" s="17">
        <f>Q1298*(1-R1298)</f>
        <v>87750</v>
      </c>
      <c r="T1298" s="18">
        <f>S1298/'Financial Inputs'!$B$3</f>
        <v>8.7750000000000002E-4</v>
      </c>
      <c r="U1298" s="9" t="s">
        <v>52</v>
      </c>
      <c r="V1298" s="3" t="s">
        <v>53</v>
      </c>
    </row>
    <row r="1299" spans="1:22">
      <c r="A1299" s="2" t="s">
        <v>4121</v>
      </c>
      <c r="B1299" s="2" t="s">
        <v>4122</v>
      </c>
      <c r="C1299" s="2" t="s">
        <v>3830</v>
      </c>
      <c r="D1299" s="2" t="s">
        <v>127</v>
      </c>
      <c r="E1299" s="2" t="s">
        <v>116</v>
      </c>
      <c r="F1299" s="2" t="s">
        <v>97</v>
      </c>
      <c r="G1299" s="2" t="s">
        <v>45</v>
      </c>
      <c r="H1299" s="2" t="s">
        <v>46</v>
      </c>
      <c r="I1299" s="2" t="s">
        <v>3831</v>
      </c>
      <c r="J1299" s="2" t="s">
        <v>500</v>
      </c>
      <c r="K1299" s="2" t="s">
        <v>4123</v>
      </c>
      <c r="L1299" s="2" t="s">
        <v>486</v>
      </c>
      <c r="M1299" s="2" t="s">
        <v>2320</v>
      </c>
      <c r="N1299" s="16">
        <v>0.01</v>
      </c>
      <c r="O1299" s="17">
        <f>N1299*'Financial Inputs'!$B$3</f>
        <v>1000000</v>
      </c>
      <c r="P1299" s="18">
        <f>IF(I1299="L",'Financial Inputs'!$B$4,IF(I1299="M",'Financial Inputs'!$B$5,'Financial Inputs'!$B$6))</f>
        <v>0.15</v>
      </c>
      <c r="Q1299" s="17">
        <f>O1299*P1299</f>
        <v>150000</v>
      </c>
      <c r="R1299" s="16">
        <f>'Financial Inputs'!$B$7</f>
        <v>0.35</v>
      </c>
      <c r="S1299" s="17">
        <f>Q1299*(1-R1299)</f>
        <v>97500</v>
      </c>
      <c r="T1299" s="18">
        <f>S1299/'Financial Inputs'!$B$3</f>
        <v>9.7499999999999996E-4</v>
      </c>
      <c r="U1299" s="9" t="s">
        <v>52</v>
      </c>
      <c r="V1299" s="3" t="s">
        <v>53</v>
      </c>
    </row>
    <row r="1300" spans="1:22">
      <c r="A1300" s="2" t="s">
        <v>4124</v>
      </c>
      <c r="B1300" s="2" t="s">
        <v>4125</v>
      </c>
      <c r="C1300" s="2" t="s">
        <v>3830</v>
      </c>
      <c r="D1300" s="2" t="s">
        <v>133</v>
      </c>
      <c r="E1300" s="2" t="s">
        <v>215</v>
      </c>
      <c r="F1300" s="2" t="s">
        <v>104</v>
      </c>
      <c r="G1300" s="2" t="s">
        <v>59</v>
      </c>
      <c r="H1300" s="2" t="s">
        <v>46</v>
      </c>
      <c r="I1300" s="2" t="s">
        <v>3831</v>
      </c>
      <c r="J1300" s="2" t="s">
        <v>500</v>
      </c>
      <c r="K1300" s="2" t="s">
        <v>4126</v>
      </c>
      <c r="L1300" s="2" t="s">
        <v>490</v>
      </c>
      <c r="M1300" s="2" t="s">
        <v>2320</v>
      </c>
      <c r="N1300" s="16">
        <v>1.0999999999999999E-2</v>
      </c>
      <c r="O1300" s="17">
        <f>N1300*'Financial Inputs'!$B$3</f>
        <v>1100000</v>
      </c>
      <c r="P1300" s="18">
        <f>IF(I1300="L",'Financial Inputs'!$B$4,IF(I1300="M",'Financial Inputs'!$B$5,'Financial Inputs'!$B$6))</f>
        <v>0.15</v>
      </c>
      <c r="Q1300" s="17">
        <f>O1300*P1300</f>
        <v>165000</v>
      </c>
      <c r="R1300" s="16">
        <f>'Financial Inputs'!$B$7</f>
        <v>0.35</v>
      </c>
      <c r="S1300" s="17">
        <f>Q1300*(1-R1300)</f>
        <v>107250</v>
      </c>
      <c r="T1300" s="18">
        <f>S1300/'Financial Inputs'!$B$3</f>
        <v>1.0725000000000001E-3</v>
      </c>
      <c r="U1300" s="9" t="s">
        <v>52</v>
      </c>
      <c r="V1300" s="3" t="s">
        <v>53</v>
      </c>
    </row>
    <row r="1301" spans="1:22">
      <c r="A1301" s="2" t="s">
        <v>4127</v>
      </c>
      <c r="B1301" s="2" t="s">
        <v>4128</v>
      </c>
      <c r="C1301" s="2" t="s">
        <v>3830</v>
      </c>
      <c r="D1301" s="2" t="s">
        <v>88</v>
      </c>
      <c r="E1301" s="2" t="s">
        <v>220</v>
      </c>
      <c r="F1301" s="2" t="s">
        <v>110</v>
      </c>
      <c r="G1301" s="2" t="s">
        <v>67</v>
      </c>
      <c r="H1301" s="2" t="s">
        <v>46</v>
      </c>
      <c r="I1301" s="2" t="s">
        <v>3831</v>
      </c>
      <c r="J1301" s="2" t="s">
        <v>500</v>
      </c>
      <c r="K1301" s="2" t="s">
        <v>4129</v>
      </c>
      <c r="L1301" s="2" t="s">
        <v>494</v>
      </c>
      <c r="M1301" s="2" t="s">
        <v>2320</v>
      </c>
      <c r="N1301" s="16">
        <v>1.2E-2</v>
      </c>
      <c r="O1301" s="17">
        <f>N1301*'Financial Inputs'!$B$3</f>
        <v>1200000</v>
      </c>
      <c r="P1301" s="18">
        <f>IF(I1301="L",'Financial Inputs'!$B$4,IF(I1301="M",'Financial Inputs'!$B$5,'Financial Inputs'!$B$6))</f>
        <v>0.15</v>
      </c>
      <c r="Q1301" s="17">
        <f>O1301*P1301</f>
        <v>180000</v>
      </c>
      <c r="R1301" s="16">
        <f>'Financial Inputs'!$B$7</f>
        <v>0.35</v>
      </c>
      <c r="S1301" s="17">
        <f>Q1301*(1-R1301)</f>
        <v>117000</v>
      </c>
      <c r="T1301" s="18">
        <f>S1301/'Financial Inputs'!$B$3</f>
        <v>1.17E-3</v>
      </c>
      <c r="U1301" s="9" t="s">
        <v>52</v>
      </c>
      <c r="V1301" s="3" t="s">
        <v>53</v>
      </c>
    </row>
    <row r="1302" spans="1:22">
      <c r="A1302" s="2" t="s">
        <v>4130</v>
      </c>
      <c r="B1302" s="2" t="s">
        <v>4131</v>
      </c>
      <c r="C1302" s="2" t="s">
        <v>4132</v>
      </c>
      <c r="D1302" s="2" t="s">
        <v>42</v>
      </c>
      <c r="E1302" s="2" t="s">
        <v>43</v>
      </c>
      <c r="F1302" s="2" t="s">
        <v>44</v>
      </c>
      <c r="G1302" s="2" t="s">
        <v>45</v>
      </c>
      <c r="H1302" s="2" t="s">
        <v>498</v>
      </c>
      <c r="I1302" s="2" t="s">
        <v>499</v>
      </c>
      <c r="J1302" s="2" t="s">
        <v>4133</v>
      </c>
      <c r="K1302" s="2" t="s">
        <v>4134</v>
      </c>
      <c r="L1302" s="2" t="s">
        <v>50</v>
      </c>
      <c r="M1302" s="2" t="s">
        <v>4135</v>
      </c>
      <c r="N1302" s="16">
        <v>0.02</v>
      </c>
      <c r="O1302" s="17">
        <f>N1302*'Financial Inputs'!$B$3</f>
        <v>2000000</v>
      </c>
      <c r="P1302" s="18">
        <f>IF(I1302="L",'Financial Inputs'!$B$4,IF(I1302="M",'Financial Inputs'!$B$5,'Financial Inputs'!$B$6))</f>
        <v>0.7</v>
      </c>
      <c r="Q1302" s="17">
        <f>O1302*P1302</f>
        <v>1400000</v>
      </c>
      <c r="R1302" s="16">
        <f>'Financial Inputs'!$B$7</f>
        <v>0.35</v>
      </c>
      <c r="S1302" s="17">
        <f>Q1302*(1-R1302)</f>
        <v>910000</v>
      </c>
      <c r="T1302" s="18">
        <f>S1302/'Financial Inputs'!$B$3</f>
        <v>9.1000000000000004E-3</v>
      </c>
      <c r="U1302" s="9" t="s">
        <v>52</v>
      </c>
      <c r="V1302" s="3" t="s">
        <v>53</v>
      </c>
    </row>
    <row r="1303" spans="1:22">
      <c r="A1303" s="2" t="s">
        <v>4136</v>
      </c>
      <c r="B1303" s="2" t="s">
        <v>4137</v>
      </c>
      <c r="C1303" s="2" t="s">
        <v>4132</v>
      </c>
      <c r="D1303" s="2" t="s">
        <v>56</v>
      </c>
      <c r="E1303" s="2" t="s">
        <v>57</v>
      </c>
      <c r="F1303" s="2" t="s">
        <v>58</v>
      </c>
      <c r="G1303" s="2" t="s">
        <v>59</v>
      </c>
      <c r="H1303" s="2" t="s">
        <v>498</v>
      </c>
      <c r="I1303" s="2" t="s">
        <v>499</v>
      </c>
      <c r="J1303" s="2" t="s">
        <v>4133</v>
      </c>
      <c r="K1303" s="2" t="s">
        <v>4138</v>
      </c>
      <c r="L1303" s="2" t="s">
        <v>61</v>
      </c>
      <c r="M1303" s="2" t="s">
        <v>4135</v>
      </c>
      <c r="N1303" s="16">
        <v>2.2499999999999999E-2</v>
      </c>
      <c r="O1303" s="17">
        <f>N1303*'Financial Inputs'!$B$3</f>
        <v>2250000</v>
      </c>
      <c r="P1303" s="18">
        <f>IF(I1303="L",'Financial Inputs'!$B$4,IF(I1303="M",'Financial Inputs'!$B$5,'Financial Inputs'!$B$6))</f>
        <v>0.7</v>
      </c>
      <c r="Q1303" s="17">
        <f>O1303*P1303</f>
        <v>1575000</v>
      </c>
      <c r="R1303" s="16">
        <f>'Financial Inputs'!$B$7</f>
        <v>0.35</v>
      </c>
      <c r="S1303" s="17">
        <f>Q1303*(1-R1303)</f>
        <v>1023750</v>
      </c>
      <c r="T1303" s="18">
        <f>S1303/'Financial Inputs'!$B$3</f>
        <v>1.02375E-2</v>
      </c>
      <c r="U1303" s="9" t="s">
        <v>52</v>
      </c>
      <c r="V1303" s="3" t="s">
        <v>53</v>
      </c>
    </row>
    <row r="1304" spans="1:22">
      <c r="A1304" s="2" t="s">
        <v>4139</v>
      </c>
      <c r="B1304" s="2" t="s">
        <v>4140</v>
      </c>
      <c r="C1304" s="2" t="s">
        <v>4132</v>
      </c>
      <c r="D1304" s="2" t="s">
        <v>64</v>
      </c>
      <c r="E1304" s="2" t="s">
        <v>65</v>
      </c>
      <c r="F1304" s="2" t="s">
        <v>66</v>
      </c>
      <c r="G1304" s="2" t="s">
        <v>67</v>
      </c>
      <c r="H1304" s="2" t="s">
        <v>498</v>
      </c>
      <c r="I1304" s="2" t="s">
        <v>499</v>
      </c>
      <c r="J1304" s="2" t="s">
        <v>4133</v>
      </c>
      <c r="K1304" s="2" t="s">
        <v>4141</v>
      </c>
      <c r="L1304" s="2" t="s">
        <v>69</v>
      </c>
      <c r="M1304" s="2" t="s">
        <v>4135</v>
      </c>
      <c r="N1304" s="16">
        <v>2.5000000000000001E-2</v>
      </c>
      <c r="O1304" s="17">
        <f>N1304*'Financial Inputs'!$B$3</f>
        <v>2500000</v>
      </c>
      <c r="P1304" s="18">
        <f>IF(I1304="L",'Financial Inputs'!$B$4,IF(I1304="M",'Financial Inputs'!$B$5,'Financial Inputs'!$B$6))</f>
        <v>0.7</v>
      </c>
      <c r="Q1304" s="17">
        <f>O1304*P1304</f>
        <v>1750000</v>
      </c>
      <c r="R1304" s="16">
        <f>'Financial Inputs'!$B$7</f>
        <v>0.35</v>
      </c>
      <c r="S1304" s="17">
        <f>Q1304*(1-R1304)</f>
        <v>1137500</v>
      </c>
      <c r="T1304" s="18">
        <f>S1304/'Financial Inputs'!$B$3</f>
        <v>1.1375E-2</v>
      </c>
      <c r="U1304" s="9" t="s">
        <v>52</v>
      </c>
      <c r="V1304" s="3" t="s">
        <v>53</v>
      </c>
    </row>
    <row r="1305" spans="1:22">
      <c r="A1305" s="2" t="s">
        <v>4142</v>
      </c>
      <c r="B1305" s="2" t="s">
        <v>4143</v>
      </c>
      <c r="C1305" s="2" t="s">
        <v>4132</v>
      </c>
      <c r="D1305" s="2" t="s">
        <v>72</v>
      </c>
      <c r="E1305" s="2" t="s">
        <v>73</v>
      </c>
      <c r="F1305" s="2" t="s">
        <v>74</v>
      </c>
      <c r="G1305" s="2" t="s">
        <v>75</v>
      </c>
      <c r="H1305" s="2" t="s">
        <v>498</v>
      </c>
      <c r="I1305" s="2" t="s">
        <v>499</v>
      </c>
      <c r="J1305" s="2" t="s">
        <v>4133</v>
      </c>
      <c r="K1305" s="2" t="s">
        <v>4144</v>
      </c>
      <c r="L1305" s="2" t="s">
        <v>77</v>
      </c>
      <c r="M1305" s="2" t="s">
        <v>4135</v>
      </c>
      <c r="N1305" s="16">
        <v>2.75E-2</v>
      </c>
      <c r="O1305" s="17">
        <f>N1305*'Financial Inputs'!$B$3</f>
        <v>2750000</v>
      </c>
      <c r="P1305" s="18">
        <f>IF(I1305="L",'Financial Inputs'!$B$4,IF(I1305="M",'Financial Inputs'!$B$5,'Financial Inputs'!$B$6))</f>
        <v>0.7</v>
      </c>
      <c r="Q1305" s="17">
        <f>O1305*P1305</f>
        <v>1924999.9999999998</v>
      </c>
      <c r="R1305" s="16">
        <f>'Financial Inputs'!$B$7</f>
        <v>0.35</v>
      </c>
      <c r="S1305" s="17">
        <f>Q1305*(1-R1305)</f>
        <v>1251250</v>
      </c>
      <c r="T1305" s="18">
        <f>S1305/'Financial Inputs'!$B$3</f>
        <v>1.2512499999999999E-2</v>
      </c>
      <c r="U1305" s="9" t="s">
        <v>52</v>
      </c>
      <c r="V1305" s="3" t="s">
        <v>53</v>
      </c>
    </row>
    <row r="1306" spans="1:22">
      <c r="A1306" s="2" t="s">
        <v>4145</v>
      </c>
      <c r="B1306" s="2" t="s">
        <v>4146</v>
      </c>
      <c r="C1306" s="2" t="s">
        <v>4132</v>
      </c>
      <c r="D1306" s="2" t="s">
        <v>80</v>
      </c>
      <c r="E1306" s="2" t="s">
        <v>81</v>
      </c>
      <c r="F1306" s="2" t="s">
        <v>82</v>
      </c>
      <c r="G1306" s="2" t="s">
        <v>83</v>
      </c>
      <c r="H1306" s="2" t="s">
        <v>498</v>
      </c>
      <c r="I1306" s="2" t="s">
        <v>499</v>
      </c>
      <c r="J1306" s="2" t="s">
        <v>4133</v>
      </c>
      <c r="K1306" s="2" t="s">
        <v>4147</v>
      </c>
      <c r="L1306" s="2" t="s">
        <v>85</v>
      </c>
      <c r="M1306" s="2" t="s">
        <v>4135</v>
      </c>
      <c r="N1306" s="16">
        <v>3.0000000000000009E-2</v>
      </c>
      <c r="O1306" s="17">
        <f>N1306*'Financial Inputs'!$B$3</f>
        <v>3000000.0000000009</v>
      </c>
      <c r="P1306" s="18">
        <f>IF(I1306="L",'Financial Inputs'!$B$4,IF(I1306="M",'Financial Inputs'!$B$5,'Financial Inputs'!$B$6))</f>
        <v>0.7</v>
      </c>
      <c r="Q1306" s="17">
        <f>O1306*P1306</f>
        <v>2100000.0000000005</v>
      </c>
      <c r="R1306" s="16">
        <f>'Financial Inputs'!$B$7</f>
        <v>0.35</v>
      </c>
      <c r="S1306" s="17">
        <f>Q1306*(1-R1306)</f>
        <v>1365000.0000000005</v>
      </c>
      <c r="T1306" s="18">
        <f>S1306/'Financial Inputs'!$B$3</f>
        <v>1.3650000000000004E-2</v>
      </c>
      <c r="U1306" s="9" t="s">
        <v>52</v>
      </c>
      <c r="V1306" s="3" t="s">
        <v>53</v>
      </c>
    </row>
    <row r="1307" spans="1:22">
      <c r="A1307" s="2" t="s">
        <v>4148</v>
      </c>
      <c r="B1307" s="2" t="s">
        <v>4149</v>
      </c>
      <c r="C1307" s="2" t="s">
        <v>4132</v>
      </c>
      <c r="D1307" s="2" t="s">
        <v>88</v>
      </c>
      <c r="E1307" s="2" t="s">
        <v>89</v>
      </c>
      <c r="F1307" s="2" t="s">
        <v>90</v>
      </c>
      <c r="G1307" s="2" t="s">
        <v>67</v>
      </c>
      <c r="H1307" s="2" t="s">
        <v>498</v>
      </c>
      <c r="I1307" s="2" t="s">
        <v>499</v>
      </c>
      <c r="J1307" s="2" t="s">
        <v>4133</v>
      </c>
      <c r="K1307" s="2" t="s">
        <v>4150</v>
      </c>
      <c r="L1307" s="2" t="s">
        <v>92</v>
      </c>
      <c r="M1307" s="2" t="s">
        <v>4135</v>
      </c>
      <c r="N1307" s="16">
        <v>0.02</v>
      </c>
      <c r="O1307" s="17">
        <f>N1307*'Financial Inputs'!$B$3</f>
        <v>2000000</v>
      </c>
      <c r="P1307" s="18">
        <f>IF(I1307="L",'Financial Inputs'!$B$4,IF(I1307="M",'Financial Inputs'!$B$5,'Financial Inputs'!$B$6))</f>
        <v>0.7</v>
      </c>
      <c r="Q1307" s="17">
        <f>O1307*P1307</f>
        <v>1400000</v>
      </c>
      <c r="R1307" s="16">
        <f>'Financial Inputs'!$B$7</f>
        <v>0.35</v>
      </c>
      <c r="S1307" s="17">
        <f>Q1307*(1-R1307)</f>
        <v>910000</v>
      </c>
      <c r="T1307" s="18">
        <f>S1307/'Financial Inputs'!$B$3</f>
        <v>9.1000000000000004E-3</v>
      </c>
      <c r="U1307" s="9" t="s">
        <v>52</v>
      </c>
      <c r="V1307" s="3" t="s">
        <v>53</v>
      </c>
    </row>
    <row r="1308" spans="1:22">
      <c r="A1308" s="2" t="s">
        <v>4151</v>
      </c>
      <c r="B1308" s="2" t="s">
        <v>4152</v>
      </c>
      <c r="C1308" s="2" t="s">
        <v>4132</v>
      </c>
      <c r="D1308" s="2" t="s">
        <v>95</v>
      </c>
      <c r="E1308" s="2" t="s">
        <v>96</v>
      </c>
      <c r="F1308" s="2" t="s">
        <v>97</v>
      </c>
      <c r="G1308" s="2" t="s">
        <v>75</v>
      </c>
      <c r="H1308" s="2" t="s">
        <v>498</v>
      </c>
      <c r="I1308" s="2" t="s">
        <v>499</v>
      </c>
      <c r="J1308" s="2" t="s">
        <v>4133</v>
      </c>
      <c r="K1308" s="2" t="s">
        <v>4153</v>
      </c>
      <c r="L1308" s="2" t="s">
        <v>99</v>
      </c>
      <c r="M1308" s="2" t="s">
        <v>4135</v>
      </c>
      <c r="N1308" s="16">
        <v>2.2499999999999999E-2</v>
      </c>
      <c r="O1308" s="17">
        <f>N1308*'Financial Inputs'!$B$3</f>
        <v>2250000</v>
      </c>
      <c r="P1308" s="18">
        <f>IF(I1308="L",'Financial Inputs'!$B$4,IF(I1308="M",'Financial Inputs'!$B$5,'Financial Inputs'!$B$6))</f>
        <v>0.7</v>
      </c>
      <c r="Q1308" s="17">
        <f>O1308*P1308</f>
        <v>1575000</v>
      </c>
      <c r="R1308" s="16">
        <f>'Financial Inputs'!$B$7</f>
        <v>0.35</v>
      </c>
      <c r="S1308" s="17">
        <f>Q1308*(1-R1308)</f>
        <v>1023750</v>
      </c>
      <c r="T1308" s="18">
        <f>S1308/'Financial Inputs'!$B$3</f>
        <v>1.02375E-2</v>
      </c>
      <c r="U1308" s="9" t="s">
        <v>52</v>
      </c>
      <c r="V1308" s="3" t="s">
        <v>53</v>
      </c>
    </row>
    <row r="1309" spans="1:22">
      <c r="A1309" s="2" t="s">
        <v>4154</v>
      </c>
      <c r="B1309" s="2" t="s">
        <v>4155</v>
      </c>
      <c r="C1309" s="2" t="s">
        <v>4132</v>
      </c>
      <c r="D1309" s="2" t="s">
        <v>102</v>
      </c>
      <c r="E1309" s="2" t="s">
        <v>103</v>
      </c>
      <c r="F1309" s="2" t="s">
        <v>104</v>
      </c>
      <c r="G1309" s="2" t="s">
        <v>83</v>
      </c>
      <c r="H1309" s="2" t="s">
        <v>498</v>
      </c>
      <c r="I1309" s="2" t="s">
        <v>499</v>
      </c>
      <c r="J1309" s="2" t="s">
        <v>4133</v>
      </c>
      <c r="K1309" s="2" t="s">
        <v>4156</v>
      </c>
      <c r="L1309" s="2" t="s">
        <v>106</v>
      </c>
      <c r="M1309" s="2" t="s">
        <v>4135</v>
      </c>
      <c r="N1309" s="16">
        <v>2.5000000000000001E-2</v>
      </c>
      <c r="O1309" s="17">
        <f>N1309*'Financial Inputs'!$B$3</f>
        <v>2500000</v>
      </c>
      <c r="P1309" s="18">
        <f>IF(I1309="L",'Financial Inputs'!$B$4,IF(I1309="M",'Financial Inputs'!$B$5,'Financial Inputs'!$B$6))</f>
        <v>0.7</v>
      </c>
      <c r="Q1309" s="17">
        <f>O1309*P1309</f>
        <v>1750000</v>
      </c>
      <c r="R1309" s="16">
        <f>'Financial Inputs'!$B$7</f>
        <v>0.35</v>
      </c>
      <c r="S1309" s="17">
        <f>Q1309*(1-R1309)</f>
        <v>1137500</v>
      </c>
      <c r="T1309" s="18">
        <f>S1309/'Financial Inputs'!$B$3</f>
        <v>1.1375E-2</v>
      </c>
      <c r="U1309" s="9" t="s">
        <v>52</v>
      </c>
      <c r="V1309" s="3" t="s">
        <v>53</v>
      </c>
    </row>
    <row r="1310" spans="1:22">
      <c r="A1310" s="2" t="s">
        <v>4157</v>
      </c>
      <c r="B1310" s="2" t="s">
        <v>4158</v>
      </c>
      <c r="C1310" s="2" t="s">
        <v>4132</v>
      </c>
      <c r="D1310" s="2" t="s">
        <v>42</v>
      </c>
      <c r="E1310" s="2" t="s">
        <v>109</v>
      </c>
      <c r="F1310" s="2" t="s">
        <v>110</v>
      </c>
      <c r="G1310" s="2" t="s">
        <v>111</v>
      </c>
      <c r="H1310" s="2" t="s">
        <v>498</v>
      </c>
      <c r="I1310" s="2" t="s">
        <v>499</v>
      </c>
      <c r="J1310" s="2" t="s">
        <v>4133</v>
      </c>
      <c r="K1310" s="2" t="s">
        <v>4159</v>
      </c>
      <c r="L1310" s="2" t="s">
        <v>113</v>
      </c>
      <c r="M1310" s="2" t="s">
        <v>4135</v>
      </c>
      <c r="N1310" s="16">
        <v>2.75E-2</v>
      </c>
      <c r="O1310" s="17">
        <f>N1310*'Financial Inputs'!$B$3</f>
        <v>2750000</v>
      </c>
      <c r="P1310" s="18">
        <f>IF(I1310="L",'Financial Inputs'!$B$4,IF(I1310="M",'Financial Inputs'!$B$5,'Financial Inputs'!$B$6))</f>
        <v>0.7</v>
      </c>
      <c r="Q1310" s="17">
        <f>O1310*P1310</f>
        <v>1924999.9999999998</v>
      </c>
      <c r="R1310" s="16">
        <f>'Financial Inputs'!$B$7</f>
        <v>0.35</v>
      </c>
      <c r="S1310" s="17">
        <f>Q1310*(1-R1310)</f>
        <v>1251250</v>
      </c>
      <c r="T1310" s="18">
        <f>S1310/'Financial Inputs'!$B$3</f>
        <v>1.2512499999999999E-2</v>
      </c>
      <c r="U1310" s="9" t="s">
        <v>52</v>
      </c>
      <c r="V1310" s="3" t="s">
        <v>53</v>
      </c>
    </row>
    <row r="1311" spans="1:22">
      <c r="A1311" s="2" t="s">
        <v>4160</v>
      </c>
      <c r="B1311" s="2" t="s">
        <v>4161</v>
      </c>
      <c r="C1311" s="2" t="s">
        <v>4132</v>
      </c>
      <c r="D1311" s="2" t="s">
        <v>56</v>
      </c>
      <c r="E1311" s="2" t="s">
        <v>116</v>
      </c>
      <c r="F1311" s="2" t="s">
        <v>117</v>
      </c>
      <c r="G1311" s="2" t="s">
        <v>56</v>
      </c>
      <c r="H1311" s="2" t="s">
        <v>498</v>
      </c>
      <c r="I1311" s="2" t="s">
        <v>499</v>
      </c>
      <c r="J1311" s="2" t="s">
        <v>4133</v>
      </c>
      <c r="K1311" s="2" t="s">
        <v>4162</v>
      </c>
      <c r="L1311" s="2" t="s">
        <v>119</v>
      </c>
      <c r="M1311" s="2" t="s">
        <v>4135</v>
      </c>
      <c r="N1311" s="16">
        <v>3.0000000000000009E-2</v>
      </c>
      <c r="O1311" s="17">
        <f>N1311*'Financial Inputs'!$B$3</f>
        <v>3000000.0000000009</v>
      </c>
      <c r="P1311" s="18">
        <f>IF(I1311="L",'Financial Inputs'!$B$4,IF(I1311="M",'Financial Inputs'!$B$5,'Financial Inputs'!$B$6))</f>
        <v>0.7</v>
      </c>
      <c r="Q1311" s="17">
        <f>O1311*P1311</f>
        <v>2100000.0000000005</v>
      </c>
      <c r="R1311" s="16">
        <f>'Financial Inputs'!$B$7</f>
        <v>0.35</v>
      </c>
      <c r="S1311" s="17">
        <f>Q1311*(1-R1311)</f>
        <v>1365000.0000000005</v>
      </c>
      <c r="T1311" s="18">
        <f>S1311/'Financial Inputs'!$B$3</f>
        <v>1.3650000000000004E-2</v>
      </c>
      <c r="U1311" s="9" t="s">
        <v>52</v>
      </c>
      <c r="V1311" s="3" t="s">
        <v>53</v>
      </c>
    </row>
    <row r="1312" spans="1:22">
      <c r="A1312" s="2" t="s">
        <v>4163</v>
      </c>
      <c r="B1312" s="2" t="s">
        <v>4164</v>
      </c>
      <c r="C1312" s="2" t="s">
        <v>4132</v>
      </c>
      <c r="D1312" s="2" t="s">
        <v>80</v>
      </c>
      <c r="E1312" s="2" t="s">
        <v>122</v>
      </c>
      <c r="F1312" s="2" t="s">
        <v>58</v>
      </c>
      <c r="G1312" s="2" t="s">
        <v>83</v>
      </c>
      <c r="H1312" s="2" t="s">
        <v>498</v>
      </c>
      <c r="I1312" s="2" t="s">
        <v>499</v>
      </c>
      <c r="J1312" s="2" t="s">
        <v>4133</v>
      </c>
      <c r="K1312" s="2" t="s">
        <v>4165</v>
      </c>
      <c r="L1312" s="2" t="s">
        <v>124</v>
      </c>
      <c r="M1312" s="2" t="s">
        <v>4135</v>
      </c>
      <c r="N1312" s="16">
        <v>0.02</v>
      </c>
      <c r="O1312" s="17">
        <f>N1312*'Financial Inputs'!$B$3</f>
        <v>2000000</v>
      </c>
      <c r="P1312" s="18">
        <f>IF(I1312="L",'Financial Inputs'!$B$4,IF(I1312="M",'Financial Inputs'!$B$5,'Financial Inputs'!$B$6))</f>
        <v>0.7</v>
      </c>
      <c r="Q1312" s="17">
        <f>O1312*P1312</f>
        <v>1400000</v>
      </c>
      <c r="R1312" s="16">
        <f>'Financial Inputs'!$B$7</f>
        <v>0.35</v>
      </c>
      <c r="S1312" s="17">
        <f>Q1312*(1-R1312)</f>
        <v>910000</v>
      </c>
      <c r="T1312" s="18">
        <f>S1312/'Financial Inputs'!$B$3</f>
        <v>9.1000000000000004E-3</v>
      </c>
      <c r="U1312" s="9" t="s">
        <v>52</v>
      </c>
      <c r="V1312" s="3" t="s">
        <v>53</v>
      </c>
    </row>
    <row r="1313" spans="1:22">
      <c r="A1313" s="2" t="s">
        <v>4166</v>
      </c>
      <c r="B1313" s="2" t="s">
        <v>4167</v>
      </c>
      <c r="C1313" s="2" t="s">
        <v>4132</v>
      </c>
      <c r="D1313" s="2" t="s">
        <v>127</v>
      </c>
      <c r="E1313" s="2" t="s">
        <v>128</v>
      </c>
      <c r="F1313" s="2" t="s">
        <v>66</v>
      </c>
      <c r="G1313" s="2" t="s">
        <v>111</v>
      </c>
      <c r="H1313" s="2" t="s">
        <v>498</v>
      </c>
      <c r="I1313" s="2" t="s">
        <v>499</v>
      </c>
      <c r="J1313" s="2" t="s">
        <v>4133</v>
      </c>
      <c r="K1313" s="2" t="s">
        <v>4168</v>
      </c>
      <c r="L1313" s="2" t="s">
        <v>130</v>
      </c>
      <c r="M1313" s="2" t="s">
        <v>4135</v>
      </c>
      <c r="N1313" s="16">
        <v>2.2499999999999999E-2</v>
      </c>
      <c r="O1313" s="17">
        <f>N1313*'Financial Inputs'!$B$3</f>
        <v>2250000</v>
      </c>
      <c r="P1313" s="18">
        <f>IF(I1313="L",'Financial Inputs'!$B$4,IF(I1313="M",'Financial Inputs'!$B$5,'Financial Inputs'!$B$6))</f>
        <v>0.7</v>
      </c>
      <c r="Q1313" s="17">
        <f>O1313*P1313</f>
        <v>1575000</v>
      </c>
      <c r="R1313" s="16">
        <f>'Financial Inputs'!$B$7</f>
        <v>0.35</v>
      </c>
      <c r="S1313" s="17">
        <f>Q1313*(1-R1313)</f>
        <v>1023750</v>
      </c>
      <c r="T1313" s="18">
        <f>S1313/'Financial Inputs'!$B$3</f>
        <v>1.02375E-2</v>
      </c>
      <c r="U1313" s="9" t="s">
        <v>52</v>
      </c>
      <c r="V1313" s="3" t="s">
        <v>53</v>
      </c>
    </row>
    <row r="1314" spans="1:22">
      <c r="A1314" s="2" t="s">
        <v>4169</v>
      </c>
      <c r="B1314" s="2" t="s">
        <v>4170</v>
      </c>
      <c r="C1314" s="2" t="s">
        <v>4132</v>
      </c>
      <c r="D1314" s="2" t="s">
        <v>133</v>
      </c>
      <c r="E1314" s="2" t="s">
        <v>43</v>
      </c>
      <c r="F1314" s="2" t="s">
        <v>74</v>
      </c>
      <c r="G1314" s="2" t="s">
        <v>56</v>
      </c>
      <c r="H1314" s="2" t="s">
        <v>498</v>
      </c>
      <c r="I1314" s="2" t="s">
        <v>499</v>
      </c>
      <c r="J1314" s="2" t="s">
        <v>4133</v>
      </c>
      <c r="K1314" s="2" t="s">
        <v>4171</v>
      </c>
      <c r="L1314" s="2" t="s">
        <v>135</v>
      </c>
      <c r="M1314" s="2" t="s">
        <v>4135</v>
      </c>
      <c r="N1314" s="16">
        <v>2.5000000000000001E-2</v>
      </c>
      <c r="O1314" s="17">
        <f>N1314*'Financial Inputs'!$B$3</f>
        <v>2500000</v>
      </c>
      <c r="P1314" s="18">
        <f>IF(I1314="L",'Financial Inputs'!$B$4,IF(I1314="M",'Financial Inputs'!$B$5,'Financial Inputs'!$B$6))</f>
        <v>0.7</v>
      </c>
      <c r="Q1314" s="17">
        <f>O1314*P1314</f>
        <v>1750000</v>
      </c>
      <c r="R1314" s="16">
        <f>'Financial Inputs'!$B$7</f>
        <v>0.35</v>
      </c>
      <c r="S1314" s="17">
        <f>Q1314*(1-R1314)</f>
        <v>1137500</v>
      </c>
      <c r="T1314" s="18">
        <f>S1314/'Financial Inputs'!$B$3</f>
        <v>1.1375E-2</v>
      </c>
      <c r="U1314" s="9" t="s">
        <v>52</v>
      </c>
      <c r="V1314" s="3" t="s">
        <v>53</v>
      </c>
    </row>
    <row r="1315" spans="1:22">
      <c r="A1315" s="2" t="s">
        <v>4172</v>
      </c>
      <c r="B1315" s="2" t="s">
        <v>4173</v>
      </c>
      <c r="C1315" s="2" t="s">
        <v>4132</v>
      </c>
      <c r="D1315" s="2" t="s">
        <v>88</v>
      </c>
      <c r="E1315" s="2" t="s">
        <v>57</v>
      </c>
      <c r="F1315" s="2" t="s">
        <v>82</v>
      </c>
      <c r="G1315" s="2" t="s">
        <v>138</v>
      </c>
      <c r="H1315" s="2" t="s">
        <v>498</v>
      </c>
      <c r="I1315" s="2" t="s">
        <v>499</v>
      </c>
      <c r="J1315" s="2" t="s">
        <v>4133</v>
      </c>
      <c r="K1315" s="2" t="s">
        <v>4174</v>
      </c>
      <c r="L1315" s="2" t="s">
        <v>140</v>
      </c>
      <c r="M1315" s="2" t="s">
        <v>4135</v>
      </c>
      <c r="N1315" s="16">
        <v>2.75E-2</v>
      </c>
      <c r="O1315" s="17">
        <f>N1315*'Financial Inputs'!$B$3</f>
        <v>2750000</v>
      </c>
      <c r="P1315" s="18">
        <f>IF(I1315="L",'Financial Inputs'!$B$4,IF(I1315="M",'Financial Inputs'!$B$5,'Financial Inputs'!$B$6))</f>
        <v>0.7</v>
      </c>
      <c r="Q1315" s="17">
        <f>O1315*P1315</f>
        <v>1924999.9999999998</v>
      </c>
      <c r="R1315" s="16">
        <f>'Financial Inputs'!$B$7</f>
        <v>0.35</v>
      </c>
      <c r="S1315" s="17">
        <f>Q1315*(1-R1315)</f>
        <v>1251250</v>
      </c>
      <c r="T1315" s="18">
        <f>S1315/'Financial Inputs'!$B$3</f>
        <v>1.2512499999999999E-2</v>
      </c>
      <c r="U1315" s="9" t="s">
        <v>52</v>
      </c>
      <c r="V1315" s="3" t="s">
        <v>53</v>
      </c>
    </row>
    <row r="1316" spans="1:22">
      <c r="A1316" s="2" t="s">
        <v>4175</v>
      </c>
      <c r="B1316" s="2" t="s">
        <v>4176</v>
      </c>
      <c r="C1316" s="2" t="s">
        <v>4132</v>
      </c>
      <c r="D1316" s="2" t="s">
        <v>95</v>
      </c>
      <c r="E1316" s="2" t="s">
        <v>65</v>
      </c>
      <c r="F1316" s="2" t="s">
        <v>44</v>
      </c>
      <c r="G1316" s="2" t="s">
        <v>143</v>
      </c>
      <c r="H1316" s="2" t="s">
        <v>498</v>
      </c>
      <c r="I1316" s="2" t="s">
        <v>499</v>
      </c>
      <c r="J1316" s="2" t="s">
        <v>4133</v>
      </c>
      <c r="K1316" s="2" t="s">
        <v>4177</v>
      </c>
      <c r="L1316" s="2" t="s">
        <v>145</v>
      </c>
      <c r="M1316" s="2" t="s">
        <v>4135</v>
      </c>
      <c r="N1316" s="16">
        <v>3.0000000000000009E-2</v>
      </c>
      <c r="O1316" s="17">
        <f>N1316*'Financial Inputs'!$B$3</f>
        <v>3000000.0000000009</v>
      </c>
      <c r="P1316" s="18">
        <f>IF(I1316="L",'Financial Inputs'!$B$4,IF(I1316="M",'Financial Inputs'!$B$5,'Financial Inputs'!$B$6))</f>
        <v>0.7</v>
      </c>
      <c r="Q1316" s="17">
        <f>O1316*P1316</f>
        <v>2100000.0000000005</v>
      </c>
      <c r="R1316" s="16">
        <f>'Financial Inputs'!$B$7</f>
        <v>0.35</v>
      </c>
      <c r="S1316" s="17">
        <f>Q1316*(1-R1316)</f>
        <v>1365000.0000000005</v>
      </c>
      <c r="T1316" s="18">
        <f>S1316/'Financial Inputs'!$B$3</f>
        <v>1.3650000000000004E-2</v>
      </c>
      <c r="U1316" s="9" t="s">
        <v>52</v>
      </c>
      <c r="V1316" s="3" t="s">
        <v>53</v>
      </c>
    </row>
    <row r="1317" spans="1:22">
      <c r="A1317" s="2" t="s">
        <v>4178</v>
      </c>
      <c r="B1317" s="2" t="s">
        <v>4179</v>
      </c>
      <c r="C1317" s="2" t="s">
        <v>4132</v>
      </c>
      <c r="D1317" s="2" t="s">
        <v>56</v>
      </c>
      <c r="E1317" s="2" t="s">
        <v>148</v>
      </c>
      <c r="F1317" s="2" t="s">
        <v>97</v>
      </c>
      <c r="G1317" s="2" t="s">
        <v>56</v>
      </c>
      <c r="H1317" s="2" t="s">
        <v>498</v>
      </c>
      <c r="I1317" s="2" t="s">
        <v>499</v>
      </c>
      <c r="J1317" s="2" t="s">
        <v>4133</v>
      </c>
      <c r="K1317" s="2" t="s">
        <v>4180</v>
      </c>
      <c r="L1317" s="2" t="s">
        <v>150</v>
      </c>
      <c r="M1317" s="2" t="s">
        <v>4135</v>
      </c>
      <c r="N1317" s="16">
        <v>0.02</v>
      </c>
      <c r="O1317" s="17">
        <f>N1317*'Financial Inputs'!$B$3</f>
        <v>2000000</v>
      </c>
      <c r="P1317" s="18">
        <f>IF(I1317="L",'Financial Inputs'!$B$4,IF(I1317="M",'Financial Inputs'!$B$5,'Financial Inputs'!$B$6))</f>
        <v>0.7</v>
      </c>
      <c r="Q1317" s="17">
        <f>O1317*P1317</f>
        <v>1400000</v>
      </c>
      <c r="R1317" s="16">
        <f>'Financial Inputs'!$B$7</f>
        <v>0.35</v>
      </c>
      <c r="S1317" s="17">
        <f>Q1317*(1-R1317)</f>
        <v>910000</v>
      </c>
      <c r="T1317" s="18">
        <f>S1317/'Financial Inputs'!$B$3</f>
        <v>9.1000000000000004E-3</v>
      </c>
      <c r="U1317" s="9" t="s">
        <v>52</v>
      </c>
      <c r="V1317" s="3" t="s">
        <v>53</v>
      </c>
    </row>
    <row r="1318" spans="1:22">
      <c r="A1318" s="2" t="s">
        <v>4181</v>
      </c>
      <c r="B1318" s="2" t="s">
        <v>4182</v>
      </c>
      <c r="C1318" s="2" t="s">
        <v>4132</v>
      </c>
      <c r="D1318" s="2" t="s">
        <v>64</v>
      </c>
      <c r="E1318" s="2" t="s">
        <v>153</v>
      </c>
      <c r="F1318" s="2" t="s">
        <v>104</v>
      </c>
      <c r="G1318" s="2" t="s">
        <v>138</v>
      </c>
      <c r="H1318" s="2" t="s">
        <v>498</v>
      </c>
      <c r="I1318" s="2" t="s">
        <v>499</v>
      </c>
      <c r="J1318" s="2" t="s">
        <v>4133</v>
      </c>
      <c r="K1318" s="2" t="s">
        <v>4183</v>
      </c>
      <c r="L1318" s="2" t="s">
        <v>155</v>
      </c>
      <c r="M1318" s="2" t="s">
        <v>4135</v>
      </c>
      <c r="N1318" s="16">
        <v>2.2499999999999999E-2</v>
      </c>
      <c r="O1318" s="17">
        <f>N1318*'Financial Inputs'!$B$3</f>
        <v>2250000</v>
      </c>
      <c r="P1318" s="18">
        <f>IF(I1318="L",'Financial Inputs'!$B$4,IF(I1318="M",'Financial Inputs'!$B$5,'Financial Inputs'!$B$6))</f>
        <v>0.7</v>
      </c>
      <c r="Q1318" s="17">
        <f>O1318*P1318</f>
        <v>1575000</v>
      </c>
      <c r="R1318" s="16">
        <f>'Financial Inputs'!$B$7</f>
        <v>0.35</v>
      </c>
      <c r="S1318" s="17">
        <f>Q1318*(1-R1318)</f>
        <v>1023750</v>
      </c>
      <c r="T1318" s="18">
        <f>S1318/'Financial Inputs'!$B$3</f>
        <v>1.02375E-2</v>
      </c>
      <c r="U1318" s="9" t="s">
        <v>52</v>
      </c>
      <c r="V1318" s="3" t="s">
        <v>53</v>
      </c>
    </row>
    <row r="1319" spans="1:22">
      <c r="A1319" s="2" t="s">
        <v>4184</v>
      </c>
      <c r="B1319" s="2" t="s">
        <v>4185</v>
      </c>
      <c r="C1319" s="2" t="s">
        <v>4132</v>
      </c>
      <c r="D1319" s="2" t="s">
        <v>72</v>
      </c>
      <c r="E1319" s="2" t="s">
        <v>89</v>
      </c>
      <c r="F1319" s="2" t="s">
        <v>110</v>
      </c>
      <c r="G1319" s="2" t="s">
        <v>143</v>
      </c>
      <c r="H1319" s="2" t="s">
        <v>498</v>
      </c>
      <c r="I1319" s="2" t="s">
        <v>499</v>
      </c>
      <c r="J1319" s="2" t="s">
        <v>4133</v>
      </c>
      <c r="K1319" s="2" t="s">
        <v>4186</v>
      </c>
      <c r="L1319" s="2" t="s">
        <v>159</v>
      </c>
      <c r="M1319" s="2" t="s">
        <v>4135</v>
      </c>
      <c r="N1319" s="16">
        <v>2.5000000000000001E-2</v>
      </c>
      <c r="O1319" s="17">
        <f>N1319*'Financial Inputs'!$B$3</f>
        <v>2500000</v>
      </c>
      <c r="P1319" s="18">
        <f>IF(I1319="L",'Financial Inputs'!$B$4,IF(I1319="M",'Financial Inputs'!$B$5,'Financial Inputs'!$B$6))</f>
        <v>0.7</v>
      </c>
      <c r="Q1319" s="17">
        <f>O1319*P1319</f>
        <v>1750000</v>
      </c>
      <c r="R1319" s="16">
        <f>'Financial Inputs'!$B$7</f>
        <v>0.35</v>
      </c>
      <c r="S1319" s="17">
        <f>Q1319*(1-R1319)</f>
        <v>1137500</v>
      </c>
      <c r="T1319" s="18">
        <f>S1319/'Financial Inputs'!$B$3</f>
        <v>1.1375E-2</v>
      </c>
      <c r="U1319" s="9" t="s">
        <v>52</v>
      </c>
      <c r="V1319" s="3" t="s">
        <v>53</v>
      </c>
    </row>
    <row r="1320" spans="1:22">
      <c r="A1320" s="2" t="s">
        <v>4187</v>
      </c>
      <c r="B1320" s="2" t="s">
        <v>4188</v>
      </c>
      <c r="C1320" s="2" t="s">
        <v>4132</v>
      </c>
      <c r="D1320" s="2" t="s">
        <v>80</v>
      </c>
      <c r="E1320" s="2" t="s">
        <v>96</v>
      </c>
      <c r="F1320" s="2" t="s">
        <v>117</v>
      </c>
      <c r="G1320" s="2" t="s">
        <v>162</v>
      </c>
      <c r="H1320" s="2" t="s">
        <v>498</v>
      </c>
      <c r="I1320" s="2" t="s">
        <v>499</v>
      </c>
      <c r="J1320" s="2" t="s">
        <v>4133</v>
      </c>
      <c r="K1320" s="2" t="s">
        <v>4189</v>
      </c>
      <c r="L1320" s="2" t="s">
        <v>164</v>
      </c>
      <c r="M1320" s="2" t="s">
        <v>4135</v>
      </c>
      <c r="N1320" s="16">
        <v>2.75E-2</v>
      </c>
      <c r="O1320" s="17">
        <f>N1320*'Financial Inputs'!$B$3</f>
        <v>2750000</v>
      </c>
      <c r="P1320" s="18">
        <f>IF(I1320="L",'Financial Inputs'!$B$4,IF(I1320="M",'Financial Inputs'!$B$5,'Financial Inputs'!$B$6))</f>
        <v>0.7</v>
      </c>
      <c r="Q1320" s="17">
        <f>O1320*P1320</f>
        <v>1924999.9999999998</v>
      </c>
      <c r="R1320" s="16">
        <f>'Financial Inputs'!$B$7</f>
        <v>0.35</v>
      </c>
      <c r="S1320" s="17">
        <f>Q1320*(1-R1320)</f>
        <v>1251250</v>
      </c>
      <c r="T1320" s="18">
        <f>S1320/'Financial Inputs'!$B$3</f>
        <v>1.2512499999999999E-2</v>
      </c>
      <c r="U1320" s="9" t="s">
        <v>52</v>
      </c>
      <c r="V1320" s="3" t="s">
        <v>53</v>
      </c>
    </row>
    <row r="1321" spans="1:22">
      <c r="A1321" s="2" t="s">
        <v>4190</v>
      </c>
      <c r="B1321" s="2" t="s">
        <v>4191</v>
      </c>
      <c r="C1321" s="2" t="s">
        <v>4132</v>
      </c>
      <c r="D1321" s="2" t="s">
        <v>127</v>
      </c>
      <c r="E1321" s="2" t="s">
        <v>103</v>
      </c>
      <c r="F1321" s="2" t="s">
        <v>90</v>
      </c>
      <c r="G1321" s="2" t="s">
        <v>45</v>
      </c>
      <c r="H1321" s="2" t="s">
        <v>498</v>
      </c>
      <c r="I1321" s="2" t="s">
        <v>499</v>
      </c>
      <c r="J1321" s="2" t="s">
        <v>4133</v>
      </c>
      <c r="K1321" s="2" t="s">
        <v>4192</v>
      </c>
      <c r="L1321" s="2" t="s">
        <v>168</v>
      </c>
      <c r="M1321" s="2" t="s">
        <v>4135</v>
      </c>
      <c r="N1321" s="16">
        <v>3.0000000000000009E-2</v>
      </c>
      <c r="O1321" s="17">
        <f>N1321*'Financial Inputs'!$B$3</f>
        <v>3000000.0000000009</v>
      </c>
      <c r="P1321" s="18">
        <f>IF(I1321="L",'Financial Inputs'!$B$4,IF(I1321="M",'Financial Inputs'!$B$5,'Financial Inputs'!$B$6))</f>
        <v>0.7</v>
      </c>
      <c r="Q1321" s="17">
        <f>O1321*P1321</f>
        <v>2100000.0000000005</v>
      </c>
      <c r="R1321" s="16">
        <f>'Financial Inputs'!$B$7</f>
        <v>0.35</v>
      </c>
      <c r="S1321" s="17">
        <f>Q1321*(1-R1321)</f>
        <v>1365000.0000000005</v>
      </c>
      <c r="T1321" s="18">
        <f>S1321/'Financial Inputs'!$B$3</f>
        <v>1.3650000000000004E-2</v>
      </c>
      <c r="U1321" s="9" t="s">
        <v>52</v>
      </c>
      <c r="V1321" s="3" t="s">
        <v>53</v>
      </c>
    </row>
    <row r="1322" spans="1:22">
      <c r="A1322" s="2" t="s">
        <v>4193</v>
      </c>
      <c r="B1322" s="2" t="s">
        <v>4194</v>
      </c>
      <c r="C1322" s="2" t="s">
        <v>4132</v>
      </c>
      <c r="D1322" s="2" t="s">
        <v>95</v>
      </c>
      <c r="E1322" s="2" t="s">
        <v>171</v>
      </c>
      <c r="F1322" s="2" t="s">
        <v>66</v>
      </c>
      <c r="G1322" s="2" t="s">
        <v>143</v>
      </c>
      <c r="H1322" s="2" t="s">
        <v>498</v>
      </c>
      <c r="I1322" s="2" t="s">
        <v>499</v>
      </c>
      <c r="J1322" s="2" t="s">
        <v>4133</v>
      </c>
      <c r="K1322" s="2" t="s">
        <v>4195</v>
      </c>
      <c r="L1322" s="2" t="s">
        <v>173</v>
      </c>
      <c r="M1322" s="2" t="s">
        <v>4135</v>
      </c>
      <c r="N1322" s="16">
        <v>0.02</v>
      </c>
      <c r="O1322" s="17">
        <f>N1322*'Financial Inputs'!$B$3</f>
        <v>2000000</v>
      </c>
      <c r="P1322" s="18">
        <f>IF(I1322="L",'Financial Inputs'!$B$4,IF(I1322="M",'Financial Inputs'!$B$5,'Financial Inputs'!$B$6))</f>
        <v>0.7</v>
      </c>
      <c r="Q1322" s="17">
        <f>O1322*P1322</f>
        <v>1400000</v>
      </c>
      <c r="R1322" s="16">
        <f>'Financial Inputs'!$B$7</f>
        <v>0.35</v>
      </c>
      <c r="S1322" s="17">
        <f>Q1322*(1-R1322)</f>
        <v>910000</v>
      </c>
      <c r="T1322" s="18">
        <f>S1322/'Financial Inputs'!$B$3</f>
        <v>9.1000000000000004E-3</v>
      </c>
      <c r="U1322" s="9" t="s">
        <v>52</v>
      </c>
      <c r="V1322" s="3" t="s">
        <v>53</v>
      </c>
    </row>
    <row r="1323" spans="1:22">
      <c r="A1323" s="2" t="s">
        <v>4196</v>
      </c>
      <c r="B1323" s="2" t="s">
        <v>4197</v>
      </c>
      <c r="C1323" s="2" t="s">
        <v>4132</v>
      </c>
      <c r="D1323" s="2" t="s">
        <v>102</v>
      </c>
      <c r="E1323" s="2" t="s">
        <v>176</v>
      </c>
      <c r="F1323" s="2" t="s">
        <v>74</v>
      </c>
      <c r="G1323" s="2" t="s">
        <v>162</v>
      </c>
      <c r="H1323" s="2" t="s">
        <v>498</v>
      </c>
      <c r="I1323" s="2" t="s">
        <v>499</v>
      </c>
      <c r="J1323" s="2" t="s">
        <v>4133</v>
      </c>
      <c r="K1323" s="2" t="s">
        <v>4198</v>
      </c>
      <c r="L1323" s="2" t="s">
        <v>178</v>
      </c>
      <c r="M1323" s="2" t="s">
        <v>4135</v>
      </c>
      <c r="N1323" s="16">
        <v>2.2499999999999999E-2</v>
      </c>
      <c r="O1323" s="17">
        <f>N1323*'Financial Inputs'!$B$3</f>
        <v>2250000</v>
      </c>
      <c r="P1323" s="18">
        <f>IF(I1323="L",'Financial Inputs'!$B$4,IF(I1323="M",'Financial Inputs'!$B$5,'Financial Inputs'!$B$6))</f>
        <v>0.7</v>
      </c>
      <c r="Q1323" s="17">
        <f>O1323*P1323</f>
        <v>1575000</v>
      </c>
      <c r="R1323" s="16">
        <f>'Financial Inputs'!$B$7</f>
        <v>0.35</v>
      </c>
      <c r="S1323" s="17">
        <f>Q1323*(1-R1323)</f>
        <v>1023750</v>
      </c>
      <c r="T1323" s="18">
        <f>S1323/'Financial Inputs'!$B$3</f>
        <v>1.02375E-2</v>
      </c>
      <c r="U1323" s="9" t="s">
        <v>52</v>
      </c>
      <c r="V1323" s="3" t="s">
        <v>53</v>
      </c>
    </row>
    <row r="1324" spans="1:22">
      <c r="A1324" s="2" t="s">
        <v>4199</v>
      </c>
      <c r="B1324" s="2" t="s">
        <v>4200</v>
      </c>
      <c r="C1324" s="2" t="s">
        <v>4132</v>
      </c>
      <c r="D1324" s="2" t="s">
        <v>42</v>
      </c>
      <c r="E1324" s="2" t="s">
        <v>122</v>
      </c>
      <c r="F1324" s="2" t="s">
        <v>82</v>
      </c>
      <c r="G1324" s="2" t="s">
        <v>45</v>
      </c>
      <c r="H1324" s="2" t="s">
        <v>498</v>
      </c>
      <c r="I1324" s="2" t="s">
        <v>499</v>
      </c>
      <c r="J1324" s="2" t="s">
        <v>4133</v>
      </c>
      <c r="K1324" s="2" t="s">
        <v>4201</v>
      </c>
      <c r="L1324" s="2" t="s">
        <v>182</v>
      </c>
      <c r="M1324" s="2" t="s">
        <v>4135</v>
      </c>
      <c r="N1324" s="16">
        <v>2.5000000000000001E-2</v>
      </c>
      <c r="O1324" s="17">
        <f>N1324*'Financial Inputs'!$B$3</f>
        <v>2500000</v>
      </c>
      <c r="P1324" s="18">
        <f>IF(I1324="L",'Financial Inputs'!$B$4,IF(I1324="M",'Financial Inputs'!$B$5,'Financial Inputs'!$B$6))</f>
        <v>0.7</v>
      </c>
      <c r="Q1324" s="17">
        <f>O1324*P1324</f>
        <v>1750000</v>
      </c>
      <c r="R1324" s="16">
        <f>'Financial Inputs'!$B$7</f>
        <v>0.35</v>
      </c>
      <c r="S1324" s="17">
        <f>Q1324*(1-R1324)</f>
        <v>1137500</v>
      </c>
      <c r="T1324" s="18">
        <f>S1324/'Financial Inputs'!$B$3</f>
        <v>1.1375E-2</v>
      </c>
      <c r="U1324" s="9" t="s">
        <v>52</v>
      </c>
      <c r="V1324" s="3" t="s">
        <v>53</v>
      </c>
    </row>
    <row r="1325" spans="1:22">
      <c r="A1325" s="2" t="s">
        <v>4202</v>
      </c>
      <c r="B1325" s="2" t="s">
        <v>4203</v>
      </c>
      <c r="C1325" s="2" t="s">
        <v>4132</v>
      </c>
      <c r="D1325" s="2" t="s">
        <v>56</v>
      </c>
      <c r="E1325" s="2" t="s">
        <v>128</v>
      </c>
      <c r="F1325" s="2" t="s">
        <v>44</v>
      </c>
      <c r="G1325" s="2" t="s">
        <v>59</v>
      </c>
      <c r="H1325" s="2" t="s">
        <v>498</v>
      </c>
      <c r="I1325" s="2" t="s">
        <v>499</v>
      </c>
      <c r="J1325" s="2" t="s">
        <v>4133</v>
      </c>
      <c r="K1325" s="2" t="s">
        <v>4204</v>
      </c>
      <c r="L1325" s="2" t="s">
        <v>186</v>
      </c>
      <c r="M1325" s="2" t="s">
        <v>4135</v>
      </c>
      <c r="N1325" s="16">
        <v>2.75E-2</v>
      </c>
      <c r="O1325" s="17">
        <f>N1325*'Financial Inputs'!$B$3</f>
        <v>2750000</v>
      </c>
      <c r="P1325" s="18">
        <f>IF(I1325="L",'Financial Inputs'!$B$4,IF(I1325="M",'Financial Inputs'!$B$5,'Financial Inputs'!$B$6))</f>
        <v>0.7</v>
      </c>
      <c r="Q1325" s="17">
        <f>O1325*P1325</f>
        <v>1924999.9999999998</v>
      </c>
      <c r="R1325" s="16">
        <f>'Financial Inputs'!$B$7</f>
        <v>0.35</v>
      </c>
      <c r="S1325" s="17">
        <f>Q1325*(1-R1325)</f>
        <v>1251250</v>
      </c>
      <c r="T1325" s="18">
        <f>S1325/'Financial Inputs'!$B$3</f>
        <v>1.2512499999999999E-2</v>
      </c>
      <c r="U1325" s="9" t="s">
        <v>52</v>
      </c>
      <c r="V1325" s="3" t="s">
        <v>53</v>
      </c>
    </row>
    <row r="1326" spans="1:22">
      <c r="A1326" s="2" t="s">
        <v>4205</v>
      </c>
      <c r="B1326" s="2" t="s">
        <v>4206</v>
      </c>
      <c r="C1326" s="2" t="s">
        <v>4132</v>
      </c>
      <c r="D1326" s="2" t="s">
        <v>64</v>
      </c>
      <c r="E1326" s="2" t="s">
        <v>43</v>
      </c>
      <c r="F1326" s="2" t="s">
        <v>58</v>
      </c>
      <c r="G1326" s="2" t="s">
        <v>67</v>
      </c>
      <c r="H1326" s="2" t="s">
        <v>498</v>
      </c>
      <c r="I1326" s="2" t="s">
        <v>499</v>
      </c>
      <c r="J1326" s="2" t="s">
        <v>4133</v>
      </c>
      <c r="K1326" s="2" t="s">
        <v>4207</v>
      </c>
      <c r="L1326" s="2" t="s">
        <v>190</v>
      </c>
      <c r="M1326" s="2" t="s">
        <v>4135</v>
      </c>
      <c r="N1326" s="16">
        <v>3.0000000000000009E-2</v>
      </c>
      <c r="O1326" s="17">
        <f>N1326*'Financial Inputs'!$B$3</f>
        <v>3000000.0000000009</v>
      </c>
      <c r="P1326" s="18">
        <f>IF(I1326="L",'Financial Inputs'!$B$4,IF(I1326="M",'Financial Inputs'!$B$5,'Financial Inputs'!$B$6))</f>
        <v>0.7</v>
      </c>
      <c r="Q1326" s="17">
        <f>O1326*P1326</f>
        <v>2100000.0000000005</v>
      </c>
      <c r="R1326" s="16">
        <f>'Financial Inputs'!$B$7</f>
        <v>0.35</v>
      </c>
      <c r="S1326" s="17">
        <f>Q1326*(1-R1326)</f>
        <v>1365000.0000000005</v>
      </c>
      <c r="T1326" s="18">
        <f>S1326/'Financial Inputs'!$B$3</f>
        <v>1.3650000000000004E-2</v>
      </c>
      <c r="U1326" s="9" t="s">
        <v>52</v>
      </c>
      <c r="V1326" s="3" t="s">
        <v>53</v>
      </c>
    </row>
    <row r="1327" spans="1:22">
      <c r="A1327" s="2" t="s">
        <v>4208</v>
      </c>
      <c r="B1327" s="2" t="s">
        <v>4209</v>
      </c>
      <c r="C1327" s="2" t="s">
        <v>4132</v>
      </c>
      <c r="D1327" s="2" t="s">
        <v>127</v>
      </c>
      <c r="E1327" s="2" t="s">
        <v>193</v>
      </c>
      <c r="F1327" s="2" t="s">
        <v>104</v>
      </c>
      <c r="G1327" s="2" t="s">
        <v>45</v>
      </c>
      <c r="H1327" s="2" t="s">
        <v>498</v>
      </c>
      <c r="I1327" s="2" t="s">
        <v>499</v>
      </c>
      <c r="J1327" s="2" t="s">
        <v>4133</v>
      </c>
      <c r="K1327" s="2" t="s">
        <v>4210</v>
      </c>
      <c r="L1327" s="2" t="s">
        <v>195</v>
      </c>
      <c r="M1327" s="2" t="s">
        <v>4135</v>
      </c>
      <c r="N1327" s="16">
        <v>0.02</v>
      </c>
      <c r="O1327" s="17">
        <f>N1327*'Financial Inputs'!$B$3</f>
        <v>2000000</v>
      </c>
      <c r="P1327" s="18">
        <f>IF(I1327="L",'Financial Inputs'!$B$4,IF(I1327="M",'Financial Inputs'!$B$5,'Financial Inputs'!$B$6))</f>
        <v>0.7</v>
      </c>
      <c r="Q1327" s="17">
        <f>O1327*P1327</f>
        <v>1400000</v>
      </c>
      <c r="R1327" s="16">
        <f>'Financial Inputs'!$B$7</f>
        <v>0.35</v>
      </c>
      <c r="S1327" s="17">
        <f>Q1327*(1-R1327)</f>
        <v>910000</v>
      </c>
      <c r="T1327" s="18">
        <f>S1327/'Financial Inputs'!$B$3</f>
        <v>9.1000000000000004E-3</v>
      </c>
      <c r="U1327" s="9" t="s">
        <v>52</v>
      </c>
      <c r="V1327" s="3" t="s">
        <v>53</v>
      </c>
    </row>
    <row r="1328" spans="1:22">
      <c r="A1328" s="2" t="s">
        <v>4211</v>
      </c>
      <c r="B1328" s="2" t="s">
        <v>4212</v>
      </c>
      <c r="C1328" s="2" t="s">
        <v>4132</v>
      </c>
      <c r="D1328" s="2" t="s">
        <v>133</v>
      </c>
      <c r="E1328" s="2" t="s">
        <v>198</v>
      </c>
      <c r="F1328" s="2" t="s">
        <v>110</v>
      </c>
      <c r="G1328" s="2" t="s">
        <v>59</v>
      </c>
      <c r="H1328" s="2" t="s">
        <v>498</v>
      </c>
      <c r="I1328" s="2" t="s">
        <v>499</v>
      </c>
      <c r="J1328" s="2" t="s">
        <v>4133</v>
      </c>
      <c r="K1328" s="2" t="s">
        <v>4213</v>
      </c>
      <c r="L1328" s="2" t="s">
        <v>200</v>
      </c>
      <c r="M1328" s="2" t="s">
        <v>4135</v>
      </c>
      <c r="N1328" s="16">
        <v>2.2499999999999999E-2</v>
      </c>
      <c r="O1328" s="17">
        <f>N1328*'Financial Inputs'!$B$3</f>
        <v>2250000</v>
      </c>
      <c r="P1328" s="18">
        <f>IF(I1328="L",'Financial Inputs'!$B$4,IF(I1328="M",'Financial Inputs'!$B$5,'Financial Inputs'!$B$6))</f>
        <v>0.7</v>
      </c>
      <c r="Q1328" s="17">
        <f>O1328*P1328</f>
        <v>1575000</v>
      </c>
      <c r="R1328" s="16">
        <f>'Financial Inputs'!$B$7</f>
        <v>0.35</v>
      </c>
      <c r="S1328" s="17">
        <f>Q1328*(1-R1328)</f>
        <v>1023750</v>
      </c>
      <c r="T1328" s="18">
        <f>S1328/'Financial Inputs'!$B$3</f>
        <v>1.02375E-2</v>
      </c>
      <c r="U1328" s="9" t="s">
        <v>52</v>
      </c>
      <c r="V1328" s="3" t="s">
        <v>53</v>
      </c>
    </row>
    <row r="1329" spans="1:22">
      <c r="A1329" s="2" t="s">
        <v>4214</v>
      </c>
      <c r="B1329" s="2" t="s">
        <v>4215</v>
      </c>
      <c r="C1329" s="2" t="s">
        <v>4132</v>
      </c>
      <c r="D1329" s="2" t="s">
        <v>88</v>
      </c>
      <c r="E1329" s="2" t="s">
        <v>148</v>
      </c>
      <c r="F1329" s="2" t="s">
        <v>117</v>
      </c>
      <c r="G1329" s="2" t="s">
        <v>67</v>
      </c>
      <c r="H1329" s="2" t="s">
        <v>498</v>
      </c>
      <c r="I1329" s="2" t="s">
        <v>499</v>
      </c>
      <c r="J1329" s="2" t="s">
        <v>4133</v>
      </c>
      <c r="K1329" s="2" t="s">
        <v>4216</v>
      </c>
      <c r="L1329" s="2" t="s">
        <v>204</v>
      </c>
      <c r="M1329" s="2" t="s">
        <v>4135</v>
      </c>
      <c r="N1329" s="16">
        <v>2.5000000000000001E-2</v>
      </c>
      <c r="O1329" s="17">
        <f>N1329*'Financial Inputs'!$B$3</f>
        <v>2500000</v>
      </c>
      <c r="P1329" s="18">
        <f>IF(I1329="L",'Financial Inputs'!$B$4,IF(I1329="M",'Financial Inputs'!$B$5,'Financial Inputs'!$B$6))</f>
        <v>0.7</v>
      </c>
      <c r="Q1329" s="17">
        <f>O1329*P1329</f>
        <v>1750000</v>
      </c>
      <c r="R1329" s="16">
        <f>'Financial Inputs'!$B$7</f>
        <v>0.35</v>
      </c>
      <c r="S1329" s="17">
        <f>Q1329*(1-R1329)</f>
        <v>1137500</v>
      </c>
      <c r="T1329" s="18">
        <f>S1329/'Financial Inputs'!$B$3</f>
        <v>1.1375E-2</v>
      </c>
      <c r="U1329" s="9" t="s">
        <v>52</v>
      </c>
      <c r="V1329" s="3" t="s">
        <v>53</v>
      </c>
    </row>
    <row r="1330" spans="1:22">
      <c r="A1330" s="2" t="s">
        <v>4217</v>
      </c>
      <c r="B1330" s="2" t="s">
        <v>4218</v>
      </c>
      <c r="C1330" s="2" t="s">
        <v>4132</v>
      </c>
      <c r="D1330" s="2" t="s">
        <v>95</v>
      </c>
      <c r="E1330" s="2" t="s">
        <v>153</v>
      </c>
      <c r="F1330" s="2" t="s">
        <v>90</v>
      </c>
      <c r="G1330" s="2" t="s">
        <v>75</v>
      </c>
      <c r="H1330" s="2" t="s">
        <v>498</v>
      </c>
      <c r="I1330" s="2" t="s">
        <v>499</v>
      </c>
      <c r="J1330" s="2" t="s">
        <v>4133</v>
      </c>
      <c r="K1330" s="2" t="s">
        <v>4219</v>
      </c>
      <c r="L1330" s="2" t="s">
        <v>208</v>
      </c>
      <c r="M1330" s="2" t="s">
        <v>4135</v>
      </c>
      <c r="N1330" s="16">
        <v>2.75E-2</v>
      </c>
      <c r="O1330" s="17">
        <f>N1330*'Financial Inputs'!$B$3</f>
        <v>2750000</v>
      </c>
      <c r="P1330" s="18">
        <f>IF(I1330="L",'Financial Inputs'!$B$4,IF(I1330="M",'Financial Inputs'!$B$5,'Financial Inputs'!$B$6))</f>
        <v>0.7</v>
      </c>
      <c r="Q1330" s="17">
        <f>O1330*P1330</f>
        <v>1924999.9999999998</v>
      </c>
      <c r="R1330" s="16">
        <f>'Financial Inputs'!$B$7</f>
        <v>0.35</v>
      </c>
      <c r="S1330" s="17">
        <f>Q1330*(1-R1330)</f>
        <v>1251250</v>
      </c>
      <c r="T1330" s="18">
        <f>S1330/'Financial Inputs'!$B$3</f>
        <v>1.2512499999999999E-2</v>
      </c>
      <c r="U1330" s="9" t="s">
        <v>52</v>
      </c>
      <c r="V1330" s="3" t="s">
        <v>53</v>
      </c>
    </row>
    <row r="1331" spans="1:22">
      <c r="A1331" s="2" t="s">
        <v>4220</v>
      </c>
      <c r="B1331" s="2" t="s">
        <v>4221</v>
      </c>
      <c r="C1331" s="2" t="s">
        <v>4132</v>
      </c>
      <c r="D1331" s="2" t="s">
        <v>102</v>
      </c>
      <c r="E1331" s="2" t="s">
        <v>89</v>
      </c>
      <c r="F1331" s="2" t="s">
        <v>97</v>
      </c>
      <c r="G1331" s="2" t="s">
        <v>83</v>
      </c>
      <c r="H1331" s="2" t="s">
        <v>498</v>
      </c>
      <c r="I1331" s="2" t="s">
        <v>499</v>
      </c>
      <c r="J1331" s="2" t="s">
        <v>4133</v>
      </c>
      <c r="K1331" s="2" t="s">
        <v>4222</v>
      </c>
      <c r="L1331" s="2" t="s">
        <v>212</v>
      </c>
      <c r="M1331" s="2" t="s">
        <v>4135</v>
      </c>
      <c r="N1331" s="16">
        <v>3.0000000000000009E-2</v>
      </c>
      <c r="O1331" s="17">
        <f>N1331*'Financial Inputs'!$B$3</f>
        <v>3000000.0000000009</v>
      </c>
      <c r="P1331" s="18">
        <f>IF(I1331="L",'Financial Inputs'!$B$4,IF(I1331="M",'Financial Inputs'!$B$5,'Financial Inputs'!$B$6))</f>
        <v>0.7</v>
      </c>
      <c r="Q1331" s="17">
        <f>O1331*P1331</f>
        <v>2100000.0000000005</v>
      </c>
      <c r="R1331" s="16">
        <f>'Financial Inputs'!$B$7</f>
        <v>0.35</v>
      </c>
      <c r="S1331" s="17">
        <f>Q1331*(1-R1331)</f>
        <v>1365000.0000000005</v>
      </c>
      <c r="T1331" s="18">
        <f>S1331/'Financial Inputs'!$B$3</f>
        <v>1.3650000000000004E-2</v>
      </c>
      <c r="U1331" s="9" t="s">
        <v>52</v>
      </c>
      <c r="V1331" s="3" t="s">
        <v>53</v>
      </c>
    </row>
    <row r="1332" spans="1:22">
      <c r="A1332" s="2" t="s">
        <v>4223</v>
      </c>
      <c r="B1332" s="2" t="s">
        <v>4224</v>
      </c>
      <c r="C1332" s="2" t="s">
        <v>4132</v>
      </c>
      <c r="D1332" s="2" t="s">
        <v>64</v>
      </c>
      <c r="E1332" s="2" t="s">
        <v>215</v>
      </c>
      <c r="F1332" s="2" t="s">
        <v>74</v>
      </c>
      <c r="G1332" s="2" t="s">
        <v>67</v>
      </c>
      <c r="H1332" s="2" t="s">
        <v>498</v>
      </c>
      <c r="I1332" s="2" t="s">
        <v>499</v>
      </c>
      <c r="J1332" s="2" t="s">
        <v>4133</v>
      </c>
      <c r="K1332" s="2" t="s">
        <v>4225</v>
      </c>
      <c r="L1332" s="2" t="s">
        <v>217</v>
      </c>
      <c r="M1332" s="2" t="s">
        <v>4135</v>
      </c>
      <c r="N1332" s="16">
        <v>0.02</v>
      </c>
      <c r="O1332" s="17">
        <f>N1332*'Financial Inputs'!$B$3</f>
        <v>2000000</v>
      </c>
      <c r="P1332" s="18">
        <f>IF(I1332="L",'Financial Inputs'!$B$4,IF(I1332="M",'Financial Inputs'!$B$5,'Financial Inputs'!$B$6))</f>
        <v>0.7</v>
      </c>
      <c r="Q1332" s="17">
        <f>O1332*P1332</f>
        <v>1400000</v>
      </c>
      <c r="R1332" s="16">
        <f>'Financial Inputs'!$B$7</f>
        <v>0.35</v>
      </c>
      <c r="S1332" s="17">
        <f>Q1332*(1-R1332)</f>
        <v>910000</v>
      </c>
      <c r="T1332" s="18">
        <f>S1332/'Financial Inputs'!$B$3</f>
        <v>9.1000000000000004E-3</v>
      </c>
      <c r="U1332" s="9" t="s">
        <v>52</v>
      </c>
      <c r="V1332" s="3" t="s">
        <v>53</v>
      </c>
    </row>
    <row r="1333" spans="1:22">
      <c r="A1333" s="2" t="s">
        <v>4226</v>
      </c>
      <c r="B1333" s="2" t="s">
        <v>4227</v>
      </c>
      <c r="C1333" s="2" t="s">
        <v>4132</v>
      </c>
      <c r="D1333" s="2" t="s">
        <v>72</v>
      </c>
      <c r="E1333" s="2" t="s">
        <v>220</v>
      </c>
      <c r="F1333" s="2" t="s">
        <v>82</v>
      </c>
      <c r="G1333" s="2" t="s">
        <v>75</v>
      </c>
      <c r="H1333" s="2" t="s">
        <v>498</v>
      </c>
      <c r="I1333" s="2" t="s">
        <v>499</v>
      </c>
      <c r="J1333" s="2" t="s">
        <v>4133</v>
      </c>
      <c r="K1333" s="2" t="s">
        <v>4228</v>
      </c>
      <c r="L1333" s="2" t="s">
        <v>222</v>
      </c>
      <c r="M1333" s="2" t="s">
        <v>4135</v>
      </c>
      <c r="N1333" s="16">
        <v>2.2499999999999999E-2</v>
      </c>
      <c r="O1333" s="17">
        <f>N1333*'Financial Inputs'!$B$3</f>
        <v>2250000</v>
      </c>
      <c r="P1333" s="18">
        <f>IF(I1333="L",'Financial Inputs'!$B$4,IF(I1333="M",'Financial Inputs'!$B$5,'Financial Inputs'!$B$6))</f>
        <v>0.7</v>
      </c>
      <c r="Q1333" s="17">
        <f>O1333*P1333</f>
        <v>1575000</v>
      </c>
      <c r="R1333" s="16">
        <f>'Financial Inputs'!$B$7</f>
        <v>0.35</v>
      </c>
      <c r="S1333" s="17">
        <f>Q1333*(1-R1333)</f>
        <v>1023750</v>
      </c>
      <c r="T1333" s="18">
        <f>S1333/'Financial Inputs'!$B$3</f>
        <v>1.02375E-2</v>
      </c>
      <c r="U1333" s="9" t="s">
        <v>52</v>
      </c>
      <c r="V1333" s="3" t="s">
        <v>53</v>
      </c>
    </row>
    <row r="1334" spans="1:22">
      <c r="A1334" s="2" t="s">
        <v>4229</v>
      </c>
      <c r="B1334" s="2" t="s">
        <v>4230</v>
      </c>
      <c r="C1334" s="2" t="s">
        <v>4132</v>
      </c>
      <c r="D1334" s="2" t="s">
        <v>80</v>
      </c>
      <c r="E1334" s="2" t="s">
        <v>171</v>
      </c>
      <c r="F1334" s="2" t="s">
        <v>44</v>
      </c>
      <c r="G1334" s="2" t="s">
        <v>83</v>
      </c>
      <c r="H1334" s="2" t="s">
        <v>498</v>
      </c>
      <c r="I1334" s="2" t="s">
        <v>499</v>
      </c>
      <c r="J1334" s="2" t="s">
        <v>4133</v>
      </c>
      <c r="K1334" s="2" t="s">
        <v>4231</v>
      </c>
      <c r="L1334" s="2" t="s">
        <v>226</v>
      </c>
      <c r="M1334" s="2" t="s">
        <v>4135</v>
      </c>
      <c r="N1334" s="16">
        <v>2.5000000000000001E-2</v>
      </c>
      <c r="O1334" s="17">
        <f>N1334*'Financial Inputs'!$B$3</f>
        <v>2500000</v>
      </c>
      <c r="P1334" s="18">
        <f>IF(I1334="L",'Financial Inputs'!$B$4,IF(I1334="M",'Financial Inputs'!$B$5,'Financial Inputs'!$B$6))</f>
        <v>0.7</v>
      </c>
      <c r="Q1334" s="17">
        <f>O1334*P1334</f>
        <v>1750000</v>
      </c>
      <c r="R1334" s="16">
        <f>'Financial Inputs'!$B$7</f>
        <v>0.35</v>
      </c>
      <c r="S1334" s="17">
        <f>Q1334*(1-R1334)</f>
        <v>1137500</v>
      </c>
      <c r="T1334" s="18">
        <f>S1334/'Financial Inputs'!$B$3</f>
        <v>1.1375E-2</v>
      </c>
      <c r="U1334" s="9" t="s">
        <v>52</v>
      </c>
      <c r="V1334" s="3" t="s">
        <v>53</v>
      </c>
    </row>
    <row r="1335" spans="1:22">
      <c r="A1335" s="2" t="s">
        <v>4232</v>
      </c>
      <c r="B1335" s="2" t="s">
        <v>4233</v>
      </c>
      <c r="C1335" s="2" t="s">
        <v>4132</v>
      </c>
      <c r="D1335" s="2" t="s">
        <v>127</v>
      </c>
      <c r="E1335" s="2" t="s">
        <v>176</v>
      </c>
      <c r="F1335" s="2" t="s">
        <v>58</v>
      </c>
      <c r="G1335" s="2" t="s">
        <v>111</v>
      </c>
      <c r="H1335" s="2" t="s">
        <v>498</v>
      </c>
      <c r="I1335" s="2" t="s">
        <v>499</v>
      </c>
      <c r="J1335" s="2" t="s">
        <v>4133</v>
      </c>
      <c r="K1335" s="2" t="s">
        <v>4234</v>
      </c>
      <c r="L1335" s="2" t="s">
        <v>230</v>
      </c>
      <c r="M1335" s="2" t="s">
        <v>4135</v>
      </c>
      <c r="N1335" s="16">
        <v>2.75E-2</v>
      </c>
      <c r="O1335" s="17">
        <f>N1335*'Financial Inputs'!$B$3</f>
        <v>2750000</v>
      </c>
      <c r="P1335" s="18">
        <f>IF(I1335="L",'Financial Inputs'!$B$4,IF(I1335="M",'Financial Inputs'!$B$5,'Financial Inputs'!$B$6))</f>
        <v>0.7</v>
      </c>
      <c r="Q1335" s="17">
        <f>O1335*P1335</f>
        <v>1924999.9999999998</v>
      </c>
      <c r="R1335" s="16">
        <f>'Financial Inputs'!$B$7</f>
        <v>0.35</v>
      </c>
      <c r="S1335" s="17">
        <f>Q1335*(1-R1335)</f>
        <v>1251250</v>
      </c>
      <c r="T1335" s="18">
        <f>S1335/'Financial Inputs'!$B$3</f>
        <v>1.2512499999999999E-2</v>
      </c>
      <c r="U1335" s="9" t="s">
        <v>52</v>
      </c>
      <c r="V1335" s="3" t="s">
        <v>53</v>
      </c>
    </row>
    <row r="1336" spans="1:22">
      <c r="A1336" s="2" t="s">
        <v>4235</v>
      </c>
      <c r="B1336" s="2" t="s">
        <v>4236</v>
      </c>
      <c r="C1336" s="2" t="s">
        <v>4132</v>
      </c>
      <c r="D1336" s="2" t="s">
        <v>133</v>
      </c>
      <c r="E1336" s="2" t="s">
        <v>122</v>
      </c>
      <c r="F1336" s="2" t="s">
        <v>66</v>
      </c>
      <c r="G1336" s="2" t="s">
        <v>56</v>
      </c>
      <c r="H1336" s="2" t="s">
        <v>498</v>
      </c>
      <c r="I1336" s="2" t="s">
        <v>499</v>
      </c>
      <c r="J1336" s="2" t="s">
        <v>4133</v>
      </c>
      <c r="K1336" s="2" t="s">
        <v>4237</v>
      </c>
      <c r="L1336" s="2" t="s">
        <v>234</v>
      </c>
      <c r="M1336" s="2" t="s">
        <v>4135</v>
      </c>
      <c r="N1336" s="16">
        <v>3.0000000000000009E-2</v>
      </c>
      <c r="O1336" s="17">
        <f>N1336*'Financial Inputs'!$B$3</f>
        <v>3000000.0000000009</v>
      </c>
      <c r="P1336" s="18">
        <f>IF(I1336="L",'Financial Inputs'!$B$4,IF(I1336="M",'Financial Inputs'!$B$5,'Financial Inputs'!$B$6))</f>
        <v>0.7</v>
      </c>
      <c r="Q1336" s="17">
        <f>O1336*P1336</f>
        <v>2100000.0000000005</v>
      </c>
      <c r="R1336" s="16">
        <f>'Financial Inputs'!$B$7</f>
        <v>0.35</v>
      </c>
      <c r="S1336" s="17">
        <f>Q1336*(1-R1336)</f>
        <v>1365000.0000000005</v>
      </c>
      <c r="T1336" s="18">
        <f>S1336/'Financial Inputs'!$B$3</f>
        <v>1.3650000000000004E-2</v>
      </c>
      <c r="U1336" s="9" t="s">
        <v>52</v>
      </c>
      <c r="V1336" s="3" t="s">
        <v>53</v>
      </c>
    </row>
    <row r="1337" spans="1:22">
      <c r="A1337" s="2" t="s">
        <v>4238</v>
      </c>
      <c r="B1337" s="2" t="s">
        <v>4239</v>
      </c>
      <c r="C1337" s="2" t="s">
        <v>4132</v>
      </c>
      <c r="D1337" s="2" t="s">
        <v>102</v>
      </c>
      <c r="E1337" s="2" t="s">
        <v>73</v>
      </c>
      <c r="F1337" s="2" t="s">
        <v>110</v>
      </c>
      <c r="G1337" s="2" t="s">
        <v>83</v>
      </c>
      <c r="H1337" s="2" t="s">
        <v>498</v>
      </c>
      <c r="I1337" s="2" t="s">
        <v>499</v>
      </c>
      <c r="J1337" s="2" t="s">
        <v>4133</v>
      </c>
      <c r="K1337" s="2" t="s">
        <v>4240</v>
      </c>
      <c r="L1337" s="2" t="s">
        <v>238</v>
      </c>
      <c r="M1337" s="2" t="s">
        <v>4135</v>
      </c>
      <c r="N1337" s="16">
        <v>0.02</v>
      </c>
      <c r="O1337" s="17">
        <f>N1337*'Financial Inputs'!$B$3</f>
        <v>2000000</v>
      </c>
      <c r="P1337" s="18">
        <f>IF(I1337="L",'Financial Inputs'!$B$4,IF(I1337="M",'Financial Inputs'!$B$5,'Financial Inputs'!$B$6))</f>
        <v>0.7</v>
      </c>
      <c r="Q1337" s="17">
        <f>O1337*P1337</f>
        <v>1400000</v>
      </c>
      <c r="R1337" s="16">
        <f>'Financial Inputs'!$B$7</f>
        <v>0.35</v>
      </c>
      <c r="S1337" s="17">
        <f>Q1337*(1-R1337)</f>
        <v>910000</v>
      </c>
      <c r="T1337" s="18">
        <f>S1337/'Financial Inputs'!$B$3</f>
        <v>9.1000000000000004E-3</v>
      </c>
      <c r="U1337" s="9" t="s">
        <v>52</v>
      </c>
      <c r="V1337" s="3" t="s">
        <v>53</v>
      </c>
    </row>
    <row r="1338" spans="1:22">
      <c r="A1338" s="2" t="s">
        <v>4241</v>
      </c>
      <c r="B1338" s="2" t="s">
        <v>4242</v>
      </c>
      <c r="C1338" s="2" t="s">
        <v>4132</v>
      </c>
      <c r="D1338" s="2" t="s">
        <v>42</v>
      </c>
      <c r="E1338" s="2" t="s">
        <v>81</v>
      </c>
      <c r="F1338" s="2" t="s">
        <v>117</v>
      </c>
      <c r="G1338" s="2" t="s">
        <v>111</v>
      </c>
      <c r="H1338" s="2" t="s">
        <v>498</v>
      </c>
      <c r="I1338" s="2" t="s">
        <v>499</v>
      </c>
      <c r="J1338" s="2" t="s">
        <v>4133</v>
      </c>
      <c r="K1338" s="2" t="s">
        <v>4243</v>
      </c>
      <c r="L1338" s="2" t="s">
        <v>242</v>
      </c>
      <c r="M1338" s="2" t="s">
        <v>4135</v>
      </c>
      <c r="N1338" s="16">
        <v>2.2499999999999999E-2</v>
      </c>
      <c r="O1338" s="17">
        <f>N1338*'Financial Inputs'!$B$3</f>
        <v>2250000</v>
      </c>
      <c r="P1338" s="18">
        <f>IF(I1338="L",'Financial Inputs'!$B$4,IF(I1338="M",'Financial Inputs'!$B$5,'Financial Inputs'!$B$6))</f>
        <v>0.7</v>
      </c>
      <c r="Q1338" s="17">
        <f>O1338*P1338</f>
        <v>1575000</v>
      </c>
      <c r="R1338" s="16">
        <f>'Financial Inputs'!$B$7</f>
        <v>0.35</v>
      </c>
      <c r="S1338" s="17">
        <f>Q1338*(1-R1338)</f>
        <v>1023750</v>
      </c>
      <c r="T1338" s="18">
        <f>S1338/'Financial Inputs'!$B$3</f>
        <v>1.02375E-2</v>
      </c>
      <c r="U1338" s="9" t="s">
        <v>52</v>
      </c>
      <c r="V1338" s="3" t="s">
        <v>53</v>
      </c>
    </row>
    <row r="1339" spans="1:22">
      <c r="A1339" s="2" t="s">
        <v>4244</v>
      </c>
      <c r="B1339" s="2" t="s">
        <v>4245</v>
      </c>
      <c r="C1339" s="2" t="s">
        <v>4132</v>
      </c>
      <c r="D1339" s="2" t="s">
        <v>56</v>
      </c>
      <c r="E1339" s="2" t="s">
        <v>193</v>
      </c>
      <c r="F1339" s="2" t="s">
        <v>90</v>
      </c>
      <c r="G1339" s="2" t="s">
        <v>56</v>
      </c>
      <c r="H1339" s="2" t="s">
        <v>498</v>
      </c>
      <c r="I1339" s="2" t="s">
        <v>499</v>
      </c>
      <c r="J1339" s="2" t="s">
        <v>4133</v>
      </c>
      <c r="K1339" s="2" t="s">
        <v>4246</v>
      </c>
      <c r="L1339" s="2" t="s">
        <v>246</v>
      </c>
      <c r="M1339" s="2" t="s">
        <v>4135</v>
      </c>
      <c r="N1339" s="16">
        <v>2.5000000000000001E-2</v>
      </c>
      <c r="O1339" s="17">
        <f>N1339*'Financial Inputs'!$B$3</f>
        <v>2500000</v>
      </c>
      <c r="P1339" s="18">
        <f>IF(I1339="L",'Financial Inputs'!$B$4,IF(I1339="M",'Financial Inputs'!$B$5,'Financial Inputs'!$B$6))</f>
        <v>0.7</v>
      </c>
      <c r="Q1339" s="17">
        <f>O1339*P1339</f>
        <v>1750000</v>
      </c>
      <c r="R1339" s="16">
        <f>'Financial Inputs'!$B$7</f>
        <v>0.35</v>
      </c>
      <c r="S1339" s="17">
        <f>Q1339*(1-R1339)</f>
        <v>1137500</v>
      </c>
      <c r="T1339" s="18">
        <f>S1339/'Financial Inputs'!$B$3</f>
        <v>1.1375E-2</v>
      </c>
      <c r="U1339" s="9" t="s">
        <v>52</v>
      </c>
      <c r="V1339" s="3" t="s">
        <v>53</v>
      </c>
    </row>
    <row r="1340" spans="1:22">
      <c r="A1340" s="2" t="s">
        <v>4247</v>
      </c>
      <c r="B1340" s="2" t="s">
        <v>4248</v>
      </c>
      <c r="C1340" s="2" t="s">
        <v>4132</v>
      </c>
      <c r="D1340" s="2" t="s">
        <v>64</v>
      </c>
      <c r="E1340" s="2" t="s">
        <v>198</v>
      </c>
      <c r="F1340" s="2" t="s">
        <v>97</v>
      </c>
      <c r="G1340" s="2" t="s">
        <v>138</v>
      </c>
      <c r="H1340" s="2" t="s">
        <v>498</v>
      </c>
      <c r="I1340" s="2" t="s">
        <v>499</v>
      </c>
      <c r="J1340" s="2" t="s">
        <v>4133</v>
      </c>
      <c r="K1340" s="2" t="s">
        <v>4249</v>
      </c>
      <c r="L1340" s="2" t="s">
        <v>250</v>
      </c>
      <c r="M1340" s="2" t="s">
        <v>4135</v>
      </c>
      <c r="N1340" s="16">
        <v>2.75E-2</v>
      </c>
      <c r="O1340" s="17">
        <f>N1340*'Financial Inputs'!$B$3</f>
        <v>2750000</v>
      </c>
      <c r="P1340" s="18">
        <f>IF(I1340="L",'Financial Inputs'!$B$4,IF(I1340="M",'Financial Inputs'!$B$5,'Financial Inputs'!$B$6))</f>
        <v>0.7</v>
      </c>
      <c r="Q1340" s="17">
        <f>O1340*P1340</f>
        <v>1924999.9999999998</v>
      </c>
      <c r="R1340" s="16">
        <f>'Financial Inputs'!$B$7</f>
        <v>0.35</v>
      </c>
      <c r="S1340" s="17">
        <f>Q1340*(1-R1340)</f>
        <v>1251250</v>
      </c>
      <c r="T1340" s="18">
        <f>S1340/'Financial Inputs'!$B$3</f>
        <v>1.2512499999999999E-2</v>
      </c>
      <c r="U1340" s="9" t="s">
        <v>52</v>
      </c>
      <c r="V1340" s="3" t="s">
        <v>53</v>
      </c>
    </row>
    <row r="1341" spans="1:22">
      <c r="A1341" s="2" t="s">
        <v>4250</v>
      </c>
      <c r="B1341" s="2" t="s">
        <v>4251</v>
      </c>
      <c r="C1341" s="2" t="s">
        <v>4132</v>
      </c>
      <c r="D1341" s="2" t="s">
        <v>72</v>
      </c>
      <c r="E1341" s="2" t="s">
        <v>148</v>
      </c>
      <c r="F1341" s="2" t="s">
        <v>104</v>
      </c>
      <c r="G1341" s="2" t="s">
        <v>143</v>
      </c>
      <c r="H1341" s="2" t="s">
        <v>498</v>
      </c>
      <c r="I1341" s="2" t="s">
        <v>499</v>
      </c>
      <c r="J1341" s="2" t="s">
        <v>4133</v>
      </c>
      <c r="K1341" s="2" t="s">
        <v>4252</v>
      </c>
      <c r="L1341" s="2" t="s">
        <v>254</v>
      </c>
      <c r="M1341" s="2" t="s">
        <v>4135</v>
      </c>
      <c r="N1341" s="16">
        <v>3.0000000000000009E-2</v>
      </c>
      <c r="O1341" s="17">
        <f>N1341*'Financial Inputs'!$B$3</f>
        <v>3000000.0000000009</v>
      </c>
      <c r="P1341" s="18">
        <f>IF(I1341="L",'Financial Inputs'!$B$4,IF(I1341="M",'Financial Inputs'!$B$5,'Financial Inputs'!$B$6))</f>
        <v>0.7</v>
      </c>
      <c r="Q1341" s="17">
        <f>O1341*P1341</f>
        <v>2100000.0000000005</v>
      </c>
      <c r="R1341" s="16">
        <f>'Financial Inputs'!$B$7</f>
        <v>0.35</v>
      </c>
      <c r="S1341" s="17">
        <f>Q1341*(1-R1341)</f>
        <v>1365000.0000000005</v>
      </c>
      <c r="T1341" s="18">
        <f>S1341/'Financial Inputs'!$B$3</f>
        <v>1.3650000000000004E-2</v>
      </c>
      <c r="U1341" s="9" t="s">
        <v>52</v>
      </c>
      <c r="V1341" s="3" t="s">
        <v>53</v>
      </c>
    </row>
    <row r="1342" spans="1:22">
      <c r="A1342" s="2" t="s">
        <v>4253</v>
      </c>
      <c r="B1342" s="2" t="s">
        <v>4254</v>
      </c>
      <c r="C1342" s="2" t="s">
        <v>4132</v>
      </c>
      <c r="D1342" s="2" t="s">
        <v>133</v>
      </c>
      <c r="E1342" s="2" t="s">
        <v>109</v>
      </c>
      <c r="F1342" s="2" t="s">
        <v>82</v>
      </c>
      <c r="G1342" s="2" t="s">
        <v>56</v>
      </c>
      <c r="H1342" s="2" t="s">
        <v>498</v>
      </c>
      <c r="I1342" s="2" t="s">
        <v>499</v>
      </c>
      <c r="J1342" s="2" t="s">
        <v>4133</v>
      </c>
      <c r="K1342" s="2" t="s">
        <v>4255</v>
      </c>
      <c r="L1342" s="2" t="s">
        <v>258</v>
      </c>
      <c r="M1342" s="2" t="s">
        <v>4135</v>
      </c>
      <c r="N1342" s="16">
        <v>0.02</v>
      </c>
      <c r="O1342" s="17">
        <f>N1342*'Financial Inputs'!$B$3</f>
        <v>2000000</v>
      </c>
      <c r="P1342" s="18">
        <f>IF(I1342="L",'Financial Inputs'!$B$4,IF(I1342="M",'Financial Inputs'!$B$5,'Financial Inputs'!$B$6))</f>
        <v>0.7</v>
      </c>
      <c r="Q1342" s="17">
        <f>O1342*P1342</f>
        <v>1400000</v>
      </c>
      <c r="R1342" s="16">
        <f>'Financial Inputs'!$B$7</f>
        <v>0.35</v>
      </c>
      <c r="S1342" s="17">
        <f>Q1342*(1-R1342)</f>
        <v>910000</v>
      </c>
      <c r="T1342" s="18">
        <f>S1342/'Financial Inputs'!$B$3</f>
        <v>9.1000000000000004E-3</v>
      </c>
      <c r="U1342" s="9" t="s">
        <v>52</v>
      </c>
      <c r="V1342" s="3" t="s">
        <v>53</v>
      </c>
    </row>
    <row r="1343" spans="1:22">
      <c r="A1343" s="2" t="s">
        <v>4256</v>
      </c>
      <c r="B1343" s="2" t="s">
        <v>4257</v>
      </c>
      <c r="C1343" s="2" t="s">
        <v>4132</v>
      </c>
      <c r="D1343" s="2" t="s">
        <v>88</v>
      </c>
      <c r="E1343" s="2" t="s">
        <v>116</v>
      </c>
      <c r="F1343" s="2" t="s">
        <v>44</v>
      </c>
      <c r="G1343" s="2" t="s">
        <v>138</v>
      </c>
      <c r="H1343" s="2" t="s">
        <v>498</v>
      </c>
      <c r="I1343" s="2" t="s">
        <v>499</v>
      </c>
      <c r="J1343" s="2" t="s">
        <v>4133</v>
      </c>
      <c r="K1343" s="2" t="s">
        <v>4258</v>
      </c>
      <c r="L1343" s="2" t="s">
        <v>262</v>
      </c>
      <c r="M1343" s="2" t="s">
        <v>4135</v>
      </c>
      <c r="N1343" s="16">
        <v>2.2499999999999999E-2</v>
      </c>
      <c r="O1343" s="17">
        <f>N1343*'Financial Inputs'!$B$3</f>
        <v>2250000</v>
      </c>
      <c r="P1343" s="18">
        <f>IF(I1343="L",'Financial Inputs'!$B$4,IF(I1343="M",'Financial Inputs'!$B$5,'Financial Inputs'!$B$6))</f>
        <v>0.7</v>
      </c>
      <c r="Q1343" s="17">
        <f>O1343*P1343</f>
        <v>1575000</v>
      </c>
      <c r="R1343" s="16">
        <f>'Financial Inputs'!$B$7</f>
        <v>0.35</v>
      </c>
      <c r="S1343" s="17">
        <f>Q1343*(1-R1343)</f>
        <v>1023750</v>
      </c>
      <c r="T1343" s="18">
        <f>S1343/'Financial Inputs'!$B$3</f>
        <v>1.02375E-2</v>
      </c>
      <c r="U1343" s="9" t="s">
        <v>52</v>
      </c>
      <c r="V1343" s="3" t="s">
        <v>53</v>
      </c>
    </row>
    <row r="1344" spans="1:22">
      <c r="A1344" s="2" t="s">
        <v>4259</v>
      </c>
      <c r="B1344" s="2" t="s">
        <v>4260</v>
      </c>
      <c r="C1344" s="2" t="s">
        <v>4132</v>
      </c>
      <c r="D1344" s="2" t="s">
        <v>95</v>
      </c>
      <c r="E1344" s="2" t="s">
        <v>215</v>
      </c>
      <c r="F1344" s="2" t="s">
        <v>58</v>
      </c>
      <c r="G1344" s="2" t="s">
        <v>143</v>
      </c>
      <c r="H1344" s="2" t="s">
        <v>498</v>
      </c>
      <c r="I1344" s="2" t="s">
        <v>499</v>
      </c>
      <c r="J1344" s="2" t="s">
        <v>4133</v>
      </c>
      <c r="K1344" s="2" t="s">
        <v>4261</v>
      </c>
      <c r="L1344" s="2" t="s">
        <v>266</v>
      </c>
      <c r="M1344" s="2" t="s">
        <v>4135</v>
      </c>
      <c r="N1344" s="16">
        <v>2.5000000000000001E-2</v>
      </c>
      <c r="O1344" s="17">
        <f>N1344*'Financial Inputs'!$B$3</f>
        <v>2500000</v>
      </c>
      <c r="P1344" s="18">
        <f>IF(I1344="L",'Financial Inputs'!$B$4,IF(I1344="M",'Financial Inputs'!$B$5,'Financial Inputs'!$B$6))</f>
        <v>0.7</v>
      </c>
      <c r="Q1344" s="17">
        <f>O1344*P1344</f>
        <v>1750000</v>
      </c>
      <c r="R1344" s="16">
        <f>'Financial Inputs'!$B$7</f>
        <v>0.35</v>
      </c>
      <c r="S1344" s="17">
        <f>Q1344*(1-R1344)</f>
        <v>1137500</v>
      </c>
      <c r="T1344" s="18">
        <f>S1344/'Financial Inputs'!$B$3</f>
        <v>1.1375E-2</v>
      </c>
      <c r="U1344" s="9" t="s">
        <v>52</v>
      </c>
      <c r="V1344" s="3" t="s">
        <v>53</v>
      </c>
    </row>
    <row r="1345" spans="1:22">
      <c r="A1345" s="2" t="s">
        <v>4262</v>
      </c>
      <c r="B1345" s="2" t="s">
        <v>4263</v>
      </c>
      <c r="C1345" s="2" t="s">
        <v>4132</v>
      </c>
      <c r="D1345" s="2" t="s">
        <v>102</v>
      </c>
      <c r="E1345" s="2" t="s">
        <v>220</v>
      </c>
      <c r="F1345" s="2" t="s">
        <v>66</v>
      </c>
      <c r="G1345" s="2" t="s">
        <v>162</v>
      </c>
      <c r="H1345" s="2" t="s">
        <v>498</v>
      </c>
      <c r="I1345" s="2" t="s">
        <v>499</v>
      </c>
      <c r="J1345" s="2" t="s">
        <v>4133</v>
      </c>
      <c r="K1345" s="2" t="s">
        <v>4264</v>
      </c>
      <c r="L1345" s="2" t="s">
        <v>270</v>
      </c>
      <c r="M1345" s="2" t="s">
        <v>4135</v>
      </c>
      <c r="N1345" s="16">
        <v>2.75E-2</v>
      </c>
      <c r="O1345" s="17">
        <f>N1345*'Financial Inputs'!$B$3</f>
        <v>2750000</v>
      </c>
      <c r="P1345" s="18">
        <f>IF(I1345="L",'Financial Inputs'!$B$4,IF(I1345="M",'Financial Inputs'!$B$5,'Financial Inputs'!$B$6))</f>
        <v>0.7</v>
      </c>
      <c r="Q1345" s="17">
        <f>O1345*P1345</f>
        <v>1924999.9999999998</v>
      </c>
      <c r="R1345" s="16">
        <f>'Financial Inputs'!$B$7</f>
        <v>0.35</v>
      </c>
      <c r="S1345" s="17">
        <f>Q1345*(1-R1345)</f>
        <v>1251250</v>
      </c>
      <c r="T1345" s="18">
        <f>S1345/'Financial Inputs'!$B$3</f>
        <v>1.2512499999999999E-2</v>
      </c>
      <c r="U1345" s="9" t="s">
        <v>52</v>
      </c>
      <c r="V1345" s="3" t="s">
        <v>53</v>
      </c>
    </row>
    <row r="1346" spans="1:22">
      <c r="A1346" s="2" t="s">
        <v>4265</v>
      </c>
      <c r="B1346" s="2" t="s">
        <v>4266</v>
      </c>
      <c r="C1346" s="2" t="s">
        <v>4132</v>
      </c>
      <c r="D1346" s="2" t="s">
        <v>42</v>
      </c>
      <c r="E1346" s="2" t="s">
        <v>171</v>
      </c>
      <c r="F1346" s="2" t="s">
        <v>74</v>
      </c>
      <c r="G1346" s="2" t="s">
        <v>45</v>
      </c>
      <c r="H1346" s="2" t="s">
        <v>498</v>
      </c>
      <c r="I1346" s="2" t="s">
        <v>499</v>
      </c>
      <c r="J1346" s="2" t="s">
        <v>4133</v>
      </c>
      <c r="K1346" s="2" t="s">
        <v>4267</v>
      </c>
      <c r="L1346" s="2" t="s">
        <v>274</v>
      </c>
      <c r="M1346" s="2" t="s">
        <v>4135</v>
      </c>
      <c r="N1346" s="16">
        <v>3.0000000000000009E-2</v>
      </c>
      <c r="O1346" s="17">
        <f>N1346*'Financial Inputs'!$B$3</f>
        <v>3000000.0000000009</v>
      </c>
      <c r="P1346" s="18">
        <f>IF(I1346="L",'Financial Inputs'!$B$4,IF(I1346="M",'Financial Inputs'!$B$5,'Financial Inputs'!$B$6))</f>
        <v>0.7</v>
      </c>
      <c r="Q1346" s="17">
        <f>O1346*P1346</f>
        <v>2100000.0000000005</v>
      </c>
      <c r="R1346" s="16">
        <f>'Financial Inputs'!$B$7</f>
        <v>0.35</v>
      </c>
      <c r="S1346" s="17">
        <f>Q1346*(1-R1346)</f>
        <v>1365000.0000000005</v>
      </c>
      <c r="T1346" s="18">
        <f>S1346/'Financial Inputs'!$B$3</f>
        <v>1.3650000000000004E-2</v>
      </c>
      <c r="U1346" s="9" t="s">
        <v>52</v>
      </c>
      <c r="V1346" s="3" t="s">
        <v>53</v>
      </c>
    </row>
    <row r="1347" spans="1:22">
      <c r="A1347" s="2" t="s">
        <v>4268</v>
      </c>
      <c r="B1347" s="2" t="s">
        <v>4269</v>
      </c>
      <c r="C1347" s="2" t="s">
        <v>4132</v>
      </c>
      <c r="D1347" s="2" t="s">
        <v>72</v>
      </c>
      <c r="E1347" s="2" t="s">
        <v>57</v>
      </c>
      <c r="F1347" s="2" t="s">
        <v>117</v>
      </c>
      <c r="G1347" s="2" t="s">
        <v>143</v>
      </c>
      <c r="H1347" s="2" t="s">
        <v>498</v>
      </c>
      <c r="I1347" s="2" t="s">
        <v>499</v>
      </c>
      <c r="J1347" s="2" t="s">
        <v>4133</v>
      </c>
      <c r="K1347" s="2" t="s">
        <v>4270</v>
      </c>
      <c r="L1347" s="2" t="s">
        <v>278</v>
      </c>
      <c r="M1347" s="2" t="s">
        <v>4135</v>
      </c>
      <c r="N1347" s="16">
        <v>0.02</v>
      </c>
      <c r="O1347" s="17">
        <f>N1347*'Financial Inputs'!$B$3</f>
        <v>2000000</v>
      </c>
      <c r="P1347" s="18">
        <f>IF(I1347="L",'Financial Inputs'!$B$4,IF(I1347="M",'Financial Inputs'!$B$5,'Financial Inputs'!$B$6))</f>
        <v>0.7</v>
      </c>
      <c r="Q1347" s="17">
        <f>O1347*P1347</f>
        <v>1400000</v>
      </c>
      <c r="R1347" s="16">
        <f>'Financial Inputs'!$B$7</f>
        <v>0.35</v>
      </c>
      <c r="S1347" s="17">
        <f>Q1347*(1-R1347)</f>
        <v>910000</v>
      </c>
      <c r="T1347" s="18">
        <f>S1347/'Financial Inputs'!$B$3</f>
        <v>9.1000000000000004E-3</v>
      </c>
      <c r="U1347" s="9" t="s">
        <v>52</v>
      </c>
      <c r="V1347" s="3" t="s">
        <v>53</v>
      </c>
    </row>
    <row r="1348" spans="1:22">
      <c r="A1348" s="2" t="s">
        <v>4271</v>
      </c>
      <c r="B1348" s="2" t="s">
        <v>4272</v>
      </c>
      <c r="C1348" s="2" t="s">
        <v>4132</v>
      </c>
      <c r="D1348" s="2" t="s">
        <v>80</v>
      </c>
      <c r="E1348" s="2" t="s">
        <v>65</v>
      </c>
      <c r="F1348" s="2" t="s">
        <v>90</v>
      </c>
      <c r="G1348" s="2" t="s">
        <v>162</v>
      </c>
      <c r="H1348" s="2" t="s">
        <v>498</v>
      </c>
      <c r="I1348" s="2" t="s">
        <v>499</v>
      </c>
      <c r="J1348" s="2" t="s">
        <v>4133</v>
      </c>
      <c r="K1348" s="2" t="s">
        <v>4273</v>
      </c>
      <c r="L1348" s="2" t="s">
        <v>282</v>
      </c>
      <c r="M1348" s="2" t="s">
        <v>4135</v>
      </c>
      <c r="N1348" s="16">
        <v>2.2499999999999999E-2</v>
      </c>
      <c r="O1348" s="17">
        <f>N1348*'Financial Inputs'!$B$3</f>
        <v>2250000</v>
      </c>
      <c r="P1348" s="18">
        <f>IF(I1348="L",'Financial Inputs'!$B$4,IF(I1348="M",'Financial Inputs'!$B$5,'Financial Inputs'!$B$6))</f>
        <v>0.7</v>
      </c>
      <c r="Q1348" s="17">
        <f>O1348*P1348</f>
        <v>1575000</v>
      </c>
      <c r="R1348" s="16">
        <f>'Financial Inputs'!$B$7</f>
        <v>0.35</v>
      </c>
      <c r="S1348" s="17">
        <f>Q1348*(1-R1348)</f>
        <v>1023750</v>
      </c>
      <c r="T1348" s="18">
        <f>S1348/'Financial Inputs'!$B$3</f>
        <v>1.02375E-2</v>
      </c>
      <c r="U1348" s="9" t="s">
        <v>52</v>
      </c>
      <c r="V1348" s="3" t="s">
        <v>53</v>
      </c>
    </row>
    <row r="1349" spans="1:22">
      <c r="A1349" s="2" t="s">
        <v>4274</v>
      </c>
      <c r="B1349" s="2" t="s">
        <v>4275</v>
      </c>
      <c r="C1349" s="2" t="s">
        <v>4132</v>
      </c>
      <c r="D1349" s="2" t="s">
        <v>127</v>
      </c>
      <c r="E1349" s="2" t="s">
        <v>73</v>
      </c>
      <c r="F1349" s="2" t="s">
        <v>97</v>
      </c>
      <c r="G1349" s="2" t="s">
        <v>45</v>
      </c>
      <c r="H1349" s="2" t="s">
        <v>498</v>
      </c>
      <c r="I1349" s="2" t="s">
        <v>499</v>
      </c>
      <c r="J1349" s="2" t="s">
        <v>4133</v>
      </c>
      <c r="K1349" s="2" t="s">
        <v>4276</v>
      </c>
      <c r="L1349" s="2" t="s">
        <v>286</v>
      </c>
      <c r="M1349" s="2" t="s">
        <v>4135</v>
      </c>
      <c r="N1349" s="16">
        <v>2.5000000000000001E-2</v>
      </c>
      <c r="O1349" s="17">
        <f>N1349*'Financial Inputs'!$B$3</f>
        <v>2500000</v>
      </c>
      <c r="P1349" s="18">
        <f>IF(I1349="L",'Financial Inputs'!$B$4,IF(I1349="M",'Financial Inputs'!$B$5,'Financial Inputs'!$B$6))</f>
        <v>0.7</v>
      </c>
      <c r="Q1349" s="17">
        <f>O1349*P1349</f>
        <v>1750000</v>
      </c>
      <c r="R1349" s="16">
        <f>'Financial Inputs'!$B$7</f>
        <v>0.35</v>
      </c>
      <c r="S1349" s="17">
        <f>Q1349*(1-R1349)</f>
        <v>1137500</v>
      </c>
      <c r="T1349" s="18">
        <f>S1349/'Financial Inputs'!$B$3</f>
        <v>1.1375E-2</v>
      </c>
      <c r="U1349" s="9" t="s">
        <v>52</v>
      </c>
      <c r="V1349" s="3" t="s">
        <v>53</v>
      </c>
    </row>
    <row r="1350" spans="1:22">
      <c r="A1350" s="2" t="s">
        <v>4277</v>
      </c>
      <c r="B1350" s="2" t="s">
        <v>4278</v>
      </c>
      <c r="C1350" s="2" t="s">
        <v>4132</v>
      </c>
      <c r="D1350" s="2" t="s">
        <v>133</v>
      </c>
      <c r="E1350" s="2" t="s">
        <v>81</v>
      </c>
      <c r="F1350" s="2" t="s">
        <v>104</v>
      </c>
      <c r="G1350" s="2" t="s">
        <v>59</v>
      </c>
      <c r="H1350" s="2" t="s">
        <v>498</v>
      </c>
      <c r="I1350" s="2" t="s">
        <v>499</v>
      </c>
      <c r="J1350" s="2" t="s">
        <v>4133</v>
      </c>
      <c r="K1350" s="2" t="s">
        <v>4279</v>
      </c>
      <c r="L1350" s="2" t="s">
        <v>290</v>
      </c>
      <c r="M1350" s="2" t="s">
        <v>4135</v>
      </c>
      <c r="N1350" s="16">
        <v>2.75E-2</v>
      </c>
      <c r="O1350" s="17">
        <f>N1350*'Financial Inputs'!$B$3</f>
        <v>2750000</v>
      </c>
      <c r="P1350" s="18">
        <f>IF(I1350="L",'Financial Inputs'!$B$4,IF(I1350="M",'Financial Inputs'!$B$5,'Financial Inputs'!$B$6))</f>
        <v>0.7</v>
      </c>
      <c r="Q1350" s="17">
        <f>O1350*P1350</f>
        <v>1924999.9999999998</v>
      </c>
      <c r="R1350" s="16">
        <f>'Financial Inputs'!$B$7</f>
        <v>0.35</v>
      </c>
      <c r="S1350" s="17">
        <f>Q1350*(1-R1350)</f>
        <v>1251250</v>
      </c>
      <c r="T1350" s="18">
        <f>S1350/'Financial Inputs'!$B$3</f>
        <v>1.2512499999999999E-2</v>
      </c>
      <c r="U1350" s="9" t="s">
        <v>52</v>
      </c>
      <c r="V1350" s="3" t="s">
        <v>53</v>
      </c>
    </row>
    <row r="1351" spans="1:22">
      <c r="A1351" s="2" t="s">
        <v>4280</v>
      </c>
      <c r="B1351" s="2" t="s">
        <v>4281</v>
      </c>
      <c r="C1351" s="2" t="s">
        <v>4132</v>
      </c>
      <c r="D1351" s="2" t="s">
        <v>88</v>
      </c>
      <c r="E1351" s="2" t="s">
        <v>193</v>
      </c>
      <c r="F1351" s="2" t="s">
        <v>110</v>
      </c>
      <c r="G1351" s="2" t="s">
        <v>67</v>
      </c>
      <c r="H1351" s="2" t="s">
        <v>498</v>
      </c>
      <c r="I1351" s="2" t="s">
        <v>499</v>
      </c>
      <c r="J1351" s="2" t="s">
        <v>4133</v>
      </c>
      <c r="K1351" s="2" t="s">
        <v>4282</v>
      </c>
      <c r="L1351" s="2" t="s">
        <v>294</v>
      </c>
      <c r="M1351" s="2" t="s">
        <v>4135</v>
      </c>
      <c r="N1351" s="16">
        <v>3.0000000000000009E-2</v>
      </c>
      <c r="O1351" s="17">
        <f>N1351*'Financial Inputs'!$B$3</f>
        <v>3000000.0000000009</v>
      </c>
      <c r="P1351" s="18">
        <f>IF(I1351="L",'Financial Inputs'!$B$4,IF(I1351="M",'Financial Inputs'!$B$5,'Financial Inputs'!$B$6))</f>
        <v>0.7</v>
      </c>
      <c r="Q1351" s="17">
        <f>O1351*P1351</f>
        <v>2100000.0000000005</v>
      </c>
      <c r="R1351" s="16">
        <f>'Financial Inputs'!$B$7</f>
        <v>0.35</v>
      </c>
      <c r="S1351" s="17">
        <f>Q1351*(1-R1351)</f>
        <v>1365000.0000000005</v>
      </c>
      <c r="T1351" s="18">
        <f>S1351/'Financial Inputs'!$B$3</f>
        <v>1.3650000000000004E-2</v>
      </c>
      <c r="U1351" s="9" t="s">
        <v>52</v>
      </c>
      <c r="V1351" s="3" t="s">
        <v>53</v>
      </c>
    </row>
    <row r="1352" spans="1:22">
      <c r="A1352" s="2" t="s">
        <v>4283</v>
      </c>
      <c r="B1352" s="2" t="s">
        <v>4284</v>
      </c>
      <c r="C1352" s="2" t="s">
        <v>4132</v>
      </c>
      <c r="D1352" s="2" t="s">
        <v>42</v>
      </c>
      <c r="E1352" s="2" t="s">
        <v>96</v>
      </c>
      <c r="F1352" s="2" t="s">
        <v>44</v>
      </c>
      <c r="G1352" s="2" t="s">
        <v>45</v>
      </c>
      <c r="H1352" s="2" t="s">
        <v>498</v>
      </c>
      <c r="I1352" s="2" t="s">
        <v>499</v>
      </c>
      <c r="J1352" s="2" t="s">
        <v>4133</v>
      </c>
      <c r="K1352" s="2" t="s">
        <v>4285</v>
      </c>
      <c r="L1352" s="2" t="s">
        <v>298</v>
      </c>
      <c r="M1352" s="2" t="s">
        <v>4135</v>
      </c>
      <c r="N1352" s="16">
        <v>0.02</v>
      </c>
      <c r="O1352" s="17">
        <f>N1352*'Financial Inputs'!$B$3</f>
        <v>2000000</v>
      </c>
      <c r="P1352" s="18">
        <f>IF(I1352="L",'Financial Inputs'!$B$4,IF(I1352="M",'Financial Inputs'!$B$5,'Financial Inputs'!$B$6))</f>
        <v>0.7</v>
      </c>
      <c r="Q1352" s="17">
        <f>O1352*P1352</f>
        <v>1400000</v>
      </c>
      <c r="R1352" s="16">
        <f>'Financial Inputs'!$B$7</f>
        <v>0.35</v>
      </c>
      <c r="S1352" s="17">
        <f>Q1352*(1-R1352)</f>
        <v>910000</v>
      </c>
      <c r="T1352" s="18">
        <f>S1352/'Financial Inputs'!$B$3</f>
        <v>9.1000000000000004E-3</v>
      </c>
      <c r="U1352" s="9" t="s">
        <v>52</v>
      </c>
      <c r="V1352" s="3" t="s">
        <v>53</v>
      </c>
    </row>
    <row r="1353" spans="1:22">
      <c r="A1353" s="2" t="s">
        <v>4286</v>
      </c>
      <c r="B1353" s="2" t="s">
        <v>4287</v>
      </c>
      <c r="C1353" s="2" t="s">
        <v>4132</v>
      </c>
      <c r="D1353" s="2" t="s">
        <v>56</v>
      </c>
      <c r="E1353" s="2" t="s">
        <v>103</v>
      </c>
      <c r="F1353" s="2" t="s">
        <v>58</v>
      </c>
      <c r="G1353" s="2" t="s">
        <v>59</v>
      </c>
      <c r="H1353" s="2" t="s">
        <v>498</v>
      </c>
      <c r="I1353" s="2" t="s">
        <v>499</v>
      </c>
      <c r="J1353" s="2" t="s">
        <v>4133</v>
      </c>
      <c r="K1353" s="2" t="s">
        <v>4288</v>
      </c>
      <c r="L1353" s="2" t="s">
        <v>302</v>
      </c>
      <c r="M1353" s="2" t="s">
        <v>4135</v>
      </c>
      <c r="N1353" s="16">
        <v>2.2499999999999999E-2</v>
      </c>
      <c r="O1353" s="17">
        <f>N1353*'Financial Inputs'!$B$3</f>
        <v>2250000</v>
      </c>
      <c r="P1353" s="18">
        <f>IF(I1353="L",'Financial Inputs'!$B$4,IF(I1353="M",'Financial Inputs'!$B$5,'Financial Inputs'!$B$6))</f>
        <v>0.7</v>
      </c>
      <c r="Q1353" s="17">
        <f>O1353*P1353</f>
        <v>1575000</v>
      </c>
      <c r="R1353" s="16">
        <f>'Financial Inputs'!$B$7</f>
        <v>0.35</v>
      </c>
      <c r="S1353" s="17">
        <f>Q1353*(1-R1353)</f>
        <v>1023750</v>
      </c>
      <c r="T1353" s="18">
        <f>S1353/'Financial Inputs'!$B$3</f>
        <v>1.02375E-2</v>
      </c>
      <c r="U1353" s="9" t="s">
        <v>52</v>
      </c>
      <c r="V1353" s="3" t="s">
        <v>53</v>
      </c>
    </row>
    <row r="1354" spans="1:22">
      <c r="A1354" s="2" t="s">
        <v>4289</v>
      </c>
      <c r="B1354" s="2" t="s">
        <v>4290</v>
      </c>
      <c r="C1354" s="2" t="s">
        <v>4132</v>
      </c>
      <c r="D1354" s="2" t="s">
        <v>64</v>
      </c>
      <c r="E1354" s="2" t="s">
        <v>109</v>
      </c>
      <c r="F1354" s="2" t="s">
        <v>66</v>
      </c>
      <c r="G1354" s="2" t="s">
        <v>67</v>
      </c>
      <c r="H1354" s="2" t="s">
        <v>498</v>
      </c>
      <c r="I1354" s="2" t="s">
        <v>499</v>
      </c>
      <c r="J1354" s="2" t="s">
        <v>4133</v>
      </c>
      <c r="K1354" s="2" t="s">
        <v>4291</v>
      </c>
      <c r="L1354" s="2" t="s">
        <v>306</v>
      </c>
      <c r="M1354" s="2" t="s">
        <v>4135</v>
      </c>
      <c r="N1354" s="16">
        <v>2.5000000000000001E-2</v>
      </c>
      <c r="O1354" s="17">
        <f>N1354*'Financial Inputs'!$B$3</f>
        <v>2500000</v>
      </c>
      <c r="P1354" s="18">
        <f>IF(I1354="L",'Financial Inputs'!$B$4,IF(I1354="M",'Financial Inputs'!$B$5,'Financial Inputs'!$B$6))</f>
        <v>0.7</v>
      </c>
      <c r="Q1354" s="17">
        <f>O1354*P1354</f>
        <v>1750000</v>
      </c>
      <c r="R1354" s="16">
        <f>'Financial Inputs'!$B$7</f>
        <v>0.35</v>
      </c>
      <c r="S1354" s="17">
        <f>Q1354*(1-R1354)</f>
        <v>1137500</v>
      </c>
      <c r="T1354" s="18">
        <f>S1354/'Financial Inputs'!$B$3</f>
        <v>1.1375E-2</v>
      </c>
      <c r="U1354" s="9" t="s">
        <v>52</v>
      </c>
      <c r="V1354" s="3" t="s">
        <v>53</v>
      </c>
    </row>
    <row r="1355" spans="1:22">
      <c r="A1355" s="2" t="s">
        <v>4292</v>
      </c>
      <c r="B1355" s="2" t="s">
        <v>4293</v>
      </c>
      <c r="C1355" s="2" t="s">
        <v>4132</v>
      </c>
      <c r="D1355" s="2" t="s">
        <v>72</v>
      </c>
      <c r="E1355" s="2" t="s">
        <v>116</v>
      </c>
      <c r="F1355" s="2" t="s">
        <v>74</v>
      </c>
      <c r="G1355" s="2" t="s">
        <v>75</v>
      </c>
      <c r="H1355" s="2" t="s">
        <v>498</v>
      </c>
      <c r="I1355" s="2" t="s">
        <v>499</v>
      </c>
      <c r="J1355" s="2" t="s">
        <v>4133</v>
      </c>
      <c r="K1355" s="2" t="s">
        <v>4294</v>
      </c>
      <c r="L1355" s="2" t="s">
        <v>310</v>
      </c>
      <c r="M1355" s="2" t="s">
        <v>4135</v>
      </c>
      <c r="N1355" s="16">
        <v>2.75E-2</v>
      </c>
      <c r="O1355" s="17">
        <f>N1355*'Financial Inputs'!$B$3</f>
        <v>2750000</v>
      </c>
      <c r="P1355" s="18">
        <f>IF(I1355="L",'Financial Inputs'!$B$4,IF(I1355="M",'Financial Inputs'!$B$5,'Financial Inputs'!$B$6))</f>
        <v>0.7</v>
      </c>
      <c r="Q1355" s="17">
        <f>O1355*P1355</f>
        <v>1924999.9999999998</v>
      </c>
      <c r="R1355" s="16">
        <f>'Financial Inputs'!$B$7</f>
        <v>0.35</v>
      </c>
      <c r="S1355" s="17">
        <f>Q1355*(1-R1355)</f>
        <v>1251250</v>
      </c>
      <c r="T1355" s="18">
        <f>S1355/'Financial Inputs'!$B$3</f>
        <v>1.2512499999999999E-2</v>
      </c>
      <c r="U1355" s="9" t="s">
        <v>52</v>
      </c>
      <c r="V1355" s="3" t="s">
        <v>53</v>
      </c>
    </row>
    <row r="1356" spans="1:22">
      <c r="A1356" s="2" t="s">
        <v>4295</v>
      </c>
      <c r="B1356" s="2" t="s">
        <v>4296</v>
      </c>
      <c r="C1356" s="2" t="s">
        <v>4132</v>
      </c>
      <c r="D1356" s="2" t="s">
        <v>80</v>
      </c>
      <c r="E1356" s="2" t="s">
        <v>215</v>
      </c>
      <c r="F1356" s="2" t="s">
        <v>82</v>
      </c>
      <c r="G1356" s="2" t="s">
        <v>83</v>
      </c>
      <c r="H1356" s="2" t="s">
        <v>498</v>
      </c>
      <c r="I1356" s="2" t="s">
        <v>499</v>
      </c>
      <c r="J1356" s="2" t="s">
        <v>4133</v>
      </c>
      <c r="K1356" s="2" t="s">
        <v>4297</v>
      </c>
      <c r="L1356" s="2" t="s">
        <v>314</v>
      </c>
      <c r="M1356" s="2" t="s">
        <v>4135</v>
      </c>
      <c r="N1356" s="16">
        <v>3.0000000000000009E-2</v>
      </c>
      <c r="O1356" s="17">
        <f>N1356*'Financial Inputs'!$B$3</f>
        <v>3000000.0000000009</v>
      </c>
      <c r="P1356" s="18">
        <f>IF(I1356="L",'Financial Inputs'!$B$4,IF(I1356="M",'Financial Inputs'!$B$5,'Financial Inputs'!$B$6))</f>
        <v>0.7</v>
      </c>
      <c r="Q1356" s="17">
        <f>O1356*P1356</f>
        <v>2100000.0000000005</v>
      </c>
      <c r="R1356" s="16">
        <f>'Financial Inputs'!$B$7</f>
        <v>0.35</v>
      </c>
      <c r="S1356" s="17">
        <f>Q1356*(1-R1356)</f>
        <v>1365000.0000000005</v>
      </c>
      <c r="T1356" s="18">
        <f>S1356/'Financial Inputs'!$B$3</f>
        <v>1.3650000000000004E-2</v>
      </c>
      <c r="U1356" s="9" t="s">
        <v>52</v>
      </c>
      <c r="V1356" s="3" t="s">
        <v>53</v>
      </c>
    </row>
    <row r="1357" spans="1:22">
      <c r="A1357" s="2" t="s">
        <v>4298</v>
      </c>
      <c r="B1357" s="2" t="s">
        <v>4299</v>
      </c>
      <c r="C1357" s="2" t="s">
        <v>4132</v>
      </c>
      <c r="D1357" s="2" t="s">
        <v>88</v>
      </c>
      <c r="E1357" s="2" t="s">
        <v>128</v>
      </c>
      <c r="F1357" s="2" t="s">
        <v>90</v>
      </c>
      <c r="G1357" s="2" t="s">
        <v>67</v>
      </c>
      <c r="H1357" s="2" t="s">
        <v>498</v>
      </c>
      <c r="I1357" s="2" t="s">
        <v>499</v>
      </c>
      <c r="J1357" s="2" t="s">
        <v>4133</v>
      </c>
      <c r="K1357" s="2" t="s">
        <v>4300</v>
      </c>
      <c r="L1357" s="2" t="s">
        <v>318</v>
      </c>
      <c r="M1357" s="2" t="s">
        <v>4135</v>
      </c>
      <c r="N1357" s="16">
        <v>0.02</v>
      </c>
      <c r="O1357" s="17">
        <f>N1357*'Financial Inputs'!$B$3</f>
        <v>2000000</v>
      </c>
      <c r="P1357" s="18">
        <f>IF(I1357="L",'Financial Inputs'!$B$4,IF(I1357="M",'Financial Inputs'!$B$5,'Financial Inputs'!$B$6))</f>
        <v>0.7</v>
      </c>
      <c r="Q1357" s="17">
        <f>O1357*P1357</f>
        <v>1400000</v>
      </c>
      <c r="R1357" s="16">
        <f>'Financial Inputs'!$B$7</f>
        <v>0.35</v>
      </c>
      <c r="S1357" s="17">
        <f>Q1357*(1-R1357)</f>
        <v>910000</v>
      </c>
      <c r="T1357" s="18">
        <f>S1357/'Financial Inputs'!$B$3</f>
        <v>9.1000000000000004E-3</v>
      </c>
      <c r="U1357" s="9" t="s">
        <v>52</v>
      </c>
      <c r="V1357" s="3" t="s">
        <v>53</v>
      </c>
    </row>
    <row r="1358" spans="1:22">
      <c r="A1358" s="2" t="s">
        <v>4301</v>
      </c>
      <c r="B1358" s="2" t="s">
        <v>4302</v>
      </c>
      <c r="C1358" s="2" t="s">
        <v>4132</v>
      </c>
      <c r="D1358" s="2" t="s">
        <v>95</v>
      </c>
      <c r="E1358" s="2" t="s">
        <v>43</v>
      </c>
      <c r="F1358" s="2" t="s">
        <v>97</v>
      </c>
      <c r="G1358" s="2" t="s">
        <v>75</v>
      </c>
      <c r="H1358" s="2" t="s">
        <v>498</v>
      </c>
      <c r="I1358" s="2" t="s">
        <v>499</v>
      </c>
      <c r="J1358" s="2" t="s">
        <v>4133</v>
      </c>
      <c r="K1358" s="2" t="s">
        <v>4303</v>
      </c>
      <c r="L1358" s="2" t="s">
        <v>322</v>
      </c>
      <c r="M1358" s="2" t="s">
        <v>4135</v>
      </c>
      <c r="N1358" s="16">
        <v>2.2499999999999999E-2</v>
      </c>
      <c r="O1358" s="17">
        <f>N1358*'Financial Inputs'!$B$3</f>
        <v>2250000</v>
      </c>
      <c r="P1358" s="18">
        <f>IF(I1358="L",'Financial Inputs'!$B$4,IF(I1358="M",'Financial Inputs'!$B$5,'Financial Inputs'!$B$6))</f>
        <v>0.7</v>
      </c>
      <c r="Q1358" s="17">
        <f>O1358*P1358</f>
        <v>1575000</v>
      </c>
      <c r="R1358" s="16">
        <f>'Financial Inputs'!$B$7</f>
        <v>0.35</v>
      </c>
      <c r="S1358" s="17">
        <f>Q1358*(1-R1358)</f>
        <v>1023750</v>
      </c>
      <c r="T1358" s="18">
        <f>S1358/'Financial Inputs'!$B$3</f>
        <v>1.02375E-2</v>
      </c>
      <c r="U1358" s="9" t="s">
        <v>52</v>
      </c>
      <c r="V1358" s="3" t="s">
        <v>53</v>
      </c>
    </row>
    <row r="1359" spans="1:22">
      <c r="A1359" s="2" t="s">
        <v>4304</v>
      </c>
      <c r="B1359" s="2" t="s">
        <v>4305</v>
      </c>
      <c r="C1359" s="2" t="s">
        <v>4132</v>
      </c>
      <c r="D1359" s="2" t="s">
        <v>102</v>
      </c>
      <c r="E1359" s="2" t="s">
        <v>57</v>
      </c>
      <c r="F1359" s="2" t="s">
        <v>104</v>
      </c>
      <c r="G1359" s="2" t="s">
        <v>83</v>
      </c>
      <c r="H1359" s="2" t="s">
        <v>498</v>
      </c>
      <c r="I1359" s="2" t="s">
        <v>499</v>
      </c>
      <c r="J1359" s="2" t="s">
        <v>4133</v>
      </c>
      <c r="K1359" s="2" t="s">
        <v>4306</v>
      </c>
      <c r="L1359" s="2" t="s">
        <v>326</v>
      </c>
      <c r="M1359" s="2" t="s">
        <v>4135</v>
      </c>
      <c r="N1359" s="16">
        <v>2.5000000000000001E-2</v>
      </c>
      <c r="O1359" s="17">
        <f>N1359*'Financial Inputs'!$B$3</f>
        <v>2500000</v>
      </c>
      <c r="P1359" s="18">
        <f>IF(I1359="L",'Financial Inputs'!$B$4,IF(I1359="M",'Financial Inputs'!$B$5,'Financial Inputs'!$B$6))</f>
        <v>0.7</v>
      </c>
      <c r="Q1359" s="17">
        <f>O1359*P1359</f>
        <v>1750000</v>
      </c>
      <c r="R1359" s="16">
        <f>'Financial Inputs'!$B$7</f>
        <v>0.35</v>
      </c>
      <c r="S1359" s="17">
        <f>Q1359*(1-R1359)</f>
        <v>1137500</v>
      </c>
      <c r="T1359" s="18">
        <f>S1359/'Financial Inputs'!$B$3</f>
        <v>1.1375E-2</v>
      </c>
      <c r="U1359" s="9" t="s">
        <v>52</v>
      </c>
      <c r="V1359" s="3" t="s">
        <v>53</v>
      </c>
    </row>
    <row r="1360" spans="1:22">
      <c r="A1360" s="2" t="s">
        <v>4307</v>
      </c>
      <c r="B1360" s="2" t="s">
        <v>4308</v>
      </c>
      <c r="C1360" s="2" t="s">
        <v>4132</v>
      </c>
      <c r="D1360" s="2" t="s">
        <v>42</v>
      </c>
      <c r="E1360" s="2" t="s">
        <v>65</v>
      </c>
      <c r="F1360" s="2" t="s">
        <v>110</v>
      </c>
      <c r="G1360" s="2" t="s">
        <v>111</v>
      </c>
      <c r="H1360" s="2" t="s">
        <v>498</v>
      </c>
      <c r="I1360" s="2" t="s">
        <v>499</v>
      </c>
      <c r="J1360" s="2" t="s">
        <v>4133</v>
      </c>
      <c r="K1360" s="2" t="s">
        <v>4309</v>
      </c>
      <c r="L1360" s="2" t="s">
        <v>330</v>
      </c>
      <c r="M1360" s="2" t="s">
        <v>4135</v>
      </c>
      <c r="N1360" s="16">
        <v>2.75E-2</v>
      </c>
      <c r="O1360" s="17">
        <f>N1360*'Financial Inputs'!$B$3</f>
        <v>2750000</v>
      </c>
      <c r="P1360" s="18">
        <f>IF(I1360="L",'Financial Inputs'!$B$4,IF(I1360="M",'Financial Inputs'!$B$5,'Financial Inputs'!$B$6))</f>
        <v>0.7</v>
      </c>
      <c r="Q1360" s="17">
        <f>O1360*P1360</f>
        <v>1924999.9999999998</v>
      </c>
      <c r="R1360" s="16">
        <f>'Financial Inputs'!$B$7</f>
        <v>0.35</v>
      </c>
      <c r="S1360" s="17">
        <f>Q1360*(1-R1360)</f>
        <v>1251250</v>
      </c>
      <c r="T1360" s="18">
        <f>S1360/'Financial Inputs'!$B$3</f>
        <v>1.2512499999999999E-2</v>
      </c>
      <c r="U1360" s="9" t="s">
        <v>52</v>
      </c>
      <c r="V1360" s="3" t="s">
        <v>53</v>
      </c>
    </row>
    <row r="1361" spans="1:22">
      <c r="A1361" s="2" t="s">
        <v>4310</v>
      </c>
      <c r="B1361" s="2" t="s">
        <v>4311</v>
      </c>
      <c r="C1361" s="2" t="s">
        <v>4132</v>
      </c>
      <c r="D1361" s="2" t="s">
        <v>56</v>
      </c>
      <c r="E1361" s="2" t="s">
        <v>73</v>
      </c>
      <c r="F1361" s="2" t="s">
        <v>117</v>
      </c>
      <c r="G1361" s="2" t="s">
        <v>56</v>
      </c>
      <c r="H1361" s="2" t="s">
        <v>498</v>
      </c>
      <c r="I1361" s="2" t="s">
        <v>499</v>
      </c>
      <c r="J1361" s="2" t="s">
        <v>4133</v>
      </c>
      <c r="K1361" s="2" t="s">
        <v>4312</v>
      </c>
      <c r="L1361" s="2" t="s">
        <v>334</v>
      </c>
      <c r="M1361" s="2" t="s">
        <v>4135</v>
      </c>
      <c r="N1361" s="16">
        <v>3.0000000000000009E-2</v>
      </c>
      <c r="O1361" s="17">
        <f>N1361*'Financial Inputs'!$B$3</f>
        <v>3000000.0000000009</v>
      </c>
      <c r="P1361" s="18">
        <f>IF(I1361="L",'Financial Inputs'!$B$4,IF(I1361="M",'Financial Inputs'!$B$5,'Financial Inputs'!$B$6))</f>
        <v>0.7</v>
      </c>
      <c r="Q1361" s="17">
        <f>O1361*P1361</f>
        <v>2100000.0000000005</v>
      </c>
      <c r="R1361" s="16">
        <f>'Financial Inputs'!$B$7</f>
        <v>0.35</v>
      </c>
      <c r="S1361" s="17">
        <f>Q1361*(1-R1361)</f>
        <v>1365000.0000000005</v>
      </c>
      <c r="T1361" s="18">
        <f>S1361/'Financial Inputs'!$B$3</f>
        <v>1.3650000000000004E-2</v>
      </c>
      <c r="U1361" s="9" t="s">
        <v>52</v>
      </c>
      <c r="V1361" s="3" t="s">
        <v>53</v>
      </c>
    </row>
    <row r="1362" spans="1:22">
      <c r="A1362" s="2" t="s">
        <v>4313</v>
      </c>
      <c r="B1362" s="2" t="s">
        <v>4314</v>
      </c>
      <c r="C1362" s="2" t="s">
        <v>4132</v>
      </c>
      <c r="D1362" s="2" t="s">
        <v>80</v>
      </c>
      <c r="E1362" s="2" t="s">
        <v>153</v>
      </c>
      <c r="F1362" s="2" t="s">
        <v>58</v>
      </c>
      <c r="G1362" s="2" t="s">
        <v>83</v>
      </c>
      <c r="H1362" s="2" t="s">
        <v>498</v>
      </c>
      <c r="I1362" s="2" t="s">
        <v>499</v>
      </c>
      <c r="J1362" s="2" t="s">
        <v>4133</v>
      </c>
      <c r="K1362" s="2" t="s">
        <v>4315</v>
      </c>
      <c r="L1362" s="2" t="s">
        <v>338</v>
      </c>
      <c r="M1362" s="2" t="s">
        <v>4135</v>
      </c>
      <c r="N1362" s="16">
        <v>0.02</v>
      </c>
      <c r="O1362" s="17">
        <f>N1362*'Financial Inputs'!$B$3</f>
        <v>2000000</v>
      </c>
      <c r="P1362" s="18">
        <f>IF(I1362="L",'Financial Inputs'!$B$4,IF(I1362="M",'Financial Inputs'!$B$5,'Financial Inputs'!$B$6))</f>
        <v>0.7</v>
      </c>
      <c r="Q1362" s="17">
        <f>O1362*P1362</f>
        <v>1400000</v>
      </c>
      <c r="R1362" s="16">
        <f>'Financial Inputs'!$B$7</f>
        <v>0.35</v>
      </c>
      <c r="S1362" s="17">
        <f>Q1362*(1-R1362)</f>
        <v>910000</v>
      </c>
      <c r="T1362" s="18">
        <f>S1362/'Financial Inputs'!$B$3</f>
        <v>9.1000000000000004E-3</v>
      </c>
      <c r="U1362" s="9" t="s">
        <v>52</v>
      </c>
      <c r="V1362" s="3" t="s">
        <v>53</v>
      </c>
    </row>
    <row r="1363" spans="1:22">
      <c r="A1363" s="2" t="s">
        <v>4316</v>
      </c>
      <c r="B1363" s="2" t="s">
        <v>4317</v>
      </c>
      <c r="C1363" s="2" t="s">
        <v>4132</v>
      </c>
      <c r="D1363" s="2" t="s">
        <v>127</v>
      </c>
      <c r="E1363" s="2" t="s">
        <v>89</v>
      </c>
      <c r="F1363" s="2" t="s">
        <v>66</v>
      </c>
      <c r="G1363" s="2" t="s">
        <v>111</v>
      </c>
      <c r="H1363" s="2" t="s">
        <v>498</v>
      </c>
      <c r="I1363" s="2" t="s">
        <v>499</v>
      </c>
      <c r="J1363" s="2" t="s">
        <v>4133</v>
      </c>
      <c r="K1363" s="2" t="s">
        <v>4318</v>
      </c>
      <c r="L1363" s="2" t="s">
        <v>342</v>
      </c>
      <c r="M1363" s="2" t="s">
        <v>4135</v>
      </c>
      <c r="N1363" s="16">
        <v>2.2499999999999999E-2</v>
      </c>
      <c r="O1363" s="17">
        <f>N1363*'Financial Inputs'!$B$3</f>
        <v>2250000</v>
      </c>
      <c r="P1363" s="18">
        <f>IF(I1363="L",'Financial Inputs'!$B$4,IF(I1363="M",'Financial Inputs'!$B$5,'Financial Inputs'!$B$6))</f>
        <v>0.7</v>
      </c>
      <c r="Q1363" s="17">
        <f>O1363*P1363</f>
        <v>1575000</v>
      </c>
      <c r="R1363" s="16">
        <f>'Financial Inputs'!$B$7</f>
        <v>0.35</v>
      </c>
      <c r="S1363" s="17">
        <f>Q1363*(1-R1363)</f>
        <v>1023750</v>
      </c>
      <c r="T1363" s="18">
        <f>S1363/'Financial Inputs'!$B$3</f>
        <v>1.02375E-2</v>
      </c>
      <c r="U1363" s="9" t="s">
        <v>52</v>
      </c>
      <c r="V1363" s="3" t="s">
        <v>53</v>
      </c>
    </row>
    <row r="1364" spans="1:22">
      <c r="A1364" s="2" t="s">
        <v>4319</v>
      </c>
      <c r="B1364" s="2" t="s">
        <v>4320</v>
      </c>
      <c r="C1364" s="2" t="s">
        <v>4132</v>
      </c>
      <c r="D1364" s="2" t="s">
        <v>133</v>
      </c>
      <c r="E1364" s="2" t="s">
        <v>96</v>
      </c>
      <c r="F1364" s="2" t="s">
        <v>74</v>
      </c>
      <c r="G1364" s="2" t="s">
        <v>56</v>
      </c>
      <c r="H1364" s="2" t="s">
        <v>498</v>
      </c>
      <c r="I1364" s="2" t="s">
        <v>499</v>
      </c>
      <c r="J1364" s="2" t="s">
        <v>4133</v>
      </c>
      <c r="K1364" s="2" t="s">
        <v>4321</v>
      </c>
      <c r="L1364" s="2" t="s">
        <v>346</v>
      </c>
      <c r="M1364" s="2" t="s">
        <v>4135</v>
      </c>
      <c r="N1364" s="16">
        <v>2.5000000000000001E-2</v>
      </c>
      <c r="O1364" s="17">
        <f>N1364*'Financial Inputs'!$B$3</f>
        <v>2500000</v>
      </c>
      <c r="P1364" s="18">
        <f>IF(I1364="L",'Financial Inputs'!$B$4,IF(I1364="M",'Financial Inputs'!$B$5,'Financial Inputs'!$B$6))</f>
        <v>0.7</v>
      </c>
      <c r="Q1364" s="17">
        <f>O1364*P1364</f>
        <v>1750000</v>
      </c>
      <c r="R1364" s="16">
        <f>'Financial Inputs'!$B$7</f>
        <v>0.35</v>
      </c>
      <c r="S1364" s="17">
        <f>Q1364*(1-R1364)</f>
        <v>1137500</v>
      </c>
      <c r="T1364" s="18">
        <f>S1364/'Financial Inputs'!$B$3</f>
        <v>1.1375E-2</v>
      </c>
      <c r="U1364" s="9" t="s">
        <v>52</v>
      </c>
      <c r="V1364" s="3" t="s">
        <v>53</v>
      </c>
    </row>
    <row r="1365" spans="1:22">
      <c r="A1365" s="2" t="s">
        <v>4322</v>
      </c>
      <c r="B1365" s="2" t="s">
        <v>4323</v>
      </c>
      <c r="C1365" s="2" t="s">
        <v>4132</v>
      </c>
      <c r="D1365" s="2" t="s">
        <v>88</v>
      </c>
      <c r="E1365" s="2" t="s">
        <v>103</v>
      </c>
      <c r="F1365" s="2" t="s">
        <v>82</v>
      </c>
      <c r="G1365" s="2" t="s">
        <v>138</v>
      </c>
      <c r="H1365" s="2" t="s">
        <v>498</v>
      </c>
      <c r="I1365" s="2" t="s">
        <v>499</v>
      </c>
      <c r="J1365" s="2" t="s">
        <v>4133</v>
      </c>
      <c r="K1365" s="2" t="s">
        <v>4324</v>
      </c>
      <c r="L1365" s="2" t="s">
        <v>350</v>
      </c>
      <c r="M1365" s="2" t="s">
        <v>4135</v>
      </c>
      <c r="N1365" s="16">
        <v>2.75E-2</v>
      </c>
      <c r="O1365" s="17">
        <f>N1365*'Financial Inputs'!$B$3</f>
        <v>2750000</v>
      </c>
      <c r="P1365" s="18">
        <f>IF(I1365="L",'Financial Inputs'!$B$4,IF(I1365="M",'Financial Inputs'!$B$5,'Financial Inputs'!$B$6))</f>
        <v>0.7</v>
      </c>
      <c r="Q1365" s="17">
        <f>O1365*P1365</f>
        <v>1924999.9999999998</v>
      </c>
      <c r="R1365" s="16">
        <f>'Financial Inputs'!$B$7</f>
        <v>0.35</v>
      </c>
      <c r="S1365" s="17">
        <f>Q1365*(1-R1365)</f>
        <v>1251250</v>
      </c>
      <c r="T1365" s="18">
        <f>S1365/'Financial Inputs'!$B$3</f>
        <v>1.2512499999999999E-2</v>
      </c>
      <c r="U1365" s="9" t="s">
        <v>52</v>
      </c>
      <c r="V1365" s="3" t="s">
        <v>53</v>
      </c>
    </row>
    <row r="1366" spans="1:22">
      <c r="A1366" s="2" t="s">
        <v>4325</v>
      </c>
      <c r="B1366" s="2" t="s">
        <v>4326</v>
      </c>
      <c r="C1366" s="2" t="s">
        <v>4132</v>
      </c>
      <c r="D1366" s="2" t="s">
        <v>95</v>
      </c>
      <c r="E1366" s="2" t="s">
        <v>109</v>
      </c>
      <c r="F1366" s="2" t="s">
        <v>44</v>
      </c>
      <c r="G1366" s="2" t="s">
        <v>143</v>
      </c>
      <c r="H1366" s="2" t="s">
        <v>498</v>
      </c>
      <c r="I1366" s="2" t="s">
        <v>499</v>
      </c>
      <c r="J1366" s="2" t="s">
        <v>4133</v>
      </c>
      <c r="K1366" s="2" t="s">
        <v>4327</v>
      </c>
      <c r="L1366" s="2" t="s">
        <v>354</v>
      </c>
      <c r="M1366" s="2" t="s">
        <v>4135</v>
      </c>
      <c r="N1366" s="16">
        <v>3.0000000000000009E-2</v>
      </c>
      <c r="O1366" s="17">
        <f>N1366*'Financial Inputs'!$B$3</f>
        <v>3000000.0000000009</v>
      </c>
      <c r="P1366" s="18">
        <f>IF(I1366="L",'Financial Inputs'!$B$4,IF(I1366="M",'Financial Inputs'!$B$5,'Financial Inputs'!$B$6))</f>
        <v>0.7</v>
      </c>
      <c r="Q1366" s="17">
        <f>O1366*P1366</f>
        <v>2100000.0000000005</v>
      </c>
      <c r="R1366" s="16">
        <f>'Financial Inputs'!$B$7</f>
        <v>0.35</v>
      </c>
      <c r="S1366" s="17">
        <f>Q1366*(1-R1366)</f>
        <v>1365000.0000000005</v>
      </c>
      <c r="T1366" s="18">
        <f>S1366/'Financial Inputs'!$B$3</f>
        <v>1.3650000000000004E-2</v>
      </c>
      <c r="U1366" s="9" t="s">
        <v>52</v>
      </c>
      <c r="V1366" s="3" t="s">
        <v>53</v>
      </c>
    </row>
    <row r="1367" spans="1:22">
      <c r="A1367" s="2" t="s">
        <v>4328</v>
      </c>
      <c r="B1367" s="2" t="s">
        <v>4329</v>
      </c>
      <c r="C1367" s="2" t="s">
        <v>4132</v>
      </c>
      <c r="D1367" s="2" t="s">
        <v>56</v>
      </c>
      <c r="E1367" s="2" t="s">
        <v>176</v>
      </c>
      <c r="F1367" s="2" t="s">
        <v>97</v>
      </c>
      <c r="G1367" s="2" t="s">
        <v>56</v>
      </c>
      <c r="H1367" s="2" t="s">
        <v>498</v>
      </c>
      <c r="I1367" s="2" t="s">
        <v>499</v>
      </c>
      <c r="J1367" s="2" t="s">
        <v>4133</v>
      </c>
      <c r="K1367" s="2" t="s">
        <v>4330</v>
      </c>
      <c r="L1367" s="2" t="s">
        <v>358</v>
      </c>
      <c r="M1367" s="2" t="s">
        <v>4135</v>
      </c>
      <c r="N1367" s="16">
        <v>0.02</v>
      </c>
      <c r="O1367" s="17">
        <f>N1367*'Financial Inputs'!$B$3</f>
        <v>2000000</v>
      </c>
      <c r="P1367" s="18">
        <f>IF(I1367="L",'Financial Inputs'!$B$4,IF(I1367="M",'Financial Inputs'!$B$5,'Financial Inputs'!$B$6))</f>
        <v>0.7</v>
      </c>
      <c r="Q1367" s="17">
        <f>O1367*P1367</f>
        <v>1400000</v>
      </c>
      <c r="R1367" s="16">
        <f>'Financial Inputs'!$B$7</f>
        <v>0.35</v>
      </c>
      <c r="S1367" s="17">
        <f>Q1367*(1-R1367)</f>
        <v>910000</v>
      </c>
      <c r="T1367" s="18">
        <f>S1367/'Financial Inputs'!$B$3</f>
        <v>9.1000000000000004E-3</v>
      </c>
      <c r="U1367" s="9" t="s">
        <v>52</v>
      </c>
      <c r="V1367" s="3" t="s">
        <v>53</v>
      </c>
    </row>
    <row r="1368" spans="1:22">
      <c r="A1368" s="2" t="s">
        <v>4331</v>
      </c>
      <c r="B1368" s="2" t="s">
        <v>4332</v>
      </c>
      <c r="C1368" s="2" t="s">
        <v>4132</v>
      </c>
      <c r="D1368" s="2" t="s">
        <v>64</v>
      </c>
      <c r="E1368" s="2" t="s">
        <v>122</v>
      </c>
      <c r="F1368" s="2" t="s">
        <v>104</v>
      </c>
      <c r="G1368" s="2" t="s">
        <v>138</v>
      </c>
      <c r="H1368" s="2" t="s">
        <v>498</v>
      </c>
      <c r="I1368" s="2" t="s">
        <v>499</v>
      </c>
      <c r="J1368" s="2" t="s">
        <v>4133</v>
      </c>
      <c r="K1368" s="2" t="s">
        <v>4333</v>
      </c>
      <c r="L1368" s="2" t="s">
        <v>362</v>
      </c>
      <c r="M1368" s="2" t="s">
        <v>4135</v>
      </c>
      <c r="N1368" s="16">
        <v>2.2499999999999999E-2</v>
      </c>
      <c r="O1368" s="17">
        <f>N1368*'Financial Inputs'!$B$3</f>
        <v>2250000</v>
      </c>
      <c r="P1368" s="18">
        <f>IF(I1368="L",'Financial Inputs'!$B$4,IF(I1368="M",'Financial Inputs'!$B$5,'Financial Inputs'!$B$6))</f>
        <v>0.7</v>
      </c>
      <c r="Q1368" s="17">
        <f>O1368*P1368</f>
        <v>1575000</v>
      </c>
      <c r="R1368" s="16">
        <f>'Financial Inputs'!$B$7</f>
        <v>0.35</v>
      </c>
      <c r="S1368" s="17">
        <f>Q1368*(1-R1368)</f>
        <v>1023750</v>
      </c>
      <c r="T1368" s="18">
        <f>S1368/'Financial Inputs'!$B$3</f>
        <v>1.02375E-2</v>
      </c>
      <c r="U1368" s="9" t="s">
        <v>52</v>
      </c>
      <c r="V1368" s="3" t="s">
        <v>53</v>
      </c>
    </row>
    <row r="1369" spans="1:22">
      <c r="A1369" s="2" t="s">
        <v>4334</v>
      </c>
      <c r="B1369" s="2" t="s">
        <v>4335</v>
      </c>
      <c r="C1369" s="2" t="s">
        <v>4132</v>
      </c>
      <c r="D1369" s="2" t="s">
        <v>72</v>
      </c>
      <c r="E1369" s="2" t="s">
        <v>128</v>
      </c>
      <c r="F1369" s="2" t="s">
        <v>110</v>
      </c>
      <c r="G1369" s="2" t="s">
        <v>143</v>
      </c>
      <c r="H1369" s="2" t="s">
        <v>498</v>
      </c>
      <c r="I1369" s="2" t="s">
        <v>499</v>
      </c>
      <c r="J1369" s="2" t="s">
        <v>4133</v>
      </c>
      <c r="K1369" s="2" t="s">
        <v>4336</v>
      </c>
      <c r="L1369" s="2" t="s">
        <v>366</v>
      </c>
      <c r="M1369" s="2" t="s">
        <v>4135</v>
      </c>
      <c r="N1369" s="16">
        <v>2.5000000000000001E-2</v>
      </c>
      <c r="O1369" s="17">
        <f>N1369*'Financial Inputs'!$B$3</f>
        <v>2500000</v>
      </c>
      <c r="P1369" s="18">
        <f>IF(I1369="L",'Financial Inputs'!$B$4,IF(I1369="M",'Financial Inputs'!$B$5,'Financial Inputs'!$B$6))</f>
        <v>0.7</v>
      </c>
      <c r="Q1369" s="17">
        <f>O1369*P1369</f>
        <v>1750000</v>
      </c>
      <c r="R1369" s="16">
        <f>'Financial Inputs'!$B$7</f>
        <v>0.35</v>
      </c>
      <c r="S1369" s="17">
        <f>Q1369*(1-R1369)</f>
        <v>1137500</v>
      </c>
      <c r="T1369" s="18">
        <f>S1369/'Financial Inputs'!$B$3</f>
        <v>1.1375E-2</v>
      </c>
      <c r="U1369" s="9" t="s">
        <v>52</v>
      </c>
      <c r="V1369" s="3" t="s">
        <v>53</v>
      </c>
    </row>
    <row r="1370" spans="1:22">
      <c r="A1370" s="2" t="s">
        <v>4337</v>
      </c>
      <c r="B1370" s="2" t="s">
        <v>4338</v>
      </c>
      <c r="C1370" s="2" t="s">
        <v>4132</v>
      </c>
      <c r="D1370" s="2" t="s">
        <v>80</v>
      </c>
      <c r="E1370" s="2" t="s">
        <v>43</v>
      </c>
      <c r="F1370" s="2" t="s">
        <v>117</v>
      </c>
      <c r="G1370" s="2" t="s">
        <v>162</v>
      </c>
      <c r="H1370" s="2" t="s">
        <v>498</v>
      </c>
      <c r="I1370" s="2" t="s">
        <v>499</v>
      </c>
      <c r="J1370" s="2" t="s">
        <v>4133</v>
      </c>
      <c r="K1370" s="2" t="s">
        <v>4339</v>
      </c>
      <c r="L1370" s="2" t="s">
        <v>370</v>
      </c>
      <c r="M1370" s="2" t="s">
        <v>4135</v>
      </c>
      <c r="N1370" s="16">
        <v>2.75E-2</v>
      </c>
      <c r="O1370" s="17">
        <f>N1370*'Financial Inputs'!$B$3</f>
        <v>2750000</v>
      </c>
      <c r="P1370" s="18">
        <f>IF(I1370="L",'Financial Inputs'!$B$4,IF(I1370="M",'Financial Inputs'!$B$5,'Financial Inputs'!$B$6))</f>
        <v>0.7</v>
      </c>
      <c r="Q1370" s="17">
        <f>O1370*P1370</f>
        <v>1924999.9999999998</v>
      </c>
      <c r="R1370" s="16">
        <f>'Financial Inputs'!$B$7</f>
        <v>0.35</v>
      </c>
      <c r="S1370" s="17">
        <f>Q1370*(1-R1370)</f>
        <v>1251250</v>
      </c>
      <c r="T1370" s="18">
        <f>S1370/'Financial Inputs'!$B$3</f>
        <v>1.2512499999999999E-2</v>
      </c>
      <c r="U1370" s="9" t="s">
        <v>52</v>
      </c>
      <c r="V1370" s="3" t="s">
        <v>53</v>
      </c>
    </row>
    <row r="1371" spans="1:22">
      <c r="A1371" s="2" t="s">
        <v>4340</v>
      </c>
      <c r="B1371" s="2" t="s">
        <v>4341</v>
      </c>
      <c r="C1371" s="2" t="s">
        <v>4132</v>
      </c>
      <c r="D1371" s="2" t="s">
        <v>127</v>
      </c>
      <c r="E1371" s="2" t="s">
        <v>57</v>
      </c>
      <c r="F1371" s="2" t="s">
        <v>90</v>
      </c>
      <c r="G1371" s="2" t="s">
        <v>45</v>
      </c>
      <c r="H1371" s="2" t="s">
        <v>498</v>
      </c>
      <c r="I1371" s="2" t="s">
        <v>499</v>
      </c>
      <c r="J1371" s="2" t="s">
        <v>4133</v>
      </c>
      <c r="K1371" s="2" t="s">
        <v>4342</v>
      </c>
      <c r="L1371" s="2" t="s">
        <v>374</v>
      </c>
      <c r="M1371" s="2" t="s">
        <v>4135</v>
      </c>
      <c r="N1371" s="16">
        <v>3.0000000000000009E-2</v>
      </c>
      <c r="O1371" s="17">
        <f>N1371*'Financial Inputs'!$B$3</f>
        <v>3000000.0000000009</v>
      </c>
      <c r="P1371" s="18">
        <f>IF(I1371="L",'Financial Inputs'!$B$4,IF(I1371="M",'Financial Inputs'!$B$5,'Financial Inputs'!$B$6))</f>
        <v>0.7</v>
      </c>
      <c r="Q1371" s="17">
        <f>O1371*P1371</f>
        <v>2100000.0000000005</v>
      </c>
      <c r="R1371" s="16">
        <f>'Financial Inputs'!$B$7</f>
        <v>0.35</v>
      </c>
      <c r="S1371" s="17">
        <f>Q1371*(1-R1371)</f>
        <v>1365000.0000000005</v>
      </c>
      <c r="T1371" s="18">
        <f>S1371/'Financial Inputs'!$B$3</f>
        <v>1.3650000000000004E-2</v>
      </c>
      <c r="U1371" s="9" t="s">
        <v>52</v>
      </c>
      <c r="V1371" s="3" t="s">
        <v>53</v>
      </c>
    </row>
    <row r="1372" spans="1:22">
      <c r="A1372" s="2" t="s">
        <v>4343</v>
      </c>
      <c r="B1372" s="2" t="s">
        <v>4344</v>
      </c>
      <c r="C1372" s="2" t="s">
        <v>4132</v>
      </c>
      <c r="D1372" s="2" t="s">
        <v>95</v>
      </c>
      <c r="E1372" s="2" t="s">
        <v>198</v>
      </c>
      <c r="F1372" s="2" t="s">
        <v>66</v>
      </c>
      <c r="G1372" s="2" t="s">
        <v>143</v>
      </c>
      <c r="H1372" s="2" t="s">
        <v>498</v>
      </c>
      <c r="I1372" s="2" t="s">
        <v>499</v>
      </c>
      <c r="J1372" s="2" t="s">
        <v>4133</v>
      </c>
      <c r="K1372" s="2" t="s">
        <v>4345</v>
      </c>
      <c r="L1372" s="2" t="s">
        <v>378</v>
      </c>
      <c r="M1372" s="2" t="s">
        <v>4135</v>
      </c>
      <c r="N1372" s="16">
        <v>0.02</v>
      </c>
      <c r="O1372" s="17">
        <f>N1372*'Financial Inputs'!$B$3</f>
        <v>2000000</v>
      </c>
      <c r="P1372" s="18">
        <f>IF(I1372="L",'Financial Inputs'!$B$4,IF(I1372="M",'Financial Inputs'!$B$5,'Financial Inputs'!$B$6))</f>
        <v>0.7</v>
      </c>
      <c r="Q1372" s="17">
        <f>O1372*P1372</f>
        <v>1400000</v>
      </c>
      <c r="R1372" s="16">
        <f>'Financial Inputs'!$B$7</f>
        <v>0.35</v>
      </c>
      <c r="S1372" s="17">
        <f>Q1372*(1-R1372)</f>
        <v>910000</v>
      </c>
      <c r="T1372" s="18">
        <f>S1372/'Financial Inputs'!$B$3</f>
        <v>9.1000000000000004E-3</v>
      </c>
      <c r="U1372" s="9" t="s">
        <v>52</v>
      </c>
      <c r="V1372" s="3" t="s">
        <v>53</v>
      </c>
    </row>
    <row r="1373" spans="1:22">
      <c r="A1373" s="2" t="s">
        <v>4346</v>
      </c>
      <c r="B1373" s="2" t="s">
        <v>4347</v>
      </c>
      <c r="C1373" s="2" t="s">
        <v>4132</v>
      </c>
      <c r="D1373" s="2" t="s">
        <v>102</v>
      </c>
      <c r="E1373" s="2" t="s">
        <v>148</v>
      </c>
      <c r="F1373" s="2" t="s">
        <v>74</v>
      </c>
      <c r="G1373" s="2" t="s">
        <v>162</v>
      </c>
      <c r="H1373" s="2" t="s">
        <v>498</v>
      </c>
      <c r="I1373" s="2" t="s">
        <v>499</v>
      </c>
      <c r="J1373" s="2" t="s">
        <v>4133</v>
      </c>
      <c r="K1373" s="2" t="s">
        <v>4348</v>
      </c>
      <c r="L1373" s="2" t="s">
        <v>382</v>
      </c>
      <c r="M1373" s="2" t="s">
        <v>4135</v>
      </c>
      <c r="N1373" s="16">
        <v>2.2499999999999999E-2</v>
      </c>
      <c r="O1373" s="17">
        <f>N1373*'Financial Inputs'!$B$3</f>
        <v>2250000</v>
      </c>
      <c r="P1373" s="18">
        <f>IF(I1373="L",'Financial Inputs'!$B$4,IF(I1373="M",'Financial Inputs'!$B$5,'Financial Inputs'!$B$6))</f>
        <v>0.7</v>
      </c>
      <c r="Q1373" s="17">
        <f>O1373*P1373</f>
        <v>1575000</v>
      </c>
      <c r="R1373" s="16">
        <f>'Financial Inputs'!$B$7</f>
        <v>0.35</v>
      </c>
      <c r="S1373" s="17">
        <f>Q1373*(1-R1373)</f>
        <v>1023750</v>
      </c>
      <c r="T1373" s="18">
        <f>S1373/'Financial Inputs'!$B$3</f>
        <v>1.02375E-2</v>
      </c>
      <c r="U1373" s="9" t="s">
        <v>52</v>
      </c>
      <c r="V1373" s="3" t="s">
        <v>53</v>
      </c>
    </row>
    <row r="1374" spans="1:22">
      <c r="A1374" s="2" t="s">
        <v>4349</v>
      </c>
      <c r="B1374" s="2" t="s">
        <v>4350</v>
      </c>
      <c r="C1374" s="2" t="s">
        <v>4132</v>
      </c>
      <c r="D1374" s="2" t="s">
        <v>42</v>
      </c>
      <c r="E1374" s="2" t="s">
        <v>153</v>
      </c>
      <c r="F1374" s="2" t="s">
        <v>82</v>
      </c>
      <c r="G1374" s="2" t="s">
        <v>45</v>
      </c>
      <c r="H1374" s="2" t="s">
        <v>498</v>
      </c>
      <c r="I1374" s="2" t="s">
        <v>499</v>
      </c>
      <c r="J1374" s="2" t="s">
        <v>4133</v>
      </c>
      <c r="K1374" s="2" t="s">
        <v>4351</v>
      </c>
      <c r="L1374" s="2" t="s">
        <v>386</v>
      </c>
      <c r="M1374" s="2" t="s">
        <v>4135</v>
      </c>
      <c r="N1374" s="16">
        <v>2.5000000000000001E-2</v>
      </c>
      <c r="O1374" s="17">
        <f>N1374*'Financial Inputs'!$B$3</f>
        <v>2500000</v>
      </c>
      <c r="P1374" s="18">
        <f>IF(I1374="L",'Financial Inputs'!$B$4,IF(I1374="M",'Financial Inputs'!$B$5,'Financial Inputs'!$B$6))</f>
        <v>0.7</v>
      </c>
      <c r="Q1374" s="17">
        <f>O1374*P1374</f>
        <v>1750000</v>
      </c>
      <c r="R1374" s="16">
        <f>'Financial Inputs'!$B$7</f>
        <v>0.35</v>
      </c>
      <c r="S1374" s="17">
        <f>Q1374*(1-R1374)</f>
        <v>1137500</v>
      </c>
      <c r="T1374" s="18">
        <f>S1374/'Financial Inputs'!$B$3</f>
        <v>1.1375E-2</v>
      </c>
      <c r="U1374" s="9" t="s">
        <v>52</v>
      </c>
      <c r="V1374" s="3" t="s">
        <v>53</v>
      </c>
    </row>
    <row r="1375" spans="1:22">
      <c r="A1375" s="2" t="s">
        <v>4352</v>
      </c>
      <c r="B1375" s="2" t="s">
        <v>4353</v>
      </c>
      <c r="C1375" s="2" t="s">
        <v>4132</v>
      </c>
      <c r="D1375" s="2" t="s">
        <v>56</v>
      </c>
      <c r="E1375" s="2" t="s">
        <v>89</v>
      </c>
      <c r="F1375" s="2" t="s">
        <v>44</v>
      </c>
      <c r="G1375" s="2" t="s">
        <v>59</v>
      </c>
      <c r="H1375" s="2" t="s">
        <v>498</v>
      </c>
      <c r="I1375" s="2" t="s">
        <v>499</v>
      </c>
      <c r="J1375" s="2" t="s">
        <v>4133</v>
      </c>
      <c r="K1375" s="2" t="s">
        <v>4354</v>
      </c>
      <c r="L1375" s="2" t="s">
        <v>390</v>
      </c>
      <c r="M1375" s="2" t="s">
        <v>4135</v>
      </c>
      <c r="N1375" s="16">
        <v>2.75E-2</v>
      </c>
      <c r="O1375" s="17">
        <f>N1375*'Financial Inputs'!$B$3</f>
        <v>2750000</v>
      </c>
      <c r="P1375" s="18">
        <f>IF(I1375="L",'Financial Inputs'!$B$4,IF(I1375="M",'Financial Inputs'!$B$5,'Financial Inputs'!$B$6))</f>
        <v>0.7</v>
      </c>
      <c r="Q1375" s="17">
        <f>O1375*P1375</f>
        <v>1924999.9999999998</v>
      </c>
      <c r="R1375" s="16">
        <f>'Financial Inputs'!$B$7</f>
        <v>0.35</v>
      </c>
      <c r="S1375" s="17">
        <f>Q1375*(1-R1375)</f>
        <v>1251250</v>
      </c>
      <c r="T1375" s="18">
        <f>S1375/'Financial Inputs'!$B$3</f>
        <v>1.2512499999999999E-2</v>
      </c>
      <c r="U1375" s="9" t="s">
        <v>52</v>
      </c>
      <c r="V1375" s="3" t="s">
        <v>53</v>
      </c>
    </row>
    <row r="1376" spans="1:22">
      <c r="A1376" s="2" t="s">
        <v>4355</v>
      </c>
      <c r="B1376" s="2" t="s">
        <v>4356</v>
      </c>
      <c r="C1376" s="2" t="s">
        <v>4132</v>
      </c>
      <c r="D1376" s="2" t="s">
        <v>64</v>
      </c>
      <c r="E1376" s="2" t="s">
        <v>96</v>
      </c>
      <c r="F1376" s="2" t="s">
        <v>58</v>
      </c>
      <c r="G1376" s="2" t="s">
        <v>67</v>
      </c>
      <c r="H1376" s="2" t="s">
        <v>498</v>
      </c>
      <c r="I1376" s="2" t="s">
        <v>499</v>
      </c>
      <c r="J1376" s="2" t="s">
        <v>4133</v>
      </c>
      <c r="K1376" s="2" t="s">
        <v>4357</v>
      </c>
      <c r="L1376" s="2" t="s">
        <v>394</v>
      </c>
      <c r="M1376" s="2" t="s">
        <v>4135</v>
      </c>
      <c r="N1376" s="16">
        <v>3.0000000000000009E-2</v>
      </c>
      <c r="O1376" s="17">
        <f>N1376*'Financial Inputs'!$B$3</f>
        <v>3000000.0000000009</v>
      </c>
      <c r="P1376" s="18">
        <f>IF(I1376="L",'Financial Inputs'!$B$4,IF(I1376="M",'Financial Inputs'!$B$5,'Financial Inputs'!$B$6))</f>
        <v>0.7</v>
      </c>
      <c r="Q1376" s="17">
        <f>O1376*P1376</f>
        <v>2100000.0000000005</v>
      </c>
      <c r="R1376" s="16">
        <f>'Financial Inputs'!$B$7</f>
        <v>0.35</v>
      </c>
      <c r="S1376" s="17">
        <f>Q1376*(1-R1376)</f>
        <v>1365000.0000000005</v>
      </c>
      <c r="T1376" s="18">
        <f>S1376/'Financial Inputs'!$B$3</f>
        <v>1.3650000000000004E-2</v>
      </c>
      <c r="U1376" s="9" t="s">
        <v>52</v>
      </c>
      <c r="V1376" s="3" t="s">
        <v>53</v>
      </c>
    </row>
    <row r="1377" spans="1:22">
      <c r="A1377" s="2" t="s">
        <v>4358</v>
      </c>
      <c r="B1377" s="2" t="s">
        <v>4359</v>
      </c>
      <c r="C1377" s="2" t="s">
        <v>4132</v>
      </c>
      <c r="D1377" s="2" t="s">
        <v>127</v>
      </c>
      <c r="E1377" s="2" t="s">
        <v>220</v>
      </c>
      <c r="F1377" s="2" t="s">
        <v>104</v>
      </c>
      <c r="G1377" s="2" t="s">
        <v>45</v>
      </c>
      <c r="H1377" s="2" t="s">
        <v>498</v>
      </c>
      <c r="I1377" s="2" t="s">
        <v>499</v>
      </c>
      <c r="J1377" s="2" t="s">
        <v>4133</v>
      </c>
      <c r="K1377" s="2" t="s">
        <v>4360</v>
      </c>
      <c r="L1377" s="2" t="s">
        <v>398</v>
      </c>
      <c r="M1377" s="2" t="s">
        <v>4135</v>
      </c>
      <c r="N1377" s="16">
        <v>0.02</v>
      </c>
      <c r="O1377" s="17">
        <f>N1377*'Financial Inputs'!$B$3</f>
        <v>2000000</v>
      </c>
      <c r="P1377" s="18">
        <f>IF(I1377="L",'Financial Inputs'!$B$4,IF(I1377="M",'Financial Inputs'!$B$5,'Financial Inputs'!$B$6))</f>
        <v>0.7</v>
      </c>
      <c r="Q1377" s="17">
        <f>O1377*P1377</f>
        <v>1400000</v>
      </c>
      <c r="R1377" s="16">
        <f>'Financial Inputs'!$B$7</f>
        <v>0.35</v>
      </c>
      <c r="S1377" s="17">
        <f>Q1377*(1-R1377)</f>
        <v>910000</v>
      </c>
      <c r="T1377" s="18">
        <f>S1377/'Financial Inputs'!$B$3</f>
        <v>9.1000000000000004E-3</v>
      </c>
      <c r="U1377" s="9" t="s">
        <v>52</v>
      </c>
      <c r="V1377" s="3" t="s">
        <v>53</v>
      </c>
    </row>
    <row r="1378" spans="1:22">
      <c r="A1378" s="2" t="s">
        <v>4361</v>
      </c>
      <c r="B1378" s="2" t="s">
        <v>4362</v>
      </c>
      <c r="C1378" s="2" t="s">
        <v>4132</v>
      </c>
      <c r="D1378" s="2" t="s">
        <v>133</v>
      </c>
      <c r="E1378" s="2" t="s">
        <v>171</v>
      </c>
      <c r="F1378" s="2" t="s">
        <v>110</v>
      </c>
      <c r="G1378" s="2" t="s">
        <v>59</v>
      </c>
      <c r="H1378" s="2" t="s">
        <v>498</v>
      </c>
      <c r="I1378" s="2" t="s">
        <v>499</v>
      </c>
      <c r="J1378" s="2" t="s">
        <v>4133</v>
      </c>
      <c r="K1378" s="2" t="s">
        <v>4363</v>
      </c>
      <c r="L1378" s="2" t="s">
        <v>402</v>
      </c>
      <c r="M1378" s="2" t="s">
        <v>4135</v>
      </c>
      <c r="N1378" s="16">
        <v>2.2499999999999999E-2</v>
      </c>
      <c r="O1378" s="17">
        <f>N1378*'Financial Inputs'!$B$3</f>
        <v>2250000</v>
      </c>
      <c r="P1378" s="18">
        <f>IF(I1378="L",'Financial Inputs'!$B$4,IF(I1378="M",'Financial Inputs'!$B$5,'Financial Inputs'!$B$6))</f>
        <v>0.7</v>
      </c>
      <c r="Q1378" s="17">
        <f>O1378*P1378</f>
        <v>1575000</v>
      </c>
      <c r="R1378" s="16">
        <f>'Financial Inputs'!$B$7</f>
        <v>0.35</v>
      </c>
      <c r="S1378" s="17">
        <f>Q1378*(1-R1378)</f>
        <v>1023750</v>
      </c>
      <c r="T1378" s="18">
        <f>S1378/'Financial Inputs'!$B$3</f>
        <v>1.02375E-2</v>
      </c>
      <c r="U1378" s="9" t="s">
        <v>52</v>
      </c>
      <c r="V1378" s="3" t="s">
        <v>53</v>
      </c>
    </row>
    <row r="1379" spans="1:22">
      <c r="A1379" s="2" t="s">
        <v>4364</v>
      </c>
      <c r="B1379" s="2" t="s">
        <v>4365</v>
      </c>
      <c r="C1379" s="2" t="s">
        <v>4132</v>
      </c>
      <c r="D1379" s="2" t="s">
        <v>88</v>
      </c>
      <c r="E1379" s="2" t="s">
        <v>176</v>
      </c>
      <c r="F1379" s="2" t="s">
        <v>117</v>
      </c>
      <c r="G1379" s="2" t="s">
        <v>67</v>
      </c>
      <c r="H1379" s="2" t="s">
        <v>498</v>
      </c>
      <c r="I1379" s="2" t="s">
        <v>499</v>
      </c>
      <c r="J1379" s="2" t="s">
        <v>4133</v>
      </c>
      <c r="K1379" s="2" t="s">
        <v>4366</v>
      </c>
      <c r="L1379" s="2" t="s">
        <v>406</v>
      </c>
      <c r="M1379" s="2" t="s">
        <v>4135</v>
      </c>
      <c r="N1379" s="16">
        <v>2.5000000000000001E-2</v>
      </c>
      <c r="O1379" s="17">
        <f>N1379*'Financial Inputs'!$B$3</f>
        <v>2500000</v>
      </c>
      <c r="P1379" s="18">
        <f>IF(I1379="L",'Financial Inputs'!$B$4,IF(I1379="M",'Financial Inputs'!$B$5,'Financial Inputs'!$B$6))</f>
        <v>0.7</v>
      </c>
      <c r="Q1379" s="17">
        <f>O1379*P1379</f>
        <v>1750000</v>
      </c>
      <c r="R1379" s="16">
        <f>'Financial Inputs'!$B$7</f>
        <v>0.35</v>
      </c>
      <c r="S1379" s="17">
        <f>Q1379*(1-R1379)</f>
        <v>1137500</v>
      </c>
      <c r="T1379" s="18">
        <f>S1379/'Financial Inputs'!$B$3</f>
        <v>1.1375E-2</v>
      </c>
      <c r="U1379" s="9" t="s">
        <v>52</v>
      </c>
      <c r="V1379" s="3" t="s">
        <v>53</v>
      </c>
    </row>
    <row r="1380" spans="1:22">
      <c r="A1380" s="2" t="s">
        <v>4367</v>
      </c>
      <c r="B1380" s="2" t="s">
        <v>4368</v>
      </c>
      <c r="C1380" s="2" t="s">
        <v>4132</v>
      </c>
      <c r="D1380" s="2" t="s">
        <v>95</v>
      </c>
      <c r="E1380" s="2" t="s">
        <v>122</v>
      </c>
      <c r="F1380" s="2" t="s">
        <v>90</v>
      </c>
      <c r="G1380" s="2" t="s">
        <v>75</v>
      </c>
      <c r="H1380" s="2" t="s">
        <v>498</v>
      </c>
      <c r="I1380" s="2" t="s">
        <v>499</v>
      </c>
      <c r="J1380" s="2" t="s">
        <v>4133</v>
      </c>
      <c r="K1380" s="2" t="s">
        <v>4369</v>
      </c>
      <c r="L1380" s="2" t="s">
        <v>410</v>
      </c>
      <c r="M1380" s="2" t="s">
        <v>4135</v>
      </c>
      <c r="N1380" s="16">
        <v>2.75E-2</v>
      </c>
      <c r="O1380" s="17">
        <f>N1380*'Financial Inputs'!$B$3</f>
        <v>2750000</v>
      </c>
      <c r="P1380" s="18">
        <f>IF(I1380="L",'Financial Inputs'!$B$4,IF(I1380="M",'Financial Inputs'!$B$5,'Financial Inputs'!$B$6))</f>
        <v>0.7</v>
      </c>
      <c r="Q1380" s="17">
        <f>O1380*P1380</f>
        <v>1924999.9999999998</v>
      </c>
      <c r="R1380" s="16">
        <f>'Financial Inputs'!$B$7</f>
        <v>0.35</v>
      </c>
      <c r="S1380" s="17">
        <f>Q1380*(1-R1380)</f>
        <v>1251250</v>
      </c>
      <c r="T1380" s="18">
        <f>S1380/'Financial Inputs'!$B$3</f>
        <v>1.2512499999999999E-2</v>
      </c>
      <c r="U1380" s="9" t="s">
        <v>52</v>
      </c>
      <c r="V1380" s="3" t="s">
        <v>53</v>
      </c>
    </row>
    <row r="1381" spans="1:22">
      <c r="A1381" s="2" t="s">
        <v>4370</v>
      </c>
      <c r="B1381" s="2" t="s">
        <v>4371</v>
      </c>
      <c r="C1381" s="2" t="s">
        <v>4132</v>
      </c>
      <c r="D1381" s="2" t="s">
        <v>102</v>
      </c>
      <c r="E1381" s="2" t="s">
        <v>128</v>
      </c>
      <c r="F1381" s="2" t="s">
        <v>97</v>
      </c>
      <c r="G1381" s="2" t="s">
        <v>83</v>
      </c>
      <c r="H1381" s="2" t="s">
        <v>498</v>
      </c>
      <c r="I1381" s="2" t="s">
        <v>499</v>
      </c>
      <c r="J1381" s="2" t="s">
        <v>4133</v>
      </c>
      <c r="K1381" s="2" t="s">
        <v>4372</v>
      </c>
      <c r="L1381" s="2" t="s">
        <v>414</v>
      </c>
      <c r="M1381" s="2" t="s">
        <v>4135</v>
      </c>
      <c r="N1381" s="16">
        <v>3.0000000000000009E-2</v>
      </c>
      <c r="O1381" s="17">
        <f>N1381*'Financial Inputs'!$B$3</f>
        <v>3000000.0000000009</v>
      </c>
      <c r="P1381" s="18">
        <f>IF(I1381="L",'Financial Inputs'!$B$4,IF(I1381="M",'Financial Inputs'!$B$5,'Financial Inputs'!$B$6))</f>
        <v>0.7</v>
      </c>
      <c r="Q1381" s="17">
        <f>O1381*P1381</f>
        <v>2100000.0000000005</v>
      </c>
      <c r="R1381" s="16">
        <f>'Financial Inputs'!$B$7</f>
        <v>0.35</v>
      </c>
      <c r="S1381" s="17">
        <f>Q1381*(1-R1381)</f>
        <v>1365000.0000000005</v>
      </c>
      <c r="T1381" s="18">
        <f>S1381/'Financial Inputs'!$B$3</f>
        <v>1.3650000000000004E-2</v>
      </c>
      <c r="U1381" s="9" t="s">
        <v>52</v>
      </c>
      <c r="V1381" s="3" t="s">
        <v>53</v>
      </c>
    </row>
    <row r="1382" spans="1:22">
      <c r="A1382" s="2" t="s">
        <v>4373</v>
      </c>
      <c r="B1382" s="2" t="s">
        <v>4374</v>
      </c>
      <c r="C1382" s="2" t="s">
        <v>4132</v>
      </c>
      <c r="D1382" s="2" t="s">
        <v>64</v>
      </c>
      <c r="E1382" s="2" t="s">
        <v>81</v>
      </c>
      <c r="F1382" s="2" t="s">
        <v>74</v>
      </c>
      <c r="G1382" s="2" t="s">
        <v>67</v>
      </c>
      <c r="H1382" s="2" t="s">
        <v>498</v>
      </c>
      <c r="I1382" s="2" t="s">
        <v>499</v>
      </c>
      <c r="J1382" s="2" t="s">
        <v>4133</v>
      </c>
      <c r="K1382" s="2" t="s">
        <v>4375</v>
      </c>
      <c r="L1382" s="2" t="s">
        <v>418</v>
      </c>
      <c r="M1382" s="2" t="s">
        <v>4135</v>
      </c>
      <c r="N1382" s="16">
        <v>0.02</v>
      </c>
      <c r="O1382" s="17">
        <f>N1382*'Financial Inputs'!$B$3</f>
        <v>2000000</v>
      </c>
      <c r="P1382" s="18">
        <f>IF(I1382="L",'Financial Inputs'!$B$4,IF(I1382="M",'Financial Inputs'!$B$5,'Financial Inputs'!$B$6))</f>
        <v>0.7</v>
      </c>
      <c r="Q1382" s="17">
        <f>O1382*P1382</f>
        <v>1400000</v>
      </c>
      <c r="R1382" s="16">
        <f>'Financial Inputs'!$B$7</f>
        <v>0.35</v>
      </c>
      <c r="S1382" s="17">
        <f>Q1382*(1-R1382)</f>
        <v>910000</v>
      </c>
      <c r="T1382" s="18">
        <f>S1382/'Financial Inputs'!$B$3</f>
        <v>9.1000000000000004E-3</v>
      </c>
      <c r="U1382" s="9" t="s">
        <v>52</v>
      </c>
      <c r="V1382" s="3" t="s">
        <v>53</v>
      </c>
    </row>
    <row r="1383" spans="1:22">
      <c r="A1383" s="2" t="s">
        <v>4376</v>
      </c>
      <c r="B1383" s="2" t="s">
        <v>4377</v>
      </c>
      <c r="C1383" s="2" t="s">
        <v>4132</v>
      </c>
      <c r="D1383" s="2" t="s">
        <v>72</v>
      </c>
      <c r="E1383" s="2" t="s">
        <v>193</v>
      </c>
      <c r="F1383" s="2" t="s">
        <v>82</v>
      </c>
      <c r="G1383" s="2" t="s">
        <v>75</v>
      </c>
      <c r="H1383" s="2" t="s">
        <v>498</v>
      </c>
      <c r="I1383" s="2" t="s">
        <v>499</v>
      </c>
      <c r="J1383" s="2" t="s">
        <v>4133</v>
      </c>
      <c r="K1383" s="2" t="s">
        <v>4378</v>
      </c>
      <c r="L1383" s="2" t="s">
        <v>422</v>
      </c>
      <c r="M1383" s="2" t="s">
        <v>4135</v>
      </c>
      <c r="N1383" s="16">
        <v>2.2499999999999999E-2</v>
      </c>
      <c r="O1383" s="17">
        <f>N1383*'Financial Inputs'!$B$3</f>
        <v>2250000</v>
      </c>
      <c r="P1383" s="18">
        <f>IF(I1383="L",'Financial Inputs'!$B$4,IF(I1383="M",'Financial Inputs'!$B$5,'Financial Inputs'!$B$6))</f>
        <v>0.7</v>
      </c>
      <c r="Q1383" s="17">
        <f>O1383*P1383</f>
        <v>1575000</v>
      </c>
      <c r="R1383" s="16">
        <f>'Financial Inputs'!$B$7</f>
        <v>0.35</v>
      </c>
      <c r="S1383" s="17">
        <f>Q1383*(1-R1383)</f>
        <v>1023750</v>
      </c>
      <c r="T1383" s="18">
        <f>S1383/'Financial Inputs'!$B$3</f>
        <v>1.02375E-2</v>
      </c>
      <c r="U1383" s="9" t="s">
        <v>52</v>
      </c>
      <c r="V1383" s="3" t="s">
        <v>53</v>
      </c>
    </row>
    <row r="1384" spans="1:22">
      <c r="A1384" s="2" t="s">
        <v>4379</v>
      </c>
      <c r="B1384" s="2" t="s">
        <v>4380</v>
      </c>
      <c r="C1384" s="2" t="s">
        <v>4132</v>
      </c>
      <c r="D1384" s="2" t="s">
        <v>80</v>
      </c>
      <c r="E1384" s="2" t="s">
        <v>198</v>
      </c>
      <c r="F1384" s="2" t="s">
        <v>44</v>
      </c>
      <c r="G1384" s="2" t="s">
        <v>83</v>
      </c>
      <c r="H1384" s="2" t="s">
        <v>498</v>
      </c>
      <c r="I1384" s="2" t="s">
        <v>499</v>
      </c>
      <c r="J1384" s="2" t="s">
        <v>4133</v>
      </c>
      <c r="K1384" s="2" t="s">
        <v>4381</v>
      </c>
      <c r="L1384" s="2" t="s">
        <v>426</v>
      </c>
      <c r="M1384" s="2" t="s">
        <v>4135</v>
      </c>
      <c r="N1384" s="16">
        <v>2.5000000000000001E-2</v>
      </c>
      <c r="O1384" s="17">
        <f>N1384*'Financial Inputs'!$B$3</f>
        <v>2500000</v>
      </c>
      <c r="P1384" s="18">
        <f>IF(I1384="L",'Financial Inputs'!$B$4,IF(I1384="M",'Financial Inputs'!$B$5,'Financial Inputs'!$B$6))</f>
        <v>0.7</v>
      </c>
      <c r="Q1384" s="17">
        <f>O1384*P1384</f>
        <v>1750000</v>
      </c>
      <c r="R1384" s="16">
        <f>'Financial Inputs'!$B$7</f>
        <v>0.35</v>
      </c>
      <c r="S1384" s="17">
        <f>Q1384*(1-R1384)</f>
        <v>1137500</v>
      </c>
      <c r="T1384" s="18">
        <f>S1384/'Financial Inputs'!$B$3</f>
        <v>1.1375E-2</v>
      </c>
      <c r="U1384" s="9" t="s">
        <v>52</v>
      </c>
      <c r="V1384" s="3" t="s">
        <v>53</v>
      </c>
    </row>
    <row r="1385" spans="1:22">
      <c r="A1385" s="2" t="s">
        <v>4382</v>
      </c>
      <c r="B1385" s="2" t="s">
        <v>4383</v>
      </c>
      <c r="C1385" s="2" t="s">
        <v>4132</v>
      </c>
      <c r="D1385" s="2" t="s">
        <v>127</v>
      </c>
      <c r="E1385" s="2" t="s">
        <v>148</v>
      </c>
      <c r="F1385" s="2" t="s">
        <v>58</v>
      </c>
      <c r="G1385" s="2" t="s">
        <v>111</v>
      </c>
      <c r="H1385" s="2" t="s">
        <v>498</v>
      </c>
      <c r="I1385" s="2" t="s">
        <v>499</v>
      </c>
      <c r="J1385" s="2" t="s">
        <v>4133</v>
      </c>
      <c r="K1385" s="2" t="s">
        <v>4384</v>
      </c>
      <c r="L1385" s="2" t="s">
        <v>430</v>
      </c>
      <c r="M1385" s="2" t="s">
        <v>4135</v>
      </c>
      <c r="N1385" s="16">
        <v>2.75E-2</v>
      </c>
      <c r="O1385" s="17">
        <f>N1385*'Financial Inputs'!$B$3</f>
        <v>2750000</v>
      </c>
      <c r="P1385" s="18">
        <f>IF(I1385="L",'Financial Inputs'!$B$4,IF(I1385="M",'Financial Inputs'!$B$5,'Financial Inputs'!$B$6))</f>
        <v>0.7</v>
      </c>
      <c r="Q1385" s="17">
        <f>O1385*P1385</f>
        <v>1924999.9999999998</v>
      </c>
      <c r="R1385" s="16">
        <f>'Financial Inputs'!$B$7</f>
        <v>0.35</v>
      </c>
      <c r="S1385" s="17">
        <f>Q1385*(1-R1385)</f>
        <v>1251250</v>
      </c>
      <c r="T1385" s="18">
        <f>S1385/'Financial Inputs'!$B$3</f>
        <v>1.2512499999999999E-2</v>
      </c>
      <c r="U1385" s="9" t="s">
        <v>52</v>
      </c>
      <c r="V1385" s="3" t="s">
        <v>53</v>
      </c>
    </row>
    <row r="1386" spans="1:22">
      <c r="A1386" s="2" t="s">
        <v>4385</v>
      </c>
      <c r="B1386" s="2" t="s">
        <v>4386</v>
      </c>
      <c r="C1386" s="2" t="s">
        <v>4132</v>
      </c>
      <c r="D1386" s="2" t="s">
        <v>133</v>
      </c>
      <c r="E1386" s="2" t="s">
        <v>153</v>
      </c>
      <c r="F1386" s="2" t="s">
        <v>66</v>
      </c>
      <c r="G1386" s="2" t="s">
        <v>56</v>
      </c>
      <c r="H1386" s="2" t="s">
        <v>498</v>
      </c>
      <c r="I1386" s="2" t="s">
        <v>499</v>
      </c>
      <c r="J1386" s="2" t="s">
        <v>4133</v>
      </c>
      <c r="K1386" s="2" t="s">
        <v>4387</v>
      </c>
      <c r="L1386" s="2" t="s">
        <v>434</v>
      </c>
      <c r="M1386" s="2" t="s">
        <v>4135</v>
      </c>
      <c r="N1386" s="16">
        <v>3.0000000000000009E-2</v>
      </c>
      <c r="O1386" s="17">
        <f>N1386*'Financial Inputs'!$B$3</f>
        <v>3000000.0000000009</v>
      </c>
      <c r="P1386" s="18">
        <f>IF(I1386="L",'Financial Inputs'!$B$4,IF(I1386="M",'Financial Inputs'!$B$5,'Financial Inputs'!$B$6))</f>
        <v>0.7</v>
      </c>
      <c r="Q1386" s="17">
        <f>O1386*P1386</f>
        <v>2100000.0000000005</v>
      </c>
      <c r="R1386" s="16">
        <f>'Financial Inputs'!$B$7</f>
        <v>0.35</v>
      </c>
      <c r="S1386" s="17">
        <f>Q1386*(1-R1386)</f>
        <v>1365000.0000000005</v>
      </c>
      <c r="T1386" s="18">
        <f>S1386/'Financial Inputs'!$B$3</f>
        <v>1.3650000000000004E-2</v>
      </c>
      <c r="U1386" s="9" t="s">
        <v>52</v>
      </c>
      <c r="V1386" s="3" t="s">
        <v>53</v>
      </c>
    </row>
    <row r="1387" spans="1:22">
      <c r="A1387" s="2" t="s">
        <v>4388</v>
      </c>
      <c r="B1387" s="2" t="s">
        <v>4389</v>
      </c>
      <c r="C1387" s="2" t="s">
        <v>4132</v>
      </c>
      <c r="D1387" s="2" t="s">
        <v>102</v>
      </c>
      <c r="E1387" s="2" t="s">
        <v>116</v>
      </c>
      <c r="F1387" s="2" t="s">
        <v>110</v>
      </c>
      <c r="G1387" s="2" t="s">
        <v>83</v>
      </c>
      <c r="H1387" s="2" t="s">
        <v>498</v>
      </c>
      <c r="I1387" s="2" t="s">
        <v>499</v>
      </c>
      <c r="J1387" s="2" t="s">
        <v>4133</v>
      </c>
      <c r="K1387" s="2" t="s">
        <v>4390</v>
      </c>
      <c r="L1387" s="2" t="s">
        <v>438</v>
      </c>
      <c r="M1387" s="2" t="s">
        <v>4135</v>
      </c>
      <c r="N1387" s="16">
        <v>0.02</v>
      </c>
      <c r="O1387" s="17">
        <f>N1387*'Financial Inputs'!$B$3</f>
        <v>2000000</v>
      </c>
      <c r="P1387" s="18">
        <f>IF(I1387="L",'Financial Inputs'!$B$4,IF(I1387="M",'Financial Inputs'!$B$5,'Financial Inputs'!$B$6))</f>
        <v>0.7</v>
      </c>
      <c r="Q1387" s="17">
        <f>O1387*P1387</f>
        <v>1400000</v>
      </c>
      <c r="R1387" s="16">
        <f>'Financial Inputs'!$B$7</f>
        <v>0.35</v>
      </c>
      <c r="S1387" s="17">
        <f>Q1387*(1-R1387)</f>
        <v>910000</v>
      </c>
      <c r="T1387" s="18">
        <f>S1387/'Financial Inputs'!$B$3</f>
        <v>9.1000000000000004E-3</v>
      </c>
      <c r="U1387" s="9" t="s">
        <v>52</v>
      </c>
      <c r="V1387" s="3" t="s">
        <v>53</v>
      </c>
    </row>
    <row r="1388" spans="1:22">
      <c r="A1388" s="2" t="s">
        <v>4391</v>
      </c>
      <c r="B1388" s="2" t="s">
        <v>4392</v>
      </c>
      <c r="C1388" s="2" t="s">
        <v>4132</v>
      </c>
      <c r="D1388" s="2" t="s">
        <v>42</v>
      </c>
      <c r="E1388" s="2" t="s">
        <v>215</v>
      </c>
      <c r="F1388" s="2" t="s">
        <v>117</v>
      </c>
      <c r="G1388" s="2" t="s">
        <v>111</v>
      </c>
      <c r="H1388" s="2" t="s">
        <v>498</v>
      </c>
      <c r="I1388" s="2" t="s">
        <v>499</v>
      </c>
      <c r="J1388" s="2" t="s">
        <v>4133</v>
      </c>
      <c r="K1388" s="2" t="s">
        <v>4393</v>
      </c>
      <c r="L1388" s="2" t="s">
        <v>442</v>
      </c>
      <c r="M1388" s="2" t="s">
        <v>4135</v>
      </c>
      <c r="N1388" s="16">
        <v>2.2499999999999999E-2</v>
      </c>
      <c r="O1388" s="17">
        <f>N1388*'Financial Inputs'!$B$3</f>
        <v>2250000</v>
      </c>
      <c r="P1388" s="18">
        <f>IF(I1388="L",'Financial Inputs'!$B$4,IF(I1388="M",'Financial Inputs'!$B$5,'Financial Inputs'!$B$6))</f>
        <v>0.7</v>
      </c>
      <c r="Q1388" s="17">
        <f>O1388*P1388</f>
        <v>1575000</v>
      </c>
      <c r="R1388" s="16">
        <f>'Financial Inputs'!$B$7</f>
        <v>0.35</v>
      </c>
      <c r="S1388" s="17">
        <f>Q1388*(1-R1388)</f>
        <v>1023750</v>
      </c>
      <c r="T1388" s="18">
        <f>S1388/'Financial Inputs'!$B$3</f>
        <v>1.02375E-2</v>
      </c>
      <c r="U1388" s="9" t="s">
        <v>52</v>
      </c>
      <c r="V1388" s="3" t="s">
        <v>53</v>
      </c>
    </row>
    <row r="1389" spans="1:22">
      <c r="A1389" s="2" t="s">
        <v>4394</v>
      </c>
      <c r="B1389" s="2" t="s">
        <v>4395</v>
      </c>
      <c r="C1389" s="2" t="s">
        <v>4132</v>
      </c>
      <c r="D1389" s="2" t="s">
        <v>56</v>
      </c>
      <c r="E1389" s="2" t="s">
        <v>220</v>
      </c>
      <c r="F1389" s="2" t="s">
        <v>90</v>
      </c>
      <c r="G1389" s="2" t="s">
        <v>56</v>
      </c>
      <c r="H1389" s="2" t="s">
        <v>498</v>
      </c>
      <c r="I1389" s="2" t="s">
        <v>499</v>
      </c>
      <c r="J1389" s="2" t="s">
        <v>4133</v>
      </c>
      <c r="K1389" s="2" t="s">
        <v>4396</v>
      </c>
      <c r="L1389" s="2" t="s">
        <v>446</v>
      </c>
      <c r="M1389" s="2" t="s">
        <v>4135</v>
      </c>
      <c r="N1389" s="16">
        <v>2.5000000000000001E-2</v>
      </c>
      <c r="O1389" s="17">
        <f>N1389*'Financial Inputs'!$B$3</f>
        <v>2500000</v>
      </c>
      <c r="P1389" s="18">
        <f>IF(I1389="L",'Financial Inputs'!$B$4,IF(I1389="M",'Financial Inputs'!$B$5,'Financial Inputs'!$B$6))</f>
        <v>0.7</v>
      </c>
      <c r="Q1389" s="17">
        <f>O1389*P1389</f>
        <v>1750000</v>
      </c>
      <c r="R1389" s="16">
        <f>'Financial Inputs'!$B$7</f>
        <v>0.35</v>
      </c>
      <c r="S1389" s="17">
        <f>Q1389*(1-R1389)</f>
        <v>1137500</v>
      </c>
      <c r="T1389" s="18">
        <f>S1389/'Financial Inputs'!$B$3</f>
        <v>1.1375E-2</v>
      </c>
      <c r="U1389" s="9" t="s">
        <v>52</v>
      </c>
      <c r="V1389" s="3" t="s">
        <v>53</v>
      </c>
    </row>
    <row r="1390" spans="1:22">
      <c r="A1390" s="2" t="s">
        <v>4397</v>
      </c>
      <c r="B1390" s="2" t="s">
        <v>4398</v>
      </c>
      <c r="C1390" s="2" t="s">
        <v>4132</v>
      </c>
      <c r="D1390" s="2" t="s">
        <v>64</v>
      </c>
      <c r="E1390" s="2" t="s">
        <v>171</v>
      </c>
      <c r="F1390" s="2" t="s">
        <v>97</v>
      </c>
      <c r="G1390" s="2" t="s">
        <v>138</v>
      </c>
      <c r="H1390" s="2" t="s">
        <v>498</v>
      </c>
      <c r="I1390" s="2" t="s">
        <v>499</v>
      </c>
      <c r="J1390" s="2" t="s">
        <v>4133</v>
      </c>
      <c r="K1390" s="2" t="s">
        <v>4399</v>
      </c>
      <c r="L1390" s="2" t="s">
        <v>450</v>
      </c>
      <c r="M1390" s="2" t="s">
        <v>4135</v>
      </c>
      <c r="N1390" s="16">
        <v>2.75E-2</v>
      </c>
      <c r="O1390" s="17">
        <f>N1390*'Financial Inputs'!$B$3</f>
        <v>2750000</v>
      </c>
      <c r="P1390" s="18">
        <f>IF(I1390="L",'Financial Inputs'!$B$4,IF(I1390="M",'Financial Inputs'!$B$5,'Financial Inputs'!$B$6))</f>
        <v>0.7</v>
      </c>
      <c r="Q1390" s="17">
        <f>O1390*P1390</f>
        <v>1924999.9999999998</v>
      </c>
      <c r="R1390" s="16">
        <f>'Financial Inputs'!$B$7</f>
        <v>0.35</v>
      </c>
      <c r="S1390" s="17">
        <f>Q1390*(1-R1390)</f>
        <v>1251250</v>
      </c>
      <c r="T1390" s="18">
        <f>S1390/'Financial Inputs'!$B$3</f>
        <v>1.2512499999999999E-2</v>
      </c>
      <c r="U1390" s="9" t="s">
        <v>52</v>
      </c>
      <c r="V1390" s="3" t="s">
        <v>53</v>
      </c>
    </row>
    <row r="1391" spans="1:22">
      <c r="A1391" s="2" t="s">
        <v>4400</v>
      </c>
      <c r="B1391" s="2" t="s">
        <v>4401</v>
      </c>
      <c r="C1391" s="2" t="s">
        <v>4132</v>
      </c>
      <c r="D1391" s="2" t="s">
        <v>72</v>
      </c>
      <c r="E1391" s="2" t="s">
        <v>176</v>
      </c>
      <c r="F1391" s="2" t="s">
        <v>104</v>
      </c>
      <c r="G1391" s="2" t="s">
        <v>143</v>
      </c>
      <c r="H1391" s="2" t="s">
        <v>498</v>
      </c>
      <c r="I1391" s="2" t="s">
        <v>499</v>
      </c>
      <c r="J1391" s="2" t="s">
        <v>4133</v>
      </c>
      <c r="K1391" s="2" t="s">
        <v>4402</v>
      </c>
      <c r="L1391" s="2" t="s">
        <v>454</v>
      </c>
      <c r="M1391" s="2" t="s">
        <v>4135</v>
      </c>
      <c r="N1391" s="16">
        <v>3.0000000000000009E-2</v>
      </c>
      <c r="O1391" s="17">
        <f>N1391*'Financial Inputs'!$B$3</f>
        <v>3000000.0000000009</v>
      </c>
      <c r="P1391" s="18">
        <f>IF(I1391="L",'Financial Inputs'!$B$4,IF(I1391="M",'Financial Inputs'!$B$5,'Financial Inputs'!$B$6))</f>
        <v>0.7</v>
      </c>
      <c r="Q1391" s="17">
        <f>O1391*P1391</f>
        <v>2100000.0000000005</v>
      </c>
      <c r="R1391" s="16">
        <f>'Financial Inputs'!$B$7</f>
        <v>0.35</v>
      </c>
      <c r="S1391" s="17">
        <f>Q1391*(1-R1391)</f>
        <v>1365000.0000000005</v>
      </c>
      <c r="T1391" s="18">
        <f>S1391/'Financial Inputs'!$B$3</f>
        <v>1.3650000000000004E-2</v>
      </c>
      <c r="U1391" s="9" t="s">
        <v>52</v>
      </c>
      <c r="V1391" s="3" t="s">
        <v>53</v>
      </c>
    </row>
    <row r="1392" spans="1:22">
      <c r="A1392" s="2" t="s">
        <v>4403</v>
      </c>
      <c r="B1392" s="2" t="s">
        <v>4404</v>
      </c>
      <c r="C1392" s="2" t="s">
        <v>4132</v>
      </c>
      <c r="D1392" s="2" t="s">
        <v>133</v>
      </c>
      <c r="E1392" s="2" t="s">
        <v>65</v>
      </c>
      <c r="F1392" s="2" t="s">
        <v>82</v>
      </c>
      <c r="G1392" s="2" t="s">
        <v>56</v>
      </c>
      <c r="H1392" s="2" t="s">
        <v>498</v>
      </c>
      <c r="I1392" s="2" t="s">
        <v>499</v>
      </c>
      <c r="J1392" s="2" t="s">
        <v>4133</v>
      </c>
      <c r="K1392" s="2" t="s">
        <v>4405</v>
      </c>
      <c r="L1392" s="2" t="s">
        <v>458</v>
      </c>
      <c r="M1392" s="2" t="s">
        <v>4135</v>
      </c>
      <c r="N1392" s="16">
        <v>0.02</v>
      </c>
      <c r="O1392" s="17">
        <f>N1392*'Financial Inputs'!$B$3</f>
        <v>2000000</v>
      </c>
      <c r="P1392" s="18">
        <f>IF(I1392="L",'Financial Inputs'!$B$4,IF(I1392="M",'Financial Inputs'!$B$5,'Financial Inputs'!$B$6))</f>
        <v>0.7</v>
      </c>
      <c r="Q1392" s="17">
        <f>O1392*P1392</f>
        <v>1400000</v>
      </c>
      <c r="R1392" s="16">
        <f>'Financial Inputs'!$B$7</f>
        <v>0.35</v>
      </c>
      <c r="S1392" s="17">
        <f>Q1392*(1-R1392)</f>
        <v>910000</v>
      </c>
      <c r="T1392" s="18">
        <f>S1392/'Financial Inputs'!$B$3</f>
        <v>9.1000000000000004E-3</v>
      </c>
      <c r="U1392" s="9" t="s">
        <v>52</v>
      </c>
      <c r="V1392" s="3" t="s">
        <v>53</v>
      </c>
    </row>
    <row r="1393" spans="1:22">
      <c r="A1393" s="2" t="s">
        <v>4406</v>
      </c>
      <c r="B1393" s="2" t="s">
        <v>4407</v>
      </c>
      <c r="C1393" s="2" t="s">
        <v>4132</v>
      </c>
      <c r="D1393" s="2" t="s">
        <v>88</v>
      </c>
      <c r="E1393" s="2" t="s">
        <v>73</v>
      </c>
      <c r="F1393" s="2" t="s">
        <v>44</v>
      </c>
      <c r="G1393" s="2" t="s">
        <v>138</v>
      </c>
      <c r="H1393" s="2" t="s">
        <v>498</v>
      </c>
      <c r="I1393" s="2" t="s">
        <v>499</v>
      </c>
      <c r="J1393" s="2" t="s">
        <v>4133</v>
      </c>
      <c r="K1393" s="2" t="s">
        <v>4408</v>
      </c>
      <c r="L1393" s="2" t="s">
        <v>462</v>
      </c>
      <c r="M1393" s="2" t="s">
        <v>4135</v>
      </c>
      <c r="N1393" s="16">
        <v>2.2499999999999999E-2</v>
      </c>
      <c r="O1393" s="17">
        <f>N1393*'Financial Inputs'!$B$3</f>
        <v>2250000</v>
      </c>
      <c r="P1393" s="18">
        <f>IF(I1393="L",'Financial Inputs'!$B$4,IF(I1393="M",'Financial Inputs'!$B$5,'Financial Inputs'!$B$6))</f>
        <v>0.7</v>
      </c>
      <c r="Q1393" s="17">
        <f>O1393*P1393</f>
        <v>1575000</v>
      </c>
      <c r="R1393" s="16">
        <f>'Financial Inputs'!$B$7</f>
        <v>0.35</v>
      </c>
      <c r="S1393" s="17">
        <f>Q1393*(1-R1393)</f>
        <v>1023750</v>
      </c>
      <c r="T1393" s="18">
        <f>S1393/'Financial Inputs'!$B$3</f>
        <v>1.02375E-2</v>
      </c>
      <c r="U1393" s="9" t="s">
        <v>52</v>
      </c>
      <c r="V1393" s="3" t="s">
        <v>53</v>
      </c>
    </row>
    <row r="1394" spans="1:22">
      <c r="A1394" s="2" t="s">
        <v>4409</v>
      </c>
      <c r="B1394" s="2" t="s">
        <v>4410</v>
      </c>
      <c r="C1394" s="2" t="s">
        <v>4132</v>
      </c>
      <c r="D1394" s="2" t="s">
        <v>95</v>
      </c>
      <c r="E1394" s="2" t="s">
        <v>81</v>
      </c>
      <c r="F1394" s="2" t="s">
        <v>58</v>
      </c>
      <c r="G1394" s="2" t="s">
        <v>143</v>
      </c>
      <c r="H1394" s="2" t="s">
        <v>498</v>
      </c>
      <c r="I1394" s="2" t="s">
        <v>499</v>
      </c>
      <c r="J1394" s="2" t="s">
        <v>4133</v>
      </c>
      <c r="K1394" s="2" t="s">
        <v>4411</v>
      </c>
      <c r="L1394" s="2" t="s">
        <v>466</v>
      </c>
      <c r="M1394" s="2" t="s">
        <v>4135</v>
      </c>
      <c r="N1394" s="16">
        <v>2.5000000000000001E-2</v>
      </c>
      <c r="O1394" s="17">
        <f>N1394*'Financial Inputs'!$B$3</f>
        <v>2500000</v>
      </c>
      <c r="P1394" s="18">
        <f>IF(I1394="L",'Financial Inputs'!$B$4,IF(I1394="M",'Financial Inputs'!$B$5,'Financial Inputs'!$B$6))</f>
        <v>0.7</v>
      </c>
      <c r="Q1394" s="17">
        <f>O1394*P1394</f>
        <v>1750000</v>
      </c>
      <c r="R1394" s="16">
        <f>'Financial Inputs'!$B$7</f>
        <v>0.35</v>
      </c>
      <c r="S1394" s="17">
        <f>Q1394*(1-R1394)</f>
        <v>1137500</v>
      </c>
      <c r="T1394" s="18">
        <f>S1394/'Financial Inputs'!$B$3</f>
        <v>1.1375E-2</v>
      </c>
      <c r="U1394" s="9" t="s">
        <v>52</v>
      </c>
      <c r="V1394" s="3" t="s">
        <v>53</v>
      </c>
    </row>
    <row r="1395" spans="1:22">
      <c r="A1395" s="2" t="s">
        <v>4412</v>
      </c>
      <c r="B1395" s="2" t="s">
        <v>4413</v>
      </c>
      <c r="C1395" s="2" t="s">
        <v>4132</v>
      </c>
      <c r="D1395" s="2" t="s">
        <v>102</v>
      </c>
      <c r="E1395" s="2" t="s">
        <v>193</v>
      </c>
      <c r="F1395" s="2" t="s">
        <v>66</v>
      </c>
      <c r="G1395" s="2" t="s">
        <v>162</v>
      </c>
      <c r="H1395" s="2" t="s">
        <v>498</v>
      </c>
      <c r="I1395" s="2" t="s">
        <v>499</v>
      </c>
      <c r="J1395" s="2" t="s">
        <v>4133</v>
      </c>
      <c r="K1395" s="2" t="s">
        <v>4414</v>
      </c>
      <c r="L1395" s="2" t="s">
        <v>470</v>
      </c>
      <c r="M1395" s="2" t="s">
        <v>4135</v>
      </c>
      <c r="N1395" s="16">
        <v>2.75E-2</v>
      </c>
      <c r="O1395" s="17">
        <f>N1395*'Financial Inputs'!$B$3</f>
        <v>2750000</v>
      </c>
      <c r="P1395" s="18">
        <f>IF(I1395="L",'Financial Inputs'!$B$4,IF(I1395="M",'Financial Inputs'!$B$5,'Financial Inputs'!$B$6))</f>
        <v>0.7</v>
      </c>
      <c r="Q1395" s="17">
        <f>O1395*P1395</f>
        <v>1924999.9999999998</v>
      </c>
      <c r="R1395" s="16">
        <f>'Financial Inputs'!$B$7</f>
        <v>0.35</v>
      </c>
      <c r="S1395" s="17">
        <f>Q1395*(1-R1395)</f>
        <v>1251250</v>
      </c>
      <c r="T1395" s="18">
        <f>S1395/'Financial Inputs'!$B$3</f>
        <v>1.2512499999999999E-2</v>
      </c>
      <c r="U1395" s="9" t="s">
        <v>52</v>
      </c>
      <c r="V1395" s="3" t="s">
        <v>53</v>
      </c>
    </row>
    <row r="1396" spans="1:22">
      <c r="A1396" s="2" t="s">
        <v>4415</v>
      </c>
      <c r="B1396" s="2" t="s">
        <v>4416</v>
      </c>
      <c r="C1396" s="2" t="s">
        <v>4132</v>
      </c>
      <c r="D1396" s="2" t="s">
        <v>42</v>
      </c>
      <c r="E1396" s="2" t="s">
        <v>198</v>
      </c>
      <c r="F1396" s="2" t="s">
        <v>74</v>
      </c>
      <c r="G1396" s="2" t="s">
        <v>45</v>
      </c>
      <c r="H1396" s="2" t="s">
        <v>498</v>
      </c>
      <c r="I1396" s="2" t="s">
        <v>499</v>
      </c>
      <c r="J1396" s="2" t="s">
        <v>4133</v>
      </c>
      <c r="K1396" s="2" t="s">
        <v>4417</v>
      </c>
      <c r="L1396" s="2" t="s">
        <v>474</v>
      </c>
      <c r="M1396" s="2" t="s">
        <v>4135</v>
      </c>
      <c r="N1396" s="16">
        <v>3.0000000000000009E-2</v>
      </c>
      <c r="O1396" s="17">
        <f>N1396*'Financial Inputs'!$B$3</f>
        <v>3000000.0000000009</v>
      </c>
      <c r="P1396" s="18">
        <f>IF(I1396="L",'Financial Inputs'!$B$4,IF(I1396="M",'Financial Inputs'!$B$5,'Financial Inputs'!$B$6))</f>
        <v>0.7</v>
      </c>
      <c r="Q1396" s="17">
        <f>O1396*P1396</f>
        <v>2100000.0000000005</v>
      </c>
      <c r="R1396" s="16">
        <f>'Financial Inputs'!$B$7</f>
        <v>0.35</v>
      </c>
      <c r="S1396" s="17">
        <f>Q1396*(1-R1396)</f>
        <v>1365000.0000000005</v>
      </c>
      <c r="T1396" s="18">
        <f>S1396/'Financial Inputs'!$B$3</f>
        <v>1.3650000000000004E-2</v>
      </c>
      <c r="U1396" s="9" t="s">
        <v>52</v>
      </c>
      <c r="V1396" s="3" t="s">
        <v>53</v>
      </c>
    </row>
    <row r="1397" spans="1:22">
      <c r="A1397" s="2" t="s">
        <v>4418</v>
      </c>
      <c r="B1397" s="2" t="s">
        <v>4419</v>
      </c>
      <c r="C1397" s="2" t="s">
        <v>4132</v>
      </c>
      <c r="D1397" s="2" t="s">
        <v>72</v>
      </c>
      <c r="E1397" s="2" t="s">
        <v>103</v>
      </c>
      <c r="F1397" s="2" t="s">
        <v>117</v>
      </c>
      <c r="G1397" s="2" t="s">
        <v>143</v>
      </c>
      <c r="H1397" s="2" t="s">
        <v>498</v>
      </c>
      <c r="I1397" s="2" t="s">
        <v>499</v>
      </c>
      <c r="J1397" s="2" t="s">
        <v>4133</v>
      </c>
      <c r="K1397" s="2" t="s">
        <v>4420</v>
      </c>
      <c r="L1397" s="2" t="s">
        <v>478</v>
      </c>
      <c r="M1397" s="2" t="s">
        <v>4135</v>
      </c>
      <c r="N1397" s="16">
        <v>0.02</v>
      </c>
      <c r="O1397" s="17">
        <f>N1397*'Financial Inputs'!$B$3</f>
        <v>2000000</v>
      </c>
      <c r="P1397" s="18">
        <f>IF(I1397="L",'Financial Inputs'!$B$4,IF(I1397="M",'Financial Inputs'!$B$5,'Financial Inputs'!$B$6))</f>
        <v>0.7</v>
      </c>
      <c r="Q1397" s="17">
        <f>O1397*P1397</f>
        <v>1400000</v>
      </c>
      <c r="R1397" s="16">
        <f>'Financial Inputs'!$B$7</f>
        <v>0.35</v>
      </c>
      <c r="S1397" s="17">
        <f>Q1397*(1-R1397)</f>
        <v>910000</v>
      </c>
      <c r="T1397" s="18">
        <f>S1397/'Financial Inputs'!$B$3</f>
        <v>9.1000000000000004E-3</v>
      </c>
      <c r="U1397" s="9" t="s">
        <v>52</v>
      </c>
      <c r="V1397" s="3" t="s">
        <v>53</v>
      </c>
    </row>
    <row r="1398" spans="1:22">
      <c r="A1398" s="2" t="s">
        <v>4421</v>
      </c>
      <c r="B1398" s="2" t="s">
        <v>4422</v>
      </c>
      <c r="C1398" s="2" t="s">
        <v>4132</v>
      </c>
      <c r="D1398" s="2" t="s">
        <v>80</v>
      </c>
      <c r="E1398" s="2" t="s">
        <v>109</v>
      </c>
      <c r="F1398" s="2" t="s">
        <v>90</v>
      </c>
      <c r="G1398" s="2" t="s">
        <v>162</v>
      </c>
      <c r="H1398" s="2" t="s">
        <v>498</v>
      </c>
      <c r="I1398" s="2" t="s">
        <v>499</v>
      </c>
      <c r="J1398" s="2" t="s">
        <v>4133</v>
      </c>
      <c r="K1398" s="2" t="s">
        <v>4423</v>
      </c>
      <c r="L1398" s="2" t="s">
        <v>482</v>
      </c>
      <c r="M1398" s="2" t="s">
        <v>4135</v>
      </c>
      <c r="N1398" s="16">
        <v>2.2499999999999999E-2</v>
      </c>
      <c r="O1398" s="17">
        <f>N1398*'Financial Inputs'!$B$3</f>
        <v>2250000</v>
      </c>
      <c r="P1398" s="18">
        <f>IF(I1398="L",'Financial Inputs'!$B$4,IF(I1398="M",'Financial Inputs'!$B$5,'Financial Inputs'!$B$6))</f>
        <v>0.7</v>
      </c>
      <c r="Q1398" s="17">
        <f>O1398*P1398</f>
        <v>1575000</v>
      </c>
      <c r="R1398" s="16">
        <f>'Financial Inputs'!$B$7</f>
        <v>0.35</v>
      </c>
      <c r="S1398" s="17">
        <f>Q1398*(1-R1398)</f>
        <v>1023750</v>
      </c>
      <c r="T1398" s="18">
        <f>S1398/'Financial Inputs'!$B$3</f>
        <v>1.02375E-2</v>
      </c>
      <c r="U1398" s="9" t="s">
        <v>52</v>
      </c>
      <c r="V1398" s="3" t="s">
        <v>53</v>
      </c>
    </row>
    <row r="1399" spans="1:22">
      <c r="A1399" s="2" t="s">
        <v>4424</v>
      </c>
      <c r="B1399" s="2" t="s">
        <v>4425</v>
      </c>
      <c r="C1399" s="2" t="s">
        <v>4132</v>
      </c>
      <c r="D1399" s="2" t="s">
        <v>127</v>
      </c>
      <c r="E1399" s="2" t="s">
        <v>116</v>
      </c>
      <c r="F1399" s="2" t="s">
        <v>97</v>
      </c>
      <c r="G1399" s="2" t="s">
        <v>45</v>
      </c>
      <c r="H1399" s="2" t="s">
        <v>498</v>
      </c>
      <c r="I1399" s="2" t="s">
        <v>499</v>
      </c>
      <c r="J1399" s="2" t="s">
        <v>4133</v>
      </c>
      <c r="K1399" s="2" t="s">
        <v>4426</v>
      </c>
      <c r="L1399" s="2" t="s">
        <v>486</v>
      </c>
      <c r="M1399" s="2" t="s">
        <v>4135</v>
      </c>
      <c r="N1399" s="16">
        <v>2.5000000000000001E-2</v>
      </c>
      <c r="O1399" s="17">
        <f>N1399*'Financial Inputs'!$B$3</f>
        <v>2500000</v>
      </c>
      <c r="P1399" s="18">
        <f>IF(I1399="L",'Financial Inputs'!$B$4,IF(I1399="M",'Financial Inputs'!$B$5,'Financial Inputs'!$B$6))</f>
        <v>0.7</v>
      </c>
      <c r="Q1399" s="17">
        <f>O1399*P1399</f>
        <v>1750000</v>
      </c>
      <c r="R1399" s="16">
        <f>'Financial Inputs'!$B$7</f>
        <v>0.35</v>
      </c>
      <c r="S1399" s="17">
        <f>Q1399*(1-R1399)</f>
        <v>1137500</v>
      </c>
      <c r="T1399" s="18">
        <f>S1399/'Financial Inputs'!$B$3</f>
        <v>1.1375E-2</v>
      </c>
      <c r="U1399" s="9" t="s">
        <v>52</v>
      </c>
      <c r="V1399" s="3" t="s">
        <v>53</v>
      </c>
    </row>
    <row r="1400" spans="1:22">
      <c r="A1400" s="2" t="s">
        <v>4427</v>
      </c>
      <c r="B1400" s="2" t="s">
        <v>4428</v>
      </c>
      <c r="C1400" s="2" t="s">
        <v>4132</v>
      </c>
      <c r="D1400" s="2" t="s">
        <v>133</v>
      </c>
      <c r="E1400" s="2" t="s">
        <v>215</v>
      </c>
      <c r="F1400" s="2" t="s">
        <v>104</v>
      </c>
      <c r="G1400" s="2" t="s">
        <v>59</v>
      </c>
      <c r="H1400" s="2" t="s">
        <v>498</v>
      </c>
      <c r="I1400" s="2" t="s">
        <v>499</v>
      </c>
      <c r="J1400" s="2" t="s">
        <v>4133</v>
      </c>
      <c r="K1400" s="2" t="s">
        <v>4429</v>
      </c>
      <c r="L1400" s="2" t="s">
        <v>490</v>
      </c>
      <c r="M1400" s="2" t="s">
        <v>4135</v>
      </c>
      <c r="N1400" s="16">
        <v>2.75E-2</v>
      </c>
      <c r="O1400" s="17">
        <f>N1400*'Financial Inputs'!$B$3</f>
        <v>2750000</v>
      </c>
      <c r="P1400" s="18">
        <f>IF(I1400="L",'Financial Inputs'!$B$4,IF(I1400="M",'Financial Inputs'!$B$5,'Financial Inputs'!$B$6))</f>
        <v>0.7</v>
      </c>
      <c r="Q1400" s="17">
        <f>O1400*P1400</f>
        <v>1924999.9999999998</v>
      </c>
      <c r="R1400" s="16">
        <f>'Financial Inputs'!$B$7</f>
        <v>0.35</v>
      </c>
      <c r="S1400" s="17">
        <f>Q1400*(1-R1400)</f>
        <v>1251250</v>
      </c>
      <c r="T1400" s="18">
        <f>S1400/'Financial Inputs'!$B$3</f>
        <v>1.2512499999999999E-2</v>
      </c>
      <c r="U1400" s="9" t="s">
        <v>52</v>
      </c>
      <c r="V1400" s="3" t="s">
        <v>53</v>
      </c>
    </row>
    <row r="1401" spans="1:22">
      <c r="A1401" s="2" t="s">
        <v>4430</v>
      </c>
      <c r="B1401" s="2" t="s">
        <v>4431</v>
      </c>
      <c r="C1401" s="2" t="s">
        <v>4132</v>
      </c>
      <c r="D1401" s="2" t="s">
        <v>88</v>
      </c>
      <c r="E1401" s="2" t="s">
        <v>220</v>
      </c>
      <c r="F1401" s="2" t="s">
        <v>110</v>
      </c>
      <c r="G1401" s="2" t="s">
        <v>67</v>
      </c>
      <c r="H1401" s="2" t="s">
        <v>498</v>
      </c>
      <c r="I1401" s="2" t="s">
        <v>499</v>
      </c>
      <c r="J1401" s="2" t="s">
        <v>4133</v>
      </c>
      <c r="K1401" s="2" t="s">
        <v>4432</v>
      </c>
      <c r="L1401" s="2" t="s">
        <v>494</v>
      </c>
      <c r="M1401" s="2" t="s">
        <v>4135</v>
      </c>
      <c r="N1401" s="16">
        <v>3.0000000000000009E-2</v>
      </c>
      <c r="O1401" s="17">
        <f>N1401*'Financial Inputs'!$B$3</f>
        <v>3000000.0000000009</v>
      </c>
      <c r="P1401" s="18">
        <f>IF(I1401="L",'Financial Inputs'!$B$4,IF(I1401="M",'Financial Inputs'!$B$5,'Financial Inputs'!$B$6))</f>
        <v>0.7</v>
      </c>
      <c r="Q1401" s="17">
        <f>O1401*P1401</f>
        <v>2100000.0000000005</v>
      </c>
      <c r="R1401" s="16">
        <f>'Financial Inputs'!$B$7</f>
        <v>0.35</v>
      </c>
      <c r="S1401" s="17">
        <f>Q1401*(1-R1401)</f>
        <v>1365000.0000000005</v>
      </c>
      <c r="T1401" s="18">
        <f>S1401/'Financial Inputs'!$B$3</f>
        <v>1.3650000000000004E-2</v>
      </c>
      <c r="U1401" s="9" t="s">
        <v>52</v>
      </c>
      <c r="V1401" s="3" t="s">
        <v>53</v>
      </c>
    </row>
    <row r="1402" spans="1:22">
      <c r="A1402" s="2" t="s">
        <v>4433</v>
      </c>
      <c r="B1402" s="2" t="s">
        <v>4434</v>
      </c>
      <c r="C1402" s="2" t="s">
        <v>4435</v>
      </c>
      <c r="D1402" s="2" t="s">
        <v>42</v>
      </c>
      <c r="E1402" s="2" t="s">
        <v>43</v>
      </c>
      <c r="F1402" s="2" t="s">
        <v>44</v>
      </c>
      <c r="G1402" s="2" t="s">
        <v>45</v>
      </c>
      <c r="H1402" s="2" t="s">
        <v>498</v>
      </c>
      <c r="I1402" s="2" t="s">
        <v>47</v>
      </c>
      <c r="J1402" s="2" t="s">
        <v>500</v>
      </c>
      <c r="K1402" s="2" t="s">
        <v>4436</v>
      </c>
      <c r="L1402" s="2" t="s">
        <v>50</v>
      </c>
      <c r="M1402" s="2" t="s">
        <v>4437</v>
      </c>
      <c r="N1402" s="16">
        <v>1.44E-2</v>
      </c>
      <c r="O1402" s="17">
        <f>N1402*'Financial Inputs'!$B$3</f>
        <v>1440000</v>
      </c>
      <c r="P1402" s="18">
        <f>IF(I1402="L",'Financial Inputs'!$B$4,IF(I1402="M",'Financial Inputs'!$B$5,'Financial Inputs'!$B$6))</f>
        <v>0.4</v>
      </c>
      <c r="Q1402" s="17">
        <f>O1402*P1402</f>
        <v>576000</v>
      </c>
      <c r="R1402" s="16">
        <f>'Financial Inputs'!$B$7</f>
        <v>0.35</v>
      </c>
      <c r="S1402" s="17">
        <f>Q1402*(1-R1402)</f>
        <v>374400</v>
      </c>
      <c r="T1402" s="18">
        <f>S1402/'Financial Inputs'!$B$3</f>
        <v>3.7439999999999999E-3</v>
      </c>
      <c r="U1402" s="9" t="s">
        <v>52</v>
      </c>
      <c r="V1402" s="3" t="s">
        <v>53</v>
      </c>
    </row>
    <row r="1403" spans="1:22">
      <c r="A1403" s="2" t="s">
        <v>4438</v>
      </c>
      <c r="B1403" s="2" t="s">
        <v>4439</v>
      </c>
      <c r="C1403" s="2" t="s">
        <v>4435</v>
      </c>
      <c r="D1403" s="2" t="s">
        <v>56</v>
      </c>
      <c r="E1403" s="2" t="s">
        <v>57</v>
      </c>
      <c r="F1403" s="2" t="s">
        <v>58</v>
      </c>
      <c r="G1403" s="2" t="s">
        <v>59</v>
      </c>
      <c r="H1403" s="2" t="s">
        <v>498</v>
      </c>
      <c r="I1403" s="2" t="s">
        <v>47</v>
      </c>
      <c r="J1403" s="2" t="s">
        <v>500</v>
      </c>
      <c r="K1403" s="2" t="s">
        <v>4440</v>
      </c>
      <c r="L1403" s="2" t="s">
        <v>61</v>
      </c>
      <c r="M1403" s="2" t="s">
        <v>4437</v>
      </c>
      <c r="N1403" s="16">
        <v>1.6199999999999999E-2</v>
      </c>
      <c r="O1403" s="17">
        <f>N1403*'Financial Inputs'!$B$3</f>
        <v>1620000</v>
      </c>
      <c r="P1403" s="18">
        <f>IF(I1403="L",'Financial Inputs'!$B$4,IF(I1403="M",'Financial Inputs'!$B$5,'Financial Inputs'!$B$6))</f>
        <v>0.4</v>
      </c>
      <c r="Q1403" s="17">
        <f>O1403*P1403</f>
        <v>648000</v>
      </c>
      <c r="R1403" s="16">
        <f>'Financial Inputs'!$B$7</f>
        <v>0.35</v>
      </c>
      <c r="S1403" s="17">
        <f>Q1403*(1-R1403)</f>
        <v>421200</v>
      </c>
      <c r="T1403" s="18">
        <f>S1403/'Financial Inputs'!$B$3</f>
        <v>4.2119999999999996E-3</v>
      </c>
      <c r="U1403" s="9" t="s">
        <v>52</v>
      </c>
      <c r="V1403" s="3" t="s">
        <v>53</v>
      </c>
    </row>
    <row r="1404" spans="1:22">
      <c r="A1404" s="2" t="s">
        <v>4441</v>
      </c>
      <c r="B1404" s="2" t="s">
        <v>4442</v>
      </c>
      <c r="C1404" s="2" t="s">
        <v>4435</v>
      </c>
      <c r="D1404" s="2" t="s">
        <v>64</v>
      </c>
      <c r="E1404" s="2" t="s">
        <v>65</v>
      </c>
      <c r="F1404" s="2" t="s">
        <v>66</v>
      </c>
      <c r="G1404" s="2" t="s">
        <v>67</v>
      </c>
      <c r="H1404" s="2" t="s">
        <v>498</v>
      </c>
      <c r="I1404" s="2" t="s">
        <v>47</v>
      </c>
      <c r="J1404" s="2" t="s">
        <v>500</v>
      </c>
      <c r="K1404" s="2" t="s">
        <v>4443</v>
      </c>
      <c r="L1404" s="2" t="s">
        <v>69</v>
      </c>
      <c r="M1404" s="2" t="s">
        <v>4437</v>
      </c>
      <c r="N1404" s="16">
        <v>1.7999999999999999E-2</v>
      </c>
      <c r="O1404" s="17">
        <f>N1404*'Financial Inputs'!$B$3</f>
        <v>1799999.9999999998</v>
      </c>
      <c r="P1404" s="18">
        <f>IF(I1404="L",'Financial Inputs'!$B$4,IF(I1404="M",'Financial Inputs'!$B$5,'Financial Inputs'!$B$6))</f>
        <v>0.4</v>
      </c>
      <c r="Q1404" s="17">
        <f>O1404*P1404</f>
        <v>720000</v>
      </c>
      <c r="R1404" s="16">
        <f>'Financial Inputs'!$B$7</f>
        <v>0.35</v>
      </c>
      <c r="S1404" s="17">
        <f>Q1404*(1-R1404)</f>
        <v>468000</v>
      </c>
      <c r="T1404" s="18">
        <f>S1404/'Financial Inputs'!$B$3</f>
        <v>4.6800000000000001E-3</v>
      </c>
      <c r="U1404" s="9" t="s">
        <v>52</v>
      </c>
      <c r="V1404" s="3" t="s">
        <v>53</v>
      </c>
    </row>
    <row r="1405" spans="1:22">
      <c r="A1405" s="2" t="s">
        <v>4444</v>
      </c>
      <c r="B1405" s="2" t="s">
        <v>4445</v>
      </c>
      <c r="C1405" s="2" t="s">
        <v>4435</v>
      </c>
      <c r="D1405" s="2" t="s">
        <v>72</v>
      </c>
      <c r="E1405" s="2" t="s">
        <v>73</v>
      </c>
      <c r="F1405" s="2" t="s">
        <v>74</v>
      </c>
      <c r="G1405" s="2" t="s">
        <v>75</v>
      </c>
      <c r="H1405" s="2" t="s">
        <v>498</v>
      </c>
      <c r="I1405" s="2" t="s">
        <v>47</v>
      </c>
      <c r="J1405" s="2" t="s">
        <v>500</v>
      </c>
      <c r="K1405" s="2" t="s">
        <v>4446</v>
      </c>
      <c r="L1405" s="2" t="s">
        <v>77</v>
      </c>
      <c r="M1405" s="2" t="s">
        <v>4437</v>
      </c>
      <c r="N1405" s="16">
        <v>1.9800000000000002E-2</v>
      </c>
      <c r="O1405" s="17">
        <f>N1405*'Financial Inputs'!$B$3</f>
        <v>1980000.0000000002</v>
      </c>
      <c r="P1405" s="18">
        <f>IF(I1405="L",'Financial Inputs'!$B$4,IF(I1405="M",'Financial Inputs'!$B$5,'Financial Inputs'!$B$6))</f>
        <v>0.4</v>
      </c>
      <c r="Q1405" s="17">
        <f>O1405*P1405</f>
        <v>792000.00000000012</v>
      </c>
      <c r="R1405" s="16">
        <f>'Financial Inputs'!$B$7</f>
        <v>0.35</v>
      </c>
      <c r="S1405" s="17">
        <f>Q1405*(1-R1405)</f>
        <v>514800.00000000012</v>
      </c>
      <c r="T1405" s="18">
        <f>S1405/'Financial Inputs'!$B$3</f>
        <v>5.1480000000000015E-3</v>
      </c>
      <c r="U1405" s="9" t="s">
        <v>52</v>
      </c>
      <c r="V1405" s="3" t="s">
        <v>53</v>
      </c>
    </row>
    <row r="1406" spans="1:22">
      <c r="A1406" s="2" t="s">
        <v>4447</v>
      </c>
      <c r="B1406" s="2" t="s">
        <v>4448</v>
      </c>
      <c r="C1406" s="2" t="s">
        <v>4435</v>
      </c>
      <c r="D1406" s="2" t="s">
        <v>80</v>
      </c>
      <c r="E1406" s="2" t="s">
        <v>81</v>
      </c>
      <c r="F1406" s="2" t="s">
        <v>82</v>
      </c>
      <c r="G1406" s="2" t="s">
        <v>83</v>
      </c>
      <c r="H1406" s="2" t="s">
        <v>498</v>
      </c>
      <c r="I1406" s="2" t="s">
        <v>47</v>
      </c>
      <c r="J1406" s="2" t="s">
        <v>500</v>
      </c>
      <c r="K1406" s="2" t="s">
        <v>4449</v>
      </c>
      <c r="L1406" s="2" t="s">
        <v>85</v>
      </c>
      <c r="M1406" s="2" t="s">
        <v>4437</v>
      </c>
      <c r="N1406" s="16">
        <v>2.1600000000000001E-2</v>
      </c>
      <c r="O1406" s="17">
        <f>N1406*'Financial Inputs'!$B$3</f>
        <v>2160000</v>
      </c>
      <c r="P1406" s="18">
        <f>IF(I1406="L",'Financial Inputs'!$B$4,IF(I1406="M",'Financial Inputs'!$B$5,'Financial Inputs'!$B$6))</f>
        <v>0.4</v>
      </c>
      <c r="Q1406" s="17">
        <f>O1406*P1406</f>
        <v>864000</v>
      </c>
      <c r="R1406" s="16">
        <f>'Financial Inputs'!$B$7</f>
        <v>0.35</v>
      </c>
      <c r="S1406" s="17">
        <f>Q1406*(1-R1406)</f>
        <v>561600</v>
      </c>
      <c r="T1406" s="18">
        <f>S1406/'Financial Inputs'!$B$3</f>
        <v>5.6160000000000003E-3</v>
      </c>
      <c r="U1406" s="9" t="s">
        <v>52</v>
      </c>
      <c r="V1406" s="3" t="s">
        <v>53</v>
      </c>
    </row>
    <row r="1407" spans="1:22">
      <c r="A1407" s="2" t="s">
        <v>4450</v>
      </c>
      <c r="B1407" s="2" t="s">
        <v>4451</v>
      </c>
      <c r="C1407" s="2" t="s">
        <v>4435</v>
      </c>
      <c r="D1407" s="2" t="s">
        <v>88</v>
      </c>
      <c r="E1407" s="2" t="s">
        <v>89</v>
      </c>
      <c r="F1407" s="2" t="s">
        <v>90</v>
      </c>
      <c r="G1407" s="2" t="s">
        <v>67</v>
      </c>
      <c r="H1407" s="2" t="s">
        <v>498</v>
      </c>
      <c r="I1407" s="2" t="s">
        <v>47</v>
      </c>
      <c r="J1407" s="2" t="s">
        <v>500</v>
      </c>
      <c r="K1407" s="2" t="s">
        <v>4452</v>
      </c>
      <c r="L1407" s="2" t="s">
        <v>92</v>
      </c>
      <c r="M1407" s="2" t="s">
        <v>4437</v>
      </c>
      <c r="N1407" s="16">
        <v>1.44E-2</v>
      </c>
      <c r="O1407" s="17">
        <f>N1407*'Financial Inputs'!$B$3</f>
        <v>1440000</v>
      </c>
      <c r="P1407" s="18">
        <f>IF(I1407="L",'Financial Inputs'!$B$4,IF(I1407="M",'Financial Inputs'!$B$5,'Financial Inputs'!$B$6))</f>
        <v>0.4</v>
      </c>
      <c r="Q1407" s="17">
        <f>O1407*P1407</f>
        <v>576000</v>
      </c>
      <c r="R1407" s="16">
        <f>'Financial Inputs'!$B$7</f>
        <v>0.35</v>
      </c>
      <c r="S1407" s="17">
        <f>Q1407*(1-R1407)</f>
        <v>374400</v>
      </c>
      <c r="T1407" s="18">
        <f>S1407/'Financial Inputs'!$B$3</f>
        <v>3.7439999999999999E-3</v>
      </c>
      <c r="U1407" s="9" t="s">
        <v>52</v>
      </c>
      <c r="V1407" s="3" t="s">
        <v>53</v>
      </c>
    </row>
    <row r="1408" spans="1:22">
      <c r="A1408" s="2" t="s">
        <v>4453</v>
      </c>
      <c r="B1408" s="2" t="s">
        <v>4454</v>
      </c>
      <c r="C1408" s="2" t="s">
        <v>4435</v>
      </c>
      <c r="D1408" s="2" t="s">
        <v>95</v>
      </c>
      <c r="E1408" s="2" t="s">
        <v>96</v>
      </c>
      <c r="F1408" s="2" t="s">
        <v>97</v>
      </c>
      <c r="G1408" s="2" t="s">
        <v>75</v>
      </c>
      <c r="H1408" s="2" t="s">
        <v>498</v>
      </c>
      <c r="I1408" s="2" t="s">
        <v>47</v>
      </c>
      <c r="J1408" s="2" t="s">
        <v>500</v>
      </c>
      <c r="K1408" s="2" t="s">
        <v>4455</v>
      </c>
      <c r="L1408" s="2" t="s">
        <v>99</v>
      </c>
      <c r="M1408" s="2" t="s">
        <v>4437</v>
      </c>
      <c r="N1408" s="16">
        <v>1.6199999999999999E-2</v>
      </c>
      <c r="O1408" s="17">
        <f>N1408*'Financial Inputs'!$B$3</f>
        <v>1620000</v>
      </c>
      <c r="P1408" s="18">
        <f>IF(I1408="L",'Financial Inputs'!$B$4,IF(I1408="M",'Financial Inputs'!$B$5,'Financial Inputs'!$B$6))</f>
        <v>0.4</v>
      </c>
      <c r="Q1408" s="17">
        <f>O1408*P1408</f>
        <v>648000</v>
      </c>
      <c r="R1408" s="16">
        <f>'Financial Inputs'!$B$7</f>
        <v>0.35</v>
      </c>
      <c r="S1408" s="17">
        <f>Q1408*(1-R1408)</f>
        <v>421200</v>
      </c>
      <c r="T1408" s="18">
        <f>S1408/'Financial Inputs'!$B$3</f>
        <v>4.2119999999999996E-3</v>
      </c>
      <c r="U1408" s="9" t="s">
        <v>52</v>
      </c>
      <c r="V1408" s="3" t="s">
        <v>53</v>
      </c>
    </row>
    <row r="1409" spans="1:22">
      <c r="A1409" s="2" t="s">
        <v>4456</v>
      </c>
      <c r="B1409" s="2" t="s">
        <v>4457</v>
      </c>
      <c r="C1409" s="2" t="s">
        <v>4435</v>
      </c>
      <c r="D1409" s="2" t="s">
        <v>102</v>
      </c>
      <c r="E1409" s="2" t="s">
        <v>103</v>
      </c>
      <c r="F1409" s="2" t="s">
        <v>104</v>
      </c>
      <c r="G1409" s="2" t="s">
        <v>83</v>
      </c>
      <c r="H1409" s="2" t="s">
        <v>498</v>
      </c>
      <c r="I1409" s="2" t="s">
        <v>47</v>
      </c>
      <c r="J1409" s="2" t="s">
        <v>500</v>
      </c>
      <c r="K1409" s="2" t="s">
        <v>4458</v>
      </c>
      <c r="L1409" s="2" t="s">
        <v>106</v>
      </c>
      <c r="M1409" s="2" t="s">
        <v>4437</v>
      </c>
      <c r="N1409" s="16">
        <v>1.7999999999999999E-2</v>
      </c>
      <c r="O1409" s="17">
        <f>N1409*'Financial Inputs'!$B$3</f>
        <v>1799999.9999999998</v>
      </c>
      <c r="P1409" s="18">
        <f>IF(I1409="L",'Financial Inputs'!$B$4,IF(I1409="M",'Financial Inputs'!$B$5,'Financial Inputs'!$B$6))</f>
        <v>0.4</v>
      </c>
      <c r="Q1409" s="17">
        <f>O1409*P1409</f>
        <v>720000</v>
      </c>
      <c r="R1409" s="16">
        <f>'Financial Inputs'!$B$7</f>
        <v>0.35</v>
      </c>
      <c r="S1409" s="17">
        <f>Q1409*(1-R1409)</f>
        <v>468000</v>
      </c>
      <c r="T1409" s="18">
        <f>S1409/'Financial Inputs'!$B$3</f>
        <v>4.6800000000000001E-3</v>
      </c>
      <c r="U1409" s="9" t="s">
        <v>52</v>
      </c>
      <c r="V1409" s="3" t="s">
        <v>53</v>
      </c>
    </row>
    <row r="1410" spans="1:22">
      <c r="A1410" s="2" t="s">
        <v>4459</v>
      </c>
      <c r="B1410" s="2" t="s">
        <v>4460</v>
      </c>
      <c r="C1410" s="2" t="s">
        <v>4435</v>
      </c>
      <c r="D1410" s="2" t="s">
        <v>42</v>
      </c>
      <c r="E1410" s="2" t="s">
        <v>109</v>
      </c>
      <c r="F1410" s="2" t="s">
        <v>110</v>
      </c>
      <c r="G1410" s="2" t="s">
        <v>111</v>
      </c>
      <c r="H1410" s="2" t="s">
        <v>498</v>
      </c>
      <c r="I1410" s="2" t="s">
        <v>47</v>
      </c>
      <c r="J1410" s="2" t="s">
        <v>500</v>
      </c>
      <c r="K1410" s="2" t="s">
        <v>4461</v>
      </c>
      <c r="L1410" s="2" t="s">
        <v>113</v>
      </c>
      <c r="M1410" s="2" t="s">
        <v>4437</v>
      </c>
      <c r="N1410" s="16">
        <v>1.9800000000000002E-2</v>
      </c>
      <c r="O1410" s="17">
        <f>N1410*'Financial Inputs'!$B$3</f>
        <v>1980000.0000000002</v>
      </c>
      <c r="P1410" s="18">
        <f>IF(I1410="L",'Financial Inputs'!$B$4,IF(I1410="M",'Financial Inputs'!$B$5,'Financial Inputs'!$B$6))</f>
        <v>0.4</v>
      </c>
      <c r="Q1410" s="17">
        <f>O1410*P1410</f>
        <v>792000.00000000012</v>
      </c>
      <c r="R1410" s="16">
        <f>'Financial Inputs'!$B$7</f>
        <v>0.35</v>
      </c>
      <c r="S1410" s="17">
        <f>Q1410*(1-R1410)</f>
        <v>514800.00000000012</v>
      </c>
      <c r="T1410" s="18">
        <f>S1410/'Financial Inputs'!$B$3</f>
        <v>5.1480000000000015E-3</v>
      </c>
      <c r="U1410" s="9" t="s">
        <v>52</v>
      </c>
      <c r="V1410" s="3" t="s">
        <v>53</v>
      </c>
    </row>
    <row r="1411" spans="1:22">
      <c r="A1411" s="2" t="s">
        <v>4462</v>
      </c>
      <c r="B1411" s="2" t="s">
        <v>4463</v>
      </c>
      <c r="C1411" s="2" t="s">
        <v>4435</v>
      </c>
      <c r="D1411" s="2" t="s">
        <v>56</v>
      </c>
      <c r="E1411" s="2" t="s">
        <v>116</v>
      </c>
      <c r="F1411" s="2" t="s">
        <v>117</v>
      </c>
      <c r="G1411" s="2" t="s">
        <v>56</v>
      </c>
      <c r="H1411" s="2" t="s">
        <v>498</v>
      </c>
      <c r="I1411" s="2" t="s">
        <v>47</v>
      </c>
      <c r="J1411" s="2" t="s">
        <v>500</v>
      </c>
      <c r="K1411" s="2" t="s">
        <v>4464</v>
      </c>
      <c r="L1411" s="2" t="s">
        <v>119</v>
      </c>
      <c r="M1411" s="2" t="s">
        <v>4437</v>
      </c>
      <c r="N1411" s="16">
        <v>2.1600000000000001E-2</v>
      </c>
      <c r="O1411" s="17">
        <f>N1411*'Financial Inputs'!$B$3</f>
        <v>2160000</v>
      </c>
      <c r="P1411" s="18">
        <f>IF(I1411="L",'Financial Inputs'!$B$4,IF(I1411="M",'Financial Inputs'!$B$5,'Financial Inputs'!$B$6))</f>
        <v>0.4</v>
      </c>
      <c r="Q1411" s="17">
        <f>O1411*P1411</f>
        <v>864000</v>
      </c>
      <c r="R1411" s="16">
        <f>'Financial Inputs'!$B$7</f>
        <v>0.35</v>
      </c>
      <c r="S1411" s="17">
        <f>Q1411*(1-R1411)</f>
        <v>561600</v>
      </c>
      <c r="T1411" s="18">
        <f>S1411/'Financial Inputs'!$B$3</f>
        <v>5.6160000000000003E-3</v>
      </c>
      <c r="U1411" s="9" t="s">
        <v>52</v>
      </c>
      <c r="V1411" s="3" t="s">
        <v>53</v>
      </c>
    </row>
    <row r="1412" spans="1:22">
      <c r="A1412" s="2" t="s">
        <v>4465</v>
      </c>
      <c r="B1412" s="2" t="s">
        <v>4466</v>
      </c>
      <c r="C1412" s="2" t="s">
        <v>4435</v>
      </c>
      <c r="D1412" s="2" t="s">
        <v>80</v>
      </c>
      <c r="E1412" s="2" t="s">
        <v>122</v>
      </c>
      <c r="F1412" s="2" t="s">
        <v>58</v>
      </c>
      <c r="G1412" s="2" t="s">
        <v>83</v>
      </c>
      <c r="H1412" s="2" t="s">
        <v>498</v>
      </c>
      <c r="I1412" s="2" t="s">
        <v>47</v>
      </c>
      <c r="J1412" s="2" t="s">
        <v>500</v>
      </c>
      <c r="K1412" s="2" t="s">
        <v>4467</v>
      </c>
      <c r="L1412" s="2" t="s">
        <v>124</v>
      </c>
      <c r="M1412" s="2" t="s">
        <v>4437</v>
      </c>
      <c r="N1412" s="16">
        <v>1.44E-2</v>
      </c>
      <c r="O1412" s="17">
        <f>N1412*'Financial Inputs'!$B$3</f>
        <v>1440000</v>
      </c>
      <c r="P1412" s="18">
        <f>IF(I1412="L",'Financial Inputs'!$B$4,IF(I1412="M",'Financial Inputs'!$B$5,'Financial Inputs'!$B$6))</f>
        <v>0.4</v>
      </c>
      <c r="Q1412" s="17">
        <f>O1412*P1412</f>
        <v>576000</v>
      </c>
      <c r="R1412" s="16">
        <f>'Financial Inputs'!$B$7</f>
        <v>0.35</v>
      </c>
      <c r="S1412" s="17">
        <f>Q1412*(1-R1412)</f>
        <v>374400</v>
      </c>
      <c r="T1412" s="18">
        <f>S1412/'Financial Inputs'!$B$3</f>
        <v>3.7439999999999999E-3</v>
      </c>
      <c r="U1412" s="9" t="s">
        <v>52</v>
      </c>
      <c r="V1412" s="3" t="s">
        <v>53</v>
      </c>
    </row>
    <row r="1413" spans="1:22">
      <c r="A1413" s="2" t="s">
        <v>4468</v>
      </c>
      <c r="B1413" s="2" t="s">
        <v>4469</v>
      </c>
      <c r="C1413" s="2" t="s">
        <v>4435</v>
      </c>
      <c r="D1413" s="2" t="s">
        <v>127</v>
      </c>
      <c r="E1413" s="2" t="s">
        <v>128</v>
      </c>
      <c r="F1413" s="2" t="s">
        <v>66</v>
      </c>
      <c r="G1413" s="2" t="s">
        <v>111</v>
      </c>
      <c r="H1413" s="2" t="s">
        <v>498</v>
      </c>
      <c r="I1413" s="2" t="s">
        <v>47</v>
      </c>
      <c r="J1413" s="2" t="s">
        <v>500</v>
      </c>
      <c r="K1413" s="2" t="s">
        <v>4470</v>
      </c>
      <c r="L1413" s="2" t="s">
        <v>130</v>
      </c>
      <c r="M1413" s="2" t="s">
        <v>4437</v>
      </c>
      <c r="N1413" s="16">
        <v>1.6199999999999999E-2</v>
      </c>
      <c r="O1413" s="17">
        <f>N1413*'Financial Inputs'!$B$3</f>
        <v>1620000</v>
      </c>
      <c r="P1413" s="18">
        <f>IF(I1413="L",'Financial Inputs'!$B$4,IF(I1413="M",'Financial Inputs'!$B$5,'Financial Inputs'!$B$6))</f>
        <v>0.4</v>
      </c>
      <c r="Q1413" s="17">
        <f>O1413*P1413</f>
        <v>648000</v>
      </c>
      <c r="R1413" s="16">
        <f>'Financial Inputs'!$B$7</f>
        <v>0.35</v>
      </c>
      <c r="S1413" s="17">
        <f>Q1413*(1-R1413)</f>
        <v>421200</v>
      </c>
      <c r="T1413" s="18">
        <f>S1413/'Financial Inputs'!$B$3</f>
        <v>4.2119999999999996E-3</v>
      </c>
      <c r="U1413" s="9" t="s">
        <v>52</v>
      </c>
      <c r="V1413" s="3" t="s">
        <v>53</v>
      </c>
    </row>
    <row r="1414" spans="1:22">
      <c r="A1414" s="2" t="s">
        <v>4471</v>
      </c>
      <c r="B1414" s="2" t="s">
        <v>4472</v>
      </c>
      <c r="C1414" s="2" t="s">
        <v>4435</v>
      </c>
      <c r="D1414" s="2" t="s">
        <v>133</v>
      </c>
      <c r="E1414" s="2" t="s">
        <v>43</v>
      </c>
      <c r="F1414" s="2" t="s">
        <v>74</v>
      </c>
      <c r="G1414" s="2" t="s">
        <v>56</v>
      </c>
      <c r="H1414" s="2" t="s">
        <v>498</v>
      </c>
      <c r="I1414" s="2" t="s">
        <v>47</v>
      </c>
      <c r="J1414" s="2" t="s">
        <v>500</v>
      </c>
      <c r="K1414" s="2" t="s">
        <v>4473</v>
      </c>
      <c r="L1414" s="2" t="s">
        <v>135</v>
      </c>
      <c r="M1414" s="2" t="s">
        <v>4437</v>
      </c>
      <c r="N1414" s="16">
        <v>1.7999999999999999E-2</v>
      </c>
      <c r="O1414" s="17">
        <f>N1414*'Financial Inputs'!$B$3</f>
        <v>1799999.9999999998</v>
      </c>
      <c r="P1414" s="18">
        <f>IF(I1414="L",'Financial Inputs'!$B$4,IF(I1414="M",'Financial Inputs'!$B$5,'Financial Inputs'!$B$6))</f>
        <v>0.4</v>
      </c>
      <c r="Q1414" s="17">
        <f>O1414*P1414</f>
        <v>720000</v>
      </c>
      <c r="R1414" s="16">
        <f>'Financial Inputs'!$B$7</f>
        <v>0.35</v>
      </c>
      <c r="S1414" s="17">
        <f>Q1414*(1-R1414)</f>
        <v>468000</v>
      </c>
      <c r="T1414" s="18">
        <f>S1414/'Financial Inputs'!$B$3</f>
        <v>4.6800000000000001E-3</v>
      </c>
      <c r="U1414" s="9" t="s">
        <v>52</v>
      </c>
      <c r="V1414" s="3" t="s">
        <v>53</v>
      </c>
    </row>
    <row r="1415" spans="1:22">
      <c r="A1415" s="2" t="s">
        <v>4474</v>
      </c>
      <c r="B1415" s="2" t="s">
        <v>4475</v>
      </c>
      <c r="C1415" s="2" t="s">
        <v>4435</v>
      </c>
      <c r="D1415" s="2" t="s">
        <v>88</v>
      </c>
      <c r="E1415" s="2" t="s">
        <v>57</v>
      </c>
      <c r="F1415" s="2" t="s">
        <v>82</v>
      </c>
      <c r="G1415" s="2" t="s">
        <v>138</v>
      </c>
      <c r="H1415" s="2" t="s">
        <v>498</v>
      </c>
      <c r="I1415" s="2" t="s">
        <v>47</v>
      </c>
      <c r="J1415" s="2" t="s">
        <v>500</v>
      </c>
      <c r="K1415" s="2" t="s">
        <v>4476</v>
      </c>
      <c r="L1415" s="2" t="s">
        <v>140</v>
      </c>
      <c r="M1415" s="2" t="s">
        <v>4437</v>
      </c>
      <c r="N1415" s="16">
        <v>1.9800000000000002E-2</v>
      </c>
      <c r="O1415" s="17">
        <f>N1415*'Financial Inputs'!$B$3</f>
        <v>1980000.0000000002</v>
      </c>
      <c r="P1415" s="18">
        <f>IF(I1415="L",'Financial Inputs'!$B$4,IF(I1415="M",'Financial Inputs'!$B$5,'Financial Inputs'!$B$6))</f>
        <v>0.4</v>
      </c>
      <c r="Q1415" s="17">
        <f>O1415*P1415</f>
        <v>792000.00000000012</v>
      </c>
      <c r="R1415" s="16">
        <f>'Financial Inputs'!$B$7</f>
        <v>0.35</v>
      </c>
      <c r="S1415" s="17">
        <f>Q1415*(1-R1415)</f>
        <v>514800.00000000012</v>
      </c>
      <c r="T1415" s="18">
        <f>S1415/'Financial Inputs'!$B$3</f>
        <v>5.1480000000000015E-3</v>
      </c>
      <c r="U1415" s="9" t="s">
        <v>52</v>
      </c>
      <c r="V1415" s="3" t="s">
        <v>53</v>
      </c>
    </row>
    <row r="1416" spans="1:22">
      <c r="A1416" s="2" t="s">
        <v>4477</v>
      </c>
      <c r="B1416" s="2" t="s">
        <v>4478</v>
      </c>
      <c r="C1416" s="2" t="s">
        <v>4435</v>
      </c>
      <c r="D1416" s="2" t="s">
        <v>95</v>
      </c>
      <c r="E1416" s="2" t="s">
        <v>65</v>
      </c>
      <c r="F1416" s="2" t="s">
        <v>44</v>
      </c>
      <c r="G1416" s="2" t="s">
        <v>143</v>
      </c>
      <c r="H1416" s="2" t="s">
        <v>498</v>
      </c>
      <c r="I1416" s="2" t="s">
        <v>47</v>
      </c>
      <c r="J1416" s="2" t="s">
        <v>500</v>
      </c>
      <c r="K1416" s="2" t="s">
        <v>4479</v>
      </c>
      <c r="L1416" s="2" t="s">
        <v>145</v>
      </c>
      <c r="M1416" s="2" t="s">
        <v>4437</v>
      </c>
      <c r="N1416" s="16">
        <v>2.1600000000000001E-2</v>
      </c>
      <c r="O1416" s="17">
        <f>N1416*'Financial Inputs'!$B$3</f>
        <v>2160000</v>
      </c>
      <c r="P1416" s="18">
        <f>IF(I1416="L",'Financial Inputs'!$B$4,IF(I1416="M",'Financial Inputs'!$B$5,'Financial Inputs'!$B$6))</f>
        <v>0.4</v>
      </c>
      <c r="Q1416" s="17">
        <f>O1416*P1416</f>
        <v>864000</v>
      </c>
      <c r="R1416" s="16">
        <f>'Financial Inputs'!$B$7</f>
        <v>0.35</v>
      </c>
      <c r="S1416" s="17">
        <f>Q1416*(1-R1416)</f>
        <v>561600</v>
      </c>
      <c r="T1416" s="18">
        <f>S1416/'Financial Inputs'!$B$3</f>
        <v>5.6160000000000003E-3</v>
      </c>
      <c r="U1416" s="9" t="s">
        <v>52</v>
      </c>
      <c r="V1416" s="3" t="s">
        <v>53</v>
      </c>
    </row>
    <row r="1417" spans="1:22">
      <c r="A1417" s="2" t="s">
        <v>4480</v>
      </c>
      <c r="B1417" s="2" t="s">
        <v>4481</v>
      </c>
      <c r="C1417" s="2" t="s">
        <v>4435</v>
      </c>
      <c r="D1417" s="2" t="s">
        <v>56</v>
      </c>
      <c r="E1417" s="2" t="s">
        <v>148</v>
      </c>
      <c r="F1417" s="2" t="s">
        <v>97</v>
      </c>
      <c r="G1417" s="2" t="s">
        <v>56</v>
      </c>
      <c r="H1417" s="2" t="s">
        <v>498</v>
      </c>
      <c r="I1417" s="2" t="s">
        <v>47</v>
      </c>
      <c r="J1417" s="2" t="s">
        <v>500</v>
      </c>
      <c r="K1417" s="2" t="s">
        <v>4482</v>
      </c>
      <c r="L1417" s="2" t="s">
        <v>150</v>
      </c>
      <c r="M1417" s="2" t="s">
        <v>4437</v>
      </c>
      <c r="N1417" s="16">
        <v>1.44E-2</v>
      </c>
      <c r="O1417" s="17">
        <f>N1417*'Financial Inputs'!$B$3</f>
        <v>1440000</v>
      </c>
      <c r="P1417" s="18">
        <f>IF(I1417="L",'Financial Inputs'!$B$4,IF(I1417="M",'Financial Inputs'!$B$5,'Financial Inputs'!$B$6))</f>
        <v>0.4</v>
      </c>
      <c r="Q1417" s="17">
        <f>O1417*P1417</f>
        <v>576000</v>
      </c>
      <c r="R1417" s="16">
        <f>'Financial Inputs'!$B$7</f>
        <v>0.35</v>
      </c>
      <c r="S1417" s="17">
        <f>Q1417*(1-R1417)</f>
        <v>374400</v>
      </c>
      <c r="T1417" s="18">
        <f>S1417/'Financial Inputs'!$B$3</f>
        <v>3.7439999999999999E-3</v>
      </c>
      <c r="U1417" s="9" t="s">
        <v>52</v>
      </c>
      <c r="V1417" s="3" t="s">
        <v>53</v>
      </c>
    </row>
    <row r="1418" spans="1:22">
      <c r="A1418" s="2" t="s">
        <v>4483</v>
      </c>
      <c r="B1418" s="2" t="s">
        <v>4484</v>
      </c>
      <c r="C1418" s="2" t="s">
        <v>4435</v>
      </c>
      <c r="D1418" s="2" t="s">
        <v>64</v>
      </c>
      <c r="E1418" s="2" t="s">
        <v>153</v>
      </c>
      <c r="F1418" s="2" t="s">
        <v>104</v>
      </c>
      <c r="G1418" s="2" t="s">
        <v>138</v>
      </c>
      <c r="H1418" s="2" t="s">
        <v>498</v>
      </c>
      <c r="I1418" s="2" t="s">
        <v>47</v>
      </c>
      <c r="J1418" s="2" t="s">
        <v>500</v>
      </c>
      <c r="K1418" s="2" t="s">
        <v>4485</v>
      </c>
      <c r="L1418" s="2" t="s">
        <v>155</v>
      </c>
      <c r="M1418" s="2" t="s">
        <v>4437</v>
      </c>
      <c r="N1418" s="16">
        <v>1.6199999999999999E-2</v>
      </c>
      <c r="O1418" s="17">
        <f>N1418*'Financial Inputs'!$B$3</f>
        <v>1620000</v>
      </c>
      <c r="P1418" s="18">
        <f>IF(I1418="L",'Financial Inputs'!$B$4,IF(I1418="M",'Financial Inputs'!$B$5,'Financial Inputs'!$B$6))</f>
        <v>0.4</v>
      </c>
      <c r="Q1418" s="17">
        <f>O1418*P1418</f>
        <v>648000</v>
      </c>
      <c r="R1418" s="16">
        <f>'Financial Inputs'!$B$7</f>
        <v>0.35</v>
      </c>
      <c r="S1418" s="17">
        <f>Q1418*(1-R1418)</f>
        <v>421200</v>
      </c>
      <c r="T1418" s="18">
        <f>S1418/'Financial Inputs'!$B$3</f>
        <v>4.2119999999999996E-3</v>
      </c>
      <c r="U1418" s="9" t="s">
        <v>52</v>
      </c>
      <c r="V1418" s="3" t="s">
        <v>53</v>
      </c>
    </row>
    <row r="1419" spans="1:22">
      <c r="A1419" s="2" t="s">
        <v>4486</v>
      </c>
      <c r="B1419" s="2" t="s">
        <v>4487</v>
      </c>
      <c r="C1419" s="2" t="s">
        <v>4435</v>
      </c>
      <c r="D1419" s="2" t="s">
        <v>72</v>
      </c>
      <c r="E1419" s="2" t="s">
        <v>89</v>
      </c>
      <c r="F1419" s="2" t="s">
        <v>110</v>
      </c>
      <c r="G1419" s="2" t="s">
        <v>143</v>
      </c>
      <c r="H1419" s="2" t="s">
        <v>498</v>
      </c>
      <c r="I1419" s="2" t="s">
        <v>47</v>
      </c>
      <c r="J1419" s="2" t="s">
        <v>500</v>
      </c>
      <c r="K1419" s="2" t="s">
        <v>4488</v>
      </c>
      <c r="L1419" s="2" t="s">
        <v>159</v>
      </c>
      <c r="M1419" s="2" t="s">
        <v>4437</v>
      </c>
      <c r="N1419" s="16">
        <v>1.7999999999999999E-2</v>
      </c>
      <c r="O1419" s="17">
        <f>N1419*'Financial Inputs'!$B$3</f>
        <v>1799999.9999999998</v>
      </c>
      <c r="P1419" s="18">
        <f>IF(I1419="L",'Financial Inputs'!$B$4,IF(I1419="M",'Financial Inputs'!$B$5,'Financial Inputs'!$B$6))</f>
        <v>0.4</v>
      </c>
      <c r="Q1419" s="17">
        <f>O1419*P1419</f>
        <v>720000</v>
      </c>
      <c r="R1419" s="16">
        <f>'Financial Inputs'!$B$7</f>
        <v>0.35</v>
      </c>
      <c r="S1419" s="17">
        <f>Q1419*(1-R1419)</f>
        <v>468000</v>
      </c>
      <c r="T1419" s="18">
        <f>S1419/'Financial Inputs'!$B$3</f>
        <v>4.6800000000000001E-3</v>
      </c>
      <c r="U1419" s="9" t="s">
        <v>52</v>
      </c>
      <c r="V1419" s="3" t="s">
        <v>53</v>
      </c>
    </row>
    <row r="1420" spans="1:22">
      <c r="A1420" s="2" t="s">
        <v>4489</v>
      </c>
      <c r="B1420" s="2" t="s">
        <v>4490</v>
      </c>
      <c r="C1420" s="2" t="s">
        <v>4435</v>
      </c>
      <c r="D1420" s="2" t="s">
        <v>80</v>
      </c>
      <c r="E1420" s="2" t="s">
        <v>96</v>
      </c>
      <c r="F1420" s="2" t="s">
        <v>117</v>
      </c>
      <c r="G1420" s="2" t="s">
        <v>162</v>
      </c>
      <c r="H1420" s="2" t="s">
        <v>498</v>
      </c>
      <c r="I1420" s="2" t="s">
        <v>47</v>
      </c>
      <c r="J1420" s="2" t="s">
        <v>500</v>
      </c>
      <c r="K1420" s="2" t="s">
        <v>4491</v>
      </c>
      <c r="L1420" s="2" t="s">
        <v>164</v>
      </c>
      <c r="M1420" s="2" t="s">
        <v>4437</v>
      </c>
      <c r="N1420" s="16">
        <v>1.9800000000000002E-2</v>
      </c>
      <c r="O1420" s="17">
        <f>N1420*'Financial Inputs'!$B$3</f>
        <v>1980000.0000000002</v>
      </c>
      <c r="P1420" s="18">
        <f>IF(I1420="L",'Financial Inputs'!$B$4,IF(I1420="M",'Financial Inputs'!$B$5,'Financial Inputs'!$B$6))</f>
        <v>0.4</v>
      </c>
      <c r="Q1420" s="17">
        <f>O1420*P1420</f>
        <v>792000.00000000012</v>
      </c>
      <c r="R1420" s="16">
        <f>'Financial Inputs'!$B$7</f>
        <v>0.35</v>
      </c>
      <c r="S1420" s="17">
        <f>Q1420*(1-R1420)</f>
        <v>514800.00000000012</v>
      </c>
      <c r="T1420" s="18">
        <f>S1420/'Financial Inputs'!$B$3</f>
        <v>5.1480000000000015E-3</v>
      </c>
      <c r="U1420" s="9" t="s">
        <v>52</v>
      </c>
      <c r="V1420" s="3" t="s">
        <v>53</v>
      </c>
    </row>
    <row r="1421" spans="1:22">
      <c r="A1421" s="2" t="s">
        <v>4492</v>
      </c>
      <c r="B1421" s="2" t="s">
        <v>4493</v>
      </c>
      <c r="C1421" s="2" t="s">
        <v>4435</v>
      </c>
      <c r="D1421" s="2" t="s">
        <v>127</v>
      </c>
      <c r="E1421" s="2" t="s">
        <v>103</v>
      </c>
      <c r="F1421" s="2" t="s">
        <v>90</v>
      </c>
      <c r="G1421" s="2" t="s">
        <v>45</v>
      </c>
      <c r="H1421" s="2" t="s">
        <v>498</v>
      </c>
      <c r="I1421" s="2" t="s">
        <v>47</v>
      </c>
      <c r="J1421" s="2" t="s">
        <v>500</v>
      </c>
      <c r="K1421" s="2" t="s">
        <v>4494</v>
      </c>
      <c r="L1421" s="2" t="s">
        <v>168</v>
      </c>
      <c r="M1421" s="2" t="s">
        <v>4437</v>
      </c>
      <c r="N1421" s="16">
        <v>2.1600000000000001E-2</v>
      </c>
      <c r="O1421" s="17">
        <f>N1421*'Financial Inputs'!$B$3</f>
        <v>2160000</v>
      </c>
      <c r="P1421" s="18">
        <f>IF(I1421="L",'Financial Inputs'!$B$4,IF(I1421="M",'Financial Inputs'!$B$5,'Financial Inputs'!$B$6))</f>
        <v>0.4</v>
      </c>
      <c r="Q1421" s="17">
        <f>O1421*P1421</f>
        <v>864000</v>
      </c>
      <c r="R1421" s="16">
        <f>'Financial Inputs'!$B$7</f>
        <v>0.35</v>
      </c>
      <c r="S1421" s="17">
        <f>Q1421*(1-R1421)</f>
        <v>561600</v>
      </c>
      <c r="T1421" s="18">
        <f>S1421/'Financial Inputs'!$B$3</f>
        <v>5.6160000000000003E-3</v>
      </c>
      <c r="U1421" s="9" t="s">
        <v>52</v>
      </c>
      <c r="V1421" s="3" t="s">
        <v>53</v>
      </c>
    </row>
    <row r="1422" spans="1:22">
      <c r="A1422" s="2" t="s">
        <v>4495</v>
      </c>
      <c r="B1422" s="2" t="s">
        <v>4496</v>
      </c>
      <c r="C1422" s="2" t="s">
        <v>4435</v>
      </c>
      <c r="D1422" s="2" t="s">
        <v>95</v>
      </c>
      <c r="E1422" s="2" t="s">
        <v>171</v>
      </c>
      <c r="F1422" s="2" t="s">
        <v>66</v>
      </c>
      <c r="G1422" s="2" t="s">
        <v>143</v>
      </c>
      <c r="H1422" s="2" t="s">
        <v>498</v>
      </c>
      <c r="I1422" s="2" t="s">
        <v>47</v>
      </c>
      <c r="J1422" s="2" t="s">
        <v>500</v>
      </c>
      <c r="K1422" s="2" t="s">
        <v>4497</v>
      </c>
      <c r="L1422" s="2" t="s">
        <v>173</v>
      </c>
      <c r="M1422" s="2" t="s">
        <v>4437</v>
      </c>
      <c r="N1422" s="16">
        <v>1.44E-2</v>
      </c>
      <c r="O1422" s="17">
        <f>N1422*'Financial Inputs'!$B$3</f>
        <v>1440000</v>
      </c>
      <c r="P1422" s="18">
        <f>IF(I1422="L",'Financial Inputs'!$B$4,IF(I1422="M",'Financial Inputs'!$B$5,'Financial Inputs'!$B$6))</f>
        <v>0.4</v>
      </c>
      <c r="Q1422" s="17">
        <f>O1422*P1422</f>
        <v>576000</v>
      </c>
      <c r="R1422" s="16">
        <f>'Financial Inputs'!$B$7</f>
        <v>0.35</v>
      </c>
      <c r="S1422" s="17">
        <f>Q1422*(1-R1422)</f>
        <v>374400</v>
      </c>
      <c r="T1422" s="18">
        <f>S1422/'Financial Inputs'!$B$3</f>
        <v>3.7439999999999999E-3</v>
      </c>
      <c r="U1422" s="9" t="s">
        <v>52</v>
      </c>
      <c r="V1422" s="3" t="s">
        <v>53</v>
      </c>
    </row>
    <row r="1423" spans="1:22">
      <c r="A1423" s="2" t="s">
        <v>4498</v>
      </c>
      <c r="B1423" s="2" t="s">
        <v>4499</v>
      </c>
      <c r="C1423" s="2" t="s">
        <v>4435</v>
      </c>
      <c r="D1423" s="2" t="s">
        <v>102</v>
      </c>
      <c r="E1423" s="2" t="s">
        <v>176</v>
      </c>
      <c r="F1423" s="2" t="s">
        <v>74</v>
      </c>
      <c r="G1423" s="2" t="s">
        <v>162</v>
      </c>
      <c r="H1423" s="2" t="s">
        <v>498</v>
      </c>
      <c r="I1423" s="2" t="s">
        <v>47</v>
      </c>
      <c r="J1423" s="2" t="s">
        <v>500</v>
      </c>
      <c r="K1423" s="2" t="s">
        <v>4500</v>
      </c>
      <c r="L1423" s="2" t="s">
        <v>178</v>
      </c>
      <c r="M1423" s="2" t="s">
        <v>4437</v>
      </c>
      <c r="N1423" s="16">
        <v>1.6199999999999999E-2</v>
      </c>
      <c r="O1423" s="17">
        <f>N1423*'Financial Inputs'!$B$3</f>
        <v>1620000</v>
      </c>
      <c r="P1423" s="18">
        <f>IF(I1423="L",'Financial Inputs'!$B$4,IF(I1423="M",'Financial Inputs'!$B$5,'Financial Inputs'!$B$6))</f>
        <v>0.4</v>
      </c>
      <c r="Q1423" s="17">
        <f>O1423*P1423</f>
        <v>648000</v>
      </c>
      <c r="R1423" s="16">
        <f>'Financial Inputs'!$B$7</f>
        <v>0.35</v>
      </c>
      <c r="S1423" s="17">
        <f>Q1423*(1-R1423)</f>
        <v>421200</v>
      </c>
      <c r="T1423" s="18">
        <f>S1423/'Financial Inputs'!$B$3</f>
        <v>4.2119999999999996E-3</v>
      </c>
      <c r="U1423" s="9" t="s">
        <v>52</v>
      </c>
      <c r="V1423" s="3" t="s">
        <v>53</v>
      </c>
    </row>
    <row r="1424" spans="1:22">
      <c r="A1424" s="2" t="s">
        <v>4501</v>
      </c>
      <c r="B1424" s="2" t="s">
        <v>4502</v>
      </c>
      <c r="C1424" s="2" t="s">
        <v>4435</v>
      </c>
      <c r="D1424" s="2" t="s">
        <v>42</v>
      </c>
      <c r="E1424" s="2" t="s">
        <v>122</v>
      </c>
      <c r="F1424" s="2" t="s">
        <v>82</v>
      </c>
      <c r="G1424" s="2" t="s">
        <v>45</v>
      </c>
      <c r="H1424" s="2" t="s">
        <v>498</v>
      </c>
      <c r="I1424" s="2" t="s">
        <v>47</v>
      </c>
      <c r="J1424" s="2" t="s">
        <v>500</v>
      </c>
      <c r="K1424" s="2" t="s">
        <v>4503</v>
      </c>
      <c r="L1424" s="2" t="s">
        <v>182</v>
      </c>
      <c r="M1424" s="2" t="s">
        <v>4437</v>
      </c>
      <c r="N1424" s="16">
        <v>1.7999999999999999E-2</v>
      </c>
      <c r="O1424" s="17">
        <f>N1424*'Financial Inputs'!$B$3</f>
        <v>1799999.9999999998</v>
      </c>
      <c r="P1424" s="18">
        <f>IF(I1424="L",'Financial Inputs'!$B$4,IF(I1424="M",'Financial Inputs'!$B$5,'Financial Inputs'!$B$6))</f>
        <v>0.4</v>
      </c>
      <c r="Q1424" s="17">
        <f>O1424*P1424</f>
        <v>720000</v>
      </c>
      <c r="R1424" s="16">
        <f>'Financial Inputs'!$B$7</f>
        <v>0.35</v>
      </c>
      <c r="S1424" s="17">
        <f>Q1424*(1-R1424)</f>
        <v>468000</v>
      </c>
      <c r="T1424" s="18">
        <f>S1424/'Financial Inputs'!$B$3</f>
        <v>4.6800000000000001E-3</v>
      </c>
      <c r="U1424" s="9" t="s">
        <v>52</v>
      </c>
      <c r="V1424" s="3" t="s">
        <v>53</v>
      </c>
    </row>
    <row r="1425" spans="1:22">
      <c r="A1425" s="2" t="s">
        <v>4504</v>
      </c>
      <c r="B1425" s="2" t="s">
        <v>4505</v>
      </c>
      <c r="C1425" s="2" t="s">
        <v>4435</v>
      </c>
      <c r="D1425" s="2" t="s">
        <v>56</v>
      </c>
      <c r="E1425" s="2" t="s">
        <v>128</v>
      </c>
      <c r="F1425" s="2" t="s">
        <v>44</v>
      </c>
      <c r="G1425" s="2" t="s">
        <v>59</v>
      </c>
      <c r="H1425" s="2" t="s">
        <v>498</v>
      </c>
      <c r="I1425" s="2" t="s">
        <v>47</v>
      </c>
      <c r="J1425" s="2" t="s">
        <v>500</v>
      </c>
      <c r="K1425" s="2" t="s">
        <v>4506</v>
      </c>
      <c r="L1425" s="2" t="s">
        <v>186</v>
      </c>
      <c r="M1425" s="2" t="s">
        <v>4437</v>
      </c>
      <c r="N1425" s="16">
        <v>1.9800000000000002E-2</v>
      </c>
      <c r="O1425" s="17">
        <f>N1425*'Financial Inputs'!$B$3</f>
        <v>1980000.0000000002</v>
      </c>
      <c r="P1425" s="18">
        <f>IF(I1425="L",'Financial Inputs'!$B$4,IF(I1425="M",'Financial Inputs'!$B$5,'Financial Inputs'!$B$6))</f>
        <v>0.4</v>
      </c>
      <c r="Q1425" s="17">
        <f>O1425*P1425</f>
        <v>792000.00000000012</v>
      </c>
      <c r="R1425" s="16">
        <f>'Financial Inputs'!$B$7</f>
        <v>0.35</v>
      </c>
      <c r="S1425" s="17">
        <f>Q1425*(1-R1425)</f>
        <v>514800.00000000012</v>
      </c>
      <c r="T1425" s="18">
        <f>S1425/'Financial Inputs'!$B$3</f>
        <v>5.1480000000000015E-3</v>
      </c>
      <c r="U1425" s="9" t="s">
        <v>52</v>
      </c>
      <c r="V1425" s="3" t="s">
        <v>53</v>
      </c>
    </row>
    <row r="1426" spans="1:22">
      <c r="A1426" s="2" t="s">
        <v>4507</v>
      </c>
      <c r="B1426" s="2" t="s">
        <v>4508</v>
      </c>
      <c r="C1426" s="2" t="s">
        <v>4435</v>
      </c>
      <c r="D1426" s="2" t="s">
        <v>64</v>
      </c>
      <c r="E1426" s="2" t="s">
        <v>43</v>
      </c>
      <c r="F1426" s="2" t="s">
        <v>58</v>
      </c>
      <c r="G1426" s="2" t="s">
        <v>67</v>
      </c>
      <c r="H1426" s="2" t="s">
        <v>498</v>
      </c>
      <c r="I1426" s="2" t="s">
        <v>47</v>
      </c>
      <c r="J1426" s="2" t="s">
        <v>500</v>
      </c>
      <c r="K1426" s="2" t="s">
        <v>4509</v>
      </c>
      <c r="L1426" s="2" t="s">
        <v>190</v>
      </c>
      <c r="M1426" s="2" t="s">
        <v>4437</v>
      </c>
      <c r="N1426" s="16">
        <v>2.1600000000000001E-2</v>
      </c>
      <c r="O1426" s="17">
        <f>N1426*'Financial Inputs'!$B$3</f>
        <v>2160000</v>
      </c>
      <c r="P1426" s="18">
        <f>IF(I1426="L",'Financial Inputs'!$B$4,IF(I1426="M",'Financial Inputs'!$B$5,'Financial Inputs'!$B$6))</f>
        <v>0.4</v>
      </c>
      <c r="Q1426" s="17">
        <f>O1426*P1426</f>
        <v>864000</v>
      </c>
      <c r="R1426" s="16">
        <f>'Financial Inputs'!$B$7</f>
        <v>0.35</v>
      </c>
      <c r="S1426" s="17">
        <f>Q1426*(1-R1426)</f>
        <v>561600</v>
      </c>
      <c r="T1426" s="18">
        <f>S1426/'Financial Inputs'!$B$3</f>
        <v>5.6160000000000003E-3</v>
      </c>
      <c r="U1426" s="9" t="s">
        <v>52</v>
      </c>
      <c r="V1426" s="3" t="s">
        <v>53</v>
      </c>
    </row>
    <row r="1427" spans="1:22">
      <c r="A1427" s="2" t="s">
        <v>4510</v>
      </c>
      <c r="B1427" s="2" t="s">
        <v>4511</v>
      </c>
      <c r="C1427" s="2" t="s">
        <v>4435</v>
      </c>
      <c r="D1427" s="2" t="s">
        <v>127</v>
      </c>
      <c r="E1427" s="2" t="s">
        <v>193</v>
      </c>
      <c r="F1427" s="2" t="s">
        <v>104</v>
      </c>
      <c r="G1427" s="2" t="s">
        <v>45</v>
      </c>
      <c r="H1427" s="2" t="s">
        <v>498</v>
      </c>
      <c r="I1427" s="2" t="s">
        <v>47</v>
      </c>
      <c r="J1427" s="2" t="s">
        <v>500</v>
      </c>
      <c r="K1427" s="2" t="s">
        <v>4512</v>
      </c>
      <c r="L1427" s="2" t="s">
        <v>195</v>
      </c>
      <c r="M1427" s="2" t="s">
        <v>4437</v>
      </c>
      <c r="N1427" s="16">
        <v>1.44E-2</v>
      </c>
      <c r="O1427" s="17">
        <f>N1427*'Financial Inputs'!$B$3</f>
        <v>1440000</v>
      </c>
      <c r="P1427" s="18">
        <f>IF(I1427="L",'Financial Inputs'!$B$4,IF(I1427="M",'Financial Inputs'!$B$5,'Financial Inputs'!$B$6))</f>
        <v>0.4</v>
      </c>
      <c r="Q1427" s="17">
        <f>O1427*P1427</f>
        <v>576000</v>
      </c>
      <c r="R1427" s="16">
        <f>'Financial Inputs'!$B$7</f>
        <v>0.35</v>
      </c>
      <c r="S1427" s="17">
        <f>Q1427*(1-R1427)</f>
        <v>374400</v>
      </c>
      <c r="T1427" s="18">
        <f>S1427/'Financial Inputs'!$B$3</f>
        <v>3.7439999999999999E-3</v>
      </c>
      <c r="U1427" s="9" t="s">
        <v>52</v>
      </c>
      <c r="V1427" s="3" t="s">
        <v>53</v>
      </c>
    </row>
    <row r="1428" spans="1:22">
      <c r="A1428" s="2" t="s">
        <v>4513</v>
      </c>
      <c r="B1428" s="2" t="s">
        <v>4514</v>
      </c>
      <c r="C1428" s="2" t="s">
        <v>4435</v>
      </c>
      <c r="D1428" s="2" t="s">
        <v>133</v>
      </c>
      <c r="E1428" s="2" t="s">
        <v>198</v>
      </c>
      <c r="F1428" s="2" t="s">
        <v>110</v>
      </c>
      <c r="G1428" s="2" t="s">
        <v>59</v>
      </c>
      <c r="H1428" s="2" t="s">
        <v>498</v>
      </c>
      <c r="I1428" s="2" t="s">
        <v>47</v>
      </c>
      <c r="J1428" s="2" t="s">
        <v>500</v>
      </c>
      <c r="K1428" s="2" t="s">
        <v>4515</v>
      </c>
      <c r="L1428" s="2" t="s">
        <v>200</v>
      </c>
      <c r="M1428" s="2" t="s">
        <v>4437</v>
      </c>
      <c r="N1428" s="16">
        <v>1.6199999999999999E-2</v>
      </c>
      <c r="O1428" s="17">
        <f>N1428*'Financial Inputs'!$B$3</f>
        <v>1620000</v>
      </c>
      <c r="P1428" s="18">
        <f>IF(I1428="L",'Financial Inputs'!$B$4,IF(I1428="M",'Financial Inputs'!$B$5,'Financial Inputs'!$B$6))</f>
        <v>0.4</v>
      </c>
      <c r="Q1428" s="17">
        <f>O1428*P1428</f>
        <v>648000</v>
      </c>
      <c r="R1428" s="16">
        <f>'Financial Inputs'!$B$7</f>
        <v>0.35</v>
      </c>
      <c r="S1428" s="17">
        <f>Q1428*(1-R1428)</f>
        <v>421200</v>
      </c>
      <c r="T1428" s="18">
        <f>S1428/'Financial Inputs'!$B$3</f>
        <v>4.2119999999999996E-3</v>
      </c>
      <c r="U1428" s="9" t="s">
        <v>52</v>
      </c>
      <c r="V1428" s="3" t="s">
        <v>53</v>
      </c>
    </row>
    <row r="1429" spans="1:22">
      <c r="A1429" s="2" t="s">
        <v>4516</v>
      </c>
      <c r="B1429" s="2" t="s">
        <v>4517</v>
      </c>
      <c r="C1429" s="2" t="s">
        <v>4435</v>
      </c>
      <c r="D1429" s="2" t="s">
        <v>88</v>
      </c>
      <c r="E1429" s="2" t="s">
        <v>148</v>
      </c>
      <c r="F1429" s="2" t="s">
        <v>117</v>
      </c>
      <c r="G1429" s="2" t="s">
        <v>67</v>
      </c>
      <c r="H1429" s="2" t="s">
        <v>498</v>
      </c>
      <c r="I1429" s="2" t="s">
        <v>47</v>
      </c>
      <c r="J1429" s="2" t="s">
        <v>500</v>
      </c>
      <c r="K1429" s="2" t="s">
        <v>4518</v>
      </c>
      <c r="L1429" s="2" t="s">
        <v>204</v>
      </c>
      <c r="M1429" s="2" t="s">
        <v>4437</v>
      </c>
      <c r="N1429" s="16">
        <v>1.7999999999999999E-2</v>
      </c>
      <c r="O1429" s="17">
        <f>N1429*'Financial Inputs'!$B$3</f>
        <v>1799999.9999999998</v>
      </c>
      <c r="P1429" s="18">
        <f>IF(I1429="L",'Financial Inputs'!$B$4,IF(I1429="M",'Financial Inputs'!$B$5,'Financial Inputs'!$B$6))</f>
        <v>0.4</v>
      </c>
      <c r="Q1429" s="17">
        <f>O1429*P1429</f>
        <v>720000</v>
      </c>
      <c r="R1429" s="16">
        <f>'Financial Inputs'!$B$7</f>
        <v>0.35</v>
      </c>
      <c r="S1429" s="17">
        <f>Q1429*(1-R1429)</f>
        <v>468000</v>
      </c>
      <c r="T1429" s="18">
        <f>S1429/'Financial Inputs'!$B$3</f>
        <v>4.6800000000000001E-3</v>
      </c>
      <c r="U1429" s="9" t="s">
        <v>52</v>
      </c>
      <c r="V1429" s="3" t="s">
        <v>53</v>
      </c>
    </row>
    <row r="1430" spans="1:22">
      <c r="A1430" s="2" t="s">
        <v>4519</v>
      </c>
      <c r="B1430" s="2" t="s">
        <v>4520</v>
      </c>
      <c r="C1430" s="2" t="s">
        <v>4435</v>
      </c>
      <c r="D1430" s="2" t="s">
        <v>95</v>
      </c>
      <c r="E1430" s="2" t="s">
        <v>153</v>
      </c>
      <c r="F1430" s="2" t="s">
        <v>90</v>
      </c>
      <c r="G1430" s="2" t="s">
        <v>75</v>
      </c>
      <c r="H1430" s="2" t="s">
        <v>498</v>
      </c>
      <c r="I1430" s="2" t="s">
        <v>47</v>
      </c>
      <c r="J1430" s="2" t="s">
        <v>500</v>
      </c>
      <c r="K1430" s="2" t="s">
        <v>4521</v>
      </c>
      <c r="L1430" s="2" t="s">
        <v>208</v>
      </c>
      <c r="M1430" s="2" t="s">
        <v>4437</v>
      </c>
      <c r="N1430" s="16">
        <v>1.9800000000000002E-2</v>
      </c>
      <c r="O1430" s="17">
        <f>N1430*'Financial Inputs'!$B$3</f>
        <v>1980000.0000000002</v>
      </c>
      <c r="P1430" s="18">
        <f>IF(I1430="L",'Financial Inputs'!$B$4,IF(I1430="M",'Financial Inputs'!$B$5,'Financial Inputs'!$B$6))</f>
        <v>0.4</v>
      </c>
      <c r="Q1430" s="17">
        <f>O1430*P1430</f>
        <v>792000.00000000012</v>
      </c>
      <c r="R1430" s="16">
        <f>'Financial Inputs'!$B$7</f>
        <v>0.35</v>
      </c>
      <c r="S1430" s="17">
        <f>Q1430*(1-R1430)</f>
        <v>514800.00000000012</v>
      </c>
      <c r="T1430" s="18">
        <f>S1430/'Financial Inputs'!$B$3</f>
        <v>5.1480000000000015E-3</v>
      </c>
      <c r="U1430" s="9" t="s">
        <v>52</v>
      </c>
      <c r="V1430" s="3" t="s">
        <v>53</v>
      </c>
    </row>
    <row r="1431" spans="1:22">
      <c r="A1431" s="2" t="s">
        <v>4522</v>
      </c>
      <c r="B1431" s="2" t="s">
        <v>4523</v>
      </c>
      <c r="C1431" s="2" t="s">
        <v>4435</v>
      </c>
      <c r="D1431" s="2" t="s">
        <v>102</v>
      </c>
      <c r="E1431" s="2" t="s">
        <v>89</v>
      </c>
      <c r="F1431" s="2" t="s">
        <v>97</v>
      </c>
      <c r="G1431" s="2" t="s">
        <v>83</v>
      </c>
      <c r="H1431" s="2" t="s">
        <v>498</v>
      </c>
      <c r="I1431" s="2" t="s">
        <v>47</v>
      </c>
      <c r="J1431" s="2" t="s">
        <v>500</v>
      </c>
      <c r="K1431" s="2" t="s">
        <v>4524</v>
      </c>
      <c r="L1431" s="2" t="s">
        <v>212</v>
      </c>
      <c r="M1431" s="2" t="s">
        <v>4437</v>
      </c>
      <c r="N1431" s="16">
        <v>2.1600000000000001E-2</v>
      </c>
      <c r="O1431" s="17">
        <f>N1431*'Financial Inputs'!$B$3</f>
        <v>2160000</v>
      </c>
      <c r="P1431" s="18">
        <f>IF(I1431="L",'Financial Inputs'!$B$4,IF(I1431="M",'Financial Inputs'!$B$5,'Financial Inputs'!$B$6))</f>
        <v>0.4</v>
      </c>
      <c r="Q1431" s="17">
        <f>O1431*P1431</f>
        <v>864000</v>
      </c>
      <c r="R1431" s="16">
        <f>'Financial Inputs'!$B$7</f>
        <v>0.35</v>
      </c>
      <c r="S1431" s="17">
        <f>Q1431*(1-R1431)</f>
        <v>561600</v>
      </c>
      <c r="T1431" s="18">
        <f>S1431/'Financial Inputs'!$B$3</f>
        <v>5.6160000000000003E-3</v>
      </c>
      <c r="U1431" s="9" t="s">
        <v>52</v>
      </c>
      <c r="V1431" s="3" t="s">
        <v>53</v>
      </c>
    </row>
    <row r="1432" spans="1:22">
      <c r="A1432" s="2" t="s">
        <v>4525</v>
      </c>
      <c r="B1432" s="2" t="s">
        <v>4526</v>
      </c>
      <c r="C1432" s="2" t="s">
        <v>4435</v>
      </c>
      <c r="D1432" s="2" t="s">
        <v>64</v>
      </c>
      <c r="E1432" s="2" t="s">
        <v>215</v>
      </c>
      <c r="F1432" s="2" t="s">
        <v>74</v>
      </c>
      <c r="G1432" s="2" t="s">
        <v>67</v>
      </c>
      <c r="H1432" s="2" t="s">
        <v>498</v>
      </c>
      <c r="I1432" s="2" t="s">
        <v>47</v>
      </c>
      <c r="J1432" s="2" t="s">
        <v>500</v>
      </c>
      <c r="K1432" s="2" t="s">
        <v>4527</v>
      </c>
      <c r="L1432" s="2" t="s">
        <v>217</v>
      </c>
      <c r="M1432" s="2" t="s">
        <v>4437</v>
      </c>
      <c r="N1432" s="16">
        <v>1.44E-2</v>
      </c>
      <c r="O1432" s="17">
        <f>N1432*'Financial Inputs'!$B$3</f>
        <v>1440000</v>
      </c>
      <c r="P1432" s="18">
        <f>IF(I1432="L",'Financial Inputs'!$B$4,IF(I1432="M",'Financial Inputs'!$B$5,'Financial Inputs'!$B$6))</f>
        <v>0.4</v>
      </c>
      <c r="Q1432" s="17">
        <f>O1432*P1432</f>
        <v>576000</v>
      </c>
      <c r="R1432" s="16">
        <f>'Financial Inputs'!$B$7</f>
        <v>0.35</v>
      </c>
      <c r="S1432" s="17">
        <f>Q1432*(1-R1432)</f>
        <v>374400</v>
      </c>
      <c r="T1432" s="18">
        <f>S1432/'Financial Inputs'!$B$3</f>
        <v>3.7439999999999999E-3</v>
      </c>
      <c r="U1432" s="9" t="s">
        <v>52</v>
      </c>
      <c r="V1432" s="3" t="s">
        <v>53</v>
      </c>
    </row>
    <row r="1433" spans="1:22">
      <c r="A1433" s="2" t="s">
        <v>4528</v>
      </c>
      <c r="B1433" s="2" t="s">
        <v>4529</v>
      </c>
      <c r="C1433" s="2" t="s">
        <v>4435</v>
      </c>
      <c r="D1433" s="2" t="s">
        <v>72</v>
      </c>
      <c r="E1433" s="2" t="s">
        <v>220</v>
      </c>
      <c r="F1433" s="2" t="s">
        <v>82</v>
      </c>
      <c r="G1433" s="2" t="s">
        <v>75</v>
      </c>
      <c r="H1433" s="2" t="s">
        <v>498</v>
      </c>
      <c r="I1433" s="2" t="s">
        <v>47</v>
      </c>
      <c r="J1433" s="2" t="s">
        <v>500</v>
      </c>
      <c r="K1433" s="2" t="s">
        <v>4530</v>
      </c>
      <c r="L1433" s="2" t="s">
        <v>222</v>
      </c>
      <c r="M1433" s="2" t="s">
        <v>4437</v>
      </c>
      <c r="N1433" s="16">
        <v>1.6199999999999999E-2</v>
      </c>
      <c r="O1433" s="17">
        <f>N1433*'Financial Inputs'!$B$3</f>
        <v>1620000</v>
      </c>
      <c r="P1433" s="18">
        <f>IF(I1433="L",'Financial Inputs'!$B$4,IF(I1433="M",'Financial Inputs'!$B$5,'Financial Inputs'!$B$6))</f>
        <v>0.4</v>
      </c>
      <c r="Q1433" s="17">
        <f>O1433*P1433</f>
        <v>648000</v>
      </c>
      <c r="R1433" s="16">
        <f>'Financial Inputs'!$B$7</f>
        <v>0.35</v>
      </c>
      <c r="S1433" s="17">
        <f>Q1433*(1-R1433)</f>
        <v>421200</v>
      </c>
      <c r="T1433" s="18">
        <f>S1433/'Financial Inputs'!$B$3</f>
        <v>4.2119999999999996E-3</v>
      </c>
      <c r="U1433" s="9" t="s">
        <v>52</v>
      </c>
      <c r="V1433" s="3" t="s">
        <v>53</v>
      </c>
    </row>
    <row r="1434" spans="1:22">
      <c r="A1434" s="2" t="s">
        <v>4531</v>
      </c>
      <c r="B1434" s="2" t="s">
        <v>4532</v>
      </c>
      <c r="C1434" s="2" t="s">
        <v>4435</v>
      </c>
      <c r="D1434" s="2" t="s">
        <v>80</v>
      </c>
      <c r="E1434" s="2" t="s">
        <v>171</v>
      </c>
      <c r="F1434" s="2" t="s">
        <v>44</v>
      </c>
      <c r="G1434" s="2" t="s">
        <v>83</v>
      </c>
      <c r="H1434" s="2" t="s">
        <v>498</v>
      </c>
      <c r="I1434" s="2" t="s">
        <v>47</v>
      </c>
      <c r="J1434" s="2" t="s">
        <v>500</v>
      </c>
      <c r="K1434" s="2" t="s">
        <v>4533</v>
      </c>
      <c r="L1434" s="2" t="s">
        <v>226</v>
      </c>
      <c r="M1434" s="2" t="s">
        <v>4437</v>
      </c>
      <c r="N1434" s="16">
        <v>1.7999999999999999E-2</v>
      </c>
      <c r="O1434" s="17">
        <f>N1434*'Financial Inputs'!$B$3</f>
        <v>1799999.9999999998</v>
      </c>
      <c r="P1434" s="18">
        <f>IF(I1434="L",'Financial Inputs'!$B$4,IF(I1434="M",'Financial Inputs'!$B$5,'Financial Inputs'!$B$6))</f>
        <v>0.4</v>
      </c>
      <c r="Q1434" s="17">
        <f>O1434*P1434</f>
        <v>720000</v>
      </c>
      <c r="R1434" s="16">
        <f>'Financial Inputs'!$B$7</f>
        <v>0.35</v>
      </c>
      <c r="S1434" s="17">
        <f>Q1434*(1-R1434)</f>
        <v>468000</v>
      </c>
      <c r="T1434" s="18">
        <f>S1434/'Financial Inputs'!$B$3</f>
        <v>4.6800000000000001E-3</v>
      </c>
      <c r="U1434" s="9" t="s">
        <v>52</v>
      </c>
      <c r="V1434" s="3" t="s">
        <v>53</v>
      </c>
    </row>
    <row r="1435" spans="1:22">
      <c r="A1435" s="2" t="s">
        <v>4534</v>
      </c>
      <c r="B1435" s="2" t="s">
        <v>4535</v>
      </c>
      <c r="C1435" s="2" t="s">
        <v>4435</v>
      </c>
      <c r="D1435" s="2" t="s">
        <v>127</v>
      </c>
      <c r="E1435" s="2" t="s">
        <v>176</v>
      </c>
      <c r="F1435" s="2" t="s">
        <v>58</v>
      </c>
      <c r="G1435" s="2" t="s">
        <v>111</v>
      </c>
      <c r="H1435" s="2" t="s">
        <v>498</v>
      </c>
      <c r="I1435" s="2" t="s">
        <v>47</v>
      </c>
      <c r="J1435" s="2" t="s">
        <v>500</v>
      </c>
      <c r="K1435" s="2" t="s">
        <v>4536</v>
      </c>
      <c r="L1435" s="2" t="s">
        <v>230</v>
      </c>
      <c r="M1435" s="2" t="s">
        <v>4437</v>
      </c>
      <c r="N1435" s="16">
        <v>1.9800000000000002E-2</v>
      </c>
      <c r="O1435" s="17">
        <f>N1435*'Financial Inputs'!$B$3</f>
        <v>1980000.0000000002</v>
      </c>
      <c r="P1435" s="18">
        <f>IF(I1435="L",'Financial Inputs'!$B$4,IF(I1435="M",'Financial Inputs'!$B$5,'Financial Inputs'!$B$6))</f>
        <v>0.4</v>
      </c>
      <c r="Q1435" s="17">
        <f>O1435*P1435</f>
        <v>792000.00000000012</v>
      </c>
      <c r="R1435" s="16">
        <f>'Financial Inputs'!$B$7</f>
        <v>0.35</v>
      </c>
      <c r="S1435" s="17">
        <f>Q1435*(1-R1435)</f>
        <v>514800.00000000012</v>
      </c>
      <c r="T1435" s="18">
        <f>S1435/'Financial Inputs'!$B$3</f>
        <v>5.1480000000000015E-3</v>
      </c>
      <c r="U1435" s="9" t="s">
        <v>52</v>
      </c>
      <c r="V1435" s="3" t="s">
        <v>53</v>
      </c>
    </row>
    <row r="1436" spans="1:22">
      <c r="A1436" s="2" t="s">
        <v>4537</v>
      </c>
      <c r="B1436" s="2" t="s">
        <v>4538</v>
      </c>
      <c r="C1436" s="2" t="s">
        <v>4435</v>
      </c>
      <c r="D1436" s="2" t="s">
        <v>133</v>
      </c>
      <c r="E1436" s="2" t="s">
        <v>122</v>
      </c>
      <c r="F1436" s="2" t="s">
        <v>66</v>
      </c>
      <c r="G1436" s="2" t="s">
        <v>56</v>
      </c>
      <c r="H1436" s="2" t="s">
        <v>498</v>
      </c>
      <c r="I1436" s="2" t="s">
        <v>47</v>
      </c>
      <c r="J1436" s="2" t="s">
        <v>500</v>
      </c>
      <c r="K1436" s="2" t="s">
        <v>4539</v>
      </c>
      <c r="L1436" s="2" t="s">
        <v>234</v>
      </c>
      <c r="M1436" s="2" t="s">
        <v>4437</v>
      </c>
      <c r="N1436" s="16">
        <v>2.1600000000000001E-2</v>
      </c>
      <c r="O1436" s="17">
        <f>N1436*'Financial Inputs'!$B$3</f>
        <v>2160000</v>
      </c>
      <c r="P1436" s="18">
        <f>IF(I1436="L",'Financial Inputs'!$B$4,IF(I1436="M",'Financial Inputs'!$B$5,'Financial Inputs'!$B$6))</f>
        <v>0.4</v>
      </c>
      <c r="Q1436" s="17">
        <f>O1436*P1436</f>
        <v>864000</v>
      </c>
      <c r="R1436" s="16">
        <f>'Financial Inputs'!$B$7</f>
        <v>0.35</v>
      </c>
      <c r="S1436" s="17">
        <f>Q1436*(1-R1436)</f>
        <v>561600</v>
      </c>
      <c r="T1436" s="18">
        <f>S1436/'Financial Inputs'!$B$3</f>
        <v>5.6160000000000003E-3</v>
      </c>
      <c r="U1436" s="9" t="s">
        <v>52</v>
      </c>
      <c r="V1436" s="3" t="s">
        <v>53</v>
      </c>
    </row>
    <row r="1437" spans="1:22">
      <c r="A1437" s="2" t="s">
        <v>4540</v>
      </c>
      <c r="B1437" s="2" t="s">
        <v>4541</v>
      </c>
      <c r="C1437" s="2" t="s">
        <v>4435</v>
      </c>
      <c r="D1437" s="2" t="s">
        <v>102</v>
      </c>
      <c r="E1437" s="2" t="s">
        <v>73</v>
      </c>
      <c r="F1437" s="2" t="s">
        <v>110</v>
      </c>
      <c r="G1437" s="2" t="s">
        <v>83</v>
      </c>
      <c r="H1437" s="2" t="s">
        <v>498</v>
      </c>
      <c r="I1437" s="2" t="s">
        <v>47</v>
      </c>
      <c r="J1437" s="2" t="s">
        <v>500</v>
      </c>
      <c r="K1437" s="2" t="s">
        <v>4542</v>
      </c>
      <c r="L1437" s="2" t="s">
        <v>238</v>
      </c>
      <c r="M1437" s="2" t="s">
        <v>4437</v>
      </c>
      <c r="N1437" s="16">
        <v>1.44E-2</v>
      </c>
      <c r="O1437" s="17">
        <f>N1437*'Financial Inputs'!$B$3</f>
        <v>1440000</v>
      </c>
      <c r="P1437" s="18">
        <f>IF(I1437="L",'Financial Inputs'!$B$4,IF(I1437="M",'Financial Inputs'!$B$5,'Financial Inputs'!$B$6))</f>
        <v>0.4</v>
      </c>
      <c r="Q1437" s="17">
        <f>O1437*P1437</f>
        <v>576000</v>
      </c>
      <c r="R1437" s="16">
        <f>'Financial Inputs'!$B$7</f>
        <v>0.35</v>
      </c>
      <c r="S1437" s="17">
        <f>Q1437*(1-R1437)</f>
        <v>374400</v>
      </c>
      <c r="T1437" s="18">
        <f>S1437/'Financial Inputs'!$B$3</f>
        <v>3.7439999999999999E-3</v>
      </c>
      <c r="U1437" s="9" t="s">
        <v>52</v>
      </c>
      <c r="V1437" s="3" t="s">
        <v>53</v>
      </c>
    </row>
    <row r="1438" spans="1:22">
      <c r="A1438" s="2" t="s">
        <v>4543</v>
      </c>
      <c r="B1438" s="2" t="s">
        <v>4544</v>
      </c>
      <c r="C1438" s="2" t="s">
        <v>4435</v>
      </c>
      <c r="D1438" s="2" t="s">
        <v>42</v>
      </c>
      <c r="E1438" s="2" t="s">
        <v>81</v>
      </c>
      <c r="F1438" s="2" t="s">
        <v>117</v>
      </c>
      <c r="G1438" s="2" t="s">
        <v>111</v>
      </c>
      <c r="H1438" s="2" t="s">
        <v>498</v>
      </c>
      <c r="I1438" s="2" t="s">
        <v>47</v>
      </c>
      <c r="J1438" s="2" t="s">
        <v>500</v>
      </c>
      <c r="K1438" s="2" t="s">
        <v>4545</v>
      </c>
      <c r="L1438" s="2" t="s">
        <v>242</v>
      </c>
      <c r="M1438" s="2" t="s">
        <v>4437</v>
      </c>
      <c r="N1438" s="16">
        <v>1.6199999999999999E-2</v>
      </c>
      <c r="O1438" s="17">
        <f>N1438*'Financial Inputs'!$B$3</f>
        <v>1620000</v>
      </c>
      <c r="P1438" s="18">
        <f>IF(I1438="L",'Financial Inputs'!$B$4,IF(I1438="M",'Financial Inputs'!$B$5,'Financial Inputs'!$B$6))</f>
        <v>0.4</v>
      </c>
      <c r="Q1438" s="17">
        <f>O1438*P1438</f>
        <v>648000</v>
      </c>
      <c r="R1438" s="16">
        <f>'Financial Inputs'!$B$7</f>
        <v>0.35</v>
      </c>
      <c r="S1438" s="17">
        <f>Q1438*(1-R1438)</f>
        <v>421200</v>
      </c>
      <c r="T1438" s="18">
        <f>S1438/'Financial Inputs'!$B$3</f>
        <v>4.2119999999999996E-3</v>
      </c>
      <c r="U1438" s="9" t="s">
        <v>52</v>
      </c>
      <c r="V1438" s="3" t="s">
        <v>53</v>
      </c>
    </row>
    <row r="1439" spans="1:22">
      <c r="A1439" s="2" t="s">
        <v>4546</v>
      </c>
      <c r="B1439" s="2" t="s">
        <v>4547</v>
      </c>
      <c r="C1439" s="2" t="s">
        <v>4435</v>
      </c>
      <c r="D1439" s="2" t="s">
        <v>56</v>
      </c>
      <c r="E1439" s="2" t="s">
        <v>193</v>
      </c>
      <c r="F1439" s="2" t="s">
        <v>90</v>
      </c>
      <c r="G1439" s="2" t="s">
        <v>56</v>
      </c>
      <c r="H1439" s="2" t="s">
        <v>498</v>
      </c>
      <c r="I1439" s="2" t="s">
        <v>47</v>
      </c>
      <c r="J1439" s="2" t="s">
        <v>500</v>
      </c>
      <c r="K1439" s="2" t="s">
        <v>4548</v>
      </c>
      <c r="L1439" s="2" t="s">
        <v>246</v>
      </c>
      <c r="M1439" s="2" t="s">
        <v>4437</v>
      </c>
      <c r="N1439" s="16">
        <v>1.7999999999999999E-2</v>
      </c>
      <c r="O1439" s="17">
        <f>N1439*'Financial Inputs'!$B$3</f>
        <v>1799999.9999999998</v>
      </c>
      <c r="P1439" s="18">
        <f>IF(I1439="L",'Financial Inputs'!$B$4,IF(I1439="M",'Financial Inputs'!$B$5,'Financial Inputs'!$B$6))</f>
        <v>0.4</v>
      </c>
      <c r="Q1439" s="17">
        <f>O1439*P1439</f>
        <v>720000</v>
      </c>
      <c r="R1439" s="16">
        <f>'Financial Inputs'!$B$7</f>
        <v>0.35</v>
      </c>
      <c r="S1439" s="17">
        <f>Q1439*(1-R1439)</f>
        <v>468000</v>
      </c>
      <c r="T1439" s="18">
        <f>S1439/'Financial Inputs'!$B$3</f>
        <v>4.6800000000000001E-3</v>
      </c>
      <c r="U1439" s="9" t="s">
        <v>52</v>
      </c>
      <c r="V1439" s="3" t="s">
        <v>53</v>
      </c>
    </row>
    <row r="1440" spans="1:22">
      <c r="A1440" s="2" t="s">
        <v>4549</v>
      </c>
      <c r="B1440" s="2" t="s">
        <v>4550</v>
      </c>
      <c r="C1440" s="2" t="s">
        <v>4435</v>
      </c>
      <c r="D1440" s="2" t="s">
        <v>64</v>
      </c>
      <c r="E1440" s="2" t="s">
        <v>198</v>
      </c>
      <c r="F1440" s="2" t="s">
        <v>97</v>
      </c>
      <c r="G1440" s="2" t="s">
        <v>138</v>
      </c>
      <c r="H1440" s="2" t="s">
        <v>498</v>
      </c>
      <c r="I1440" s="2" t="s">
        <v>47</v>
      </c>
      <c r="J1440" s="2" t="s">
        <v>500</v>
      </c>
      <c r="K1440" s="2" t="s">
        <v>4551</v>
      </c>
      <c r="L1440" s="2" t="s">
        <v>250</v>
      </c>
      <c r="M1440" s="2" t="s">
        <v>4437</v>
      </c>
      <c r="N1440" s="16">
        <v>1.9800000000000002E-2</v>
      </c>
      <c r="O1440" s="17">
        <f>N1440*'Financial Inputs'!$B$3</f>
        <v>1980000.0000000002</v>
      </c>
      <c r="P1440" s="18">
        <f>IF(I1440="L",'Financial Inputs'!$B$4,IF(I1440="M",'Financial Inputs'!$B$5,'Financial Inputs'!$B$6))</f>
        <v>0.4</v>
      </c>
      <c r="Q1440" s="17">
        <f>O1440*P1440</f>
        <v>792000.00000000012</v>
      </c>
      <c r="R1440" s="16">
        <f>'Financial Inputs'!$B$7</f>
        <v>0.35</v>
      </c>
      <c r="S1440" s="17">
        <f>Q1440*(1-R1440)</f>
        <v>514800.00000000012</v>
      </c>
      <c r="T1440" s="18">
        <f>S1440/'Financial Inputs'!$B$3</f>
        <v>5.1480000000000015E-3</v>
      </c>
      <c r="U1440" s="9" t="s">
        <v>52</v>
      </c>
      <c r="V1440" s="3" t="s">
        <v>53</v>
      </c>
    </row>
    <row r="1441" spans="1:22">
      <c r="A1441" s="2" t="s">
        <v>4552</v>
      </c>
      <c r="B1441" s="2" t="s">
        <v>4553</v>
      </c>
      <c r="C1441" s="2" t="s">
        <v>4435</v>
      </c>
      <c r="D1441" s="2" t="s">
        <v>72</v>
      </c>
      <c r="E1441" s="2" t="s">
        <v>148</v>
      </c>
      <c r="F1441" s="2" t="s">
        <v>104</v>
      </c>
      <c r="G1441" s="2" t="s">
        <v>143</v>
      </c>
      <c r="H1441" s="2" t="s">
        <v>498</v>
      </c>
      <c r="I1441" s="2" t="s">
        <v>47</v>
      </c>
      <c r="J1441" s="2" t="s">
        <v>500</v>
      </c>
      <c r="K1441" s="2" t="s">
        <v>4554</v>
      </c>
      <c r="L1441" s="2" t="s">
        <v>254</v>
      </c>
      <c r="M1441" s="2" t="s">
        <v>4437</v>
      </c>
      <c r="N1441" s="16">
        <v>2.1600000000000001E-2</v>
      </c>
      <c r="O1441" s="17">
        <f>N1441*'Financial Inputs'!$B$3</f>
        <v>2160000</v>
      </c>
      <c r="P1441" s="18">
        <f>IF(I1441="L",'Financial Inputs'!$B$4,IF(I1441="M",'Financial Inputs'!$B$5,'Financial Inputs'!$B$6))</f>
        <v>0.4</v>
      </c>
      <c r="Q1441" s="17">
        <f>O1441*P1441</f>
        <v>864000</v>
      </c>
      <c r="R1441" s="16">
        <f>'Financial Inputs'!$B$7</f>
        <v>0.35</v>
      </c>
      <c r="S1441" s="17">
        <f>Q1441*(1-R1441)</f>
        <v>561600</v>
      </c>
      <c r="T1441" s="18">
        <f>S1441/'Financial Inputs'!$B$3</f>
        <v>5.6160000000000003E-3</v>
      </c>
      <c r="U1441" s="9" t="s">
        <v>52</v>
      </c>
      <c r="V1441" s="3" t="s">
        <v>53</v>
      </c>
    </row>
    <row r="1442" spans="1:22">
      <c r="A1442" s="2" t="s">
        <v>4555</v>
      </c>
      <c r="B1442" s="2" t="s">
        <v>4556</v>
      </c>
      <c r="C1442" s="2" t="s">
        <v>4435</v>
      </c>
      <c r="D1442" s="2" t="s">
        <v>133</v>
      </c>
      <c r="E1442" s="2" t="s">
        <v>109</v>
      </c>
      <c r="F1442" s="2" t="s">
        <v>82</v>
      </c>
      <c r="G1442" s="2" t="s">
        <v>56</v>
      </c>
      <c r="H1442" s="2" t="s">
        <v>498</v>
      </c>
      <c r="I1442" s="2" t="s">
        <v>47</v>
      </c>
      <c r="J1442" s="2" t="s">
        <v>500</v>
      </c>
      <c r="K1442" s="2" t="s">
        <v>4557</v>
      </c>
      <c r="L1442" s="2" t="s">
        <v>258</v>
      </c>
      <c r="M1442" s="2" t="s">
        <v>4437</v>
      </c>
      <c r="N1442" s="16">
        <v>1.44E-2</v>
      </c>
      <c r="O1442" s="17">
        <f>N1442*'Financial Inputs'!$B$3</f>
        <v>1440000</v>
      </c>
      <c r="P1442" s="18">
        <f>IF(I1442="L",'Financial Inputs'!$B$4,IF(I1442="M",'Financial Inputs'!$B$5,'Financial Inputs'!$B$6))</f>
        <v>0.4</v>
      </c>
      <c r="Q1442" s="17">
        <f>O1442*P1442</f>
        <v>576000</v>
      </c>
      <c r="R1442" s="16">
        <f>'Financial Inputs'!$B$7</f>
        <v>0.35</v>
      </c>
      <c r="S1442" s="17">
        <f>Q1442*(1-R1442)</f>
        <v>374400</v>
      </c>
      <c r="T1442" s="18">
        <f>S1442/'Financial Inputs'!$B$3</f>
        <v>3.7439999999999999E-3</v>
      </c>
      <c r="U1442" s="9" t="s">
        <v>52</v>
      </c>
      <c r="V1442" s="3" t="s">
        <v>53</v>
      </c>
    </row>
    <row r="1443" spans="1:22">
      <c r="A1443" s="2" t="s">
        <v>4558</v>
      </c>
      <c r="B1443" s="2" t="s">
        <v>4559</v>
      </c>
      <c r="C1443" s="2" t="s">
        <v>4435</v>
      </c>
      <c r="D1443" s="2" t="s">
        <v>88</v>
      </c>
      <c r="E1443" s="2" t="s">
        <v>116</v>
      </c>
      <c r="F1443" s="2" t="s">
        <v>44</v>
      </c>
      <c r="G1443" s="2" t="s">
        <v>138</v>
      </c>
      <c r="H1443" s="2" t="s">
        <v>498</v>
      </c>
      <c r="I1443" s="2" t="s">
        <v>47</v>
      </c>
      <c r="J1443" s="2" t="s">
        <v>500</v>
      </c>
      <c r="K1443" s="2" t="s">
        <v>4560</v>
      </c>
      <c r="L1443" s="2" t="s">
        <v>262</v>
      </c>
      <c r="M1443" s="2" t="s">
        <v>4437</v>
      </c>
      <c r="N1443" s="16">
        <v>1.6199999999999999E-2</v>
      </c>
      <c r="O1443" s="17">
        <f>N1443*'Financial Inputs'!$B$3</f>
        <v>1620000</v>
      </c>
      <c r="P1443" s="18">
        <f>IF(I1443="L",'Financial Inputs'!$B$4,IF(I1443="M",'Financial Inputs'!$B$5,'Financial Inputs'!$B$6))</f>
        <v>0.4</v>
      </c>
      <c r="Q1443" s="17">
        <f>O1443*P1443</f>
        <v>648000</v>
      </c>
      <c r="R1443" s="16">
        <f>'Financial Inputs'!$B$7</f>
        <v>0.35</v>
      </c>
      <c r="S1443" s="17">
        <f>Q1443*(1-R1443)</f>
        <v>421200</v>
      </c>
      <c r="T1443" s="18">
        <f>S1443/'Financial Inputs'!$B$3</f>
        <v>4.2119999999999996E-3</v>
      </c>
      <c r="U1443" s="9" t="s">
        <v>52</v>
      </c>
      <c r="V1443" s="3" t="s">
        <v>53</v>
      </c>
    </row>
    <row r="1444" spans="1:22">
      <c r="A1444" s="2" t="s">
        <v>4561</v>
      </c>
      <c r="B1444" s="2" t="s">
        <v>4562</v>
      </c>
      <c r="C1444" s="2" t="s">
        <v>4435</v>
      </c>
      <c r="D1444" s="2" t="s">
        <v>95</v>
      </c>
      <c r="E1444" s="2" t="s">
        <v>215</v>
      </c>
      <c r="F1444" s="2" t="s">
        <v>58</v>
      </c>
      <c r="G1444" s="2" t="s">
        <v>143</v>
      </c>
      <c r="H1444" s="2" t="s">
        <v>498</v>
      </c>
      <c r="I1444" s="2" t="s">
        <v>47</v>
      </c>
      <c r="J1444" s="2" t="s">
        <v>500</v>
      </c>
      <c r="K1444" s="2" t="s">
        <v>4563</v>
      </c>
      <c r="L1444" s="2" t="s">
        <v>266</v>
      </c>
      <c r="M1444" s="2" t="s">
        <v>4437</v>
      </c>
      <c r="N1444" s="16">
        <v>1.7999999999999999E-2</v>
      </c>
      <c r="O1444" s="17">
        <f>N1444*'Financial Inputs'!$B$3</f>
        <v>1799999.9999999998</v>
      </c>
      <c r="P1444" s="18">
        <f>IF(I1444="L",'Financial Inputs'!$B$4,IF(I1444="M",'Financial Inputs'!$B$5,'Financial Inputs'!$B$6))</f>
        <v>0.4</v>
      </c>
      <c r="Q1444" s="17">
        <f>O1444*P1444</f>
        <v>720000</v>
      </c>
      <c r="R1444" s="16">
        <f>'Financial Inputs'!$B$7</f>
        <v>0.35</v>
      </c>
      <c r="S1444" s="17">
        <f>Q1444*(1-R1444)</f>
        <v>468000</v>
      </c>
      <c r="T1444" s="18">
        <f>S1444/'Financial Inputs'!$B$3</f>
        <v>4.6800000000000001E-3</v>
      </c>
      <c r="U1444" s="9" t="s">
        <v>52</v>
      </c>
      <c r="V1444" s="3" t="s">
        <v>53</v>
      </c>
    </row>
    <row r="1445" spans="1:22">
      <c r="A1445" s="2" t="s">
        <v>4564</v>
      </c>
      <c r="B1445" s="2" t="s">
        <v>4565</v>
      </c>
      <c r="C1445" s="2" t="s">
        <v>4435</v>
      </c>
      <c r="D1445" s="2" t="s">
        <v>102</v>
      </c>
      <c r="E1445" s="2" t="s">
        <v>220</v>
      </c>
      <c r="F1445" s="2" t="s">
        <v>66</v>
      </c>
      <c r="G1445" s="2" t="s">
        <v>162</v>
      </c>
      <c r="H1445" s="2" t="s">
        <v>498</v>
      </c>
      <c r="I1445" s="2" t="s">
        <v>47</v>
      </c>
      <c r="J1445" s="2" t="s">
        <v>500</v>
      </c>
      <c r="K1445" s="2" t="s">
        <v>4566</v>
      </c>
      <c r="L1445" s="2" t="s">
        <v>270</v>
      </c>
      <c r="M1445" s="2" t="s">
        <v>4437</v>
      </c>
      <c r="N1445" s="16">
        <v>1.9800000000000002E-2</v>
      </c>
      <c r="O1445" s="17">
        <f>N1445*'Financial Inputs'!$B$3</f>
        <v>1980000.0000000002</v>
      </c>
      <c r="P1445" s="18">
        <f>IF(I1445="L",'Financial Inputs'!$B$4,IF(I1445="M",'Financial Inputs'!$B$5,'Financial Inputs'!$B$6))</f>
        <v>0.4</v>
      </c>
      <c r="Q1445" s="17">
        <f>O1445*P1445</f>
        <v>792000.00000000012</v>
      </c>
      <c r="R1445" s="16">
        <f>'Financial Inputs'!$B$7</f>
        <v>0.35</v>
      </c>
      <c r="S1445" s="17">
        <f>Q1445*(1-R1445)</f>
        <v>514800.00000000012</v>
      </c>
      <c r="T1445" s="18">
        <f>S1445/'Financial Inputs'!$B$3</f>
        <v>5.1480000000000015E-3</v>
      </c>
      <c r="U1445" s="9" t="s">
        <v>52</v>
      </c>
      <c r="V1445" s="3" t="s">
        <v>53</v>
      </c>
    </row>
    <row r="1446" spans="1:22">
      <c r="A1446" s="2" t="s">
        <v>4567</v>
      </c>
      <c r="B1446" s="2" t="s">
        <v>4568</v>
      </c>
      <c r="C1446" s="2" t="s">
        <v>4435</v>
      </c>
      <c r="D1446" s="2" t="s">
        <v>42</v>
      </c>
      <c r="E1446" s="2" t="s">
        <v>171</v>
      </c>
      <c r="F1446" s="2" t="s">
        <v>74</v>
      </c>
      <c r="G1446" s="2" t="s">
        <v>45</v>
      </c>
      <c r="H1446" s="2" t="s">
        <v>498</v>
      </c>
      <c r="I1446" s="2" t="s">
        <v>47</v>
      </c>
      <c r="J1446" s="2" t="s">
        <v>500</v>
      </c>
      <c r="K1446" s="2" t="s">
        <v>4569</v>
      </c>
      <c r="L1446" s="2" t="s">
        <v>274</v>
      </c>
      <c r="M1446" s="2" t="s">
        <v>4437</v>
      </c>
      <c r="N1446" s="16">
        <v>2.1600000000000001E-2</v>
      </c>
      <c r="O1446" s="17">
        <f>N1446*'Financial Inputs'!$B$3</f>
        <v>2160000</v>
      </c>
      <c r="P1446" s="18">
        <f>IF(I1446="L",'Financial Inputs'!$B$4,IF(I1446="M",'Financial Inputs'!$B$5,'Financial Inputs'!$B$6))</f>
        <v>0.4</v>
      </c>
      <c r="Q1446" s="17">
        <f>O1446*P1446</f>
        <v>864000</v>
      </c>
      <c r="R1446" s="16">
        <f>'Financial Inputs'!$B$7</f>
        <v>0.35</v>
      </c>
      <c r="S1446" s="17">
        <f>Q1446*(1-R1446)</f>
        <v>561600</v>
      </c>
      <c r="T1446" s="18">
        <f>S1446/'Financial Inputs'!$B$3</f>
        <v>5.6160000000000003E-3</v>
      </c>
      <c r="U1446" s="9" t="s">
        <v>52</v>
      </c>
      <c r="V1446" s="3" t="s">
        <v>53</v>
      </c>
    </row>
    <row r="1447" spans="1:22">
      <c r="A1447" s="2" t="s">
        <v>4570</v>
      </c>
      <c r="B1447" s="2" t="s">
        <v>4571</v>
      </c>
      <c r="C1447" s="2" t="s">
        <v>4435</v>
      </c>
      <c r="D1447" s="2" t="s">
        <v>72</v>
      </c>
      <c r="E1447" s="2" t="s">
        <v>57</v>
      </c>
      <c r="F1447" s="2" t="s">
        <v>117</v>
      </c>
      <c r="G1447" s="2" t="s">
        <v>143</v>
      </c>
      <c r="H1447" s="2" t="s">
        <v>498</v>
      </c>
      <c r="I1447" s="2" t="s">
        <v>47</v>
      </c>
      <c r="J1447" s="2" t="s">
        <v>500</v>
      </c>
      <c r="K1447" s="2" t="s">
        <v>4572</v>
      </c>
      <c r="L1447" s="2" t="s">
        <v>278</v>
      </c>
      <c r="M1447" s="2" t="s">
        <v>4437</v>
      </c>
      <c r="N1447" s="16">
        <v>1.44E-2</v>
      </c>
      <c r="O1447" s="17">
        <f>N1447*'Financial Inputs'!$B$3</f>
        <v>1440000</v>
      </c>
      <c r="P1447" s="18">
        <f>IF(I1447="L",'Financial Inputs'!$B$4,IF(I1447="M",'Financial Inputs'!$B$5,'Financial Inputs'!$B$6))</f>
        <v>0.4</v>
      </c>
      <c r="Q1447" s="17">
        <f>O1447*P1447</f>
        <v>576000</v>
      </c>
      <c r="R1447" s="16">
        <f>'Financial Inputs'!$B$7</f>
        <v>0.35</v>
      </c>
      <c r="S1447" s="17">
        <f>Q1447*(1-R1447)</f>
        <v>374400</v>
      </c>
      <c r="T1447" s="18">
        <f>S1447/'Financial Inputs'!$B$3</f>
        <v>3.7439999999999999E-3</v>
      </c>
      <c r="U1447" s="9" t="s">
        <v>52</v>
      </c>
      <c r="V1447" s="3" t="s">
        <v>53</v>
      </c>
    </row>
    <row r="1448" spans="1:22">
      <c r="A1448" s="2" t="s">
        <v>4573</v>
      </c>
      <c r="B1448" s="2" t="s">
        <v>4574</v>
      </c>
      <c r="C1448" s="2" t="s">
        <v>4435</v>
      </c>
      <c r="D1448" s="2" t="s">
        <v>80</v>
      </c>
      <c r="E1448" s="2" t="s">
        <v>65</v>
      </c>
      <c r="F1448" s="2" t="s">
        <v>90</v>
      </c>
      <c r="G1448" s="2" t="s">
        <v>162</v>
      </c>
      <c r="H1448" s="2" t="s">
        <v>498</v>
      </c>
      <c r="I1448" s="2" t="s">
        <v>47</v>
      </c>
      <c r="J1448" s="2" t="s">
        <v>500</v>
      </c>
      <c r="K1448" s="2" t="s">
        <v>4575</v>
      </c>
      <c r="L1448" s="2" t="s">
        <v>282</v>
      </c>
      <c r="M1448" s="2" t="s">
        <v>4437</v>
      </c>
      <c r="N1448" s="16">
        <v>1.6199999999999999E-2</v>
      </c>
      <c r="O1448" s="17">
        <f>N1448*'Financial Inputs'!$B$3</f>
        <v>1620000</v>
      </c>
      <c r="P1448" s="18">
        <f>IF(I1448="L",'Financial Inputs'!$B$4,IF(I1448="M",'Financial Inputs'!$B$5,'Financial Inputs'!$B$6))</f>
        <v>0.4</v>
      </c>
      <c r="Q1448" s="17">
        <f>O1448*P1448</f>
        <v>648000</v>
      </c>
      <c r="R1448" s="16">
        <f>'Financial Inputs'!$B$7</f>
        <v>0.35</v>
      </c>
      <c r="S1448" s="17">
        <f>Q1448*(1-R1448)</f>
        <v>421200</v>
      </c>
      <c r="T1448" s="18">
        <f>S1448/'Financial Inputs'!$B$3</f>
        <v>4.2119999999999996E-3</v>
      </c>
      <c r="U1448" s="9" t="s">
        <v>52</v>
      </c>
      <c r="V1448" s="3" t="s">
        <v>53</v>
      </c>
    </row>
    <row r="1449" spans="1:22">
      <c r="A1449" s="2" t="s">
        <v>4576</v>
      </c>
      <c r="B1449" s="2" t="s">
        <v>4577</v>
      </c>
      <c r="C1449" s="2" t="s">
        <v>4435</v>
      </c>
      <c r="D1449" s="2" t="s">
        <v>127</v>
      </c>
      <c r="E1449" s="2" t="s">
        <v>73</v>
      </c>
      <c r="F1449" s="2" t="s">
        <v>97</v>
      </c>
      <c r="G1449" s="2" t="s">
        <v>45</v>
      </c>
      <c r="H1449" s="2" t="s">
        <v>498</v>
      </c>
      <c r="I1449" s="2" t="s">
        <v>47</v>
      </c>
      <c r="J1449" s="2" t="s">
        <v>500</v>
      </c>
      <c r="K1449" s="2" t="s">
        <v>4578</v>
      </c>
      <c r="L1449" s="2" t="s">
        <v>286</v>
      </c>
      <c r="M1449" s="2" t="s">
        <v>4437</v>
      </c>
      <c r="N1449" s="16">
        <v>1.7999999999999999E-2</v>
      </c>
      <c r="O1449" s="17">
        <f>N1449*'Financial Inputs'!$B$3</f>
        <v>1799999.9999999998</v>
      </c>
      <c r="P1449" s="18">
        <f>IF(I1449="L",'Financial Inputs'!$B$4,IF(I1449="M",'Financial Inputs'!$B$5,'Financial Inputs'!$B$6))</f>
        <v>0.4</v>
      </c>
      <c r="Q1449" s="17">
        <f>O1449*P1449</f>
        <v>720000</v>
      </c>
      <c r="R1449" s="16">
        <f>'Financial Inputs'!$B$7</f>
        <v>0.35</v>
      </c>
      <c r="S1449" s="17">
        <f>Q1449*(1-R1449)</f>
        <v>468000</v>
      </c>
      <c r="T1449" s="18">
        <f>S1449/'Financial Inputs'!$B$3</f>
        <v>4.6800000000000001E-3</v>
      </c>
      <c r="U1449" s="9" t="s">
        <v>52</v>
      </c>
      <c r="V1449" s="3" t="s">
        <v>53</v>
      </c>
    </row>
    <row r="1450" spans="1:22">
      <c r="A1450" s="2" t="s">
        <v>4579</v>
      </c>
      <c r="B1450" s="2" t="s">
        <v>4580</v>
      </c>
      <c r="C1450" s="2" t="s">
        <v>4435</v>
      </c>
      <c r="D1450" s="2" t="s">
        <v>133</v>
      </c>
      <c r="E1450" s="2" t="s">
        <v>81</v>
      </c>
      <c r="F1450" s="2" t="s">
        <v>104</v>
      </c>
      <c r="G1450" s="2" t="s">
        <v>59</v>
      </c>
      <c r="H1450" s="2" t="s">
        <v>498</v>
      </c>
      <c r="I1450" s="2" t="s">
        <v>47</v>
      </c>
      <c r="J1450" s="2" t="s">
        <v>500</v>
      </c>
      <c r="K1450" s="2" t="s">
        <v>4581</v>
      </c>
      <c r="L1450" s="2" t="s">
        <v>290</v>
      </c>
      <c r="M1450" s="2" t="s">
        <v>4437</v>
      </c>
      <c r="N1450" s="16">
        <v>1.9800000000000002E-2</v>
      </c>
      <c r="O1450" s="17">
        <f>N1450*'Financial Inputs'!$B$3</f>
        <v>1980000.0000000002</v>
      </c>
      <c r="P1450" s="18">
        <f>IF(I1450="L",'Financial Inputs'!$B$4,IF(I1450="M",'Financial Inputs'!$B$5,'Financial Inputs'!$B$6))</f>
        <v>0.4</v>
      </c>
      <c r="Q1450" s="17">
        <f>O1450*P1450</f>
        <v>792000.00000000012</v>
      </c>
      <c r="R1450" s="16">
        <f>'Financial Inputs'!$B$7</f>
        <v>0.35</v>
      </c>
      <c r="S1450" s="17">
        <f>Q1450*(1-R1450)</f>
        <v>514800.00000000012</v>
      </c>
      <c r="T1450" s="18">
        <f>S1450/'Financial Inputs'!$B$3</f>
        <v>5.1480000000000015E-3</v>
      </c>
      <c r="U1450" s="9" t="s">
        <v>52</v>
      </c>
      <c r="V1450" s="3" t="s">
        <v>53</v>
      </c>
    </row>
    <row r="1451" spans="1:22">
      <c r="A1451" s="2" t="s">
        <v>4582</v>
      </c>
      <c r="B1451" s="2" t="s">
        <v>4583</v>
      </c>
      <c r="C1451" s="2" t="s">
        <v>4435</v>
      </c>
      <c r="D1451" s="2" t="s">
        <v>88</v>
      </c>
      <c r="E1451" s="2" t="s">
        <v>193</v>
      </c>
      <c r="F1451" s="2" t="s">
        <v>110</v>
      </c>
      <c r="G1451" s="2" t="s">
        <v>67</v>
      </c>
      <c r="H1451" s="2" t="s">
        <v>498</v>
      </c>
      <c r="I1451" s="2" t="s">
        <v>47</v>
      </c>
      <c r="J1451" s="2" t="s">
        <v>500</v>
      </c>
      <c r="K1451" s="2" t="s">
        <v>4584</v>
      </c>
      <c r="L1451" s="2" t="s">
        <v>294</v>
      </c>
      <c r="M1451" s="2" t="s">
        <v>4437</v>
      </c>
      <c r="N1451" s="16">
        <v>2.1600000000000001E-2</v>
      </c>
      <c r="O1451" s="17">
        <f>N1451*'Financial Inputs'!$B$3</f>
        <v>2160000</v>
      </c>
      <c r="P1451" s="18">
        <f>IF(I1451="L",'Financial Inputs'!$B$4,IF(I1451="M",'Financial Inputs'!$B$5,'Financial Inputs'!$B$6))</f>
        <v>0.4</v>
      </c>
      <c r="Q1451" s="17">
        <f>O1451*P1451</f>
        <v>864000</v>
      </c>
      <c r="R1451" s="16">
        <f>'Financial Inputs'!$B$7</f>
        <v>0.35</v>
      </c>
      <c r="S1451" s="17">
        <f>Q1451*(1-R1451)</f>
        <v>561600</v>
      </c>
      <c r="T1451" s="18">
        <f>S1451/'Financial Inputs'!$B$3</f>
        <v>5.6160000000000003E-3</v>
      </c>
      <c r="U1451" s="9" t="s">
        <v>52</v>
      </c>
      <c r="V1451" s="3" t="s">
        <v>53</v>
      </c>
    </row>
    <row r="1452" spans="1:22">
      <c r="A1452" s="2" t="s">
        <v>4585</v>
      </c>
      <c r="B1452" s="2" t="s">
        <v>4586</v>
      </c>
      <c r="C1452" s="2" t="s">
        <v>4435</v>
      </c>
      <c r="D1452" s="2" t="s">
        <v>42</v>
      </c>
      <c r="E1452" s="2" t="s">
        <v>96</v>
      </c>
      <c r="F1452" s="2" t="s">
        <v>44</v>
      </c>
      <c r="G1452" s="2" t="s">
        <v>45</v>
      </c>
      <c r="H1452" s="2" t="s">
        <v>498</v>
      </c>
      <c r="I1452" s="2" t="s">
        <v>47</v>
      </c>
      <c r="J1452" s="2" t="s">
        <v>500</v>
      </c>
      <c r="K1452" s="2" t="s">
        <v>4587</v>
      </c>
      <c r="L1452" s="2" t="s">
        <v>298</v>
      </c>
      <c r="M1452" s="2" t="s">
        <v>4437</v>
      </c>
      <c r="N1452" s="16">
        <v>1.44E-2</v>
      </c>
      <c r="O1452" s="17">
        <f>N1452*'Financial Inputs'!$B$3</f>
        <v>1440000</v>
      </c>
      <c r="P1452" s="18">
        <f>IF(I1452="L",'Financial Inputs'!$B$4,IF(I1452="M",'Financial Inputs'!$B$5,'Financial Inputs'!$B$6))</f>
        <v>0.4</v>
      </c>
      <c r="Q1452" s="17">
        <f>O1452*P1452</f>
        <v>576000</v>
      </c>
      <c r="R1452" s="16">
        <f>'Financial Inputs'!$B$7</f>
        <v>0.35</v>
      </c>
      <c r="S1452" s="17">
        <f>Q1452*(1-R1452)</f>
        <v>374400</v>
      </c>
      <c r="T1452" s="18">
        <f>S1452/'Financial Inputs'!$B$3</f>
        <v>3.7439999999999999E-3</v>
      </c>
      <c r="U1452" s="9" t="s">
        <v>52</v>
      </c>
      <c r="V1452" s="3" t="s">
        <v>53</v>
      </c>
    </row>
    <row r="1453" spans="1:22">
      <c r="A1453" s="2" t="s">
        <v>4588</v>
      </c>
      <c r="B1453" s="2" t="s">
        <v>4589</v>
      </c>
      <c r="C1453" s="2" t="s">
        <v>4435</v>
      </c>
      <c r="D1453" s="2" t="s">
        <v>56</v>
      </c>
      <c r="E1453" s="2" t="s">
        <v>103</v>
      </c>
      <c r="F1453" s="2" t="s">
        <v>58</v>
      </c>
      <c r="G1453" s="2" t="s">
        <v>59</v>
      </c>
      <c r="H1453" s="2" t="s">
        <v>498</v>
      </c>
      <c r="I1453" s="2" t="s">
        <v>47</v>
      </c>
      <c r="J1453" s="2" t="s">
        <v>500</v>
      </c>
      <c r="K1453" s="2" t="s">
        <v>4590</v>
      </c>
      <c r="L1453" s="2" t="s">
        <v>302</v>
      </c>
      <c r="M1453" s="2" t="s">
        <v>4437</v>
      </c>
      <c r="N1453" s="16">
        <v>1.6199999999999999E-2</v>
      </c>
      <c r="O1453" s="17">
        <f>N1453*'Financial Inputs'!$B$3</f>
        <v>1620000</v>
      </c>
      <c r="P1453" s="18">
        <f>IF(I1453="L",'Financial Inputs'!$B$4,IF(I1453="M",'Financial Inputs'!$B$5,'Financial Inputs'!$B$6))</f>
        <v>0.4</v>
      </c>
      <c r="Q1453" s="17">
        <f>O1453*P1453</f>
        <v>648000</v>
      </c>
      <c r="R1453" s="16">
        <f>'Financial Inputs'!$B$7</f>
        <v>0.35</v>
      </c>
      <c r="S1453" s="17">
        <f>Q1453*(1-R1453)</f>
        <v>421200</v>
      </c>
      <c r="T1453" s="18">
        <f>S1453/'Financial Inputs'!$B$3</f>
        <v>4.2119999999999996E-3</v>
      </c>
      <c r="U1453" s="9" t="s">
        <v>52</v>
      </c>
      <c r="V1453" s="3" t="s">
        <v>53</v>
      </c>
    </row>
    <row r="1454" spans="1:22">
      <c r="A1454" s="2" t="s">
        <v>4591</v>
      </c>
      <c r="B1454" s="2" t="s">
        <v>4592</v>
      </c>
      <c r="C1454" s="2" t="s">
        <v>4435</v>
      </c>
      <c r="D1454" s="2" t="s">
        <v>64</v>
      </c>
      <c r="E1454" s="2" t="s">
        <v>109</v>
      </c>
      <c r="F1454" s="2" t="s">
        <v>66</v>
      </c>
      <c r="G1454" s="2" t="s">
        <v>67</v>
      </c>
      <c r="H1454" s="2" t="s">
        <v>498</v>
      </c>
      <c r="I1454" s="2" t="s">
        <v>47</v>
      </c>
      <c r="J1454" s="2" t="s">
        <v>500</v>
      </c>
      <c r="K1454" s="2" t="s">
        <v>4593</v>
      </c>
      <c r="L1454" s="2" t="s">
        <v>306</v>
      </c>
      <c r="M1454" s="2" t="s">
        <v>4437</v>
      </c>
      <c r="N1454" s="16">
        <v>1.7999999999999999E-2</v>
      </c>
      <c r="O1454" s="17">
        <f>N1454*'Financial Inputs'!$B$3</f>
        <v>1799999.9999999998</v>
      </c>
      <c r="P1454" s="18">
        <f>IF(I1454="L",'Financial Inputs'!$B$4,IF(I1454="M",'Financial Inputs'!$B$5,'Financial Inputs'!$B$6))</f>
        <v>0.4</v>
      </c>
      <c r="Q1454" s="17">
        <f>O1454*P1454</f>
        <v>720000</v>
      </c>
      <c r="R1454" s="16">
        <f>'Financial Inputs'!$B$7</f>
        <v>0.35</v>
      </c>
      <c r="S1454" s="17">
        <f>Q1454*(1-R1454)</f>
        <v>468000</v>
      </c>
      <c r="T1454" s="18">
        <f>S1454/'Financial Inputs'!$B$3</f>
        <v>4.6800000000000001E-3</v>
      </c>
      <c r="U1454" s="9" t="s">
        <v>52</v>
      </c>
      <c r="V1454" s="3" t="s">
        <v>53</v>
      </c>
    </row>
    <row r="1455" spans="1:22">
      <c r="A1455" s="2" t="s">
        <v>4594</v>
      </c>
      <c r="B1455" s="2" t="s">
        <v>4595</v>
      </c>
      <c r="C1455" s="2" t="s">
        <v>4435</v>
      </c>
      <c r="D1455" s="2" t="s">
        <v>72</v>
      </c>
      <c r="E1455" s="2" t="s">
        <v>116</v>
      </c>
      <c r="F1455" s="2" t="s">
        <v>74</v>
      </c>
      <c r="G1455" s="2" t="s">
        <v>75</v>
      </c>
      <c r="H1455" s="2" t="s">
        <v>498</v>
      </c>
      <c r="I1455" s="2" t="s">
        <v>47</v>
      </c>
      <c r="J1455" s="2" t="s">
        <v>500</v>
      </c>
      <c r="K1455" s="2" t="s">
        <v>4596</v>
      </c>
      <c r="L1455" s="2" t="s">
        <v>310</v>
      </c>
      <c r="M1455" s="2" t="s">
        <v>4437</v>
      </c>
      <c r="N1455" s="16">
        <v>1.9800000000000002E-2</v>
      </c>
      <c r="O1455" s="17">
        <f>N1455*'Financial Inputs'!$B$3</f>
        <v>1980000.0000000002</v>
      </c>
      <c r="P1455" s="18">
        <f>IF(I1455="L",'Financial Inputs'!$B$4,IF(I1455="M",'Financial Inputs'!$B$5,'Financial Inputs'!$B$6))</f>
        <v>0.4</v>
      </c>
      <c r="Q1455" s="17">
        <f>O1455*P1455</f>
        <v>792000.00000000012</v>
      </c>
      <c r="R1455" s="16">
        <f>'Financial Inputs'!$B$7</f>
        <v>0.35</v>
      </c>
      <c r="S1455" s="17">
        <f>Q1455*(1-R1455)</f>
        <v>514800.00000000012</v>
      </c>
      <c r="T1455" s="18">
        <f>S1455/'Financial Inputs'!$B$3</f>
        <v>5.1480000000000015E-3</v>
      </c>
      <c r="U1455" s="9" t="s">
        <v>52</v>
      </c>
      <c r="V1455" s="3" t="s">
        <v>53</v>
      </c>
    </row>
    <row r="1456" spans="1:22">
      <c r="A1456" s="2" t="s">
        <v>4597</v>
      </c>
      <c r="B1456" s="2" t="s">
        <v>4598</v>
      </c>
      <c r="C1456" s="2" t="s">
        <v>4435</v>
      </c>
      <c r="D1456" s="2" t="s">
        <v>80</v>
      </c>
      <c r="E1456" s="2" t="s">
        <v>215</v>
      </c>
      <c r="F1456" s="2" t="s">
        <v>82</v>
      </c>
      <c r="G1456" s="2" t="s">
        <v>83</v>
      </c>
      <c r="H1456" s="2" t="s">
        <v>498</v>
      </c>
      <c r="I1456" s="2" t="s">
        <v>47</v>
      </c>
      <c r="J1456" s="2" t="s">
        <v>500</v>
      </c>
      <c r="K1456" s="2" t="s">
        <v>4599</v>
      </c>
      <c r="L1456" s="2" t="s">
        <v>314</v>
      </c>
      <c r="M1456" s="2" t="s">
        <v>4437</v>
      </c>
      <c r="N1456" s="16">
        <v>2.1600000000000001E-2</v>
      </c>
      <c r="O1456" s="17">
        <f>N1456*'Financial Inputs'!$B$3</f>
        <v>2160000</v>
      </c>
      <c r="P1456" s="18">
        <f>IF(I1456="L",'Financial Inputs'!$B$4,IF(I1456="M",'Financial Inputs'!$B$5,'Financial Inputs'!$B$6))</f>
        <v>0.4</v>
      </c>
      <c r="Q1456" s="17">
        <f>O1456*P1456</f>
        <v>864000</v>
      </c>
      <c r="R1456" s="16">
        <f>'Financial Inputs'!$B$7</f>
        <v>0.35</v>
      </c>
      <c r="S1456" s="17">
        <f>Q1456*(1-R1456)</f>
        <v>561600</v>
      </c>
      <c r="T1456" s="18">
        <f>S1456/'Financial Inputs'!$B$3</f>
        <v>5.6160000000000003E-3</v>
      </c>
      <c r="U1456" s="9" t="s">
        <v>52</v>
      </c>
      <c r="V1456" s="3" t="s">
        <v>53</v>
      </c>
    </row>
    <row r="1457" spans="1:22">
      <c r="A1457" s="2" t="s">
        <v>4600</v>
      </c>
      <c r="B1457" s="2" t="s">
        <v>4601</v>
      </c>
      <c r="C1457" s="2" t="s">
        <v>4435</v>
      </c>
      <c r="D1457" s="2" t="s">
        <v>88</v>
      </c>
      <c r="E1457" s="2" t="s">
        <v>128</v>
      </c>
      <c r="F1457" s="2" t="s">
        <v>90</v>
      </c>
      <c r="G1457" s="2" t="s">
        <v>67</v>
      </c>
      <c r="H1457" s="2" t="s">
        <v>498</v>
      </c>
      <c r="I1457" s="2" t="s">
        <v>47</v>
      </c>
      <c r="J1457" s="2" t="s">
        <v>500</v>
      </c>
      <c r="K1457" s="2" t="s">
        <v>4602</v>
      </c>
      <c r="L1457" s="2" t="s">
        <v>318</v>
      </c>
      <c r="M1457" s="2" t="s">
        <v>4437</v>
      </c>
      <c r="N1457" s="16">
        <v>1.44E-2</v>
      </c>
      <c r="O1457" s="17">
        <f>N1457*'Financial Inputs'!$B$3</f>
        <v>1440000</v>
      </c>
      <c r="P1457" s="18">
        <f>IF(I1457="L",'Financial Inputs'!$B$4,IF(I1457="M",'Financial Inputs'!$B$5,'Financial Inputs'!$B$6))</f>
        <v>0.4</v>
      </c>
      <c r="Q1457" s="17">
        <f>O1457*P1457</f>
        <v>576000</v>
      </c>
      <c r="R1457" s="16">
        <f>'Financial Inputs'!$B$7</f>
        <v>0.35</v>
      </c>
      <c r="S1457" s="17">
        <f>Q1457*(1-R1457)</f>
        <v>374400</v>
      </c>
      <c r="T1457" s="18">
        <f>S1457/'Financial Inputs'!$B$3</f>
        <v>3.7439999999999999E-3</v>
      </c>
      <c r="U1457" s="9" t="s">
        <v>52</v>
      </c>
      <c r="V1457" s="3" t="s">
        <v>53</v>
      </c>
    </row>
    <row r="1458" spans="1:22">
      <c r="A1458" s="2" t="s">
        <v>4603</v>
      </c>
      <c r="B1458" s="2" t="s">
        <v>4604</v>
      </c>
      <c r="C1458" s="2" t="s">
        <v>4435</v>
      </c>
      <c r="D1458" s="2" t="s">
        <v>95</v>
      </c>
      <c r="E1458" s="2" t="s">
        <v>43</v>
      </c>
      <c r="F1458" s="2" t="s">
        <v>97</v>
      </c>
      <c r="G1458" s="2" t="s">
        <v>75</v>
      </c>
      <c r="H1458" s="2" t="s">
        <v>498</v>
      </c>
      <c r="I1458" s="2" t="s">
        <v>47</v>
      </c>
      <c r="J1458" s="2" t="s">
        <v>500</v>
      </c>
      <c r="K1458" s="2" t="s">
        <v>4605</v>
      </c>
      <c r="L1458" s="2" t="s">
        <v>322</v>
      </c>
      <c r="M1458" s="2" t="s">
        <v>4437</v>
      </c>
      <c r="N1458" s="16">
        <v>1.6199999999999999E-2</v>
      </c>
      <c r="O1458" s="17">
        <f>N1458*'Financial Inputs'!$B$3</f>
        <v>1620000</v>
      </c>
      <c r="P1458" s="18">
        <f>IF(I1458="L",'Financial Inputs'!$B$4,IF(I1458="M",'Financial Inputs'!$B$5,'Financial Inputs'!$B$6))</f>
        <v>0.4</v>
      </c>
      <c r="Q1458" s="17">
        <f>O1458*P1458</f>
        <v>648000</v>
      </c>
      <c r="R1458" s="16">
        <f>'Financial Inputs'!$B$7</f>
        <v>0.35</v>
      </c>
      <c r="S1458" s="17">
        <f>Q1458*(1-R1458)</f>
        <v>421200</v>
      </c>
      <c r="T1458" s="18">
        <f>S1458/'Financial Inputs'!$B$3</f>
        <v>4.2119999999999996E-3</v>
      </c>
      <c r="U1458" s="9" t="s">
        <v>52</v>
      </c>
      <c r="V1458" s="3" t="s">
        <v>53</v>
      </c>
    </row>
    <row r="1459" spans="1:22">
      <c r="A1459" s="2" t="s">
        <v>4606</v>
      </c>
      <c r="B1459" s="2" t="s">
        <v>4607</v>
      </c>
      <c r="C1459" s="2" t="s">
        <v>4435</v>
      </c>
      <c r="D1459" s="2" t="s">
        <v>102</v>
      </c>
      <c r="E1459" s="2" t="s">
        <v>57</v>
      </c>
      <c r="F1459" s="2" t="s">
        <v>104</v>
      </c>
      <c r="G1459" s="2" t="s">
        <v>83</v>
      </c>
      <c r="H1459" s="2" t="s">
        <v>498</v>
      </c>
      <c r="I1459" s="2" t="s">
        <v>47</v>
      </c>
      <c r="J1459" s="2" t="s">
        <v>500</v>
      </c>
      <c r="K1459" s="2" t="s">
        <v>4608</v>
      </c>
      <c r="L1459" s="2" t="s">
        <v>326</v>
      </c>
      <c r="M1459" s="2" t="s">
        <v>4437</v>
      </c>
      <c r="N1459" s="16">
        <v>1.7999999999999999E-2</v>
      </c>
      <c r="O1459" s="17">
        <f>N1459*'Financial Inputs'!$B$3</f>
        <v>1799999.9999999998</v>
      </c>
      <c r="P1459" s="18">
        <f>IF(I1459="L",'Financial Inputs'!$B$4,IF(I1459="M",'Financial Inputs'!$B$5,'Financial Inputs'!$B$6))</f>
        <v>0.4</v>
      </c>
      <c r="Q1459" s="17">
        <f>O1459*P1459</f>
        <v>720000</v>
      </c>
      <c r="R1459" s="16">
        <f>'Financial Inputs'!$B$7</f>
        <v>0.35</v>
      </c>
      <c r="S1459" s="17">
        <f>Q1459*(1-R1459)</f>
        <v>468000</v>
      </c>
      <c r="T1459" s="18">
        <f>S1459/'Financial Inputs'!$B$3</f>
        <v>4.6800000000000001E-3</v>
      </c>
      <c r="U1459" s="9" t="s">
        <v>52</v>
      </c>
      <c r="V1459" s="3" t="s">
        <v>53</v>
      </c>
    </row>
    <row r="1460" spans="1:22">
      <c r="A1460" s="2" t="s">
        <v>4609</v>
      </c>
      <c r="B1460" s="2" t="s">
        <v>4610</v>
      </c>
      <c r="C1460" s="2" t="s">
        <v>4435</v>
      </c>
      <c r="D1460" s="2" t="s">
        <v>42</v>
      </c>
      <c r="E1460" s="2" t="s">
        <v>65</v>
      </c>
      <c r="F1460" s="2" t="s">
        <v>110</v>
      </c>
      <c r="G1460" s="2" t="s">
        <v>111</v>
      </c>
      <c r="H1460" s="2" t="s">
        <v>498</v>
      </c>
      <c r="I1460" s="2" t="s">
        <v>47</v>
      </c>
      <c r="J1460" s="2" t="s">
        <v>500</v>
      </c>
      <c r="K1460" s="2" t="s">
        <v>4611</v>
      </c>
      <c r="L1460" s="2" t="s">
        <v>330</v>
      </c>
      <c r="M1460" s="2" t="s">
        <v>4437</v>
      </c>
      <c r="N1460" s="16">
        <v>1.9800000000000002E-2</v>
      </c>
      <c r="O1460" s="17">
        <f>N1460*'Financial Inputs'!$B$3</f>
        <v>1980000.0000000002</v>
      </c>
      <c r="P1460" s="18">
        <f>IF(I1460="L",'Financial Inputs'!$B$4,IF(I1460="M",'Financial Inputs'!$B$5,'Financial Inputs'!$B$6))</f>
        <v>0.4</v>
      </c>
      <c r="Q1460" s="17">
        <f>O1460*P1460</f>
        <v>792000.00000000012</v>
      </c>
      <c r="R1460" s="16">
        <f>'Financial Inputs'!$B$7</f>
        <v>0.35</v>
      </c>
      <c r="S1460" s="17">
        <f>Q1460*(1-R1460)</f>
        <v>514800.00000000012</v>
      </c>
      <c r="T1460" s="18">
        <f>S1460/'Financial Inputs'!$B$3</f>
        <v>5.1480000000000015E-3</v>
      </c>
      <c r="U1460" s="9" t="s">
        <v>52</v>
      </c>
      <c r="V1460" s="3" t="s">
        <v>53</v>
      </c>
    </row>
    <row r="1461" spans="1:22">
      <c r="A1461" s="2" t="s">
        <v>4612</v>
      </c>
      <c r="B1461" s="2" t="s">
        <v>4613</v>
      </c>
      <c r="C1461" s="2" t="s">
        <v>4435</v>
      </c>
      <c r="D1461" s="2" t="s">
        <v>56</v>
      </c>
      <c r="E1461" s="2" t="s">
        <v>73</v>
      </c>
      <c r="F1461" s="2" t="s">
        <v>117</v>
      </c>
      <c r="G1461" s="2" t="s">
        <v>56</v>
      </c>
      <c r="H1461" s="2" t="s">
        <v>498</v>
      </c>
      <c r="I1461" s="2" t="s">
        <v>47</v>
      </c>
      <c r="J1461" s="2" t="s">
        <v>500</v>
      </c>
      <c r="K1461" s="2" t="s">
        <v>4614</v>
      </c>
      <c r="L1461" s="2" t="s">
        <v>334</v>
      </c>
      <c r="M1461" s="2" t="s">
        <v>4437</v>
      </c>
      <c r="N1461" s="16">
        <v>2.1600000000000001E-2</v>
      </c>
      <c r="O1461" s="17">
        <f>N1461*'Financial Inputs'!$B$3</f>
        <v>2160000</v>
      </c>
      <c r="P1461" s="18">
        <f>IF(I1461="L",'Financial Inputs'!$B$4,IF(I1461="M",'Financial Inputs'!$B$5,'Financial Inputs'!$B$6))</f>
        <v>0.4</v>
      </c>
      <c r="Q1461" s="17">
        <f>O1461*P1461</f>
        <v>864000</v>
      </c>
      <c r="R1461" s="16">
        <f>'Financial Inputs'!$B$7</f>
        <v>0.35</v>
      </c>
      <c r="S1461" s="17">
        <f>Q1461*(1-R1461)</f>
        <v>561600</v>
      </c>
      <c r="T1461" s="18">
        <f>S1461/'Financial Inputs'!$B$3</f>
        <v>5.6160000000000003E-3</v>
      </c>
      <c r="U1461" s="9" t="s">
        <v>52</v>
      </c>
      <c r="V1461" s="3" t="s">
        <v>53</v>
      </c>
    </row>
    <row r="1462" spans="1:22">
      <c r="A1462" s="2" t="s">
        <v>4615</v>
      </c>
      <c r="B1462" s="2" t="s">
        <v>4616</v>
      </c>
      <c r="C1462" s="2" t="s">
        <v>4435</v>
      </c>
      <c r="D1462" s="2" t="s">
        <v>80</v>
      </c>
      <c r="E1462" s="2" t="s">
        <v>153</v>
      </c>
      <c r="F1462" s="2" t="s">
        <v>58</v>
      </c>
      <c r="G1462" s="2" t="s">
        <v>83</v>
      </c>
      <c r="H1462" s="2" t="s">
        <v>498</v>
      </c>
      <c r="I1462" s="2" t="s">
        <v>47</v>
      </c>
      <c r="J1462" s="2" t="s">
        <v>500</v>
      </c>
      <c r="K1462" s="2" t="s">
        <v>4617</v>
      </c>
      <c r="L1462" s="2" t="s">
        <v>338</v>
      </c>
      <c r="M1462" s="2" t="s">
        <v>4437</v>
      </c>
      <c r="N1462" s="16">
        <v>1.44E-2</v>
      </c>
      <c r="O1462" s="17">
        <f>N1462*'Financial Inputs'!$B$3</f>
        <v>1440000</v>
      </c>
      <c r="P1462" s="18">
        <f>IF(I1462="L",'Financial Inputs'!$B$4,IF(I1462="M",'Financial Inputs'!$B$5,'Financial Inputs'!$B$6))</f>
        <v>0.4</v>
      </c>
      <c r="Q1462" s="17">
        <f>O1462*P1462</f>
        <v>576000</v>
      </c>
      <c r="R1462" s="16">
        <f>'Financial Inputs'!$B$7</f>
        <v>0.35</v>
      </c>
      <c r="S1462" s="17">
        <f>Q1462*(1-R1462)</f>
        <v>374400</v>
      </c>
      <c r="T1462" s="18">
        <f>S1462/'Financial Inputs'!$B$3</f>
        <v>3.7439999999999999E-3</v>
      </c>
      <c r="U1462" s="9" t="s">
        <v>52</v>
      </c>
      <c r="V1462" s="3" t="s">
        <v>53</v>
      </c>
    </row>
    <row r="1463" spans="1:22">
      <c r="A1463" s="2" t="s">
        <v>4618</v>
      </c>
      <c r="B1463" s="2" t="s">
        <v>4619</v>
      </c>
      <c r="C1463" s="2" t="s">
        <v>4435</v>
      </c>
      <c r="D1463" s="2" t="s">
        <v>127</v>
      </c>
      <c r="E1463" s="2" t="s">
        <v>89</v>
      </c>
      <c r="F1463" s="2" t="s">
        <v>66</v>
      </c>
      <c r="G1463" s="2" t="s">
        <v>111</v>
      </c>
      <c r="H1463" s="2" t="s">
        <v>498</v>
      </c>
      <c r="I1463" s="2" t="s">
        <v>47</v>
      </c>
      <c r="J1463" s="2" t="s">
        <v>500</v>
      </c>
      <c r="K1463" s="2" t="s">
        <v>4620</v>
      </c>
      <c r="L1463" s="2" t="s">
        <v>342</v>
      </c>
      <c r="M1463" s="2" t="s">
        <v>4437</v>
      </c>
      <c r="N1463" s="16">
        <v>1.6199999999999999E-2</v>
      </c>
      <c r="O1463" s="17">
        <f>N1463*'Financial Inputs'!$B$3</f>
        <v>1620000</v>
      </c>
      <c r="P1463" s="18">
        <f>IF(I1463="L",'Financial Inputs'!$B$4,IF(I1463="M",'Financial Inputs'!$B$5,'Financial Inputs'!$B$6))</f>
        <v>0.4</v>
      </c>
      <c r="Q1463" s="17">
        <f>O1463*P1463</f>
        <v>648000</v>
      </c>
      <c r="R1463" s="16">
        <f>'Financial Inputs'!$B$7</f>
        <v>0.35</v>
      </c>
      <c r="S1463" s="17">
        <f>Q1463*(1-R1463)</f>
        <v>421200</v>
      </c>
      <c r="T1463" s="18">
        <f>S1463/'Financial Inputs'!$B$3</f>
        <v>4.2119999999999996E-3</v>
      </c>
      <c r="U1463" s="9" t="s">
        <v>52</v>
      </c>
      <c r="V1463" s="3" t="s">
        <v>53</v>
      </c>
    </row>
    <row r="1464" spans="1:22">
      <c r="A1464" s="2" t="s">
        <v>4621</v>
      </c>
      <c r="B1464" s="2" t="s">
        <v>4622</v>
      </c>
      <c r="C1464" s="2" t="s">
        <v>4435</v>
      </c>
      <c r="D1464" s="2" t="s">
        <v>133</v>
      </c>
      <c r="E1464" s="2" t="s">
        <v>96</v>
      </c>
      <c r="F1464" s="2" t="s">
        <v>74</v>
      </c>
      <c r="G1464" s="2" t="s">
        <v>56</v>
      </c>
      <c r="H1464" s="2" t="s">
        <v>498</v>
      </c>
      <c r="I1464" s="2" t="s">
        <v>47</v>
      </c>
      <c r="J1464" s="2" t="s">
        <v>500</v>
      </c>
      <c r="K1464" s="2" t="s">
        <v>4623</v>
      </c>
      <c r="L1464" s="2" t="s">
        <v>346</v>
      </c>
      <c r="M1464" s="2" t="s">
        <v>4437</v>
      </c>
      <c r="N1464" s="16">
        <v>1.7999999999999999E-2</v>
      </c>
      <c r="O1464" s="17">
        <f>N1464*'Financial Inputs'!$B$3</f>
        <v>1799999.9999999998</v>
      </c>
      <c r="P1464" s="18">
        <f>IF(I1464="L",'Financial Inputs'!$B$4,IF(I1464="M",'Financial Inputs'!$B$5,'Financial Inputs'!$B$6))</f>
        <v>0.4</v>
      </c>
      <c r="Q1464" s="17">
        <f>O1464*P1464</f>
        <v>720000</v>
      </c>
      <c r="R1464" s="16">
        <f>'Financial Inputs'!$B$7</f>
        <v>0.35</v>
      </c>
      <c r="S1464" s="17">
        <f>Q1464*(1-R1464)</f>
        <v>468000</v>
      </c>
      <c r="T1464" s="18">
        <f>S1464/'Financial Inputs'!$B$3</f>
        <v>4.6800000000000001E-3</v>
      </c>
      <c r="U1464" s="9" t="s">
        <v>52</v>
      </c>
      <c r="V1464" s="3" t="s">
        <v>53</v>
      </c>
    </row>
    <row r="1465" spans="1:22">
      <c r="A1465" s="2" t="s">
        <v>4624</v>
      </c>
      <c r="B1465" s="2" t="s">
        <v>4625</v>
      </c>
      <c r="C1465" s="2" t="s">
        <v>4435</v>
      </c>
      <c r="D1465" s="2" t="s">
        <v>88</v>
      </c>
      <c r="E1465" s="2" t="s">
        <v>103</v>
      </c>
      <c r="F1465" s="2" t="s">
        <v>82</v>
      </c>
      <c r="G1465" s="2" t="s">
        <v>138</v>
      </c>
      <c r="H1465" s="2" t="s">
        <v>498</v>
      </c>
      <c r="I1465" s="2" t="s">
        <v>47</v>
      </c>
      <c r="J1465" s="2" t="s">
        <v>500</v>
      </c>
      <c r="K1465" s="2" t="s">
        <v>4626</v>
      </c>
      <c r="L1465" s="2" t="s">
        <v>350</v>
      </c>
      <c r="M1465" s="2" t="s">
        <v>4437</v>
      </c>
      <c r="N1465" s="16">
        <v>1.9800000000000002E-2</v>
      </c>
      <c r="O1465" s="17">
        <f>N1465*'Financial Inputs'!$B$3</f>
        <v>1980000.0000000002</v>
      </c>
      <c r="P1465" s="18">
        <f>IF(I1465="L",'Financial Inputs'!$B$4,IF(I1465="M",'Financial Inputs'!$B$5,'Financial Inputs'!$B$6))</f>
        <v>0.4</v>
      </c>
      <c r="Q1465" s="17">
        <f>O1465*P1465</f>
        <v>792000.00000000012</v>
      </c>
      <c r="R1465" s="16">
        <f>'Financial Inputs'!$B$7</f>
        <v>0.35</v>
      </c>
      <c r="S1465" s="17">
        <f>Q1465*(1-R1465)</f>
        <v>514800.00000000012</v>
      </c>
      <c r="T1465" s="18">
        <f>S1465/'Financial Inputs'!$B$3</f>
        <v>5.1480000000000015E-3</v>
      </c>
      <c r="U1465" s="9" t="s">
        <v>52</v>
      </c>
      <c r="V1465" s="3" t="s">
        <v>53</v>
      </c>
    </row>
    <row r="1466" spans="1:22">
      <c r="A1466" s="2" t="s">
        <v>4627</v>
      </c>
      <c r="B1466" s="2" t="s">
        <v>4628</v>
      </c>
      <c r="C1466" s="2" t="s">
        <v>4435</v>
      </c>
      <c r="D1466" s="2" t="s">
        <v>95</v>
      </c>
      <c r="E1466" s="2" t="s">
        <v>109</v>
      </c>
      <c r="F1466" s="2" t="s">
        <v>44</v>
      </c>
      <c r="G1466" s="2" t="s">
        <v>143</v>
      </c>
      <c r="H1466" s="2" t="s">
        <v>498</v>
      </c>
      <c r="I1466" s="2" t="s">
        <v>47</v>
      </c>
      <c r="J1466" s="2" t="s">
        <v>500</v>
      </c>
      <c r="K1466" s="2" t="s">
        <v>4629</v>
      </c>
      <c r="L1466" s="2" t="s">
        <v>354</v>
      </c>
      <c r="M1466" s="2" t="s">
        <v>4437</v>
      </c>
      <c r="N1466" s="16">
        <v>2.1600000000000001E-2</v>
      </c>
      <c r="O1466" s="17">
        <f>N1466*'Financial Inputs'!$B$3</f>
        <v>2160000</v>
      </c>
      <c r="P1466" s="18">
        <f>IF(I1466="L",'Financial Inputs'!$B$4,IF(I1466="M",'Financial Inputs'!$B$5,'Financial Inputs'!$B$6))</f>
        <v>0.4</v>
      </c>
      <c r="Q1466" s="17">
        <f>O1466*P1466</f>
        <v>864000</v>
      </c>
      <c r="R1466" s="16">
        <f>'Financial Inputs'!$B$7</f>
        <v>0.35</v>
      </c>
      <c r="S1466" s="17">
        <f>Q1466*(1-R1466)</f>
        <v>561600</v>
      </c>
      <c r="T1466" s="18">
        <f>S1466/'Financial Inputs'!$B$3</f>
        <v>5.6160000000000003E-3</v>
      </c>
      <c r="U1466" s="9" t="s">
        <v>52</v>
      </c>
      <c r="V1466" s="3" t="s">
        <v>53</v>
      </c>
    </row>
    <row r="1467" spans="1:22">
      <c r="A1467" s="2" t="s">
        <v>4630</v>
      </c>
      <c r="B1467" s="2" t="s">
        <v>4631</v>
      </c>
      <c r="C1467" s="2" t="s">
        <v>4435</v>
      </c>
      <c r="D1467" s="2" t="s">
        <v>56</v>
      </c>
      <c r="E1467" s="2" t="s">
        <v>176</v>
      </c>
      <c r="F1467" s="2" t="s">
        <v>97</v>
      </c>
      <c r="G1467" s="2" t="s">
        <v>56</v>
      </c>
      <c r="H1467" s="2" t="s">
        <v>498</v>
      </c>
      <c r="I1467" s="2" t="s">
        <v>47</v>
      </c>
      <c r="J1467" s="2" t="s">
        <v>500</v>
      </c>
      <c r="K1467" s="2" t="s">
        <v>4632</v>
      </c>
      <c r="L1467" s="2" t="s">
        <v>358</v>
      </c>
      <c r="M1467" s="2" t="s">
        <v>4437</v>
      </c>
      <c r="N1467" s="16">
        <v>1.44E-2</v>
      </c>
      <c r="O1467" s="17">
        <f>N1467*'Financial Inputs'!$B$3</f>
        <v>1440000</v>
      </c>
      <c r="P1467" s="18">
        <f>IF(I1467="L",'Financial Inputs'!$B$4,IF(I1467="M",'Financial Inputs'!$B$5,'Financial Inputs'!$B$6))</f>
        <v>0.4</v>
      </c>
      <c r="Q1467" s="17">
        <f>O1467*P1467</f>
        <v>576000</v>
      </c>
      <c r="R1467" s="16">
        <f>'Financial Inputs'!$B$7</f>
        <v>0.35</v>
      </c>
      <c r="S1467" s="17">
        <f>Q1467*(1-R1467)</f>
        <v>374400</v>
      </c>
      <c r="T1467" s="18">
        <f>S1467/'Financial Inputs'!$B$3</f>
        <v>3.7439999999999999E-3</v>
      </c>
      <c r="U1467" s="9" t="s">
        <v>52</v>
      </c>
      <c r="V1467" s="3" t="s">
        <v>53</v>
      </c>
    </row>
    <row r="1468" spans="1:22">
      <c r="A1468" s="2" t="s">
        <v>4633</v>
      </c>
      <c r="B1468" s="2" t="s">
        <v>4634</v>
      </c>
      <c r="C1468" s="2" t="s">
        <v>4435</v>
      </c>
      <c r="D1468" s="2" t="s">
        <v>64</v>
      </c>
      <c r="E1468" s="2" t="s">
        <v>122</v>
      </c>
      <c r="F1468" s="2" t="s">
        <v>104</v>
      </c>
      <c r="G1468" s="2" t="s">
        <v>138</v>
      </c>
      <c r="H1468" s="2" t="s">
        <v>498</v>
      </c>
      <c r="I1468" s="2" t="s">
        <v>47</v>
      </c>
      <c r="J1468" s="2" t="s">
        <v>500</v>
      </c>
      <c r="K1468" s="2" t="s">
        <v>4635</v>
      </c>
      <c r="L1468" s="2" t="s">
        <v>362</v>
      </c>
      <c r="M1468" s="2" t="s">
        <v>4437</v>
      </c>
      <c r="N1468" s="16">
        <v>1.6199999999999999E-2</v>
      </c>
      <c r="O1468" s="17">
        <f>N1468*'Financial Inputs'!$B$3</f>
        <v>1620000</v>
      </c>
      <c r="P1468" s="18">
        <f>IF(I1468="L",'Financial Inputs'!$B$4,IF(I1468="M",'Financial Inputs'!$B$5,'Financial Inputs'!$B$6))</f>
        <v>0.4</v>
      </c>
      <c r="Q1468" s="17">
        <f>O1468*P1468</f>
        <v>648000</v>
      </c>
      <c r="R1468" s="16">
        <f>'Financial Inputs'!$B$7</f>
        <v>0.35</v>
      </c>
      <c r="S1468" s="17">
        <f>Q1468*(1-R1468)</f>
        <v>421200</v>
      </c>
      <c r="T1468" s="18">
        <f>S1468/'Financial Inputs'!$B$3</f>
        <v>4.2119999999999996E-3</v>
      </c>
      <c r="U1468" s="9" t="s">
        <v>52</v>
      </c>
      <c r="V1468" s="3" t="s">
        <v>53</v>
      </c>
    </row>
    <row r="1469" spans="1:22">
      <c r="A1469" s="2" t="s">
        <v>4636</v>
      </c>
      <c r="B1469" s="2" t="s">
        <v>4637</v>
      </c>
      <c r="C1469" s="2" t="s">
        <v>4435</v>
      </c>
      <c r="D1469" s="2" t="s">
        <v>72</v>
      </c>
      <c r="E1469" s="2" t="s">
        <v>128</v>
      </c>
      <c r="F1469" s="2" t="s">
        <v>110</v>
      </c>
      <c r="G1469" s="2" t="s">
        <v>143</v>
      </c>
      <c r="H1469" s="2" t="s">
        <v>498</v>
      </c>
      <c r="I1469" s="2" t="s">
        <v>47</v>
      </c>
      <c r="J1469" s="2" t="s">
        <v>500</v>
      </c>
      <c r="K1469" s="2" t="s">
        <v>4638</v>
      </c>
      <c r="L1469" s="2" t="s">
        <v>366</v>
      </c>
      <c r="M1469" s="2" t="s">
        <v>4437</v>
      </c>
      <c r="N1469" s="16">
        <v>1.7999999999999999E-2</v>
      </c>
      <c r="O1469" s="17">
        <f>N1469*'Financial Inputs'!$B$3</f>
        <v>1799999.9999999998</v>
      </c>
      <c r="P1469" s="18">
        <f>IF(I1469="L",'Financial Inputs'!$B$4,IF(I1469="M",'Financial Inputs'!$B$5,'Financial Inputs'!$B$6))</f>
        <v>0.4</v>
      </c>
      <c r="Q1469" s="17">
        <f>O1469*P1469</f>
        <v>720000</v>
      </c>
      <c r="R1469" s="16">
        <f>'Financial Inputs'!$B$7</f>
        <v>0.35</v>
      </c>
      <c r="S1469" s="17">
        <f>Q1469*(1-R1469)</f>
        <v>468000</v>
      </c>
      <c r="T1469" s="18">
        <f>S1469/'Financial Inputs'!$B$3</f>
        <v>4.6800000000000001E-3</v>
      </c>
      <c r="U1469" s="9" t="s">
        <v>52</v>
      </c>
      <c r="V1469" s="3" t="s">
        <v>53</v>
      </c>
    </row>
    <row r="1470" spans="1:22">
      <c r="A1470" s="2" t="s">
        <v>4639</v>
      </c>
      <c r="B1470" s="2" t="s">
        <v>4640</v>
      </c>
      <c r="C1470" s="2" t="s">
        <v>4435</v>
      </c>
      <c r="D1470" s="2" t="s">
        <v>80</v>
      </c>
      <c r="E1470" s="2" t="s">
        <v>43</v>
      </c>
      <c r="F1470" s="2" t="s">
        <v>117</v>
      </c>
      <c r="G1470" s="2" t="s">
        <v>162</v>
      </c>
      <c r="H1470" s="2" t="s">
        <v>498</v>
      </c>
      <c r="I1470" s="2" t="s">
        <v>47</v>
      </c>
      <c r="J1470" s="2" t="s">
        <v>500</v>
      </c>
      <c r="K1470" s="2" t="s">
        <v>4641</v>
      </c>
      <c r="L1470" s="2" t="s">
        <v>370</v>
      </c>
      <c r="M1470" s="2" t="s">
        <v>4437</v>
      </c>
      <c r="N1470" s="16">
        <v>1.9800000000000002E-2</v>
      </c>
      <c r="O1470" s="17">
        <f>N1470*'Financial Inputs'!$B$3</f>
        <v>1980000.0000000002</v>
      </c>
      <c r="P1470" s="18">
        <f>IF(I1470="L",'Financial Inputs'!$B$4,IF(I1470="M",'Financial Inputs'!$B$5,'Financial Inputs'!$B$6))</f>
        <v>0.4</v>
      </c>
      <c r="Q1470" s="17">
        <f>O1470*P1470</f>
        <v>792000.00000000012</v>
      </c>
      <c r="R1470" s="16">
        <f>'Financial Inputs'!$B$7</f>
        <v>0.35</v>
      </c>
      <c r="S1470" s="17">
        <f>Q1470*(1-R1470)</f>
        <v>514800.00000000012</v>
      </c>
      <c r="T1470" s="18">
        <f>S1470/'Financial Inputs'!$B$3</f>
        <v>5.1480000000000015E-3</v>
      </c>
      <c r="U1470" s="9" t="s">
        <v>52</v>
      </c>
      <c r="V1470" s="3" t="s">
        <v>53</v>
      </c>
    </row>
    <row r="1471" spans="1:22">
      <c r="A1471" s="2" t="s">
        <v>4642</v>
      </c>
      <c r="B1471" s="2" t="s">
        <v>4643</v>
      </c>
      <c r="C1471" s="2" t="s">
        <v>4435</v>
      </c>
      <c r="D1471" s="2" t="s">
        <v>127</v>
      </c>
      <c r="E1471" s="2" t="s">
        <v>57</v>
      </c>
      <c r="F1471" s="2" t="s">
        <v>90</v>
      </c>
      <c r="G1471" s="2" t="s">
        <v>45</v>
      </c>
      <c r="H1471" s="2" t="s">
        <v>498</v>
      </c>
      <c r="I1471" s="2" t="s">
        <v>47</v>
      </c>
      <c r="J1471" s="2" t="s">
        <v>500</v>
      </c>
      <c r="K1471" s="2" t="s">
        <v>4644</v>
      </c>
      <c r="L1471" s="2" t="s">
        <v>374</v>
      </c>
      <c r="M1471" s="2" t="s">
        <v>4437</v>
      </c>
      <c r="N1471" s="16">
        <v>2.1600000000000001E-2</v>
      </c>
      <c r="O1471" s="17">
        <f>N1471*'Financial Inputs'!$B$3</f>
        <v>2160000</v>
      </c>
      <c r="P1471" s="18">
        <f>IF(I1471="L",'Financial Inputs'!$B$4,IF(I1471="M",'Financial Inputs'!$B$5,'Financial Inputs'!$B$6))</f>
        <v>0.4</v>
      </c>
      <c r="Q1471" s="17">
        <f>O1471*P1471</f>
        <v>864000</v>
      </c>
      <c r="R1471" s="16">
        <f>'Financial Inputs'!$B$7</f>
        <v>0.35</v>
      </c>
      <c r="S1471" s="17">
        <f>Q1471*(1-R1471)</f>
        <v>561600</v>
      </c>
      <c r="T1471" s="18">
        <f>S1471/'Financial Inputs'!$B$3</f>
        <v>5.6160000000000003E-3</v>
      </c>
      <c r="U1471" s="9" t="s">
        <v>52</v>
      </c>
      <c r="V1471" s="3" t="s">
        <v>53</v>
      </c>
    </row>
    <row r="1472" spans="1:22">
      <c r="A1472" s="2" t="s">
        <v>4645</v>
      </c>
      <c r="B1472" s="2" t="s">
        <v>4646</v>
      </c>
      <c r="C1472" s="2" t="s">
        <v>4435</v>
      </c>
      <c r="D1472" s="2" t="s">
        <v>95</v>
      </c>
      <c r="E1472" s="2" t="s">
        <v>198</v>
      </c>
      <c r="F1472" s="2" t="s">
        <v>66</v>
      </c>
      <c r="G1472" s="2" t="s">
        <v>143</v>
      </c>
      <c r="H1472" s="2" t="s">
        <v>498</v>
      </c>
      <c r="I1472" s="2" t="s">
        <v>47</v>
      </c>
      <c r="J1472" s="2" t="s">
        <v>500</v>
      </c>
      <c r="K1472" s="2" t="s">
        <v>4647</v>
      </c>
      <c r="L1472" s="2" t="s">
        <v>378</v>
      </c>
      <c r="M1472" s="2" t="s">
        <v>4437</v>
      </c>
      <c r="N1472" s="16">
        <v>1.44E-2</v>
      </c>
      <c r="O1472" s="17">
        <f>N1472*'Financial Inputs'!$B$3</f>
        <v>1440000</v>
      </c>
      <c r="P1472" s="18">
        <f>IF(I1472="L",'Financial Inputs'!$B$4,IF(I1472="M",'Financial Inputs'!$B$5,'Financial Inputs'!$B$6))</f>
        <v>0.4</v>
      </c>
      <c r="Q1472" s="17">
        <f>O1472*P1472</f>
        <v>576000</v>
      </c>
      <c r="R1472" s="16">
        <f>'Financial Inputs'!$B$7</f>
        <v>0.35</v>
      </c>
      <c r="S1472" s="17">
        <f>Q1472*(1-R1472)</f>
        <v>374400</v>
      </c>
      <c r="T1472" s="18">
        <f>S1472/'Financial Inputs'!$B$3</f>
        <v>3.7439999999999999E-3</v>
      </c>
      <c r="U1472" s="9" t="s">
        <v>52</v>
      </c>
      <c r="V1472" s="3" t="s">
        <v>53</v>
      </c>
    </row>
    <row r="1473" spans="1:22">
      <c r="A1473" s="2" t="s">
        <v>4648</v>
      </c>
      <c r="B1473" s="2" t="s">
        <v>4649</v>
      </c>
      <c r="C1473" s="2" t="s">
        <v>4435</v>
      </c>
      <c r="D1473" s="2" t="s">
        <v>102</v>
      </c>
      <c r="E1473" s="2" t="s">
        <v>148</v>
      </c>
      <c r="F1473" s="2" t="s">
        <v>74</v>
      </c>
      <c r="G1473" s="2" t="s">
        <v>162</v>
      </c>
      <c r="H1473" s="2" t="s">
        <v>498</v>
      </c>
      <c r="I1473" s="2" t="s">
        <v>47</v>
      </c>
      <c r="J1473" s="2" t="s">
        <v>500</v>
      </c>
      <c r="K1473" s="2" t="s">
        <v>4650</v>
      </c>
      <c r="L1473" s="2" t="s">
        <v>382</v>
      </c>
      <c r="M1473" s="2" t="s">
        <v>4437</v>
      </c>
      <c r="N1473" s="16">
        <v>1.6199999999999999E-2</v>
      </c>
      <c r="O1473" s="17">
        <f>N1473*'Financial Inputs'!$B$3</f>
        <v>1620000</v>
      </c>
      <c r="P1473" s="18">
        <f>IF(I1473="L",'Financial Inputs'!$B$4,IF(I1473="M",'Financial Inputs'!$B$5,'Financial Inputs'!$B$6))</f>
        <v>0.4</v>
      </c>
      <c r="Q1473" s="17">
        <f>O1473*P1473</f>
        <v>648000</v>
      </c>
      <c r="R1473" s="16">
        <f>'Financial Inputs'!$B$7</f>
        <v>0.35</v>
      </c>
      <c r="S1473" s="17">
        <f>Q1473*(1-R1473)</f>
        <v>421200</v>
      </c>
      <c r="T1473" s="18">
        <f>S1473/'Financial Inputs'!$B$3</f>
        <v>4.2119999999999996E-3</v>
      </c>
      <c r="U1473" s="9" t="s">
        <v>52</v>
      </c>
      <c r="V1473" s="3" t="s">
        <v>53</v>
      </c>
    </row>
    <row r="1474" spans="1:22">
      <c r="A1474" s="2" t="s">
        <v>4651</v>
      </c>
      <c r="B1474" s="2" t="s">
        <v>4652</v>
      </c>
      <c r="C1474" s="2" t="s">
        <v>4435</v>
      </c>
      <c r="D1474" s="2" t="s">
        <v>42</v>
      </c>
      <c r="E1474" s="2" t="s">
        <v>153</v>
      </c>
      <c r="F1474" s="2" t="s">
        <v>82</v>
      </c>
      <c r="G1474" s="2" t="s">
        <v>45</v>
      </c>
      <c r="H1474" s="2" t="s">
        <v>498</v>
      </c>
      <c r="I1474" s="2" t="s">
        <v>47</v>
      </c>
      <c r="J1474" s="2" t="s">
        <v>500</v>
      </c>
      <c r="K1474" s="2" t="s">
        <v>4653</v>
      </c>
      <c r="L1474" s="2" t="s">
        <v>386</v>
      </c>
      <c r="M1474" s="2" t="s">
        <v>4437</v>
      </c>
      <c r="N1474" s="16">
        <v>1.7999999999999999E-2</v>
      </c>
      <c r="O1474" s="17">
        <f>N1474*'Financial Inputs'!$B$3</f>
        <v>1799999.9999999998</v>
      </c>
      <c r="P1474" s="18">
        <f>IF(I1474="L",'Financial Inputs'!$B$4,IF(I1474="M",'Financial Inputs'!$B$5,'Financial Inputs'!$B$6))</f>
        <v>0.4</v>
      </c>
      <c r="Q1474" s="17">
        <f>O1474*P1474</f>
        <v>720000</v>
      </c>
      <c r="R1474" s="16">
        <f>'Financial Inputs'!$B$7</f>
        <v>0.35</v>
      </c>
      <c r="S1474" s="17">
        <f>Q1474*(1-R1474)</f>
        <v>468000</v>
      </c>
      <c r="T1474" s="18">
        <f>S1474/'Financial Inputs'!$B$3</f>
        <v>4.6800000000000001E-3</v>
      </c>
      <c r="U1474" s="9" t="s">
        <v>52</v>
      </c>
      <c r="V1474" s="3" t="s">
        <v>53</v>
      </c>
    </row>
    <row r="1475" spans="1:22">
      <c r="A1475" s="2" t="s">
        <v>4654</v>
      </c>
      <c r="B1475" s="2" t="s">
        <v>4655</v>
      </c>
      <c r="C1475" s="2" t="s">
        <v>4435</v>
      </c>
      <c r="D1475" s="2" t="s">
        <v>56</v>
      </c>
      <c r="E1475" s="2" t="s">
        <v>89</v>
      </c>
      <c r="F1475" s="2" t="s">
        <v>44</v>
      </c>
      <c r="G1475" s="2" t="s">
        <v>59</v>
      </c>
      <c r="H1475" s="2" t="s">
        <v>498</v>
      </c>
      <c r="I1475" s="2" t="s">
        <v>47</v>
      </c>
      <c r="J1475" s="2" t="s">
        <v>500</v>
      </c>
      <c r="K1475" s="2" t="s">
        <v>4656</v>
      </c>
      <c r="L1475" s="2" t="s">
        <v>390</v>
      </c>
      <c r="M1475" s="2" t="s">
        <v>4437</v>
      </c>
      <c r="N1475" s="16">
        <v>1.9800000000000002E-2</v>
      </c>
      <c r="O1475" s="17">
        <f>N1475*'Financial Inputs'!$B$3</f>
        <v>1980000.0000000002</v>
      </c>
      <c r="P1475" s="18">
        <f>IF(I1475="L",'Financial Inputs'!$B$4,IF(I1475="M",'Financial Inputs'!$B$5,'Financial Inputs'!$B$6))</f>
        <v>0.4</v>
      </c>
      <c r="Q1475" s="17">
        <f>O1475*P1475</f>
        <v>792000.00000000012</v>
      </c>
      <c r="R1475" s="16">
        <f>'Financial Inputs'!$B$7</f>
        <v>0.35</v>
      </c>
      <c r="S1475" s="17">
        <f>Q1475*(1-R1475)</f>
        <v>514800.00000000012</v>
      </c>
      <c r="T1475" s="18">
        <f>S1475/'Financial Inputs'!$B$3</f>
        <v>5.1480000000000015E-3</v>
      </c>
      <c r="U1475" s="9" t="s">
        <v>52</v>
      </c>
      <c r="V1475" s="3" t="s">
        <v>53</v>
      </c>
    </row>
    <row r="1476" spans="1:22">
      <c r="A1476" s="2" t="s">
        <v>4657</v>
      </c>
      <c r="B1476" s="2" t="s">
        <v>4658</v>
      </c>
      <c r="C1476" s="2" t="s">
        <v>4435</v>
      </c>
      <c r="D1476" s="2" t="s">
        <v>64</v>
      </c>
      <c r="E1476" s="2" t="s">
        <v>96</v>
      </c>
      <c r="F1476" s="2" t="s">
        <v>58</v>
      </c>
      <c r="G1476" s="2" t="s">
        <v>67</v>
      </c>
      <c r="H1476" s="2" t="s">
        <v>498</v>
      </c>
      <c r="I1476" s="2" t="s">
        <v>47</v>
      </c>
      <c r="J1476" s="2" t="s">
        <v>500</v>
      </c>
      <c r="K1476" s="2" t="s">
        <v>4659</v>
      </c>
      <c r="L1476" s="2" t="s">
        <v>394</v>
      </c>
      <c r="M1476" s="2" t="s">
        <v>4437</v>
      </c>
      <c r="N1476" s="16">
        <v>2.1600000000000001E-2</v>
      </c>
      <c r="O1476" s="17">
        <f>N1476*'Financial Inputs'!$B$3</f>
        <v>2160000</v>
      </c>
      <c r="P1476" s="18">
        <f>IF(I1476="L",'Financial Inputs'!$B$4,IF(I1476="M",'Financial Inputs'!$B$5,'Financial Inputs'!$B$6))</f>
        <v>0.4</v>
      </c>
      <c r="Q1476" s="17">
        <f>O1476*P1476</f>
        <v>864000</v>
      </c>
      <c r="R1476" s="16">
        <f>'Financial Inputs'!$B$7</f>
        <v>0.35</v>
      </c>
      <c r="S1476" s="17">
        <f>Q1476*(1-R1476)</f>
        <v>561600</v>
      </c>
      <c r="T1476" s="18">
        <f>S1476/'Financial Inputs'!$B$3</f>
        <v>5.6160000000000003E-3</v>
      </c>
      <c r="U1476" s="9" t="s">
        <v>52</v>
      </c>
      <c r="V1476" s="3" t="s">
        <v>53</v>
      </c>
    </row>
    <row r="1477" spans="1:22">
      <c r="A1477" s="2" t="s">
        <v>4660</v>
      </c>
      <c r="B1477" s="2" t="s">
        <v>4661</v>
      </c>
      <c r="C1477" s="2" t="s">
        <v>4435</v>
      </c>
      <c r="D1477" s="2" t="s">
        <v>127</v>
      </c>
      <c r="E1477" s="2" t="s">
        <v>220</v>
      </c>
      <c r="F1477" s="2" t="s">
        <v>104</v>
      </c>
      <c r="G1477" s="2" t="s">
        <v>45</v>
      </c>
      <c r="H1477" s="2" t="s">
        <v>498</v>
      </c>
      <c r="I1477" s="2" t="s">
        <v>47</v>
      </c>
      <c r="J1477" s="2" t="s">
        <v>500</v>
      </c>
      <c r="K1477" s="2" t="s">
        <v>4662</v>
      </c>
      <c r="L1477" s="2" t="s">
        <v>398</v>
      </c>
      <c r="M1477" s="2" t="s">
        <v>4437</v>
      </c>
      <c r="N1477" s="16">
        <v>1.44E-2</v>
      </c>
      <c r="O1477" s="17">
        <f>N1477*'Financial Inputs'!$B$3</f>
        <v>1440000</v>
      </c>
      <c r="P1477" s="18">
        <f>IF(I1477="L",'Financial Inputs'!$B$4,IF(I1477="M",'Financial Inputs'!$B$5,'Financial Inputs'!$B$6))</f>
        <v>0.4</v>
      </c>
      <c r="Q1477" s="17">
        <f>O1477*P1477</f>
        <v>576000</v>
      </c>
      <c r="R1477" s="16">
        <f>'Financial Inputs'!$B$7</f>
        <v>0.35</v>
      </c>
      <c r="S1477" s="17">
        <f>Q1477*(1-R1477)</f>
        <v>374400</v>
      </c>
      <c r="T1477" s="18">
        <f>S1477/'Financial Inputs'!$B$3</f>
        <v>3.7439999999999999E-3</v>
      </c>
      <c r="U1477" s="9" t="s">
        <v>52</v>
      </c>
      <c r="V1477" s="3" t="s">
        <v>53</v>
      </c>
    </row>
    <row r="1478" spans="1:22">
      <c r="A1478" s="2" t="s">
        <v>4663</v>
      </c>
      <c r="B1478" s="2" t="s">
        <v>4664</v>
      </c>
      <c r="C1478" s="2" t="s">
        <v>4435</v>
      </c>
      <c r="D1478" s="2" t="s">
        <v>133</v>
      </c>
      <c r="E1478" s="2" t="s">
        <v>171</v>
      </c>
      <c r="F1478" s="2" t="s">
        <v>110</v>
      </c>
      <c r="G1478" s="2" t="s">
        <v>59</v>
      </c>
      <c r="H1478" s="2" t="s">
        <v>498</v>
      </c>
      <c r="I1478" s="2" t="s">
        <v>47</v>
      </c>
      <c r="J1478" s="2" t="s">
        <v>500</v>
      </c>
      <c r="K1478" s="2" t="s">
        <v>4665</v>
      </c>
      <c r="L1478" s="2" t="s">
        <v>402</v>
      </c>
      <c r="M1478" s="2" t="s">
        <v>4437</v>
      </c>
      <c r="N1478" s="16">
        <v>1.6199999999999999E-2</v>
      </c>
      <c r="O1478" s="17">
        <f>N1478*'Financial Inputs'!$B$3</f>
        <v>1620000</v>
      </c>
      <c r="P1478" s="18">
        <f>IF(I1478="L",'Financial Inputs'!$B$4,IF(I1478="M",'Financial Inputs'!$B$5,'Financial Inputs'!$B$6))</f>
        <v>0.4</v>
      </c>
      <c r="Q1478" s="17">
        <f>O1478*P1478</f>
        <v>648000</v>
      </c>
      <c r="R1478" s="16">
        <f>'Financial Inputs'!$B$7</f>
        <v>0.35</v>
      </c>
      <c r="S1478" s="17">
        <f>Q1478*(1-R1478)</f>
        <v>421200</v>
      </c>
      <c r="T1478" s="18">
        <f>S1478/'Financial Inputs'!$B$3</f>
        <v>4.2119999999999996E-3</v>
      </c>
      <c r="U1478" s="9" t="s">
        <v>52</v>
      </c>
      <c r="V1478" s="3" t="s">
        <v>53</v>
      </c>
    </row>
    <row r="1479" spans="1:22">
      <c r="A1479" s="2" t="s">
        <v>4666</v>
      </c>
      <c r="B1479" s="2" t="s">
        <v>4667</v>
      </c>
      <c r="C1479" s="2" t="s">
        <v>4435</v>
      </c>
      <c r="D1479" s="2" t="s">
        <v>88</v>
      </c>
      <c r="E1479" s="2" t="s">
        <v>176</v>
      </c>
      <c r="F1479" s="2" t="s">
        <v>117</v>
      </c>
      <c r="G1479" s="2" t="s">
        <v>67</v>
      </c>
      <c r="H1479" s="2" t="s">
        <v>498</v>
      </c>
      <c r="I1479" s="2" t="s">
        <v>47</v>
      </c>
      <c r="J1479" s="2" t="s">
        <v>500</v>
      </c>
      <c r="K1479" s="2" t="s">
        <v>4668</v>
      </c>
      <c r="L1479" s="2" t="s">
        <v>406</v>
      </c>
      <c r="M1479" s="2" t="s">
        <v>4437</v>
      </c>
      <c r="N1479" s="16">
        <v>1.7999999999999999E-2</v>
      </c>
      <c r="O1479" s="17">
        <f>N1479*'Financial Inputs'!$B$3</f>
        <v>1799999.9999999998</v>
      </c>
      <c r="P1479" s="18">
        <f>IF(I1479="L",'Financial Inputs'!$B$4,IF(I1479="M",'Financial Inputs'!$B$5,'Financial Inputs'!$B$6))</f>
        <v>0.4</v>
      </c>
      <c r="Q1479" s="17">
        <f>O1479*P1479</f>
        <v>720000</v>
      </c>
      <c r="R1479" s="16">
        <f>'Financial Inputs'!$B$7</f>
        <v>0.35</v>
      </c>
      <c r="S1479" s="17">
        <f>Q1479*(1-R1479)</f>
        <v>468000</v>
      </c>
      <c r="T1479" s="18">
        <f>S1479/'Financial Inputs'!$B$3</f>
        <v>4.6800000000000001E-3</v>
      </c>
      <c r="U1479" s="9" t="s">
        <v>52</v>
      </c>
      <c r="V1479" s="3" t="s">
        <v>53</v>
      </c>
    </row>
    <row r="1480" spans="1:22">
      <c r="A1480" s="2" t="s">
        <v>4669</v>
      </c>
      <c r="B1480" s="2" t="s">
        <v>4670</v>
      </c>
      <c r="C1480" s="2" t="s">
        <v>4435</v>
      </c>
      <c r="D1480" s="2" t="s">
        <v>95</v>
      </c>
      <c r="E1480" s="2" t="s">
        <v>122</v>
      </c>
      <c r="F1480" s="2" t="s">
        <v>90</v>
      </c>
      <c r="G1480" s="2" t="s">
        <v>75</v>
      </c>
      <c r="H1480" s="2" t="s">
        <v>498</v>
      </c>
      <c r="I1480" s="2" t="s">
        <v>47</v>
      </c>
      <c r="J1480" s="2" t="s">
        <v>500</v>
      </c>
      <c r="K1480" s="2" t="s">
        <v>4671</v>
      </c>
      <c r="L1480" s="2" t="s">
        <v>410</v>
      </c>
      <c r="M1480" s="2" t="s">
        <v>4437</v>
      </c>
      <c r="N1480" s="16">
        <v>1.9800000000000002E-2</v>
      </c>
      <c r="O1480" s="17">
        <f>N1480*'Financial Inputs'!$B$3</f>
        <v>1980000.0000000002</v>
      </c>
      <c r="P1480" s="18">
        <f>IF(I1480="L",'Financial Inputs'!$B$4,IF(I1480="M",'Financial Inputs'!$B$5,'Financial Inputs'!$B$6))</f>
        <v>0.4</v>
      </c>
      <c r="Q1480" s="17">
        <f>O1480*P1480</f>
        <v>792000.00000000012</v>
      </c>
      <c r="R1480" s="16">
        <f>'Financial Inputs'!$B$7</f>
        <v>0.35</v>
      </c>
      <c r="S1480" s="17">
        <f>Q1480*(1-R1480)</f>
        <v>514800.00000000012</v>
      </c>
      <c r="T1480" s="18">
        <f>S1480/'Financial Inputs'!$B$3</f>
        <v>5.1480000000000015E-3</v>
      </c>
      <c r="U1480" s="9" t="s">
        <v>52</v>
      </c>
      <c r="V1480" s="3" t="s">
        <v>53</v>
      </c>
    </row>
    <row r="1481" spans="1:22">
      <c r="A1481" s="2" t="s">
        <v>4672</v>
      </c>
      <c r="B1481" s="2" t="s">
        <v>4673</v>
      </c>
      <c r="C1481" s="2" t="s">
        <v>4435</v>
      </c>
      <c r="D1481" s="2" t="s">
        <v>102</v>
      </c>
      <c r="E1481" s="2" t="s">
        <v>128</v>
      </c>
      <c r="F1481" s="2" t="s">
        <v>97</v>
      </c>
      <c r="G1481" s="2" t="s">
        <v>83</v>
      </c>
      <c r="H1481" s="2" t="s">
        <v>498</v>
      </c>
      <c r="I1481" s="2" t="s">
        <v>47</v>
      </c>
      <c r="J1481" s="2" t="s">
        <v>500</v>
      </c>
      <c r="K1481" s="2" t="s">
        <v>4674</v>
      </c>
      <c r="L1481" s="2" t="s">
        <v>414</v>
      </c>
      <c r="M1481" s="2" t="s">
        <v>4437</v>
      </c>
      <c r="N1481" s="16">
        <v>2.1600000000000001E-2</v>
      </c>
      <c r="O1481" s="17">
        <f>N1481*'Financial Inputs'!$B$3</f>
        <v>2160000</v>
      </c>
      <c r="P1481" s="18">
        <f>IF(I1481="L",'Financial Inputs'!$B$4,IF(I1481="M",'Financial Inputs'!$B$5,'Financial Inputs'!$B$6))</f>
        <v>0.4</v>
      </c>
      <c r="Q1481" s="17">
        <f>O1481*P1481</f>
        <v>864000</v>
      </c>
      <c r="R1481" s="16">
        <f>'Financial Inputs'!$B$7</f>
        <v>0.35</v>
      </c>
      <c r="S1481" s="17">
        <f>Q1481*(1-R1481)</f>
        <v>561600</v>
      </c>
      <c r="T1481" s="18">
        <f>S1481/'Financial Inputs'!$B$3</f>
        <v>5.6160000000000003E-3</v>
      </c>
      <c r="U1481" s="9" t="s">
        <v>52</v>
      </c>
      <c r="V1481" s="3" t="s">
        <v>53</v>
      </c>
    </row>
    <row r="1482" spans="1:22">
      <c r="A1482" s="2" t="s">
        <v>4675</v>
      </c>
      <c r="B1482" s="2" t="s">
        <v>4676</v>
      </c>
      <c r="C1482" s="2" t="s">
        <v>4435</v>
      </c>
      <c r="D1482" s="2" t="s">
        <v>64</v>
      </c>
      <c r="E1482" s="2" t="s">
        <v>81</v>
      </c>
      <c r="F1482" s="2" t="s">
        <v>74</v>
      </c>
      <c r="G1482" s="2" t="s">
        <v>67</v>
      </c>
      <c r="H1482" s="2" t="s">
        <v>498</v>
      </c>
      <c r="I1482" s="2" t="s">
        <v>47</v>
      </c>
      <c r="J1482" s="2" t="s">
        <v>500</v>
      </c>
      <c r="K1482" s="2" t="s">
        <v>4677</v>
      </c>
      <c r="L1482" s="2" t="s">
        <v>418</v>
      </c>
      <c r="M1482" s="2" t="s">
        <v>4437</v>
      </c>
      <c r="N1482" s="16">
        <v>1.44E-2</v>
      </c>
      <c r="O1482" s="17">
        <f>N1482*'Financial Inputs'!$B$3</f>
        <v>1440000</v>
      </c>
      <c r="P1482" s="18">
        <f>IF(I1482="L",'Financial Inputs'!$B$4,IF(I1482="M",'Financial Inputs'!$B$5,'Financial Inputs'!$B$6))</f>
        <v>0.4</v>
      </c>
      <c r="Q1482" s="17">
        <f>O1482*P1482</f>
        <v>576000</v>
      </c>
      <c r="R1482" s="16">
        <f>'Financial Inputs'!$B$7</f>
        <v>0.35</v>
      </c>
      <c r="S1482" s="17">
        <f>Q1482*(1-R1482)</f>
        <v>374400</v>
      </c>
      <c r="T1482" s="18">
        <f>S1482/'Financial Inputs'!$B$3</f>
        <v>3.7439999999999999E-3</v>
      </c>
      <c r="U1482" s="9" t="s">
        <v>52</v>
      </c>
      <c r="V1482" s="3" t="s">
        <v>53</v>
      </c>
    </row>
    <row r="1483" spans="1:22">
      <c r="A1483" s="2" t="s">
        <v>4678</v>
      </c>
      <c r="B1483" s="2" t="s">
        <v>4679</v>
      </c>
      <c r="C1483" s="2" t="s">
        <v>4435</v>
      </c>
      <c r="D1483" s="2" t="s">
        <v>72</v>
      </c>
      <c r="E1483" s="2" t="s">
        <v>193</v>
      </c>
      <c r="F1483" s="2" t="s">
        <v>82</v>
      </c>
      <c r="G1483" s="2" t="s">
        <v>75</v>
      </c>
      <c r="H1483" s="2" t="s">
        <v>498</v>
      </c>
      <c r="I1483" s="2" t="s">
        <v>47</v>
      </c>
      <c r="J1483" s="2" t="s">
        <v>500</v>
      </c>
      <c r="K1483" s="2" t="s">
        <v>4680</v>
      </c>
      <c r="L1483" s="2" t="s">
        <v>422</v>
      </c>
      <c r="M1483" s="2" t="s">
        <v>4437</v>
      </c>
      <c r="N1483" s="16">
        <v>1.6199999999999999E-2</v>
      </c>
      <c r="O1483" s="17">
        <f>N1483*'Financial Inputs'!$B$3</f>
        <v>1620000</v>
      </c>
      <c r="P1483" s="18">
        <f>IF(I1483="L",'Financial Inputs'!$B$4,IF(I1483="M",'Financial Inputs'!$B$5,'Financial Inputs'!$B$6))</f>
        <v>0.4</v>
      </c>
      <c r="Q1483" s="17">
        <f>O1483*P1483</f>
        <v>648000</v>
      </c>
      <c r="R1483" s="16">
        <f>'Financial Inputs'!$B$7</f>
        <v>0.35</v>
      </c>
      <c r="S1483" s="17">
        <f>Q1483*(1-R1483)</f>
        <v>421200</v>
      </c>
      <c r="T1483" s="18">
        <f>S1483/'Financial Inputs'!$B$3</f>
        <v>4.2119999999999996E-3</v>
      </c>
      <c r="U1483" s="9" t="s">
        <v>52</v>
      </c>
      <c r="V1483" s="3" t="s">
        <v>53</v>
      </c>
    </row>
    <row r="1484" spans="1:22">
      <c r="A1484" s="2" t="s">
        <v>4681</v>
      </c>
      <c r="B1484" s="2" t="s">
        <v>4682</v>
      </c>
      <c r="C1484" s="2" t="s">
        <v>4435</v>
      </c>
      <c r="D1484" s="2" t="s">
        <v>80</v>
      </c>
      <c r="E1484" s="2" t="s">
        <v>198</v>
      </c>
      <c r="F1484" s="2" t="s">
        <v>44</v>
      </c>
      <c r="G1484" s="2" t="s">
        <v>83</v>
      </c>
      <c r="H1484" s="2" t="s">
        <v>498</v>
      </c>
      <c r="I1484" s="2" t="s">
        <v>47</v>
      </c>
      <c r="J1484" s="2" t="s">
        <v>500</v>
      </c>
      <c r="K1484" s="2" t="s">
        <v>4683</v>
      </c>
      <c r="L1484" s="2" t="s">
        <v>426</v>
      </c>
      <c r="M1484" s="2" t="s">
        <v>4437</v>
      </c>
      <c r="N1484" s="16">
        <v>1.7999999999999999E-2</v>
      </c>
      <c r="O1484" s="17">
        <f>N1484*'Financial Inputs'!$B$3</f>
        <v>1799999.9999999998</v>
      </c>
      <c r="P1484" s="18">
        <f>IF(I1484="L",'Financial Inputs'!$B$4,IF(I1484="M",'Financial Inputs'!$B$5,'Financial Inputs'!$B$6))</f>
        <v>0.4</v>
      </c>
      <c r="Q1484" s="17">
        <f>O1484*P1484</f>
        <v>720000</v>
      </c>
      <c r="R1484" s="16">
        <f>'Financial Inputs'!$B$7</f>
        <v>0.35</v>
      </c>
      <c r="S1484" s="17">
        <f>Q1484*(1-R1484)</f>
        <v>468000</v>
      </c>
      <c r="T1484" s="18">
        <f>S1484/'Financial Inputs'!$B$3</f>
        <v>4.6800000000000001E-3</v>
      </c>
      <c r="U1484" s="9" t="s">
        <v>52</v>
      </c>
      <c r="V1484" s="3" t="s">
        <v>53</v>
      </c>
    </row>
    <row r="1485" spans="1:22">
      <c r="A1485" s="2" t="s">
        <v>4684</v>
      </c>
      <c r="B1485" s="2" t="s">
        <v>4685</v>
      </c>
      <c r="C1485" s="2" t="s">
        <v>4435</v>
      </c>
      <c r="D1485" s="2" t="s">
        <v>127</v>
      </c>
      <c r="E1485" s="2" t="s">
        <v>148</v>
      </c>
      <c r="F1485" s="2" t="s">
        <v>58</v>
      </c>
      <c r="G1485" s="2" t="s">
        <v>111</v>
      </c>
      <c r="H1485" s="2" t="s">
        <v>498</v>
      </c>
      <c r="I1485" s="2" t="s">
        <v>47</v>
      </c>
      <c r="J1485" s="2" t="s">
        <v>500</v>
      </c>
      <c r="K1485" s="2" t="s">
        <v>4686</v>
      </c>
      <c r="L1485" s="2" t="s">
        <v>430</v>
      </c>
      <c r="M1485" s="2" t="s">
        <v>4437</v>
      </c>
      <c r="N1485" s="16">
        <v>1.9800000000000002E-2</v>
      </c>
      <c r="O1485" s="17">
        <f>N1485*'Financial Inputs'!$B$3</f>
        <v>1980000.0000000002</v>
      </c>
      <c r="P1485" s="18">
        <f>IF(I1485="L",'Financial Inputs'!$B$4,IF(I1485="M",'Financial Inputs'!$B$5,'Financial Inputs'!$B$6))</f>
        <v>0.4</v>
      </c>
      <c r="Q1485" s="17">
        <f>O1485*P1485</f>
        <v>792000.00000000012</v>
      </c>
      <c r="R1485" s="16">
        <f>'Financial Inputs'!$B$7</f>
        <v>0.35</v>
      </c>
      <c r="S1485" s="17">
        <f>Q1485*(1-R1485)</f>
        <v>514800.00000000012</v>
      </c>
      <c r="T1485" s="18">
        <f>S1485/'Financial Inputs'!$B$3</f>
        <v>5.1480000000000015E-3</v>
      </c>
      <c r="U1485" s="9" t="s">
        <v>52</v>
      </c>
      <c r="V1485" s="3" t="s">
        <v>53</v>
      </c>
    </row>
    <row r="1486" spans="1:22">
      <c r="A1486" s="2" t="s">
        <v>4687</v>
      </c>
      <c r="B1486" s="2" t="s">
        <v>4688</v>
      </c>
      <c r="C1486" s="2" t="s">
        <v>4435</v>
      </c>
      <c r="D1486" s="2" t="s">
        <v>133</v>
      </c>
      <c r="E1486" s="2" t="s">
        <v>153</v>
      </c>
      <c r="F1486" s="2" t="s">
        <v>66</v>
      </c>
      <c r="G1486" s="2" t="s">
        <v>56</v>
      </c>
      <c r="H1486" s="2" t="s">
        <v>498</v>
      </c>
      <c r="I1486" s="2" t="s">
        <v>47</v>
      </c>
      <c r="J1486" s="2" t="s">
        <v>500</v>
      </c>
      <c r="K1486" s="2" t="s">
        <v>4689</v>
      </c>
      <c r="L1486" s="2" t="s">
        <v>434</v>
      </c>
      <c r="M1486" s="2" t="s">
        <v>4437</v>
      </c>
      <c r="N1486" s="16">
        <v>2.1600000000000001E-2</v>
      </c>
      <c r="O1486" s="17">
        <f>N1486*'Financial Inputs'!$B$3</f>
        <v>2160000</v>
      </c>
      <c r="P1486" s="18">
        <f>IF(I1486="L",'Financial Inputs'!$B$4,IF(I1486="M",'Financial Inputs'!$B$5,'Financial Inputs'!$B$6))</f>
        <v>0.4</v>
      </c>
      <c r="Q1486" s="17">
        <f>O1486*P1486</f>
        <v>864000</v>
      </c>
      <c r="R1486" s="16">
        <f>'Financial Inputs'!$B$7</f>
        <v>0.35</v>
      </c>
      <c r="S1486" s="17">
        <f>Q1486*(1-R1486)</f>
        <v>561600</v>
      </c>
      <c r="T1486" s="18">
        <f>S1486/'Financial Inputs'!$B$3</f>
        <v>5.6160000000000003E-3</v>
      </c>
      <c r="U1486" s="9" t="s">
        <v>52</v>
      </c>
      <c r="V1486" s="3" t="s">
        <v>53</v>
      </c>
    </row>
    <row r="1487" spans="1:22">
      <c r="A1487" s="2" t="s">
        <v>4690</v>
      </c>
      <c r="B1487" s="2" t="s">
        <v>4691</v>
      </c>
      <c r="C1487" s="2" t="s">
        <v>4435</v>
      </c>
      <c r="D1487" s="2" t="s">
        <v>102</v>
      </c>
      <c r="E1487" s="2" t="s">
        <v>116</v>
      </c>
      <c r="F1487" s="2" t="s">
        <v>110</v>
      </c>
      <c r="G1487" s="2" t="s">
        <v>83</v>
      </c>
      <c r="H1487" s="2" t="s">
        <v>498</v>
      </c>
      <c r="I1487" s="2" t="s">
        <v>47</v>
      </c>
      <c r="J1487" s="2" t="s">
        <v>500</v>
      </c>
      <c r="K1487" s="2" t="s">
        <v>4692</v>
      </c>
      <c r="L1487" s="2" t="s">
        <v>438</v>
      </c>
      <c r="M1487" s="2" t="s">
        <v>4437</v>
      </c>
      <c r="N1487" s="16">
        <v>1.44E-2</v>
      </c>
      <c r="O1487" s="17">
        <f>N1487*'Financial Inputs'!$B$3</f>
        <v>1440000</v>
      </c>
      <c r="P1487" s="18">
        <f>IF(I1487="L",'Financial Inputs'!$B$4,IF(I1487="M",'Financial Inputs'!$B$5,'Financial Inputs'!$B$6))</f>
        <v>0.4</v>
      </c>
      <c r="Q1487" s="17">
        <f>O1487*P1487</f>
        <v>576000</v>
      </c>
      <c r="R1487" s="16">
        <f>'Financial Inputs'!$B$7</f>
        <v>0.35</v>
      </c>
      <c r="S1487" s="17">
        <f>Q1487*(1-R1487)</f>
        <v>374400</v>
      </c>
      <c r="T1487" s="18">
        <f>S1487/'Financial Inputs'!$B$3</f>
        <v>3.7439999999999999E-3</v>
      </c>
      <c r="U1487" s="9" t="s">
        <v>52</v>
      </c>
      <c r="V1487" s="3" t="s">
        <v>53</v>
      </c>
    </row>
    <row r="1488" spans="1:22">
      <c r="A1488" s="2" t="s">
        <v>4693</v>
      </c>
      <c r="B1488" s="2" t="s">
        <v>4694</v>
      </c>
      <c r="C1488" s="2" t="s">
        <v>4435</v>
      </c>
      <c r="D1488" s="2" t="s">
        <v>42</v>
      </c>
      <c r="E1488" s="2" t="s">
        <v>215</v>
      </c>
      <c r="F1488" s="2" t="s">
        <v>117</v>
      </c>
      <c r="G1488" s="2" t="s">
        <v>111</v>
      </c>
      <c r="H1488" s="2" t="s">
        <v>498</v>
      </c>
      <c r="I1488" s="2" t="s">
        <v>47</v>
      </c>
      <c r="J1488" s="2" t="s">
        <v>500</v>
      </c>
      <c r="K1488" s="2" t="s">
        <v>4695</v>
      </c>
      <c r="L1488" s="2" t="s">
        <v>442</v>
      </c>
      <c r="M1488" s="2" t="s">
        <v>4437</v>
      </c>
      <c r="N1488" s="16">
        <v>1.6199999999999999E-2</v>
      </c>
      <c r="O1488" s="17">
        <f>N1488*'Financial Inputs'!$B$3</f>
        <v>1620000</v>
      </c>
      <c r="P1488" s="18">
        <f>IF(I1488="L",'Financial Inputs'!$B$4,IF(I1488="M",'Financial Inputs'!$B$5,'Financial Inputs'!$B$6))</f>
        <v>0.4</v>
      </c>
      <c r="Q1488" s="17">
        <f>O1488*P1488</f>
        <v>648000</v>
      </c>
      <c r="R1488" s="16">
        <f>'Financial Inputs'!$B$7</f>
        <v>0.35</v>
      </c>
      <c r="S1488" s="17">
        <f>Q1488*(1-R1488)</f>
        <v>421200</v>
      </c>
      <c r="T1488" s="18">
        <f>S1488/'Financial Inputs'!$B$3</f>
        <v>4.2119999999999996E-3</v>
      </c>
      <c r="U1488" s="9" t="s">
        <v>52</v>
      </c>
      <c r="V1488" s="3" t="s">
        <v>53</v>
      </c>
    </row>
    <row r="1489" spans="1:22">
      <c r="A1489" s="2" t="s">
        <v>4696</v>
      </c>
      <c r="B1489" s="2" t="s">
        <v>4697</v>
      </c>
      <c r="C1489" s="2" t="s">
        <v>4435</v>
      </c>
      <c r="D1489" s="2" t="s">
        <v>56</v>
      </c>
      <c r="E1489" s="2" t="s">
        <v>220</v>
      </c>
      <c r="F1489" s="2" t="s">
        <v>90</v>
      </c>
      <c r="G1489" s="2" t="s">
        <v>56</v>
      </c>
      <c r="H1489" s="2" t="s">
        <v>498</v>
      </c>
      <c r="I1489" s="2" t="s">
        <v>47</v>
      </c>
      <c r="J1489" s="2" t="s">
        <v>500</v>
      </c>
      <c r="K1489" s="2" t="s">
        <v>4698</v>
      </c>
      <c r="L1489" s="2" t="s">
        <v>446</v>
      </c>
      <c r="M1489" s="2" t="s">
        <v>4437</v>
      </c>
      <c r="N1489" s="16">
        <v>1.7999999999999999E-2</v>
      </c>
      <c r="O1489" s="17">
        <f>N1489*'Financial Inputs'!$B$3</f>
        <v>1799999.9999999998</v>
      </c>
      <c r="P1489" s="18">
        <f>IF(I1489="L",'Financial Inputs'!$B$4,IF(I1489="M",'Financial Inputs'!$B$5,'Financial Inputs'!$B$6))</f>
        <v>0.4</v>
      </c>
      <c r="Q1489" s="17">
        <f>O1489*P1489</f>
        <v>720000</v>
      </c>
      <c r="R1489" s="16">
        <f>'Financial Inputs'!$B$7</f>
        <v>0.35</v>
      </c>
      <c r="S1489" s="17">
        <f>Q1489*(1-R1489)</f>
        <v>468000</v>
      </c>
      <c r="T1489" s="18">
        <f>S1489/'Financial Inputs'!$B$3</f>
        <v>4.6800000000000001E-3</v>
      </c>
      <c r="U1489" s="9" t="s">
        <v>52</v>
      </c>
      <c r="V1489" s="3" t="s">
        <v>53</v>
      </c>
    </row>
    <row r="1490" spans="1:22">
      <c r="A1490" s="2" t="s">
        <v>4699</v>
      </c>
      <c r="B1490" s="2" t="s">
        <v>4700</v>
      </c>
      <c r="C1490" s="2" t="s">
        <v>4435</v>
      </c>
      <c r="D1490" s="2" t="s">
        <v>64</v>
      </c>
      <c r="E1490" s="2" t="s">
        <v>171</v>
      </c>
      <c r="F1490" s="2" t="s">
        <v>97</v>
      </c>
      <c r="G1490" s="2" t="s">
        <v>138</v>
      </c>
      <c r="H1490" s="2" t="s">
        <v>498</v>
      </c>
      <c r="I1490" s="2" t="s">
        <v>47</v>
      </c>
      <c r="J1490" s="2" t="s">
        <v>500</v>
      </c>
      <c r="K1490" s="2" t="s">
        <v>4701</v>
      </c>
      <c r="L1490" s="2" t="s">
        <v>450</v>
      </c>
      <c r="M1490" s="2" t="s">
        <v>4437</v>
      </c>
      <c r="N1490" s="16">
        <v>1.9800000000000002E-2</v>
      </c>
      <c r="O1490" s="17">
        <f>N1490*'Financial Inputs'!$B$3</f>
        <v>1980000.0000000002</v>
      </c>
      <c r="P1490" s="18">
        <f>IF(I1490="L",'Financial Inputs'!$B$4,IF(I1490="M",'Financial Inputs'!$B$5,'Financial Inputs'!$B$6))</f>
        <v>0.4</v>
      </c>
      <c r="Q1490" s="17">
        <f>O1490*P1490</f>
        <v>792000.00000000012</v>
      </c>
      <c r="R1490" s="16">
        <f>'Financial Inputs'!$B$7</f>
        <v>0.35</v>
      </c>
      <c r="S1490" s="17">
        <f>Q1490*(1-R1490)</f>
        <v>514800.00000000012</v>
      </c>
      <c r="T1490" s="18">
        <f>S1490/'Financial Inputs'!$B$3</f>
        <v>5.1480000000000015E-3</v>
      </c>
      <c r="U1490" s="9" t="s">
        <v>52</v>
      </c>
      <c r="V1490" s="3" t="s">
        <v>53</v>
      </c>
    </row>
    <row r="1491" spans="1:22">
      <c r="A1491" s="2" t="s">
        <v>4702</v>
      </c>
      <c r="B1491" s="2" t="s">
        <v>4703</v>
      </c>
      <c r="C1491" s="2" t="s">
        <v>4435</v>
      </c>
      <c r="D1491" s="2" t="s">
        <v>72</v>
      </c>
      <c r="E1491" s="2" t="s">
        <v>176</v>
      </c>
      <c r="F1491" s="2" t="s">
        <v>104</v>
      </c>
      <c r="G1491" s="2" t="s">
        <v>143</v>
      </c>
      <c r="H1491" s="2" t="s">
        <v>498</v>
      </c>
      <c r="I1491" s="2" t="s">
        <v>47</v>
      </c>
      <c r="J1491" s="2" t="s">
        <v>500</v>
      </c>
      <c r="K1491" s="2" t="s">
        <v>4704</v>
      </c>
      <c r="L1491" s="2" t="s">
        <v>454</v>
      </c>
      <c r="M1491" s="2" t="s">
        <v>4437</v>
      </c>
      <c r="N1491" s="16">
        <v>2.1600000000000001E-2</v>
      </c>
      <c r="O1491" s="17">
        <f>N1491*'Financial Inputs'!$B$3</f>
        <v>2160000</v>
      </c>
      <c r="P1491" s="18">
        <f>IF(I1491="L",'Financial Inputs'!$B$4,IF(I1491="M",'Financial Inputs'!$B$5,'Financial Inputs'!$B$6))</f>
        <v>0.4</v>
      </c>
      <c r="Q1491" s="17">
        <f>O1491*P1491</f>
        <v>864000</v>
      </c>
      <c r="R1491" s="16">
        <f>'Financial Inputs'!$B$7</f>
        <v>0.35</v>
      </c>
      <c r="S1491" s="17">
        <f>Q1491*(1-R1491)</f>
        <v>561600</v>
      </c>
      <c r="T1491" s="18">
        <f>S1491/'Financial Inputs'!$B$3</f>
        <v>5.6160000000000003E-3</v>
      </c>
      <c r="U1491" s="9" t="s">
        <v>52</v>
      </c>
      <c r="V1491" s="3" t="s">
        <v>53</v>
      </c>
    </row>
    <row r="1492" spans="1:22">
      <c r="A1492" s="2" t="s">
        <v>4705</v>
      </c>
      <c r="B1492" s="2" t="s">
        <v>4706</v>
      </c>
      <c r="C1492" s="2" t="s">
        <v>4435</v>
      </c>
      <c r="D1492" s="2" t="s">
        <v>133</v>
      </c>
      <c r="E1492" s="2" t="s">
        <v>65</v>
      </c>
      <c r="F1492" s="2" t="s">
        <v>82</v>
      </c>
      <c r="G1492" s="2" t="s">
        <v>56</v>
      </c>
      <c r="H1492" s="2" t="s">
        <v>498</v>
      </c>
      <c r="I1492" s="2" t="s">
        <v>47</v>
      </c>
      <c r="J1492" s="2" t="s">
        <v>500</v>
      </c>
      <c r="K1492" s="2" t="s">
        <v>4707</v>
      </c>
      <c r="L1492" s="2" t="s">
        <v>458</v>
      </c>
      <c r="M1492" s="2" t="s">
        <v>4437</v>
      </c>
      <c r="N1492" s="16">
        <v>1.44E-2</v>
      </c>
      <c r="O1492" s="17">
        <f>N1492*'Financial Inputs'!$B$3</f>
        <v>1440000</v>
      </c>
      <c r="P1492" s="18">
        <f>IF(I1492="L",'Financial Inputs'!$B$4,IF(I1492="M",'Financial Inputs'!$B$5,'Financial Inputs'!$B$6))</f>
        <v>0.4</v>
      </c>
      <c r="Q1492" s="17">
        <f>O1492*P1492</f>
        <v>576000</v>
      </c>
      <c r="R1492" s="16">
        <f>'Financial Inputs'!$B$7</f>
        <v>0.35</v>
      </c>
      <c r="S1492" s="17">
        <f>Q1492*(1-R1492)</f>
        <v>374400</v>
      </c>
      <c r="T1492" s="18">
        <f>S1492/'Financial Inputs'!$B$3</f>
        <v>3.7439999999999999E-3</v>
      </c>
      <c r="U1492" s="9" t="s">
        <v>52</v>
      </c>
      <c r="V1492" s="3" t="s">
        <v>53</v>
      </c>
    </row>
    <row r="1493" spans="1:22">
      <c r="A1493" s="2" t="s">
        <v>4708</v>
      </c>
      <c r="B1493" s="2" t="s">
        <v>4709</v>
      </c>
      <c r="C1493" s="2" t="s">
        <v>4435</v>
      </c>
      <c r="D1493" s="2" t="s">
        <v>88</v>
      </c>
      <c r="E1493" s="2" t="s">
        <v>73</v>
      </c>
      <c r="F1493" s="2" t="s">
        <v>44</v>
      </c>
      <c r="G1493" s="2" t="s">
        <v>138</v>
      </c>
      <c r="H1493" s="2" t="s">
        <v>498</v>
      </c>
      <c r="I1493" s="2" t="s">
        <v>47</v>
      </c>
      <c r="J1493" s="2" t="s">
        <v>500</v>
      </c>
      <c r="K1493" s="2" t="s">
        <v>4710</v>
      </c>
      <c r="L1493" s="2" t="s">
        <v>462</v>
      </c>
      <c r="M1493" s="2" t="s">
        <v>4437</v>
      </c>
      <c r="N1493" s="16">
        <v>1.6199999999999999E-2</v>
      </c>
      <c r="O1493" s="17">
        <f>N1493*'Financial Inputs'!$B$3</f>
        <v>1620000</v>
      </c>
      <c r="P1493" s="18">
        <f>IF(I1493="L",'Financial Inputs'!$B$4,IF(I1493="M",'Financial Inputs'!$B$5,'Financial Inputs'!$B$6))</f>
        <v>0.4</v>
      </c>
      <c r="Q1493" s="17">
        <f>O1493*P1493</f>
        <v>648000</v>
      </c>
      <c r="R1493" s="16">
        <f>'Financial Inputs'!$B$7</f>
        <v>0.35</v>
      </c>
      <c r="S1493" s="17">
        <f>Q1493*(1-R1493)</f>
        <v>421200</v>
      </c>
      <c r="T1493" s="18">
        <f>S1493/'Financial Inputs'!$B$3</f>
        <v>4.2119999999999996E-3</v>
      </c>
      <c r="U1493" s="9" t="s">
        <v>52</v>
      </c>
      <c r="V1493" s="3" t="s">
        <v>53</v>
      </c>
    </row>
    <row r="1494" spans="1:22">
      <c r="A1494" s="2" t="s">
        <v>4711</v>
      </c>
      <c r="B1494" s="2" t="s">
        <v>4712</v>
      </c>
      <c r="C1494" s="2" t="s">
        <v>4435</v>
      </c>
      <c r="D1494" s="2" t="s">
        <v>95</v>
      </c>
      <c r="E1494" s="2" t="s">
        <v>81</v>
      </c>
      <c r="F1494" s="2" t="s">
        <v>58</v>
      </c>
      <c r="G1494" s="2" t="s">
        <v>143</v>
      </c>
      <c r="H1494" s="2" t="s">
        <v>498</v>
      </c>
      <c r="I1494" s="2" t="s">
        <v>47</v>
      </c>
      <c r="J1494" s="2" t="s">
        <v>500</v>
      </c>
      <c r="K1494" s="2" t="s">
        <v>4713</v>
      </c>
      <c r="L1494" s="2" t="s">
        <v>466</v>
      </c>
      <c r="M1494" s="2" t="s">
        <v>4437</v>
      </c>
      <c r="N1494" s="16">
        <v>1.7999999999999999E-2</v>
      </c>
      <c r="O1494" s="17">
        <f>N1494*'Financial Inputs'!$B$3</f>
        <v>1799999.9999999998</v>
      </c>
      <c r="P1494" s="18">
        <f>IF(I1494="L",'Financial Inputs'!$B$4,IF(I1494="M",'Financial Inputs'!$B$5,'Financial Inputs'!$B$6))</f>
        <v>0.4</v>
      </c>
      <c r="Q1494" s="17">
        <f>O1494*P1494</f>
        <v>720000</v>
      </c>
      <c r="R1494" s="16">
        <f>'Financial Inputs'!$B$7</f>
        <v>0.35</v>
      </c>
      <c r="S1494" s="17">
        <f>Q1494*(1-R1494)</f>
        <v>468000</v>
      </c>
      <c r="T1494" s="18">
        <f>S1494/'Financial Inputs'!$B$3</f>
        <v>4.6800000000000001E-3</v>
      </c>
      <c r="U1494" s="9" t="s">
        <v>52</v>
      </c>
      <c r="V1494" s="3" t="s">
        <v>53</v>
      </c>
    </row>
    <row r="1495" spans="1:22">
      <c r="A1495" s="2" t="s">
        <v>4714</v>
      </c>
      <c r="B1495" s="2" t="s">
        <v>4715</v>
      </c>
      <c r="C1495" s="2" t="s">
        <v>4435</v>
      </c>
      <c r="D1495" s="2" t="s">
        <v>102</v>
      </c>
      <c r="E1495" s="2" t="s">
        <v>193</v>
      </c>
      <c r="F1495" s="2" t="s">
        <v>66</v>
      </c>
      <c r="G1495" s="2" t="s">
        <v>162</v>
      </c>
      <c r="H1495" s="2" t="s">
        <v>498</v>
      </c>
      <c r="I1495" s="2" t="s">
        <v>47</v>
      </c>
      <c r="J1495" s="2" t="s">
        <v>500</v>
      </c>
      <c r="K1495" s="2" t="s">
        <v>4716</v>
      </c>
      <c r="L1495" s="2" t="s">
        <v>470</v>
      </c>
      <c r="M1495" s="2" t="s">
        <v>4437</v>
      </c>
      <c r="N1495" s="16">
        <v>1.9800000000000002E-2</v>
      </c>
      <c r="O1495" s="17">
        <f>N1495*'Financial Inputs'!$B$3</f>
        <v>1980000.0000000002</v>
      </c>
      <c r="P1495" s="18">
        <f>IF(I1495="L",'Financial Inputs'!$B$4,IF(I1495="M",'Financial Inputs'!$B$5,'Financial Inputs'!$B$6))</f>
        <v>0.4</v>
      </c>
      <c r="Q1495" s="17">
        <f>O1495*P1495</f>
        <v>792000.00000000012</v>
      </c>
      <c r="R1495" s="16">
        <f>'Financial Inputs'!$B$7</f>
        <v>0.35</v>
      </c>
      <c r="S1495" s="17">
        <f>Q1495*(1-R1495)</f>
        <v>514800.00000000012</v>
      </c>
      <c r="T1495" s="18">
        <f>S1495/'Financial Inputs'!$B$3</f>
        <v>5.1480000000000015E-3</v>
      </c>
      <c r="U1495" s="9" t="s">
        <v>52</v>
      </c>
      <c r="V1495" s="3" t="s">
        <v>53</v>
      </c>
    </row>
    <row r="1496" spans="1:22">
      <c r="A1496" s="2" t="s">
        <v>4717</v>
      </c>
      <c r="B1496" s="2" t="s">
        <v>4718</v>
      </c>
      <c r="C1496" s="2" t="s">
        <v>4435</v>
      </c>
      <c r="D1496" s="2" t="s">
        <v>42</v>
      </c>
      <c r="E1496" s="2" t="s">
        <v>198</v>
      </c>
      <c r="F1496" s="2" t="s">
        <v>74</v>
      </c>
      <c r="G1496" s="2" t="s">
        <v>45</v>
      </c>
      <c r="H1496" s="2" t="s">
        <v>498</v>
      </c>
      <c r="I1496" s="2" t="s">
        <v>47</v>
      </c>
      <c r="J1496" s="2" t="s">
        <v>500</v>
      </c>
      <c r="K1496" s="2" t="s">
        <v>4719</v>
      </c>
      <c r="L1496" s="2" t="s">
        <v>474</v>
      </c>
      <c r="M1496" s="2" t="s">
        <v>4437</v>
      </c>
      <c r="N1496" s="16">
        <v>2.1600000000000001E-2</v>
      </c>
      <c r="O1496" s="17">
        <f>N1496*'Financial Inputs'!$B$3</f>
        <v>2160000</v>
      </c>
      <c r="P1496" s="18">
        <f>IF(I1496="L",'Financial Inputs'!$B$4,IF(I1496="M",'Financial Inputs'!$B$5,'Financial Inputs'!$B$6))</f>
        <v>0.4</v>
      </c>
      <c r="Q1496" s="17">
        <f>O1496*P1496</f>
        <v>864000</v>
      </c>
      <c r="R1496" s="16">
        <f>'Financial Inputs'!$B$7</f>
        <v>0.35</v>
      </c>
      <c r="S1496" s="17">
        <f>Q1496*(1-R1496)</f>
        <v>561600</v>
      </c>
      <c r="T1496" s="18">
        <f>S1496/'Financial Inputs'!$B$3</f>
        <v>5.6160000000000003E-3</v>
      </c>
      <c r="U1496" s="9" t="s">
        <v>52</v>
      </c>
      <c r="V1496" s="3" t="s">
        <v>53</v>
      </c>
    </row>
    <row r="1497" spans="1:22">
      <c r="A1497" s="2" t="s">
        <v>4720</v>
      </c>
      <c r="B1497" s="2" t="s">
        <v>4721</v>
      </c>
      <c r="C1497" s="2" t="s">
        <v>4435</v>
      </c>
      <c r="D1497" s="2" t="s">
        <v>72</v>
      </c>
      <c r="E1497" s="2" t="s">
        <v>103</v>
      </c>
      <c r="F1497" s="2" t="s">
        <v>117</v>
      </c>
      <c r="G1497" s="2" t="s">
        <v>143</v>
      </c>
      <c r="H1497" s="2" t="s">
        <v>498</v>
      </c>
      <c r="I1497" s="2" t="s">
        <v>47</v>
      </c>
      <c r="J1497" s="2" t="s">
        <v>500</v>
      </c>
      <c r="K1497" s="2" t="s">
        <v>4722</v>
      </c>
      <c r="L1497" s="2" t="s">
        <v>478</v>
      </c>
      <c r="M1497" s="2" t="s">
        <v>4437</v>
      </c>
      <c r="N1497" s="16">
        <v>1.44E-2</v>
      </c>
      <c r="O1497" s="17">
        <f>N1497*'Financial Inputs'!$B$3</f>
        <v>1440000</v>
      </c>
      <c r="P1497" s="18">
        <f>IF(I1497="L",'Financial Inputs'!$B$4,IF(I1497="M",'Financial Inputs'!$B$5,'Financial Inputs'!$B$6))</f>
        <v>0.4</v>
      </c>
      <c r="Q1497" s="17">
        <f>O1497*P1497</f>
        <v>576000</v>
      </c>
      <c r="R1497" s="16">
        <f>'Financial Inputs'!$B$7</f>
        <v>0.35</v>
      </c>
      <c r="S1497" s="17">
        <f>Q1497*(1-R1497)</f>
        <v>374400</v>
      </c>
      <c r="T1497" s="18">
        <f>S1497/'Financial Inputs'!$B$3</f>
        <v>3.7439999999999999E-3</v>
      </c>
      <c r="U1497" s="9" t="s">
        <v>52</v>
      </c>
      <c r="V1497" s="3" t="s">
        <v>53</v>
      </c>
    </row>
    <row r="1498" spans="1:22">
      <c r="A1498" s="2" t="s">
        <v>4723</v>
      </c>
      <c r="B1498" s="2" t="s">
        <v>4724</v>
      </c>
      <c r="C1498" s="2" t="s">
        <v>4435</v>
      </c>
      <c r="D1498" s="2" t="s">
        <v>80</v>
      </c>
      <c r="E1498" s="2" t="s">
        <v>109</v>
      </c>
      <c r="F1498" s="2" t="s">
        <v>90</v>
      </c>
      <c r="G1498" s="2" t="s">
        <v>162</v>
      </c>
      <c r="H1498" s="2" t="s">
        <v>498</v>
      </c>
      <c r="I1498" s="2" t="s">
        <v>47</v>
      </c>
      <c r="J1498" s="2" t="s">
        <v>500</v>
      </c>
      <c r="K1498" s="2" t="s">
        <v>4725</v>
      </c>
      <c r="L1498" s="2" t="s">
        <v>482</v>
      </c>
      <c r="M1498" s="2" t="s">
        <v>4437</v>
      </c>
      <c r="N1498" s="16">
        <v>1.6199999999999999E-2</v>
      </c>
      <c r="O1498" s="17">
        <f>N1498*'Financial Inputs'!$B$3</f>
        <v>1620000</v>
      </c>
      <c r="P1498" s="18">
        <f>IF(I1498="L",'Financial Inputs'!$B$4,IF(I1498="M",'Financial Inputs'!$B$5,'Financial Inputs'!$B$6))</f>
        <v>0.4</v>
      </c>
      <c r="Q1498" s="17">
        <f>O1498*P1498</f>
        <v>648000</v>
      </c>
      <c r="R1498" s="16">
        <f>'Financial Inputs'!$B$7</f>
        <v>0.35</v>
      </c>
      <c r="S1498" s="17">
        <f>Q1498*(1-R1498)</f>
        <v>421200</v>
      </c>
      <c r="T1498" s="18">
        <f>S1498/'Financial Inputs'!$B$3</f>
        <v>4.2119999999999996E-3</v>
      </c>
      <c r="U1498" s="9" t="s">
        <v>52</v>
      </c>
      <c r="V1498" s="3" t="s">
        <v>53</v>
      </c>
    </row>
    <row r="1499" spans="1:22">
      <c r="A1499" s="2" t="s">
        <v>4726</v>
      </c>
      <c r="B1499" s="2" t="s">
        <v>4727</v>
      </c>
      <c r="C1499" s="2" t="s">
        <v>4435</v>
      </c>
      <c r="D1499" s="2" t="s">
        <v>127</v>
      </c>
      <c r="E1499" s="2" t="s">
        <v>116</v>
      </c>
      <c r="F1499" s="2" t="s">
        <v>97</v>
      </c>
      <c r="G1499" s="2" t="s">
        <v>45</v>
      </c>
      <c r="H1499" s="2" t="s">
        <v>498</v>
      </c>
      <c r="I1499" s="2" t="s">
        <v>47</v>
      </c>
      <c r="J1499" s="2" t="s">
        <v>500</v>
      </c>
      <c r="K1499" s="2" t="s">
        <v>4728</v>
      </c>
      <c r="L1499" s="2" t="s">
        <v>486</v>
      </c>
      <c r="M1499" s="2" t="s">
        <v>4437</v>
      </c>
      <c r="N1499" s="16">
        <v>1.7999999999999999E-2</v>
      </c>
      <c r="O1499" s="17">
        <f>N1499*'Financial Inputs'!$B$3</f>
        <v>1799999.9999999998</v>
      </c>
      <c r="P1499" s="18">
        <f>IF(I1499="L",'Financial Inputs'!$B$4,IF(I1499="M",'Financial Inputs'!$B$5,'Financial Inputs'!$B$6))</f>
        <v>0.4</v>
      </c>
      <c r="Q1499" s="17">
        <f>O1499*P1499</f>
        <v>720000</v>
      </c>
      <c r="R1499" s="16">
        <f>'Financial Inputs'!$B$7</f>
        <v>0.35</v>
      </c>
      <c r="S1499" s="17">
        <f>Q1499*(1-R1499)</f>
        <v>468000</v>
      </c>
      <c r="T1499" s="18">
        <f>S1499/'Financial Inputs'!$B$3</f>
        <v>4.6800000000000001E-3</v>
      </c>
      <c r="U1499" s="9" t="s">
        <v>52</v>
      </c>
      <c r="V1499" s="3" t="s">
        <v>53</v>
      </c>
    </row>
    <row r="1500" spans="1:22">
      <c r="A1500" s="2" t="s">
        <v>4729</v>
      </c>
      <c r="B1500" s="2" t="s">
        <v>4730</v>
      </c>
      <c r="C1500" s="2" t="s">
        <v>4435</v>
      </c>
      <c r="D1500" s="2" t="s">
        <v>133</v>
      </c>
      <c r="E1500" s="2" t="s">
        <v>215</v>
      </c>
      <c r="F1500" s="2" t="s">
        <v>104</v>
      </c>
      <c r="G1500" s="2" t="s">
        <v>59</v>
      </c>
      <c r="H1500" s="2" t="s">
        <v>498</v>
      </c>
      <c r="I1500" s="2" t="s">
        <v>47</v>
      </c>
      <c r="J1500" s="2" t="s">
        <v>500</v>
      </c>
      <c r="K1500" s="2" t="s">
        <v>4731</v>
      </c>
      <c r="L1500" s="2" t="s">
        <v>490</v>
      </c>
      <c r="M1500" s="2" t="s">
        <v>4437</v>
      </c>
      <c r="N1500" s="16">
        <v>1.9800000000000002E-2</v>
      </c>
      <c r="O1500" s="17">
        <f>N1500*'Financial Inputs'!$B$3</f>
        <v>1980000.0000000002</v>
      </c>
      <c r="P1500" s="18">
        <f>IF(I1500="L",'Financial Inputs'!$B$4,IF(I1500="M",'Financial Inputs'!$B$5,'Financial Inputs'!$B$6))</f>
        <v>0.4</v>
      </c>
      <c r="Q1500" s="17">
        <f>O1500*P1500</f>
        <v>792000.00000000012</v>
      </c>
      <c r="R1500" s="16">
        <f>'Financial Inputs'!$B$7</f>
        <v>0.35</v>
      </c>
      <c r="S1500" s="17">
        <f>Q1500*(1-R1500)</f>
        <v>514800.00000000012</v>
      </c>
      <c r="T1500" s="18">
        <f>S1500/'Financial Inputs'!$B$3</f>
        <v>5.1480000000000015E-3</v>
      </c>
      <c r="U1500" s="9" t="s">
        <v>52</v>
      </c>
      <c r="V1500" s="3" t="s">
        <v>53</v>
      </c>
    </row>
    <row r="1501" spans="1:22">
      <c r="A1501" s="2" t="s">
        <v>4732</v>
      </c>
      <c r="B1501" s="2" t="s">
        <v>4733</v>
      </c>
      <c r="C1501" s="2" t="s">
        <v>4435</v>
      </c>
      <c r="D1501" s="2" t="s">
        <v>88</v>
      </c>
      <c r="E1501" s="2" t="s">
        <v>220</v>
      </c>
      <c r="F1501" s="2" t="s">
        <v>110</v>
      </c>
      <c r="G1501" s="2" t="s">
        <v>67</v>
      </c>
      <c r="H1501" s="2" t="s">
        <v>498</v>
      </c>
      <c r="I1501" s="2" t="s">
        <v>47</v>
      </c>
      <c r="J1501" s="2" t="s">
        <v>500</v>
      </c>
      <c r="K1501" s="2" t="s">
        <v>4734</v>
      </c>
      <c r="L1501" s="2" t="s">
        <v>494</v>
      </c>
      <c r="M1501" s="2" t="s">
        <v>4437</v>
      </c>
      <c r="N1501" s="16">
        <v>2.1600000000000001E-2</v>
      </c>
      <c r="O1501" s="17">
        <f>N1501*'Financial Inputs'!$B$3</f>
        <v>2160000</v>
      </c>
      <c r="P1501" s="18">
        <f>IF(I1501="L",'Financial Inputs'!$B$4,IF(I1501="M",'Financial Inputs'!$B$5,'Financial Inputs'!$B$6))</f>
        <v>0.4</v>
      </c>
      <c r="Q1501" s="17">
        <f>O1501*P1501</f>
        <v>864000</v>
      </c>
      <c r="R1501" s="16">
        <f>'Financial Inputs'!$B$7</f>
        <v>0.35</v>
      </c>
      <c r="S1501" s="17">
        <f>Q1501*(1-R1501)</f>
        <v>561600</v>
      </c>
      <c r="T1501" s="18">
        <f>S1501/'Financial Inputs'!$B$3</f>
        <v>5.6160000000000003E-3</v>
      </c>
      <c r="U1501" s="9" t="s">
        <v>52</v>
      </c>
      <c r="V1501" s="3" t="s">
        <v>53</v>
      </c>
    </row>
    <row r="1502" spans="1:22">
      <c r="A1502" s="2" t="s">
        <v>4735</v>
      </c>
      <c r="B1502" s="2" t="s">
        <v>4736</v>
      </c>
      <c r="C1502" s="2" t="s">
        <v>4737</v>
      </c>
      <c r="D1502" s="2" t="s">
        <v>42</v>
      </c>
      <c r="E1502" s="2" t="s">
        <v>43</v>
      </c>
      <c r="F1502" s="2" t="s">
        <v>44</v>
      </c>
      <c r="G1502" s="2" t="s">
        <v>45</v>
      </c>
      <c r="H1502" s="2" t="s">
        <v>498</v>
      </c>
      <c r="I1502" s="2" t="s">
        <v>499</v>
      </c>
      <c r="J1502" s="2" t="s">
        <v>4738</v>
      </c>
      <c r="K1502" s="2" t="s">
        <v>4739</v>
      </c>
      <c r="L1502" s="2" t="s">
        <v>50</v>
      </c>
      <c r="M1502" s="2" t="s">
        <v>3228</v>
      </c>
      <c r="N1502" s="16">
        <v>0.02</v>
      </c>
      <c r="O1502" s="17">
        <f>N1502*'Financial Inputs'!$B$3</f>
        <v>2000000</v>
      </c>
      <c r="P1502" s="18">
        <f>IF(I1502="L",'Financial Inputs'!$B$4,IF(I1502="M",'Financial Inputs'!$B$5,'Financial Inputs'!$B$6))</f>
        <v>0.7</v>
      </c>
      <c r="Q1502" s="17">
        <f>O1502*P1502</f>
        <v>1400000</v>
      </c>
      <c r="R1502" s="16">
        <f>'Financial Inputs'!$B$7</f>
        <v>0.35</v>
      </c>
      <c r="S1502" s="17">
        <f>Q1502*(1-R1502)</f>
        <v>910000</v>
      </c>
      <c r="T1502" s="18">
        <f>S1502/'Financial Inputs'!$B$3</f>
        <v>9.1000000000000004E-3</v>
      </c>
      <c r="U1502" s="9" t="s">
        <v>52</v>
      </c>
      <c r="V1502" s="3" t="s">
        <v>53</v>
      </c>
    </row>
    <row r="1503" spans="1:22">
      <c r="A1503" s="2" t="s">
        <v>4740</v>
      </c>
      <c r="B1503" s="2" t="s">
        <v>4741</v>
      </c>
      <c r="C1503" s="2" t="s">
        <v>4737</v>
      </c>
      <c r="D1503" s="2" t="s">
        <v>56</v>
      </c>
      <c r="E1503" s="2" t="s">
        <v>57</v>
      </c>
      <c r="F1503" s="2" t="s">
        <v>58</v>
      </c>
      <c r="G1503" s="2" t="s">
        <v>59</v>
      </c>
      <c r="H1503" s="2" t="s">
        <v>498</v>
      </c>
      <c r="I1503" s="2" t="s">
        <v>499</v>
      </c>
      <c r="J1503" s="2" t="s">
        <v>4738</v>
      </c>
      <c r="K1503" s="2" t="s">
        <v>4742</v>
      </c>
      <c r="L1503" s="2" t="s">
        <v>61</v>
      </c>
      <c r="M1503" s="2" t="s">
        <v>3228</v>
      </c>
      <c r="N1503" s="16">
        <v>2.2499999999999999E-2</v>
      </c>
      <c r="O1503" s="17">
        <f>N1503*'Financial Inputs'!$B$3</f>
        <v>2250000</v>
      </c>
      <c r="P1503" s="18">
        <f>IF(I1503="L",'Financial Inputs'!$B$4,IF(I1503="M",'Financial Inputs'!$B$5,'Financial Inputs'!$B$6))</f>
        <v>0.7</v>
      </c>
      <c r="Q1503" s="17">
        <f>O1503*P1503</f>
        <v>1575000</v>
      </c>
      <c r="R1503" s="16">
        <f>'Financial Inputs'!$B$7</f>
        <v>0.35</v>
      </c>
      <c r="S1503" s="17">
        <f>Q1503*(1-R1503)</f>
        <v>1023750</v>
      </c>
      <c r="T1503" s="18">
        <f>S1503/'Financial Inputs'!$B$3</f>
        <v>1.02375E-2</v>
      </c>
      <c r="U1503" s="9" t="s">
        <v>52</v>
      </c>
      <c r="V1503" s="3" t="s">
        <v>53</v>
      </c>
    </row>
    <row r="1504" spans="1:22">
      <c r="A1504" s="2" t="s">
        <v>4743</v>
      </c>
      <c r="B1504" s="2" t="s">
        <v>4744</v>
      </c>
      <c r="C1504" s="2" t="s">
        <v>4737</v>
      </c>
      <c r="D1504" s="2" t="s">
        <v>64</v>
      </c>
      <c r="E1504" s="2" t="s">
        <v>65</v>
      </c>
      <c r="F1504" s="2" t="s">
        <v>66</v>
      </c>
      <c r="G1504" s="2" t="s">
        <v>67</v>
      </c>
      <c r="H1504" s="2" t="s">
        <v>498</v>
      </c>
      <c r="I1504" s="2" t="s">
        <v>499</v>
      </c>
      <c r="J1504" s="2" t="s">
        <v>4738</v>
      </c>
      <c r="K1504" s="2" t="s">
        <v>4745</v>
      </c>
      <c r="L1504" s="2" t="s">
        <v>69</v>
      </c>
      <c r="M1504" s="2" t="s">
        <v>3228</v>
      </c>
      <c r="N1504" s="16">
        <v>2.5000000000000001E-2</v>
      </c>
      <c r="O1504" s="17">
        <f>N1504*'Financial Inputs'!$B$3</f>
        <v>2500000</v>
      </c>
      <c r="P1504" s="18">
        <f>IF(I1504="L",'Financial Inputs'!$B$4,IF(I1504="M",'Financial Inputs'!$B$5,'Financial Inputs'!$B$6))</f>
        <v>0.7</v>
      </c>
      <c r="Q1504" s="17">
        <f>O1504*P1504</f>
        <v>1750000</v>
      </c>
      <c r="R1504" s="16">
        <f>'Financial Inputs'!$B$7</f>
        <v>0.35</v>
      </c>
      <c r="S1504" s="17">
        <f>Q1504*(1-R1504)</f>
        <v>1137500</v>
      </c>
      <c r="T1504" s="18">
        <f>S1504/'Financial Inputs'!$B$3</f>
        <v>1.1375E-2</v>
      </c>
      <c r="U1504" s="9" t="s">
        <v>52</v>
      </c>
      <c r="V1504" s="3" t="s">
        <v>53</v>
      </c>
    </row>
    <row r="1505" spans="1:22">
      <c r="A1505" s="2" t="s">
        <v>4746</v>
      </c>
      <c r="B1505" s="2" t="s">
        <v>4747</v>
      </c>
      <c r="C1505" s="2" t="s">
        <v>4737</v>
      </c>
      <c r="D1505" s="2" t="s">
        <v>72</v>
      </c>
      <c r="E1505" s="2" t="s">
        <v>73</v>
      </c>
      <c r="F1505" s="2" t="s">
        <v>74</v>
      </c>
      <c r="G1505" s="2" t="s">
        <v>75</v>
      </c>
      <c r="H1505" s="2" t="s">
        <v>498</v>
      </c>
      <c r="I1505" s="2" t="s">
        <v>499</v>
      </c>
      <c r="J1505" s="2" t="s">
        <v>4738</v>
      </c>
      <c r="K1505" s="2" t="s">
        <v>4748</v>
      </c>
      <c r="L1505" s="2" t="s">
        <v>77</v>
      </c>
      <c r="M1505" s="2" t="s">
        <v>3228</v>
      </c>
      <c r="N1505" s="16">
        <v>2.75E-2</v>
      </c>
      <c r="O1505" s="17">
        <f>N1505*'Financial Inputs'!$B$3</f>
        <v>2750000</v>
      </c>
      <c r="P1505" s="18">
        <f>IF(I1505="L",'Financial Inputs'!$B$4,IF(I1505="M",'Financial Inputs'!$B$5,'Financial Inputs'!$B$6))</f>
        <v>0.7</v>
      </c>
      <c r="Q1505" s="17">
        <f>O1505*P1505</f>
        <v>1924999.9999999998</v>
      </c>
      <c r="R1505" s="16">
        <f>'Financial Inputs'!$B$7</f>
        <v>0.35</v>
      </c>
      <c r="S1505" s="17">
        <f>Q1505*(1-R1505)</f>
        <v>1251250</v>
      </c>
      <c r="T1505" s="18">
        <f>S1505/'Financial Inputs'!$B$3</f>
        <v>1.2512499999999999E-2</v>
      </c>
      <c r="U1505" s="9" t="s">
        <v>52</v>
      </c>
      <c r="V1505" s="3" t="s">
        <v>53</v>
      </c>
    </row>
    <row r="1506" spans="1:22">
      <c r="A1506" s="2" t="s">
        <v>4749</v>
      </c>
      <c r="B1506" s="2" t="s">
        <v>4750</v>
      </c>
      <c r="C1506" s="2" t="s">
        <v>4737</v>
      </c>
      <c r="D1506" s="2" t="s">
        <v>80</v>
      </c>
      <c r="E1506" s="2" t="s">
        <v>81</v>
      </c>
      <c r="F1506" s="2" t="s">
        <v>82</v>
      </c>
      <c r="G1506" s="2" t="s">
        <v>83</v>
      </c>
      <c r="H1506" s="2" t="s">
        <v>498</v>
      </c>
      <c r="I1506" s="2" t="s">
        <v>499</v>
      </c>
      <c r="J1506" s="2" t="s">
        <v>4738</v>
      </c>
      <c r="K1506" s="2" t="s">
        <v>4751</v>
      </c>
      <c r="L1506" s="2" t="s">
        <v>85</v>
      </c>
      <c r="M1506" s="2" t="s">
        <v>3228</v>
      </c>
      <c r="N1506" s="16">
        <v>3.0000000000000009E-2</v>
      </c>
      <c r="O1506" s="17">
        <f>N1506*'Financial Inputs'!$B$3</f>
        <v>3000000.0000000009</v>
      </c>
      <c r="P1506" s="18">
        <f>IF(I1506="L",'Financial Inputs'!$B$4,IF(I1506="M",'Financial Inputs'!$B$5,'Financial Inputs'!$B$6))</f>
        <v>0.7</v>
      </c>
      <c r="Q1506" s="17">
        <f>O1506*P1506</f>
        <v>2100000.0000000005</v>
      </c>
      <c r="R1506" s="16">
        <f>'Financial Inputs'!$B$7</f>
        <v>0.35</v>
      </c>
      <c r="S1506" s="17">
        <f>Q1506*(1-R1506)</f>
        <v>1365000.0000000005</v>
      </c>
      <c r="T1506" s="18">
        <f>S1506/'Financial Inputs'!$B$3</f>
        <v>1.3650000000000004E-2</v>
      </c>
      <c r="U1506" s="9" t="s">
        <v>52</v>
      </c>
      <c r="V1506" s="3" t="s">
        <v>53</v>
      </c>
    </row>
    <row r="1507" spans="1:22">
      <c r="A1507" s="2" t="s">
        <v>4752</v>
      </c>
      <c r="B1507" s="2" t="s">
        <v>4753</v>
      </c>
      <c r="C1507" s="2" t="s">
        <v>4737</v>
      </c>
      <c r="D1507" s="2" t="s">
        <v>88</v>
      </c>
      <c r="E1507" s="2" t="s">
        <v>89</v>
      </c>
      <c r="F1507" s="2" t="s">
        <v>90</v>
      </c>
      <c r="G1507" s="2" t="s">
        <v>67</v>
      </c>
      <c r="H1507" s="2" t="s">
        <v>498</v>
      </c>
      <c r="I1507" s="2" t="s">
        <v>499</v>
      </c>
      <c r="J1507" s="2" t="s">
        <v>4738</v>
      </c>
      <c r="K1507" s="2" t="s">
        <v>4754</v>
      </c>
      <c r="L1507" s="2" t="s">
        <v>92</v>
      </c>
      <c r="M1507" s="2" t="s">
        <v>3228</v>
      </c>
      <c r="N1507" s="16">
        <v>0.02</v>
      </c>
      <c r="O1507" s="17">
        <f>N1507*'Financial Inputs'!$B$3</f>
        <v>2000000</v>
      </c>
      <c r="P1507" s="18">
        <f>IF(I1507="L",'Financial Inputs'!$B$4,IF(I1507="M",'Financial Inputs'!$B$5,'Financial Inputs'!$B$6))</f>
        <v>0.7</v>
      </c>
      <c r="Q1507" s="17">
        <f>O1507*P1507</f>
        <v>1400000</v>
      </c>
      <c r="R1507" s="16">
        <f>'Financial Inputs'!$B$7</f>
        <v>0.35</v>
      </c>
      <c r="S1507" s="17">
        <f>Q1507*(1-R1507)</f>
        <v>910000</v>
      </c>
      <c r="T1507" s="18">
        <f>S1507/'Financial Inputs'!$B$3</f>
        <v>9.1000000000000004E-3</v>
      </c>
      <c r="U1507" s="9" t="s">
        <v>52</v>
      </c>
      <c r="V1507" s="3" t="s">
        <v>53</v>
      </c>
    </row>
    <row r="1508" spans="1:22">
      <c r="A1508" s="2" t="s">
        <v>4755</v>
      </c>
      <c r="B1508" s="2" t="s">
        <v>4756</v>
      </c>
      <c r="C1508" s="2" t="s">
        <v>4737</v>
      </c>
      <c r="D1508" s="2" t="s">
        <v>95</v>
      </c>
      <c r="E1508" s="2" t="s">
        <v>96</v>
      </c>
      <c r="F1508" s="2" t="s">
        <v>97</v>
      </c>
      <c r="G1508" s="2" t="s">
        <v>75</v>
      </c>
      <c r="H1508" s="2" t="s">
        <v>498</v>
      </c>
      <c r="I1508" s="2" t="s">
        <v>499</v>
      </c>
      <c r="J1508" s="2" t="s">
        <v>4738</v>
      </c>
      <c r="K1508" s="2" t="s">
        <v>4757</v>
      </c>
      <c r="L1508" s="2" t="s">
        <v>99</v>
      </c>
      <c r="M1508" s="2" t="s">
        <v>3228</v>
      </c>
      <c r="N1508" s="16">
        <v>2.2499999999999999E-2</v>
      </c>
      <c r="O1508" s="17">
        <f>N1508*'Financial Inputs'!$B$3</f>
        <v>2250000</v>
      </c>
      <c r="P1508" s="18">
        <f>IF(I1508="L",'Financial Inputs'!$B$4,IF(I1508="M",'Financial Inputs'!$B$5,'Financial Inputs'!$B$6))</f>
        <v>0.7</v>
      </c>
      <c r="Q1508" s="17">
        <f>O1508*P1508</f>
        <v>1575000</v>
      </c>
      <c r="R1508" s="16">
        <f>'Financial Inputs'!$B$7</f>
        <v>0.35</v>
      </c>
      <c r="S1508" s="17">
        <f>Q1508*(1-R1508)</f>
        <v>1023750</v>
      </c>
      <c r="T1508" s="18">
        <f>S1508/'Financial Inputs'!$B$3</f>
        <v>1.02375E-2</v>
      </c>
      <c r="U1508" s="9" t="s">
        <v>52</v>
      </c>
      <c r="V1508" s="3" t="s">
        <v>53</v>
      </c>
    </row>
    <row r="1509" spans="1:22">
      <c r="A1509" s="2" t="s">
        <v>4758</v>
      </c>
      <c r="B1509" s="2" t="s">
        <v>4759</v>
      </c>
      <c r="C1509" s="2" t="s">
        <v>4737</v>
      </c>
      <c r="D1509" s="2" t="s">
        <v>102</v>
      </c>
      <c r="E1509" s="2" t="s">
        <v>103</v>
      </c>
      <c r="F1509" s="2" t="s">
        <v>104</v>
      </c>
      <c r="G1509" s="2" t="s">
        <v>83</v>
      </c>
      <c r="H1509" s="2" t="s">
        <v>498</v>
      </c>
      <c r="I1509" s="2" t="s">
        <v>499</v>
      </c>
      <c r="J1509" s="2" t="s">
        <v>4738</v>
      </c>
      <c r="K1509" s="2" t="s">
        <v>4760</v>
      </c>
      <c r="L1509" s="2" t="s">
        <v>106</v>
      </c>
      <c r="M1509" s="2" t="s">
        <v>3228</v>
      </c>
      <c r="N1509" s="16">
        <v>2.5000000000000001E-2</v>
      </c>
      <c r="O1509" s="17">
        <f>N1509*'Financial Inputs'!$B$3</f>
        <v>2500000</v>
      </c>
      <c r="P1509" s="18">
        <f>IF(I1509="L",'Financial Inputs'!$B$4,IF(I1509="M",'Financial Inputs'!$B$5,'Financial Inputs'!$B$6))</f>
        <v>0.7</v>
      </c>
      <c r="Q1509" s="17">
        <f>O1509*P1509</f>
        <v>1750000</v>
      </c>
      <c r="R1509" s="16">
        <f>'Financial Inputs'!$B$7</f>
        <v>0.35</v>
      </c>
      <c r="S1509" s="17">
        <f>Q1509*(1-R1509)</f>
        <v>1137500</v>
      </c>
      <c r="T1509" s="18">
        <f>S1509/'Financial Inputs'!$B$3</f>
        <v>1.1375E-2</v>
      </c>
      <c r="U1509" s="9" t="s">
        <v>52</v>
      </c>
      <c r="V1509" s="3" t="s">
        <v>53</v>
      </c>
    </row>
    <row r="1510" spans="1:22">
      <c r="A1510" s="2" t="s">
        <v>4761</v>
      </c>
      <c r="B1510" s="2" t="s">
        <v>4762</v>
      </c>
      <c r="C1510" s="2" t="s">
        <v>4737</v>
      </c>
      <c r="D1510" s="2" t="s">
        <v>42</v>
      </c>
      <c r="E1510" s="2" t="s">
        <v>109</v>
      </c>
      <c r="F1510" s="2" t="s">
        <v>110</v>
      </c>
      <c r="G1510" s="2" t="s">
        <v>111</v>
      </c>
      <c r="H1510" s="2" t="s">
        <v>498</v>
      </c>
      <c r="I1510" s="2" t="s">
        <v>499</v>
      </c>
      <c r="J1510" s="2" t="s">
        <v>4738</v>
      </c>
      <c r="K1510" s="2" t="s">
        <v>4763</v>
      </c>
      <c r="L1510" s="2" t="s">
        <v>113</v>
      </c>
      <c r="M1510" s="2" t="s">
        <v>3228</v>
      </c>
      <c r="N1510" s="16">
        <v>2.75E-2</v>
      </c>
      <c r="O1510" s="17">
        <f>N1510*'Financial Inputs'!$B$3</f>
        <v>2750000</v>
      </c>
      <c r="P1510" s="18">
        <f>IF(I1510="L",'Financial Inputs'!$B$4,IF(I1510="M",'Financial Inputs'!$B$5,'Financial Inputs'!$B$6))</f>
        <v>0.7</v>
      </c>
      <c r="Q1510" s="17">
        <f>O1510*P1510</f>
        <v>1924999.9999999998</v>
      </c>
      <c r="R1510" s="16">
        <f>'Financial Inputs'!$B$7</f>
        <v>0.35</v>
      </c>
      <c r="S1510" s="17">
        <f>Q1510*(1-R1510)</f>
        <v>1251250</v>
      </c>
      <c r="T1510" s="18">
        <f>S1510/'Financial Inputs'!$B$3</f>
        <v>1.2512499999999999E-2</v>
      </c>
      <c r="U1510" s="9" t="s">
        <v>52</v>
      </c>
      <c r="V1510" s="3" t="s">
        <v>53</v>
      </c>
    </row>
    <row r="1511" spans="1:22">
      <c r="A1511" s="2" t="s">
        <v>4764</v>
      </c>
      <c r="B1511" s="2" t="s">
        <v>4765</v>
      </c>
      <c r="C1511" s="2" t="s">
        <v>4737</v>
      </c>
      <c r="D1511" s="2" t="s">
        <v>56</v>
      </c>
      <c r="E1511" s="2" t="s">
        <v>116</v>
      </c>
      <c r="F1511" s="2" t="s">
        <v>117</v>
      </c>
      <c r="G1511" s="2" t="s">
        <v>56</v>
      </c>
      <c r="H1511" s="2" t="s">
        <v>498</v>
      </c>
      <c r="I1511" s="2" t="s">
        <v>499</v>
      </c>
      <c r="J1511" s="2" t="s">
        <v>4738</v>
      </c>
      <c r="K1511" s="2" t="s">
        <v>4766</v>
      </c>
      <c r="L1511" s="2" t="s">
        <v>119</v>
      </c>
      <c r="M1511" s="2" t="s">
        <v>3228</v>
      </c>
      <c r="N1511" s="16">
        <v>3.0000000000000009E-2</v>
      </c>
      <c r="O1511" s="17">
        <f>N1511*'Financial Inputs'!$B$3</f>
        <v>3000000.0000000009</v>
      </c>
      <c r="P1511" s="18">
        <f>IF(I1511="L",'Financial Inputs'!$B$4,IF(I1511="M",'Financial Inputs'!$B$5,'Financial Inputs'!$B$6))</f>
        <v>0.7</v>
      </c>
      <c r="Q1511" s="17">
        <f>O1511*P1511</f>
        <v>2100000.0000000005</v>
      </c>
      <c r="R1511" s="16">
        <f>'Financial Inputs'!$B$7</f>
        <v>0.35</v>
      </c>
      <c r="S1511" s="17">
        <f>Q1511*(1-R1511)</f>
        <v>1365000.0000000005</v>
      </c>
      <c r="T1511" s="18">
        <f>S1511/'Financial Inputs'!$B$3</f>
        <v>1.3650000000000004E-2</v>
      </c>
      <c r="U1511" s="9" t="s">
        <v>52</v>
      </c>
      <c r="V1511" s="3" t="s">
        <v>53</v>
      </c>
    </row>
    <row r="1512" spans="1:22">
      <c r="A1512" s="2" t="s">
        <v>4767</v>
      </c>
      <c r="B1512" s="2" t="s">
        <v>4768</v>
      </c>
      <c r="C1512" s="2" t="s">
        <v>4737</v>
      </c>
      <c r="D1512" s="2" t="s">
        <v>80</v>
      </c>
      <c r="E1512" s="2" t="s">
        <v>122</v>
      </c>
      <c r="F1512" s="2" t="s">
        <v>58</v>
      </c>
      <c r="G1512" s="2" t="s">
        <v>83</v>
      </c>
      <c r="H1512" s="2" t="s">
        <v>498</v>
      </c>
      <c r="I1512" s="2" t="s">
        <v>499</v>
      </c>
      <c r="J1512" s="2" t="s">
        <v>4738</v>
      </c>
      <c r="K1512" s="2" t="s">
        <v>4769</v>
      </c>
      <c r="L1512" s="2" t="s">
        <v>124</v>
      </c>
      <c r="M1512" s="2" t="s">
        <v>3228</v>
      </c>
      <c r="N1512" s="16">
        <v>0.02</v>
      </c>
      <c r="O1512" s="17">
        <f>N1512*'Financial Inputs'!$B$3</f>
        <v>2000000</v>
      </c>
      <c r="P1512" s="18">
        <f>IF(I1512="L",'Financial Inputs'!$B$4,IF(I1512="M",'Financial Inputs'!$B$5,'Financial Inputs'!$B$6))</f>
        <v>0.7</v>
      </c>
      <c r="Q1512" s="17">
        <f>O1512*P1512</f>
        <v>1400000</v>
      </c>
      <c r="R1512" s="16">
        <f>'Financial Inputs'!$B$7</f>
        <v>0.35</v>
      </c>
      <c r="S1512" s="17">
        <f>Q1512*(1-R1512)</f>
        <v>910000</v>
      </c>
      <c r="T1512" s="18">
        <f>S1512/'Financial Inputs'!$B$3</f>
        <v>9.1000000000000004E-3</v>
      </c>
      <c r="U1512" s="9" t="s">
        <v>52</v>
      </c>
      <c r="V1512" s="3" t="s">
        <v>53</v>
      </c>
    </row>
    <row r="1513" spans="1:22">
      <c r="A1513" s="2" t="s">
        <v>4770</v>
      </c>
      <c r="B1513" s="2" t="s">
        <v>4771</v>
      </c>
      <c r="C1513" s="2" t="s">
        <v>4737</v>
      </c>
      <c r="D1513" s="2" t="s">
        <v>127</v>
      </c>
      <c r="E1513" s="2" t="s">
        <v>128</v>
      </c>
      <c r="F1513" s="2" t="s">
        <v>66</v>
      </c>
      <c r="G1513" s="2" t="s">
        <v>111</v>
      </c>
      <c r="H1513" s="2" t="s">
        <v>498</v>
      </c>
      <c r="I1513" s="2" t="s">
        <v>499</v>
      </c>
      <c r="J1513" s="2" t="s">
        <v>4738</v>
      </c>
      <c r="K1513" s="2" t="s">
        <v>4772</v>
      </c>
      <c r="L1513" s="2" t="s">
        <v>130</v>
      </c>
      <c r="M1513" s="2" t="s">
        <v>3228</v>
      </c>
      <c r="N1513" s="16">
        <v>2.2499999999999999E-2</v>
      </c>
      <c r="O1513" s="17">
        <f>N1513*'Financial Inputs'!$B$3</f>
        <v>2250000</v>
      </c>
      <c r="P1513" s="18">
        <f>IF(I1513="L",'Financial Inputs'!$B$4,IF(I1513="M",'Financial Inputs'!$B$5,'Financial Inputs'!$B$6))</f>
        <v>0.7</v>
      </c>
      <c r="Q1513" s="17">
        <f>O1513*P1513</f>
        <v>1575000</v>
      </c>
      <c r="R1513" s="16">
        <f>'Financial Inputs'!$B$7</f>
        <v>0.35</v>
      </c>
      <c r="S1513" s="17">
        <f>Q1513*(1-R1513)</f>
        <v>1023750</v>
      </c>
      <c r="T1513" s="18">
        <f>S1513/'Financial Inputs'!$B$3</f>
        <v>1.02375E-2</v>
      </c>
      <c r="U1513" s="9" t="s">
        <v>52</v>
      </c>
      <c r="V1513" s="3" t="s">
        <v>53</v>
      </c>
    </row>
    <row r="1514" spans="1:22">
      <c r="A1514" s="2" t="s">
        <v>4773</v>
      </c>
      <c r="B1514" s="2" t="s">
        <v>4774</v>
      </c>
      <c r="C1514" s="2" t="s">
        <v>4737</v>
      </c>
      <c r="D1514" s="2" t="s">
        <v>133</v>
      </c>
      <c r="E1514" s="2" t="s">
        <v>43</v>
      </c>
      <c r="F1514" s="2" t="s">
        <v>74</v>
      </c>
      <c r="G1514" s="2" t="s">
        <v>56</v>
      </c>
      <c r="H1514" s="2" t="s">
        <v>498</v>
      </c>
      <c r="I1514" s="2" t="s">
        <v>499</v>
      </c>
      <c r="J1514" s="2" t="s">
        <v>4738</v>
      </c>
      <c r="K1514" s="2" t="s">
        <v>4775</v>
      </c>
      <c r="L1514" s="2" t="s">
        <v>135</v>
      </c>
      <c r="M1514" s="2" t="s">
        <v>3228</v>
      </c>
      <c r="N1514" s="16">
        <v>2.5000000000000001E-2</v>
      </c>
      <c r="O1514" s="17">
        <f>N1514*'Financial Inputs'!$B$3</f>
        <v>2500000</v>
      </c>
      <c r="P1514" s="18">
        <f>IF(I1514="L",'Financial Inputs'!$B$4,IF(I1514="M",'Financial Inputs'!$B$5,'Financial Inputs'!$B$6))</f>
        <v>0.7</v>
      </c>
      <c r="Q1514" s="17">
        <f>O1514*P1514</f>
        <v>1750000</v>
      </c>
      <c r="R1514" s="16">
        <f>'Financial Inputs'!$B$7</f>
        <v>0.35</v>
      </c>
      <c r="S1514" s="17">
        <f>Q1514*(1-R1514)</f>
        <v>1137500</v>
      </c>
      <c r="T1514" s="18">
        <f>S1514/'Financial Inputs'!$B$3</f>
        <v>1.1375E-2</v>
      </c>
      <c r="U1514" s="9" t="s">
        <v>52</v>
      </c>
      <c r="V1514" s="3" t="s">
        <v>53</v>
      </c>
    </row>
    <row r="1515" spans="1:22">
      <c r="A1515" s="2" t="s">
        <v>4776</v>
      </c>
      <c r="B1515" s="2" t="s">
        <v>4777</v>
      </c>
      <c r="C1515" s="2" t="s">
        <v>4737</v>
      </c>
      <c r="D1515" s="2" t="s">
        <v>88</v>
      </c>
      <c r="E1515" s="2" t="s">
        <v>57</v>
      </c>
      <c r="F1515" s="2" t="s">
        <v>82</v>
      </c>
      <c r="G1515" s="2" t="s">
        <v>138</v>
      </c>
      <c r="H1515" s="2" t="s">
        <v>498</v>
      </c>
      <c r="I1515" s="2" t="s">
        <v>499</v>
      </c>
      <c r="J1515" s="2" t="s">
        <v>4738</v>
      </c>
      <c r="K1515" s="2" t="s">
        <v>4778</v>
      </c>
      <c r="L1515" s="2" t="s">
        <v>140</v>
      </c>
      <c r="M1515" s="2" t="s">
        <v>3228</v>
      </c>
      <c r="N1515" s="16">
        <v>2.75E-2</v>
      </c>
      <c r="O1515" s="17">
        <f>N1515*'Financial Inputs'!$B$3</f>
        <v>2750000</v>
      </c>
      <c r="P1515" s="18">
        <f>IF(I1515="L",'Financial Inputs'!$B$4,IF(I1515="M",'Financial Inputs'!$B$5,'Financial Inputs'!$B$6))</f>
        <v>0.7</v>
      </c>
      <c r="Q1515" s="17">
        <f>O1515*P1515</f>
        <v>1924999.9999999998</v>
      </c>
      <c r="R1515" s="16">
        <f>'Financial Inputs'!$B$7</f>
        <v>0.35</v>
      </c>
      <c r="S1515" s="17">
        <f>Q1515*(1-R1515)</f>
        <v>1251250</v>
      </c>
      <c r="T1515" s="18">
        <f>S1515/'Financial Inputs'!$B$3</f>
        <v>1.2512499999999999E-2</v>
      </c>
      <c r="U1515" s="9" t="s">
        <v>52</v>
      </c>
      <c r="V1515" s="3" t="s">
        <v>53</v>
      </c>
    </row>
    <row r="1516" spans="1:22">
      <c r="A1516" s="2" t="s">
        <v>4779</v>
      </c>
      <c r="B1516" s="2" t="s">
        <v>4780</v>
      </c>
      <c r="C1516" s="2" t="s">
        <v>4737</v>
      </c>
      <c r="D1516" s="2" t="s">
        <v>95</v>
      </c>
      <c r="E1516" s="2" t="s">
        <v>65</v>
      </c>
      <c r="F1516" s="2" t="s">
        <v>44</v>
      </c>
      <c r="G1516" s="2" t="s">
        <v>143</v>
      </c>
      <c r="H1516" s="2" t="s">
        <v>498</v>
      </c>
      <c r="I1516" s="2" t="s">
        <v>499</v>
      </c>
      <c r="J1516" s="2" t="s">
        <v>4738</v>
      </c>
      <c r="K1516" s="2" t="s">
        <v>4781</v>
      </c>
      <c r="L1516" s="2" t="s">
        <v>145</v>
      </c>
      <c r="M1516" s="2" t="s">
        <v>3228</v>
      </c>
      <c r="N1516" s="16">
        <v>3.0000000000000009E-2</v>
      </c>
      <c r="O1516" s="17">
        <f>N1516*'Financial Inputs'!$B$3</f>
        <v>3000000.0000000009</v>
      </c>
      <c r="P1516" s="18">
        <f>IF(I1516="L",'Financial Inputs'!$B$4,IF(I1516="M",'Financial Inputs'!$B$5,'Financial Inputs'!$B$6))</f>
        <v>0.7</v>
      </c>
      <c r="Q1516" s="17">
        <f>O1516*P1516</f>
        <v>2100000.0000000005</v>
      </c>
      <c r="R1516" s="16">
        <f>'Financial Inputs'!$B$7</f>
        <v>0.35</v>
      </c>
      <c r="S1516" s="17">
        <f>Q1516*(1-R1516)</f>
        <v>1365000.0000000005</v>
      </c>
      <c r="T1516" s="18">
        <f>S1516/'Financial Inputs'!$B$3</f>
        <v>1.3650000000000004E-2</v>
      </c>
      <c r="U1516" s="9" t="s">
        <v>52</v>
      </c>
      <c r="V1516" s="3" t="s">
        <v>53</v>
      </c>
    </row>
    <row r="1517" spans="1:22">
      <c r="A1517" s="2" t="s">
        <v>4782</v>
      </c>
      <c r="B1517" s="2" t="s">
        <v>4783</v>
      </c>
      <c r="C1517" s="2" t="s">
        <v>4737</v>
      </c>
      <c r="D1517" s="2" t="s">
        <v>56</v>
      </c>
      <c r="E1517" s="2" t="s">
        <v>148</v>
      </c>
      <c r="F1517" s="2" t="s">
        <v>97</v>
      </c>
      <c r="G1517" s="2" t="s">
        <v>56</v>
      </c>
      <c r="H1517" s="2" t="s">
        <v>498</v>
      </c>
      <c r="I1517" s="2" t="s">
        <v>499</v>
      </c>
      <c r="J1517" s="2" t="s">
        <v>4738</v>
      </c>
      <c r="K1517" s="2" t="s">
        <v>4784</v>
      </c>
      <c r="L1517" s="2" t="s">
        <v>150</v>
      </c>
      <c r="M1517" s="2" t="s">
        <v>3228</v>
      </c>
      <c r="N1517" s="16">
        <v>0.02</v>
      </c>
      <c r="O1517" s="17">
        <f>N1517*'Financial Inputs'!$B$3</f>
        <v>2000000</v>
      </c>
      <c r="P1517" s="18">
        <f>IF(I1517="L",'Financial Inputs'!$B$4,IF(I1517="M",'Financial Inputs'!$B$5,'Financial Inputs'!$B$6))</f>
        <v>0.7</v>
      </c>
      <c r="Q1517" s="17">
        <f>O1517*P1517</f>
        <v>1400000</v>
      </c>
      <c r="R1517" s="16">
        <f>'Financial Inputs'!$B$7</f>
        <v>0.35</v>
      </c>
      <c r="S1517" s="17">
        <f>Q1517*(1-R1517)</f>
        <v>910000</v>
      </c>
      <c r="T1517" s="18">
        <f>S1517/'Financial Inputs'!$B$3</f>
        <v>9.1000000000000004E-3</v>
      </c>
      <c r="U1517" s="9" t="s">
        <v>52</v>
      </c>
      <c r="V1517" s="3" t="s">
        <v>53</v>
      </c>
    </row>
    <row r="1518" spans="1:22">
      <c r="A1518" s="2" t="s">
        <v>4785</v>
      </c>
      <c r="B1518" s="2" t="s">
        <v>4786</v>
      </c>
      <c r="C1518" s="2" t="s">
        <v>4737</v>
      </c>
      <c r="D1518" s="2" t="s">
        <v>64</v>
      </c>
      <c r="E1518" s="2" t="s">
        <v>153</v>
      </c>
      <c r="F1518" s="2" t="s">
        <v>104</v>
      </c>
      <c r="G1518" s="2" t="s">
        <v>138</v>
      </c>
      <c r="H1518" s="2" t="s">
        <v>498</v>
      </c>
      <c r="I1518" s="2" t="s">
        <v>499</v>
      </c>
      <c r="J1518" s="2" t="s">
        <v>4738</v>
      </c>
      <c r="K1518" s="2" t="s">
        <v>4787</v>
      </c>
      <c r="L1518" s="2" t="s">
        <v>155</v>
      </c>
      <c r="M1518" s="2" t="s">
        <v>3228</v>
      </c>
      <c r="N1518" s="16">
        <v>2.2499999999999999E-2</v>
      </c>
      <c r="O1518" s="17">
        <f>N1518*'Financial Inputs'!$B$3</f>
        <v>2250000</v>
      </c>
      <c r="P1518" s="18">
        <f>IF(I1518="L",'Financial Inputs'!$B$4,IF(I1518="M",'Financial Inputs'!$B$5,'Financial Inputs'!$B$6))</f>
        <v>0.7</v>
      </c>
      <c r="Q1518" s="17">
        <f>O1518*P1518</f>
        <v>1575000</v>
      </c>
      <c r="R1518" s="16">
        <f>'Financial Inputs'!$B$7</f>
        <v>0.35</v>
      </c>
      <c r="S1518" s="17">
        <f>Q1518*(1-R1518)</f>
        <v>1023750</v>
      </c>
      <c r="T1518" s="18">
        <f>S1518/'Financial Inputs'!$B$3</f>
        <v>1.02375E-2</v>
      </c>
      <c r="U1518" s="9" t="s">
        <v>52</v>
      </c>
      <c r="V1518" s="3" t="s">
        <v>53</v>
      </c>
    </row>
    <row r="1519" spans="1:22">
      <c r="A1519" s="2" t="s">
        <v>4788</v>
      </c>
      <c r="B1519" s="2" t="s">
        <v>4789</v>
      </c>
      <c r="C1519" s="2" t="s">
        <v>4737</v>
      </c>
      <c r="D1519" s="2" t="s">
        <v>72</v>
      </c>
      <c r="E1519" s="2" t="s">
        <v>89</v>
      </c>
      <c r="F1519" s="2" t="s">
        <v>110</v>
      </c>
      <c r="G1519" s="2" t="s">
        <v>143</v>
      </c>
      <c r="H1519" s="2" t="s">
        <v>498</v>
      </c>
      <c r="I1519" s="2" t="s">
        <v>499</v>
      </c>
      <c r="J1519" s="2" t="s">
        <v>4738</v>
      </c>
      <c r="K1519" s="2" t="s">
        <v>4790</v>
      </c>
      <c r="L1519" s="2" t="s">
        <v>159</v>
      </c>
      <c r="M1519" s="2" t="s">
        <v>3228</v>
      </c>
      <c r="N1519" s="16">
        <v>2.5000000000000001E-2</v>
      </c>
      <c r="O1519" s="17">
        <f>N1519*'Financial Inputs'!$B$3</f>
        <v>2500000</v>
      </c>
      <c r="P1519" s="18">
        <f>IF(I1519="L",'Financial Inputs'!$B$4,IF(I1519="M",'Financial Inputs'!$B$5,'Financial Inputs'!$B$6))</f>
        <v>0.7</v>
      </c>
      <c r="Q1519" s="17">
        <f>O1519*P1519</f>
        <v>1750000</v>
      </c>
      <c r="R1519" s="16">
        <f>'Financial Inputs'!$B$7</f>
        <v>0.35</v>
      </c>
      <c r="S1519" s="17">
        <f>Q1519*(1-R1519)</f>
        <v>1137500</v>
      </c>
      <c r="T1519" s="18">
        <f>S1519/'Financial Inputs'!$B$3</f>
        <v>1.1375E-2</v>
      </c>
      <c r="U1519" s="9" t="s">
        <v>52</v>
      </c>
      <c r="V1519" s="3" t="s">
        <v>53</v>
      </c>
    </row>
    <row r="1520" spans="1:22">
      <c r="A1520" s="2" t="s">
        <v>4791</v>
      </c>
      <c r="B1520" s="2" t="s">
        <v>4792</v>
      </c>
      <c r="C1520" s="2" t="s">
        <v>4737</v>
      </c>
      <c r="D1520" s="2" t="s">
        <v>80</v>
      </c>
      <c r="E1520" s="2" t="s">
        <v>96</v>
      </c>
      <c r="F1520" s="2" t="s">
        <v>117</v>
      </c>
      <c r="G1520" s="2" t="s">
        <v>162</v>
      </c>
      <c r="H1520" s="2" t="s">
        <v>498</v>
      </c>
      <c r="I1520" s="2" t="s">
        <v>499</v>
      </c>
      <c r="J1520" s="2" t="s">
        <v>4738</v>
      </c>
      <c r="K1520" s="2" t="s">
        <v>4793</v>
      </c>
      <c r="L1520" s="2" t="s">
        <v>164</v>
      </c>
      <c r="M1520" s="2" t="s">
        <v>3228</v>
      </c>
      <c r="N1520" s="16">
        <v>2.75E-2</v>
      </c>
      <c r="O1520" s="17">
        <f>N1520*'Financial Inputs'!$B$3</f>
        <v>2750000</v>
      </c>
      <c r="P1520" s="18">
        <f>IF(I1520="L",'Financial Inputs'!$B$4,IF(I1520="M",'Financial Inputs'!$B$5,'Financial Inputs'!$B$6))</f>
        <v>0.7</v>
      </c>
      <c r="Q1520" s="17">
        <f>O1520*P1520</f>
        <v>1924999.9999999998</v>
      </c>
      <c r="R1520" s="16">
        <f>'Financial Inputs'!$B$7</f>
        <v>0.35</v>
      </c>
      <c r="S1520" s="17">
        <f>Q1520*(1-R1520)</f>
        <v>1251250</v>
      </c>
      <c r="T1520" s="18">
        <f>S1520/'Financial Inputs'!$B$3</f>
        <v>1.2512499999999999E-2</v>
      </c>
      <c r="U1520" s="9" t="s">
        <v>52</v>
      </c>
      <c r="V1520" s="3" t="s">
        <v>53</v>
      </c>
    </row>
    <row r="1521" spans="1:22">
      <c r="A1521" s="2" t="s">
        <v>4794</v>
      </c>
      <c r="B1521" s="2" t="s">
        <v>4795</v>
      </c>
      <c r="C1521" s="2" t="s">
        <v>4737</v>
      </c>
      <c r="D1521" s="2" t="s">
        <v>127</v>
      </c>
      <c r="E1521" s="2" t="s">
        <v>103</v>
      </c>
      <c r="F1521" s="2" t="s">
        <v>90</v>
      </c>
      <c r="G1521" s="2" t="s">
        <v>45</v>
      </c>
      <c r="H1521" s="2" t="s">
        <v>498</v>
      </c>
      <c r="I1521" s="2" t="s">
        <v>499</v>
      </c>
      <c r="J1521" s="2" t="s">
        <v>4738</v>
      </c>
      <c r="K1521" s="2" t="s">
        <v>4796</v>
      </c>
      <c r="L1521" s="2" t="s">
        <v>168</v>
      </c>
      <c r="M1521" s="2" t="s">
        <v>3228</v>
      </c>
      <c r="N1521" s="16">
        <v>3.0000000000000009E-2</v>
      </c>
      <c r="O1521" s="17">
        <f>N1521*'Financial Inputs'!$B$3</f>
        <v>3000000.0000000009</v>
      </c>
      <c r="P1521" s="18">
        <f>IF(I1521="L",'Financial Inputs'!$B$4,IF(I1521="M",'Financial Inputs'!$B$5,'Financial Inputs'!$B$6))</f>
        <v>0.7</v>
      </c>
      <c r="Q1521" s="17">
        <f>O1521*P1521</f>
        <v>2100000.0000000005</v>
      </c>
      <c r="R1521" s="16">
        <f>'Financial Inputs'!$B$7</f>
        <v>0.35</v>
      </c>
      <c r="S1521" s="17">
        <f>Q1521*(1-R1521)</f>
        <v>1365000.0000000005</v>
      </c>
      <c r="T1521" s="18">
        <f>S1521/'Financial Inputs'!$B$3</f>
        <v>1.3650000000000004E-2</v>
      </c>
      <c r="U1521" s="9" t="s">
        <v>52</v>
      </c>
      <c r="V1521" s="3" t="s">
        <v>53</v>
      </c>
    </row>
    <row r="1522" spans="1:22">
      <c r="A1522" s="2" t="s">
        <v>4797</v>
      </c>
      <c r="B1522" s="2" t="s">
        <v>4798</v>
      </c>
      <c r="C1522" s="2" t="s">
        <v>4737</v>
      </c>
      <c r="D1522" s="2" t="s">
        <v>95</v>
      </c>
      <c r="E1522" s="2" t="s">
        <v>171</v>
      </c>
      <c r="F1522" s="2" t="s">
        <v>66</v>
      </c>
      <c r="G1522" s="2" t="s">
        <v>143</v>
      </c>
      <c r="H1522" s="2" t="s">
        <v>498</v>
      </c>
      <c r="I1522" s="2" t="s">
        <v>499</v>
      </c>
      <c r="J1522" s="2" t="s">
        <v>4738</v>
      </c>
      <c r="K1522" s="2" t="s">
        <v>4799</v>
      </c>
      <c r="L1522" s="2" t="s">
        <v>173</v>
      </c>
      <c r="M1522" s="2" t="s">
        <v>3228</v>
      </c>
      <c r="N1522" s="16">
        <v>0.02</v>
      </c>
      <c r="O1522" s="17">
        <f>N1522*'Financial Inputs'!$B$3</f>
        <v>2000000</v>
      </c>
      <c r="P1522" s="18">
        <f>IF(I1522="L",'Financial Inputs'!$B$4,IF(I1522="M",'Financial Inputs'!$B$5,'Financial Inputs'!$B$6))</f>
        <v>0.7</v>
      </c>
      <c r="Q1522" s="17">
        <f>O1522*P1522</f>
        <v>1400000</v>
      </c>
      <c r="R1522" s="16">
        <f>'Financial Inputs'!$B$7</f>
        <v>0.35</v>
      </c>
      <c r="S1522" s="17">
        <f>Q1522*(1-R1522)</f>
        <v>910000</v>
      </c>
      <c r="T1522" s="18">
        <f>S1522/'Financial Inputs'!$B$3</f>
        <v>9.1000000000000004E-3</v>
      </c>
      <c r="U1522" s="9" t="s">
        <v>52</v>
      </c>
      <c r="V1522" s="3" t="s">
        <v>53</v>
      </c>
    </row>
    <row r="1523" spans="1:22">
      <c r="A1523" s="2" t="s">
        <v>4800</v>
      </c>
      <c r="B1523" s="2" t="s">
        <v>4801</v>
      </c>
      <c r="C1523" s="2" t="s">
        <v>4737</v>
      </c>
      <c r="D1523" s="2" t="s">
        <v>102</v>
      </c>
      <c r="E1523" s="2" t="s">
        <v>176</v>
      </c>
      <c r="F1523" s="2" t="s">
        <v>74</v>
      </c>
      <c r="G1523" s="2" t="s">
        <v>162</v>
      </c>
      <c r="H1523" s="2" t="s">
        <v>498</v>
      </c>
      <c r="I1523" s="2" t="s">
        <v>499</v>
      </c>
      <c r="J1523" s="2" t="s">
        <v>4738</v>
      </c>
      <c r="K1523" s="2" t="s">
        <v>4802</v>
      </c>
      <c r="L1523" s="2" t="s">
        <v>178</v>
      </c>
      <c r="M1523" s="2" t="s">
        <v>3228</v>
      </c>
      <c r="N1523" s="16">
        <v>2.2499999999999999E-2</v>
      </c>
      <c r="O1523" s="17">
        <f>N1523*'Financial Inputs'!$B$3</f>
        <v>2250000</v>
      </c>
      <c r="P1523" s="18">
        <f>IF(I1523="L",'Financial Inputs'!$B$4,IF(I1523="M",'Financial Inputs'!$B$5,'Financial Inputs'!$B$6))</f>
        <v>0.7</v>
      </c>
      <c r="Q1523" s="17">
        <f>O1523*P1523</f>
        <v>1575000</v>
      </c>
      <c r="R1523" s="16">
        <f>'Financial Inputs'!$B$7</f>
        <v>0.35</v>
      </c>
      <c r="S1523" s="17">
        <f>Q1523*(1-R1523)</f>
        <v>1023750</v>
      </c>
      <c r="T1523" s="18">
        <f>S1523/'Financial Inputs'!$B$3</f>
        <v>1.02375E-2</v>
      </c>
      <c r="U1523" s="9" t="s">
        <v>52</v>
      </c>
      <c r="V1523" s="3" t="s">
        <v>53</v>
      </c>
    </row>
    <row r="1524" spans="1:22">
      <c r="A1524" s="2" t="s">
        <v>4803</v>
      </c>
      <c r="B1524" s="2" t="s">
        <v>4804</v>
      </c>
      <c r="C1524" s="2" t="s">
        <v>4737</v>
      </c>
      <c r="D1524" s="2" t="s">
        <v>42</v>
      </c>
      <c r="E1524" s="2" t="s">
        <v>122</v>
      </c>
      <c r="F1524" s="2" t="s">
        <v>82</v>
      </c>
      <c r="G1524" s="2" t="s">
        <v>45</v>
      </c>
      <c r="H1524" s="2" t="s">
        <v>498</v>
      </c>
      <c r="I1524" s="2" t="s">
        <v>499</v>
      </c>
      <c r="J1524" s="2" t="s">
        <v>4738</v>
      </c>
      <c r="K1524" s="2" t="s">
        <v>4805</v>
      </c>
      <c r="L1524" s="2" t="s">
        <v>182</v>
      </c>
      <c r="M1524" s="2" t="s">
        <v>3228</v>
      </c>
      <c r="N1524" s="16">
        <v>2.5000000000000001E-2</v>
      </c>
      <c r="O1524" s="17">
        <f>N1524*'Financial Inputs'!$B$3</f>
        <v>2500000</v>
      </c>
      <c r="P1524" s="18">
        <f>IF(I1524="L",'Financial Inputs'!$B$4,IF(I1524="M",'Financial Inputs'!$B$5,'Financial Inputs'!$B$6))</f>
        <v>0.7</v>
      </c>
      <c r="Q1524" s="17">
        <f>O1524*P1524</f>
        <v>1750000</v>
      </c>
      <c r="R1524" s="16">
        <f>'Financial Inputs'!$B$7</f>
        <v>0.35</v>
      </c>
      <c r="S1524" s="17">
        <f>Q1524*(1-R1524)</f>
        <v>1137500</v>
      </c>
      <c r="T1524" s="18">
        <f>S1524/'Financial Inputs'!$B$3</f>
        <v>1.1375E-2</v>
      </c>
      <c r="U1524" s="9" t="s">
        <v>52</v>
      </c>
      <c r="V1524" s="3" t="s">
        <v>53</v>
      </c>
    </row>
    <row r="1525" spans="1:22">
      <c r="A1525" s="2" t="s">
        <v>4806</v>
      </c>
      <c r="B1525" s="2" t="s">
        <v>4807</v>
      </c>
      <c r="C1525" s="2" t="s">
        <v>4737</v>
      </c>
      <c r="D1525" s="2" t="s">
        <v>56</v>
      </c>
      <c r="E1525" s="2" t="s">
        <v>128</v>
      </c>
      <c r="F1525" s="2" t="s">
        <v>44</v>
      </c>
      <c r="G1525" s="2" t="s">
        <v>59</v>
      </c>
      <c r="H1525" s="2" t="s">
        <v>498</v>
      </c>
      <c r="I1525" s="2" t="s">
        <v>499</v>
      </c>
      <c r="J1525" s="2" t="s">
        <v>4738</v>
      </c>
      <c r="K1525" s="2" t="s">
        <v>4808</v>
      </c>
      <c r="L1525" s="2" t="s">
        <v>186</v>
      </c>
      <c r="M1525" s="2" t="s">
        <v>3228</v>
      </c>
      <c r="N1525" s="16">
        <v>2.75E-2</v>
      </c>
      <c r="O1525" s="17">
        <f>N1525*'Financial Inputs'!$B$3</f>
        <v>2750000</v>
      </c>
      <c r="P1525" s="18">
        <f>IF(I1525="L",'Financial Inputs'!$B$4,IF(I1525="M",'Financial Inputs'!$B$5,'Financial Inputs'!$B$6))</f>
        <v>0.7</v>
      </c>
      <c r="Q1525" s="17">
        <f>O1525*P1525</f>
        <v>1924999.9999999998</v>
      </c>
      <c r="R1525" s="16">
        <f>'Financial Inputs'!$B$7</f>
        <v>0.35</v>
      </c>
      <c r="S1525" s="17">
        <f>Q1525*(1-R1525)</f>
        <v>1251250</v>
      </c>
      <c r="T1525" s="18">
        <f>S1525/'Financial Inputs'!$B$3</f>
        <v>1.2512499999999999E-2</v>
      </c>
      <c r="U1525" s="9" t="s">
        <v>52</v>
      </c>
      <c r="V1525" s="3" t="s">
        <v>53</v>
      </c>
    </row>
    <row r="1526" spans="1:22">
      <c r="A1526" s="2" t="s">
        <v>4809</v>
      </c>
      <c r="B1526" s="2" t="s">
        <v>4810</v>
      </c>
      <c r="C1526" s="2" t="s">
        <v>4737</v>
      </c>
      <c r="D1526" s="2" t="s">
        <v>64</v>
      </c>
      <c r="E1526" s="2" t="s">
        <v>43</v>
      </c>
      <c r="F1526" s="2" t="s">
        <v>58</v>
      </c>
      <c r="G1526" s="2" t="s">
        <v>67</v>
      </c>
      <c r="H1526" s="2" t="s">
        <v>498</v>
      </c>
      <c r="I1526" s="2" t="s">
        <v>499</v>
      </c>
      <c r="J1526" s="2" t="s">
        <v>4738</v>
      </c>
      <c r="K1526" s="2" t="s">
        <v>4811</v>
      </c>
      <c r="L1526" s="2" t="s">
        <v>190</v>
      </c>
      <c r="M1526" s="2" t="s">
        <v>3228</v>
      </c>
      <c r="N1526" s="16">
        <v>3.0000000000000009E-2</v>
      </c>
      <c r="O1526" s="17">
        <f>N1526*'Financial Inputs'!$B$3</f>
        <v>3000000.0000000009</v>
      </c>
      <c r="P1526" s="18">
        <f>IF(I1526="L",'Financial Inputs'!$B$4,IF(I1526="M",'Financial Inputs'!$B$5,'Financial Inputs'!$B$6))</f>
        <v>0.7</v>
      </c>
      <c r="Q1526" s="17">
        <f>O1526*P1526</f>
        <v>2100000.0000000005</v>
      </c>
      <c r="R1526" s="16">
        <f>'Financial Inputs'!$B$7</f>
        <v>0.35</v>
      </c>
      <c r="S1526" s="17">
        <f>Q1526*(1-R1526)</f>
        <v>1365000.0000000005</v>
      </c>
      <c r="T1526" s="18">
        <f>S1526/'Financial Inputs'!$B$3</f>
        <v>1.3650000000000004E-2</v>
      </c>
      <c r="U1526" s="9" t="s">
        <v>52</v>
      </c>
      <c r="V1526" s="3" t="s">
        <v>53</v>
      </c>
    </row>
    <row r="1527" spans="1:22">
      <c r="A1527" s="2" t="s">
        <v>4812</v>
      </c>
      <c r="B1527" s="2" t="s">
        <v>4813</v>
      </c>
      <c r="C1527" s="2" t="s">
        <v>4737</v>
      </c>
      <c r="D1527" s="2" t="s">
        <v>127</v>
      </c>
      <c r="E1527" s="2" t="s">
        <v>193</v>
      </c>
      <c r="F1527" s="2" t="s">
        <v>104</v>
      </c>
      <c r="G1527" s="2" t="s">
        <v>45</v>
      </c>
      <c r="H1527" s="2" t="s">
        <v>498</v>
      </c>
      <c r="I1527" s="2" t="s">
        <v>499</v>
      </c>
      <c r="J1527" s="2" t="s">
        <v>4738</v>
      </c>
      <c r="K1527" s="2" t="s">
        <v>4814</v>
      </c>
      <c r="L1527" s="2" t="s">
        <v>195</v>
      </c>
      <c r="M1527" s="2" t="s">
        <v>3228</v>
      </c>
      <c r="N1527" s="16">
        <v>0.02</v>
      </c>
      <c r="O1527" s="17">
        <f>N1527*'Financial Inputs'!$B$3</f>
        <v>2000000</v>
      </c>
      <c r="P1527" s="18">
        <f>IF(I1527="L",'Financial Inputs'!$B$4,IF(I1527="M",'Financial Inputs'!$B$5,'Financial Inputs'!$B$6))</f>
        <v>0.7</v>
      </c>
      <c r="Q1527" s="17">
        <f>O1527*P1527</f>
        <v>1400000</v>
      </c>
      <c r="R1527" s="16">
        <f>'Financial Inputs'!$B$7</f>
        <v>0.35</v>
      </c>
      <c r="S1527" s="17">
        <f>Q1527*(1-R1527)</f>
        <v>910000</v>
      </c>
      <c r="T1527" s="18">
        <f>S1527/'Financial Inputs'!$B$3</f>
        <v>9.1000000000000004E-3</v>
      </c>
      <c r="U1527" s="9" t="s">
        <v>52</v>
      </c>
      <c r="V1527" s="3" t="s">
        <v>53</v>
      </c>
    </row>
    <row r="1528" spans="1:22">
      <c r="A1528" s="2" t="s">
        <v>4815</v>
      </c>
      <c r="B1528" s="2" t="s">
        <v>4816</v>
      </c>
      <c r="C1528" s="2" t="s">
        <v>4737</v>
      </c>
      <c r="D1528" s="2" t="s">
        <v>133</v>
      </c>
      <c r="E1528" s="2" t="s">
        <v>198</v>
      </c>
      <c r="F1528" s="2" t="s">
        <v>110</v>
      </c>
      <c r="G1528" s="2" t="s">
        <v>59</v>
      </c>
      <c r="H1528" s="2" t="s">
        <v>498</v>
      </c>
      <c r="I1528" s="2" t="s">
        <v>499</v>
      </c>
      <c r="J1528" s="2" t="s">
        <v>4738</v>
      </c>
      <c r="K1528" s="2" t="s">
        <v>4817</v>
      </c>
      <c r="L1528" s="2" t="s">
        <v>200</v>
      </c>
      <c r="M1528" s="2" t="s">
        <v>3228</v>
      </c>
      <c r="N1528" s="16">
        <v>2.2499999999999999E-2</v>
      </c>
      <c r="O1528" s="17">
        <f>N1528*'Financial Inputs'!$B$3</f>
        <v>2250000</v>
      </c>
      <c r="P1528" s="18">
        <f>IF(I1528="L",'Financial Inputs'!$B$4,IF(I1528="M",'Financial Inputs'!$B$5,'Financial Inputs'!$B$6))</f>
        <v>0.7</v>
      </c>
      <c r="Q1528" s="17">
        <f>O1528*P1528</f>
        <v>1575000</v>
      </c>
      <c r="R1528" s="16">
        <f>'Financial Inputs'!$B$7</f>
        <v>0.35</v>
      </c>
      <c r="S1528" s="17">
        <f>Q1528*(1-R1528)</f>
        <v>1023750</v>
      </c>
      <c r="T1528" s="18">
        <f>S1528/'Financial Inputs'!$B$3</f>
        <v>1.02375E-2</v>
      </c>
      <c r="U1528" s="9" t="s">
        <v>52</v>
      </c>
      <c r="V1528" s="3" t="s">
        <v>53</v>
      </c>
    </row>
    <row r="1529" spans="1:22">
      <c r="A1529" s="2" t="s">
        <v>4818</v>
      </c>
      <c r="B1529" s="2" t="s">
        <v>4819</v>
      </c>
      <c r="C1529" s="2" t="s">
        <v>4737</v>
      </c>
      <c r="D1529" s="2" t="s">
        <v>88</v>
      </c>
      <c r="E1529" s="2" t="s">
        <v>148</v>
      </c>
      <c r="F1529" s="2" t="s">
        <v>117</v>
      </c>
      <c r="G1529" s="2" t="s">
        <v>67</v>
      </c>
      <c r="H1529" s="2" t="s">
        <v>498</v>
      </c>
      <c r="I1529" s="2" t="s">
        <v>499</v>
      </c>
      <c r="J1529" s="2" t="s">
        <v>4738</v>
      </c>
      <c r="K1529" s="2" t="s">
        <v>4820</v>
      </c>
      <c r="L1529" s="2" t="s">
        <v>204</v>
      </c>
      <c r="M1529" s="2" t="s">
        <v>3228</v>
      </c>
      <c r="N1529" s="16">
        <v>2.5000000000000001E-2</v>
      </c>
      <c r="O1529" s="17">
        <f>N1529*'Financial Inputs'!$B$3</f>
        <v>2500000</v>
      </c>
      <c r="P1529" s="18">
        <f>IF(I1529="L",'Financial Inputs'!$B$4,IF(I1529="M",'Financial Inputs'!$B$5,'Financial Inputs'!$B$6))</f>
        <v>0.7</v>
      </c>
      <c r="Q1529" s="17">
        <f>O1529*P1529</f>
        <v>1750000</v>
      </c>
      <c r="R1529" s="16">
        <f>'Financial Inputs'!$B$7</f>
        <v>0.35</v>
      </c>
      <c r="S1529" s="17">
        <f>Q1529*(1-R1529)</f>
        <v>1137500</v>
      </c>
      <c r="T1529" s="18">
        <f>S1529/'Financial Inputs'!$B$3</f>
        <v>1.1375E-2</v>
      </c>
      <c r="U1529" s="9" t="s">
        <v>52</v>
      </c>
      <c r="V1529" s="3" t="s">
        <v>53</v>
      </c>
    </row>
    <row r="1530" spans="1:22">
      <c r="A1530" s="2" t="s">
        <v>4821</v>
      </c>
      <c r="B1530" s="2" t="s">
        <v>4822</v>
      </c>
      <c r="C1530" s="2" t="s">
        <v>4737</v>
      </c>
      <c r="D1530" s="2" t="s">
        <v>95</v>
      </c>
      <c r="E1530" s="2" t="s">
        <v>153</v>
      </c>
      <c r="F1530" s="2" t="s">
        <v>90</v>
      </c>
      <c r="G1530" s="2" t="s">
        <v>75</v>
      </c>
      <c r="H1530" s="2" t="s">
        <v>498</v>
      </c>
      <c r="I1530" s="2" t="s">
        <v>499</v>
      </c>
      <c r="J1530" s="2" t="s">
        <v>4738</v>
      </c>
      <c r="K1530" s="2" t="s">
        <v>4823</v>
      </c>
      <c r="L1530" s="2" t="s">
        <v>208</v>
      </c>
      <c r="M1530" s="2" t="s">
        <v>3228</v>
      </c>
      <c r="N1530" s="16">
        <v>2.75E-2</v>
      </c>
      <c r="O1530" s="17">
        <f>N1530*'Financial Inputs'!$B$3</f>
        <v>2750000</v>
      </c>
      <c r="P1530" s="18">
        <f>IF(I1530="L",'Financial Inputs'!$B$4,IF(I1530="M",'Financial Inputs'!$B$5,'Financial Inputs'!$B$6))</f>
        <v>0.7</v>
      </c>
      <c r="Q1530" s="17">
        <f>O1530*P1530</f>
        <v>1924999.9999999998</v>
      </c>
      <c r="R1530" s="16">
        <f>'Financial Inputs'!$B$7</f>
        <v>0.35</v>
      </c>
      <c r="S1530" s="17">
        <f>Q1530*(1-R1530)</f>
        <v>1251250</v>
      </c>
      <c r="T1530" s="18">
        <f>S1530/'Financial Inputs'!$B$3</f>
        <v>1.2512499999999999E-2</v>
      </c>
      <c r="U1530" s="9" t="s">
        <v>52</v>
      </c>
      <c r="V1530" s="3" t="s">
        <v>53</v>
      </c>
    </row>
    <row r="1531" spans="1:22">
      <c r="A1531" s="2" t="s">
        <v>4824</v>
      </c>
      <c r="B1531" s="2" t="s">
        <v>4825</v>
      </c>
      <c r="C1531" s="2" t="s">
        <v>4737</v>
      </c>
      <c r="D1531" s="2" t="s">
        <v>102</v>
      </c>
      <c r="E1531" s="2" t="s">
        <v>89</v>
      </c>
      <c r="F1531" s="2" t="s">
        <v>97</v>
      </c>
      <c r="G1531" s="2" t="s">
        <v>83</v>
      </c>
      <c r="H1531" s="2" t="s">
        <v>498</v>
      </c>
      <c r="I1531" s="2" t="s">
        <v>499</v>
      </c>
      <c r="J1531" s="2" t="s">
        <v>4738</v>
      </c>
      <c r="K1531" s="2" t="s">
        <v>4826</v>
      </c>
      <c r="L1531" s="2" t="s">
        <v>212</v>
      </c>
      <c r="M1531" s="2" t="s">
        <v>3228</v>
      </c>
      <c r="N1531" s="16">
        <v>3.0000000000000009E-2</v>
      </c>
      <c r="O1531" s="17">
        <f>N1531*'Financial Inputs'!$B$3</f>
        <v>3000000.0000000009</v>
      </c>
      <c r="P1531" s="18">
        <f>IF(I1531="L",'Financial Inputs'!$B$4,IF(I1531="M",'Financial Inputs'!$B$5,'Financial Inputs'!$B$6))</f>
        <v>0.7</v>
      </c>
      <c r="Q1531" s="17">
        <f>O1531*P1531</f>
        <v>2100000.0000000005</v>
      </c>
      <c r="R1531" s="16">
        <f>'Financial Inputs'!$B$7</f>
        <v>0.35</v>
      </c>
      <c r="S1531" s="17">
        <f>Q1531*(1-R1531)</f>
        <v>1365000.0000000005</v>
      </c>
      <c r="T1531" s="18">
        <f>S1531/'Financial Inputs'!$B$3</f>
        <v>1.3650000000000004E-2</v>
      </c>
      <c r="U1531" s="9" t="s">
        <v>52</v>
      </c>
      <c r="V1531" s="3" t="s">
        <v>53</v>
      </c>
    </row>
    <row r="1532" spans="1:22">
      <c r="A1532" s="2" t="s">
        <v>4827</v>
      </c>
      <c r="B1532" s="2" t="s">
        <v>4828</v>
      </c>
      <c r="C1532" s="2" t="s">
        <v>4737</v>
      </c>
      <c r="D1532" s="2" t="s">
        <v>64</v>
      </c>
      <c r="E1532" s="2" t="s">
        <v>215</v>
      </c>
      <c r="F1532" s="2" t="s">
        <v>74</v>
      </c>
      <c r="G1532" s="2" t="s">
        <v>67</v>
      </c>
      <c r="H1532" s="2" t="s">
        <v>498</v>
      </c>
      <c r="I1532" s="2" t="s">
        <v>499</v>
      </c>
      <c r="J1532" s="2" t="s">
        <v>4738</v>
      </c>
      <c r="K1532" s="2" t="s">
        <v>4829</v>
      </c>
      <c r="L1532" s="2" t="s">
        <v>217</v>
      </c>
      <c r="M1532" s="2" t="s">
        <v>3228</v>
      </c>
      <c r="N1532" s="16">
        <v>0.02</v>
      </c>
      <c r="O1532" s="17">
        <f>N1532*'Financial Inputs'!$B$3</f>
        <v>2000000</v>
      </c>
      <c r="P1532" s="18">
        <f>IF(I1532="L",'Financial Inputs'!$B$4,IF(I1532="M",'Financial Inputs'!$B$5,'Financial Inputs'!$B$6))</f>
        <v>0.7</v>
      </c>
      <c r="Q1532" s="17">
        <f>O1532*P1532</f>
        <v>1400000</v>
      </c>
      <c r="R1532" s="16">
        <f>'Financial Inputs'!$B$7</f>
        <v>0.35</v>
      </c>
      <c r="S1532" s="17">
        <f>Q1532*(1-R1532)</f>
        <v>910000</v>
      </c>
      <c r="T1532" s="18">
        <f>S1532/'Financial Inputs'!$B$3</f>
        <v>9.1000000000000004E-3</v>
      </c>
      <c r="U1532" s="9" t="s">
        <v>52</v>
      </c>
      <c r="V1532" s="3" t="s">
        <v>53</v>
      </c>
    </row>
    <row r="1533" spans="1:22">
      <c r="A1533" s="2" t="s">
        <v>4830</v>
      </c>
      <c r="B1533" s="2" t="s">
        <v>4831</v>
      </c>
      <c r="C1533" s="2" t="s">
        <v>4737</v>
      </c>
      <c r="D1533" s="2" t="s">
        <v>72</v>
      </c>
      <c r="E1533" s="2" t="s">
        <v>220</v>
      </c>
      <c r="F1533" s="2" t="s">
        <v>82</v>
      </c>
      <c r="G1533" s="2" t="s">
        <v>75</v>
      </c>
      <c r="H1533" s="2" t="s">
        <v>498</v>
      </c>
      <c r="I1533" s="2" t="s">
        <v>499</v>
      </c>
      <c r="J1533" s="2" t="s">
        <v>4738</v>
      </c>
      <c r="K1533" s="2" t="s">
        <v>4832</v>
      </c>
      <c r="L1533" s="2" t="s">
        <v>222</v>
      </c>
      <c r="M1533" s="2" t="s">
        <v>3228</v>
      </c>
      <c r="N1533" s="16">
        <v>2.2499999999999999E-2</v>
      </c>
      <c r="O1533" s="17">
        <f>N1533*'Financial Inputs'!$B$3</f>
        <v>2250000</v>
      </c>
      <c r="P1533" s="18">
        <f>IF(I1533="L",'Financial Inputs'!$B$4,IF(I1533="M",'Financial Inputs'!$B$5,'Financial Inputs'!$B$6))</f>
        <v>0.7</v>
      </c>
      <c r="Q1533" s="17">
        <f>O1533*P1533</f>
        <v>1575000</v>
      </c>
      <c r="R1533" s="16">
        <f>'Financial Inputs'!$B$7</f>
        <v>0.35</v>
      </c>
      <c r="S1533" s="17">
        <f>Q1533*(1-R1533)</f>
        <v>1023750</v>
      </c>
      <c r="T1533" s="18">
        <f>S1533/'Financial Inputs'!$B$3</f>
        <v>1.02375E-2</v>
      </c>
      <c r="U1533" s="9" t="s">
        <v>52</v>
      </c>
      <c r="V1533" s="3" t="s">
        <v>53</v>
      </c>
    </row>
    <row r="1534" spans="1:22">
      <c r="A1534" s="2" t="s">
        <v>4833</v>
      </c>
      <c r="B1534" s="2" t="s">
        <v>4834</v>
      </c>
      <c r="C1534" s="2" t="s">
        <v>4737</v>
      </c>
      <c r="D1534" s="2" t="s">
        <v>80</v>
      </c>
      <c r="E1534" s="2" t="s">
        <v>171</v>
      </c>
      <c r="F1534" s="2" t="s">
        <v>44</v>
      </c>
      <c r="G1534" s="2" t="s">
        <v>83</v>
      </c>
      <c r="H1534" s="2" t="s">
        <v>498</v>
      </c>
      <c r="I1534" s="2" t="s">
        <v>499</v>
      </c>
      <c r="J1534" s="2" t="s">
        <v>4738</v>
      </c>
      <c r="K1534" s="2" t="s">
        <v>4835</v>
      </c>
      <c r="L1534" s="2" t="s">
        <v>226</v>
      </c>
      <c r="M1534" s="2" t="s">
        <v>3228</v>
      </c>
      <c r="N1534" s="16">
        <v>2.5000000000000001E-2</v>
      </c>
      <c r="O1534" s="17">
        <f>N1534*'Financial Inputs'!$B$3</f>
        <v>2500000</v>
      </c>
      <c r="P1534" s="18">
        <f>IF(I1534="L",'Financial Inputs'!$B$4,IF(I1534="M",'Financial Inputs'!$B$5,'Financial Inputs'!$B$6))</f>
        <v>0.7</v>
      </c>
      <c r="Q1534" s="17">
        <f>O1534*P1534</f>
        <v>1750000</v>
      </c>
      <c r="R1534" s="16">
        <f>'Financial Inputs'!$B$7</f>
        <v>0.35</v>
      </c>
      <c r="S1534" s="17">
        <f>Q1534*(1-R1534)</f>
        <v>1137500</v>
      </c>
      <c r="T1534" s="18">
        <f>S1534/'Financial Inputs'!$B$3</f>
        <v>1.1375E-2</v>
      </c>
      <c r="U1534" s="9" t="s">
        <v>52</v>
      </c>
      <c r="V1534" s="3" t="s">
        <v>53</v>
      </c>
    </row>
    <row r="1535" spans="1:22">
      <c r="A1535" s="2" t="s">
        <v>4836</v>
      </c>
      <c r="B1535" s="2" t="s">
        <v>4837</v>
      </c>
      <c r="C1535" s="2" t="s">
        <v>4737</v>
      </c>
      <c r="D1535" s="2" t="s">
        <v>127</v>
      </c>
      <c r="E1535" s="2" t="s">
        <v>176</v>
      </c>
      <c r="F1535" s="2" t="s">
        <v>58</v>
      </c>
      <c r="G1535" s="2" t="s">
        <v>111</v>
      </c>
      <c r="H1535" s="2" t="s">
        <v>498</v>
      </c>
      <c r="I1535" s="2" t="s">
        <v>499</v>
      </c>
      <c r="J1535" s="2" t="s">
        <v>4738</v>
      </c>
      <c r="K1535" s="2" t="s">
        <v>4838</v>
      </c>
      <c r="L1535" s="2" t="s">
        <v>230</v>
      </c>
      <c r="M1535" s="2" t="s">
        <v>3228</v>
      </c>
      <c r="N1535" s="16">
        <v>2.75E-2</v>
      </c>
      <c r="O1535" s="17">
        <f>N1535*'Financial Inputs'!$B$3</f>
        <v>2750000</v>
      </c>
      <c r="P1535" s="18">
        <f>IF(I1535="L",'Financial Inputs'!$B$4,IF(I1535="M",'Financial Inputs'!$B$5,'Financial Inputs'!$B$6))</f>
        <v>0.7</v>
      </c>
      <c r="Q1535" s="17">
        <f>O1535*P1535</f>
        <v>1924999.9999999998</v>
      </c>
      <c r="R1535" s="16">
        <f>'Financial Inputs'!$B$7</f>
        <v>0.35</v>
      </c>
      <c r="S1535" s="17">
        <f>Q1535*(1-R1535)</f>
        <v>1251250</v>
      </c>
      <c r="T1535" s="18">
        <f>S1535/'Financial Inputs'!$B$3</f>
        <v>1.2512499999999999E-2</v>
      </c>
      <c r="U1535" s="9" t="s">
        <v>52</v>
      </c>
      <c r="V1535" s="3" t="s">
        <v>53</v>
      </c>
    </row>
    <row r="1536" spans="1:22">
      <c r="A1536" s="2" t="s">
        <v>4839</v>
      </c>
      <c r="B1536" s="2" t="s">
        <v>4840</v>
      </c>
      <c r="C1536" s="2" t="s">
        <v>4737</v>
      </c>
      <c r="D1536" s="2" t="s">
        <v>133</v>
      </c>
      <c r="E1536" s="2" t="s">
        <v>122</v>
      </c>
      <c r="F1536" s="2" t="s">
        <v>66</v>
      </c>
      <c r="G1536" s="2" t="s">
        <v>56</v>
      </c>
      <c r="H1536" s="2" t="s">
        <v>498</v>
      </c>
      <c r="I1536" s="2" t="s">
        <v>499</v>
      </c>
      <c r="J1536" s="2" t="s">
        <v>4738</v>
      </c>
      <c r="K1536" s="2" t="s">
        <v>4841</v>
      </c>
      <c r="L1536" s="2" t="s">
        <v>234</v>
      </c>
      <c r="M1536" s="2" t="s">
        <v>3228</v>
      </c>
      <c r="N1536" s="16">
        <v>3.0000000000000009E-2</v>
      </c>
      <c r="O1536" s="17">
        <f>N1536*'Financial Inputs'!$B$3</f>
        <v>3000000.0000000009</v>
      </c>
      <c r="P1536" s="18">
        <f>IF(I1536="L",'Financial Inputs'!$B$4,IF(I1536="M",'Financial Inputs'!$B$5,'Financial Inputs'!$B$6))</f>
        <v>0.7</v>
      </c>
      <c r="Q1536" s="17">
        <f>O1536*P1536</f>
        <v>2100000.0000000005</v>
      </c>
      <c r="R1536" s="16">
        <f>'Financial Inputs'!$B$7</f>
        <v>0.35</v>
      </c>
      <c r="S1536" s="17">
        <f>Q1536*(1-R1536)</f>
        <v>1365000.0000000005</v>
      </c>
      <c r="T1536" s="18">
        <f>S1536/'Financial Inputs'!$B$3</f>
        <v>1.3650000000000004E-2</v>
      </c>
      <c r="U1536" s="9" t="s">
        <v>52</v>
      </c>
      <c r="V1536" s="3" t="s">
        <v>53</v>
      </c>
    </row>
    <row r="1537" spans="1:22">
      <c r="A1537" s="2" t="s">
        <v>4842</v>
      </c>
      <c r="B1537" s="2" t="s">
        <v>4843</v>
      </c>
      <c r="C1537" s="2" t="s">
        <v>4737</v>
      </c>
      <c r="D1537" s="2" t="s">
        <v>102</v>
      </c>
      <c r="E1537" s="2" t="s">
        <v>73</v>
      </c>
      <c r="F1537" s="2" t="s">
        <v>110</v>
      </c>
      <c r="G1537" s="2" t="s">
        <v>83</v>
      </c>
      <c r="H1537" s="2" t="s">
        <v>498</v>
      </c>
      <c r="I1537" s="2" t="s">
        <v>499</v>
      </c>
      <c r="J1537" s="2" t="s">
        <v>4738</v>
      </c>
      <c r="K1537" s="2" t="s">
        <v>4844</v>
      </c>
      <c r="L1537" s="2" t="s">
        <v>238</v>
      </c>
      <c r="M1537" s="2" t="s">
        <v>3228</v>
      </c>
      <c r="N1537" s="16">
        <v>0.02</v>
      </c>
      <c r="O1537" s="17">
        <f>N1537*'Financial Inputs'!$B$3</f>
        <v>2000000</v>
      </c>
      <c r="P1537" s="18">
        <f>IF(I1537="L",'Financial Inputs'!$B$4,IF(I1537="M",'Financial Inputs'!$B$5,'Financial Inputs'!$B$6))</f>
        <v>0.7</v>
      </c>
      <c r="Q1537" s="17">
        <f>O1537*P1537</f>
        <v>1400000</v>
      </c>
      <c r="R1537" s="16">
        <f>'Financial Inputs'!$B$7</f>
        <v>0.35</v>
      </c>
      <c r="S1537" s="17">
        <f>Q1537*(1-R1537)</f>
        <v>910000</v>
      </c>
      <c r="T1537" s="18">
        <f>S1537/'Financial Inputs'!$B$3</f>
        <v>9.1000000000000004E-3</v>
      </c>
      <c r="U1537" s="9" t="s">
        <v>52</v>
      </c>
      <c r="V1537" s="3" t="s">
        <v>53</v>
      </c>
    </row>
    <row r="1538" spans="1:22">
      <c r="A1538" s="2" t="s">
        <v>4845</v>
      </c>
      <c r="B1538" s="2" t="s">
        <v>4846</v>
      </c>
      <c r="C1538" s="2" t="s">
        <v>4737</v>
      </c>
      <c r="D1538" s="2" t="s">
        <v>42</v>
      </c>
      <c r="E1538" s="2" t="s">
        <v>81</v>
      </c>
      <c r="F1538" s="2" t="s">
        <v>117</v>
      </c>
      <c r="G1538" s="2" t="s">
        <v>111</v>
      </c>
      <c r="H1538" s="2" t="s">
        <v>498</v>
      </c>
      <c r="I1538" s="2" t="s">
        <v>499</v>
      </c>
      <c r="J1538" s="2" t="s">
        <v>4738</v>
      </c>
      <c r="K1538" s="2" t="s">
        <v>4847</v>
      </c>
      <c r="L1538" s="2" t="s">
        <v>242</v>
      </c>
      <c r="M1538" s="2" t="s">
        <v>3228</v>
      </c>
      <c r="N1538" s="16">
        <v>2.2499999999999999E-2</v>
      </c>
      <c r="O1538" s="17">
        <f>N1538*'Financial Inputs'!$B$3</f>
        <v>2250000</v>
      </c>
      <c r="P1538" s="18">
        <f>IF(I1538="L",'Financial Inputs'!$B$4,IF(I1538="M",'Financial Inputs'!$B$5,'Financial Inputs'!$B$6))</f>
        <v>0.7</v>
      </c>
      <c r="Q1538" s="17">
        <f>O1538*P1538</f>
        <v>1575000</v>
      </c>
      <c r="R1538" s="16">
        <f>'Financial Inputs'!$B$7</f>
        <v>0.35</v>
      </c>
      <c r="S1538" s="17">
        <f>Q1538*(1-R1538)</f>
        <v>1023750</v>
      </c>
      <c r="T1538" s="18">
        <f>S1538/'Financial Inputs'!$B$3</f>
        <v>1.02375E-2</v>
      </c>
      <c r="U1538" s="9" t="s">
        <v>52</v>
      </c>
      <c r="V1538" s="3" t="s">
        <v>53</v>
      </c>
    </row>
    <row r="1539" spans="1:22">
      <c r="A1539" s="2" t="s">
        <v>4848</v>
      </c>
      <c r="B1539" s="2" t="s">
        <v>4849</v>
      </c>
      <c r="C1539" s="2" t="s">
        <v>4737</v>
      </c>
      <c r="D1539" s="2" t="s">
        <v>56</v>
      </c>
      <c r="E1539" s="2" t="s">
        <v>193</v>
      </c>
      <c r="F1539" s="2" t="s">
        <v>90</v>
      </c>
      <c r="G1539" s="2" t="s">
        <v>56</v>
      </c>
      <c r="H1539" s="2" t="s">
        <v>498</v>
      </c>
      <c r="I1539" s="2" t="s">
        <v>499</v>
      </c>
      <c r="J1539" s="2" t="s">
        <v>4738</v>
      </c>
      <c r="K1539" s="2" t="s">
        <v>4850</v>
      </c>
      <c r="L1539" s="2" t="s">
        <v>246</v>
      </c>
      <c r="M1539" s="2" t="s">
        <v>3228</v>
      </c>
      <c r="N1539" s="16">
        <v>2.5000000000000001E-2</v>
      </c>
      <c r="O1539" s="17">
        <f>N1539*'Financial Inputs'!$B$3</f>
        <v>2500000</v>
      </c>
      <c r="P1539" s="18">
        <f>IF(I1539="L",'Financial Inputs'!$B$4,IF(I1539="M",'Financial Inputs'!$B$5,'Financial Inputs'!$B$6))</f>
        <v>0.7</v>
      </c>
      <c r="Q1539" s="17">
        <f>O1539*P1539</f>
        <v>1750000</v>
      </c>
      <c r="R1539" s="16">
        <f>'Financial Inputs'!$B$7</f>
        <v>0.35</v>
      </c>
      <c r="S1539" s="17">
        <f>Q1539*(1-R1539)</f>
        <v>1137500</v>
      </c>
      <c r="T1539" s="18">
        <f>S1539/'Financial Inputs'!$B$3</f>
        <v>1.1375E-2</v>
      </c>
      <c r="U1539" s="9" t="s">
        <v>52</v>
      </c>
      <c r="V1539" s="3" t="s">
        <v>53</v>
      </c>
    </row>
    <row r="1540" spans="1:22">
      <c r="A1540" s="2" t="s">
        <v>4851</v>
      </c>
      <c r="B1540" s="2" t="s">
        <v>4852</v>
      </c>
      <c r="C1540" s="2" t="s">
        <v>4737</v>
      </c>
      <c r="D1540" s="2" t="s">
        <v>64</v>
      </c>
      <c r="E1540" s="2" t="s">
        <v>198</v>
      </c>
      <c r="F1540" s="2" t="s">
        <v>97</v>
      </c>
      <c r="G1540" s="2" t="s">
        <v>138</v>
      </c>
      <c r="H1540" s="2" t="s">
        <v>498</v>
      </c>
      <c r="I1540" s="2" t="s">
        <v>499</v>
      </c>
      <c r="J1540" s="2" t="s">
        <v>4738</v>
      </c>
      <c r="K1540" s="2" t="s">
        <v>4853</v>
      </c>
      <c r="L1540" s="2" t="s">
        <v>250</v>
      </c>
      <c r="M1540" s="2" t="s">
        <v>3228</v>
      </c>
      <c r="N1540" s="16">
        <v>2.75E-2</v>
      </c>
      <c r="O1540" s="17">
        <f>N1540*'Financial Inputs'!$B$3</f>
        <v>2750000</v>
      </c>
      <c r="P1540" s="18">
        <f>IF(I1540="L",'Financial Inputs'!$B$4,IF(I1540="M",'Financial Inputs'!$B$5,'Financial Inputs'!$B$6))</f>
        <v>0.7</v>
      </c>
      <c r="Q1540" s="17">
        <f>O1540*P1540</f>
        <v>1924999.9999999998</v>
      </c>
      <c r="R1540" s="16">
        <f>'Financial Inputs'!$B$7</f>
        <v>0.35</v>
      </c>
      <c r="S1540" s="17">
        <f>Q1540*(1-R1540)</f>
        <v>1251250</v>
      </c>
      <c r="T1540" s="18">
        <f>S1540/'Financial Inputs'!$B$3</f>
        <v>1.2512499999999999E-2</v>
      </c>
      <c r="U1540" s="9" t="s">
        <v>52</v>
      </c>
      <c r="V1540" s="3" t="s">
        <v>53</v>
      </c>
    </row>
    <row r="1541" spans="1:22">
      <c r="A1541" s="2" t="s">
        <v>4854</v>
      </c>
      <c r="B1541" s="2" t="s">
        <v>4855</v>
      </c>
      <c r="C1541" s="2" t="s">
        <v>4737</v>
      </c>
      <c r="D1541" s="2" t="s">
        <v>72</v>
      </c>
      <c r="E1541" s="2" t="s">
        <v>148</v>
      </c>
      <c r="F1541" s="2" t="s">
        <v>104</v>
      </c>
      <c r="G1541" s="2" t="s">
        <v>143</v>
      </c>
      <c r="H1541" s="2" t="s">
        <v>498</v>
      </c>
      <c r="I1541" s="2" t="s">
        <v>499</v>
      </c>
      <c r="J1541" s="2" t="s">
        <v>4738</v>
      </c>
      <c r="K1541" s="2" t="s">
        <v>4856</v>
      </c>
      <c r="L1541" s="2" t="s">
        <v>254</v>
      </c>
      <c r="M1541" s="2" t="s">
        <v>3228</v>
      </c>
      <c r="N1541" s="16">
        <v>3.0000000000000009E-2</v>
      </c>
      <c r="O1541" s="17">
        <f>N1541*'Financial Inputs'!$B$3</f>
        <v>3000000.0000000009</v>
      </c>
      <c r="P1541" s="18">
        <f>IF(I1541="L",'Financial Inputs'!$B$4,IF(I1541="M",'Financial Inputs'!$B$5,'Financial Inputs'!$B$6))</f>
        <v>0.7</v>
      </c>
      <c r="Q1541" s="17">
        <f>O1541*P1541</f>
        <v>2100000.0000000005</v>
      </c>
      <c r="R1541" s="16">
        <f>'Financial Inputs'!$B$7</f>
        <v>0.35</v>
      </c>
      <c r="S1541" s="17">
        <f>Q1541*(1-R1541)</f>
        <v>1365000.0000000005</v>
      </c>
      <c r="T1541" s="18">
        <f>S1541/'Financial Inputs'!$B$3</f>
        <v>1.3650000000000004E-2</v>
      </c>
      <c r="U1541" s="9" t="s">
        <v>52</v>
      </c>
      <c r="V1541" s="3" t="s">
        <v>53</v>
      </c>
    </row>
    <row r="1542" spans="1:22">
      <c r="A1542" s="2" t="s">
        <v>4857</v>
      </c>
      <c r="B1542" s="2" t="s">
        <v>4858</v>
      </c>
      <c r="C1542" s="2" t="s">
        <v>4737</v>
      </c>
      <c r="D1542" s="2" t="s">
        <v>133</v>
      </c>
      <c r="E1542" s="2" t="s">
        <v>109</v>
      </c>
      <c r="F1542" s="2" t="s">
        <v>82</v>
      </c>
      <c r="G1542" s="2" t="s">
        <v>56</v>
      </c>
      <c r="H1542" s="2" t="s">
        <v>498</v>
      </c>
      <c r="I1542" s="2" t="s">
        <v>499</v>
      </c>
      <c r="J1542" s="2" t="s">
        <v>4738</v>
      </c>
      <c r="K1542" s="2" t="s">
        <v>4859</v>
      </c>
      <c r="L1542" s="2" t="s">
        <v>258</v>
      </c>
      <c r="M1542" s="2" t="s">
        <v>3228</v>
      </c>
      <c r="N1542" s="16">
        <v>0.02</v>
      </c>
      <c r="O1542" s="17">
        <f>N1542*'Financial Inputs'!$B$3</f>
        <v>2000000</v>
      </c>
      <c r="P1542" s="18">
        <f>IF(I1542="L",'Financial Inputs'!$B$4,IF(I1542="M",'Financial Inputs'!$B$5,'Financial Inputs'!$B$6))</f>
        <v>0.7</v>
      </c>
      <c r="Q1542" s="17">
        <f>O1542*P1542</f>
        <v>1400000</v>
      </c>
      <c r="R1542" s="16">
        <f>'Financial Inputs'!$B$7</f>
        <v>0.35</v>
      </c>
      <c r="S1542" s="17">
        <f>Q1542*(1-R1542)</f>
        <v>910000</v>
      </c>
      <c r="T1542" s="18">
        <f>S1542/'Financial Inputs'!$B$3</f>
        <v>9.1000000000000004E-3</v>
      </c>
      <c r="U1542" s="9" t="s">
        <v>52</v>
      </c>
      <c r="V1542" s="3" t="s">
        <v>53</v>
      </c>
    </row>
    <row r="1543" spans="1:22">
      <c r="A1543" s="2" t="s">
        <v>4860</v>
      </c>
      <c r="B1543" s="2" t="s">
        <v>4861</v>
      </c>
      <c r="C1543" s="2" t="s">
        <v>4737</v>
      </c>
      <c r="D1543" s="2" t="s">
        <v>88</v>
      </c>
      <c r="E1543" s="2" t="s">
        <v>116</v>
      </c>
      <c r="F1543" s="2" t="s">
        <v>44</v>
      </c>
      <c r="G1543" s="2" t="s">
        <v>138</v>
      </c>
      <c r="H1543" s="2" t="s">
        <v>498</v>
      </c>
      <c r="I1543" s="2" t="s">
        <v>499</v>
      </c>
      <c r="J1543" s="2" t="s">
        <v>4738</v>
      </c>
      <c r="K1543" s="2" t="s">
        <v>4862</v>
      </c>
      <c r="L1543" s="2" t="s">
        <v>262</v>
      </c>
      <c r="M1543" s="2" t="s">
        <v>3228</v>
      </c>
      <c r="N1543" s="16">
        <v>2.2499999999999999E-2</v>
      </c>
      <c r="O1543" s="17">
        <f>N1543*'Financial Inputs'!$B$3</f>
        <v>2250000</v>
      </c>
      <c r="P1543" s="18">
        <f>IF(I1543="L",'Financial Inputs'!$B$4,IF(I1543="M",'Financial Inputs'!$B$5,'Financial Inputs'!$B$6))</f>
        <v>0.7</v>
      </c>
      <c r="Q1543" s="17">
        <f>O1543*P1543</f>
        <v>1575000</v>
      </c>
      <c r="R1543" s="16">
        <f>'Financial Inputs'!$B$7</f>
        <v>0.35</v>
      </c>
      <c r="S1543" s="17">
        <f>Q1543*(1-R1543)</f>
        <v>1023750</v>
      </c>
      <c r="T1543" s="18">
        <f>S1543/'Financial Inputs'!$B$3</f>
        <v>1.02375E-2</v>
      </c>
      <c r="U1543" s="9" t="s">
        <v>52</v>
      </c>
      <c r="V1543" s="3" t="s">
        <v>53</v>
      </c>
    </row>
    <row r="1544" spans="1:22">
      <c r="A1544" s="2" t="s">
        <v>4863</v>
      </c>
      <c r="B1544" s="2" t="s">
        <v>4864</v>
      </c>
      <c r="C1544" s="2" t="s">
        <v>4737</v>
      </c>
      <c r="D1544" s="2" t="s">
        <v>95</v>
      </c>
      <c r="E1544" s="2" t="s">
        <v>215</v>
      </c>
      <c r="F1544" s="2" t="s">
        <v>58</v>
      </c>
      <c r="G1544" s="2" t="s">
        <v>143</v>
      </c>
      <c r="H1544" s="2" t="s">
        <v>498</v>
      </c>
      <c r="I1544" s="2" t="s">
        <v>499</v>
      </c>
      <c r="J1544" s="2" t="s">
        <v>4738</v>
      </c>
      <c r="K1544" s="2" t="s">
        <v>4865</v>
      </c>
      <c r="L1544" s="2" t="s">
        <v>266</v>
      </c>
      <c r="M1544" s="2" t="s">
        <v>3228</v>
      </c>
      <c r="N1544" s="16">
        <v>2.5000000000000001E-2</v>
      </c>
      <c r="O1544" s="17">
        <f>N1544*'Financial Inputs'!$B$3</f>
        <v>2500000</v>
      </c>
      <c r="P1544" s="18">
        <f>IF(I1544="L",'Financial Inputs'!$B$4,IF(I1544="M",'Financial Inputs'!$B$5,'Financial Inputs'!$B$6))</f>
        <v>0.7</v>
      </c>
      <c r="Q1544" s="17">
        <f>O1544*P1544</f>
        <v>1750000</v>
      </c>
      <c r="R1544" s="16">
        <f>'Financial Inputs'!$B$7</f>
        <v>0.35</v>
      </c>
      <c r="S1544" s="17">
        <f>Q1544*(1-R1544)</f>
        <v>1137500</v>
      </c>
      <c r="T1544" s="18">
        <f>S1544/'Financial Inputs'!$B$3</f>
        <v>1.1375E-2</v>
      </c>
      <c r="U1544" s="9" t="s">
        <v>52</v>
      </c>
      <c r="V1544" s="3" t="s">
        <v>53</v>
      </c>
    </row>
    <row r="1545" spans="1:22">
      <c r="A1545" s="2" t="s">
        <v>4866</v>
      </c>
      <c r="B1545" s="2" t="s">
        <v>4867</v>
      </c>
      <c r="C1545" s="2" t="s">
        <v>4737</v>
      </c>
      <c r="D1545" s="2" t="s">
        <v>102</v>
      </c>
      <c r="E1545" s="2" t="s">
        <v>220</v>
      </c>
      <c r="F1545" s="2" t="s">
        <v>66</v>
      </c>
      <c r="G1545" s="2" t="s">
        <v>162</v>
      </c>
      <c r="H1545" s="2" t="s">
        <v>498</v>
      </c>
      <c r="I1545" s="2" t="s">
        <v>499</v>
      </c>
      <c r="J1545" s="2" t="s">
        <v>4738</v>
      </c>
      <c r="K1545" s="2" t="s">
        <v>4868</v>
      </c>
      <c r="L1545" s="2" t="s">
        <v>270</v>
      </c>
      <c r="M1545" s="2" t="s">
        <v>3228</v>
      </c>
      <c r="N1545" s="16">
        <v>2.75E-2</v>
      </c>
      <c r="O1545" s="17">
        <f>N1545*'Financial Inputs'!$B$3</f>
        <v>2750000</v>
      </c>
      <c r="P1545" s="18">
        <f>IF(I1545="L",'Financial Inputs'!$B$4,IF(I1545="M",'Financial Inputs'!$B$5,'Financial Inputs'!$B$6))</f>
        <v>0.7</v>
      </c>
      <c r="Q1545" s="17">
        <f>O1545*P1545</f>
        <v>1924999.9999999998</v>
      </c>
      <c r="R1545" s="16">
        <f>'Financial Inputs'!$B$7</f>
        <v>0.35</v>
      </c>
      <c r="S1545" s="17">
        <f>Q1545*(1-R1545)</f>
        <v>1251250</v>
      </c>
      <c r="T1545" s="18">
        <f>S1545/'Financial Inputs'!$B$3</f>
        <v>1.2512499999999999E-2</v>
      </c>
      <c r="U1545" s="9" t="s">
        <v>52</v>
      </c>
      <c r="V1545" s="3" t="s">
        <v>53</v>
      </c>
    </row>
    <row r="1546" spans="1:22">
      <c r="A1546" s="2" t="s">
        <v>4869</v>
      </c>
      <c r="B1546" s="2" t="s">
        <v>4870</v>
      </c>
      <c r="C1546" s="2" t="s">
        <v>4737</v>
      </c>
      <c r="D1546" s="2" t="s">
        <v>42</v>
      </c>
      <c r="E1546" s="2" t="s">
        <v>171</v>
      </c>
      <c r="F1546" s="2" t="s">
        <v>74</v>
      </c>
      <c r="G1546" s="2" t="s">
        <v>45</v>
      </c>
      <c r="H1546" s="2" t="s">
        <v>498</v>
      </c>
      <c r="I1546" s="2" t="s">
        <v>499</v>
      </c>
      <c r="J1546" s="2" t="s">
        <v>4738</v>
      </c>
      <c r="K1546" s="2" t="s">
        <v>4871</v>
      </c>
      <c r="L1546" s="2" t="s">
        <v>274</v>
      </c>
      <c r="M1546" s="2" t="s">
        <v>3228</v>
      </c>
      <c r="N1546" s="16">
        <v>3.0000000000000009E-2</v>
      </c>
      <c r="O1546" s="17">
        <f>N1546*'Financial Inputs'!$B$3</f>
        <v>3000000.0000000009</v>
      </c>
      <c r="P1546" s="18">
        <f>IF(I1546="L",'Financial Inputs'!$B$4,IF(I1546="M",'Financial Inputs'!$B$5,'Financial Inputs'!$B$6))</f>
        <v>0.7</v>
      </c>
      <c r="Q1546" s="17">
        <f>O1546*P1546</f>
        <v>2100000.0000000005</v>
      </c>
      <c r="R1546" s="16">
        <f>'Financial Inputs'!$B$7</f>
        <v>0.35</v>
      </c>
      <c r="S1546" s="17">
        <f>Q1546*(1-R1546)</f>
        <v>1365000.0000000005</v>
      </c>
      <c r="T1546" s="18">
        <f>S1546/'Financial Inputs'!$B$3</f>
        <v>1.3650000000000004E-2</v>
      </c>
      <c r="U1546" s="9" t="s">
        <v>52</v>
      </c>
      <c r="V1546" s="3" t="s">
        <v>53</v>
      </c>
    </row>
    <row r="1547" spans="1:22">
      <c r="A1547" s="2" t="s">
        <v>4872</v>
      </c>
      <c r="B1547" s="2" t="s">
        <v>4873</v>
      </c>
      <c r="C1547" s="2" t="s">
        <v>4737</v>
      </c>
      <c r="D1547" s="2" t="s">
        <v>72</v>
      </c>
      <c r="E1547" s="2" t="s">
        <v>57</v>
      </c>
      <c r="F1547" s="2" t="s">
        <v>117</v>
      </c>
      <c r="G1547" s="2" t="s">
        <v>143</v>
      </c>
      <c r="H1547" s="2" t="s">
        <v>498</v>
      </c>
      <c r="I1547" s="2" t="s">
        <v>499</v>
      </c>
      <c r="J1547" s="2" t="s">
        <v>4738</v>
      </c>
      <c r="K1547" s="2" t="s">
        <v>4874</v>
      </c>
      <c r="L1547" s="2" t="s">
        <v>278</v>
      </c>
      <c r="M1547" s="2" t="s">
        <v>3228</v>
      </c>
      <c r="N1547" s="16">
        <v>0.02</v>
      </c>
      <c r="O1547" s="17">
        <f>N1547*'Financial Inputs'!$B$3</f>
        <v>2000000</v>
      </c>
      <c r="P1547" s="18">
        <f>IF(I1547="L",'Financial Inputs'!$B$4,IF(I1547="M",'Financial Inputs'!$B$5,'Financial Inputs'!$B$6))</f>
        <v>0.7</v>
      </c>
      <c r="Q1547" s="17">
        <f>O1547*P1547</f>
        <v>1400000</v>
      </c>
      <c r="R1547" s="16">
        <f>'Financial Inputs'!$B$7</f>
        <v>0.35</v>
      </c>
      <c r="S1547" s="17">
        <f>Q1547*(1-R1547)</f>
        <v>910000</v>
      </c>
      <c r="T1547" s="18">
        <f>S1547/'Financial Inputs'!$B$3</f>
        <v>9.1000000000000004E-3</v>
      </c>
      <c r="U1547" s="9" t="s">
        <v>52</v>
      </c>
      <c r="V1547" s="3" t="s">
        <v>53</v>
      </c>
    </row>
    <row r="1548" spans="1:22">
      <c r="A1548" s="2" t="s">
        <v>4875</v>
      </c>
      <c r="B1548" s="2" t="s">
        <v>4876</v>
      </c>
      <c r="C1548" s="2" t="s">
        <v>4737</v>
      </c>
      <c r="D1548" s="2" t="s">
        <v>80</v>
      </c>
      <c r="E1548" s="2" t="s">
        <v>65</v>
      </c>
      <c r="F1548" s="2" t="s">
        <v>90</v>
      </c>
      <c r="G1548" s="2" t="s">
        <v>162</v>
      </c>
      <c r="H1548" s="2" t="s">
        <v>498</v>
      </c>
      <c r="I1548" s="2" t="s">
        <v>499</v>
      </c>
      <c r="J1548" s="2" t="s">
        <v>4738</v>
      </c>
      <c r="K1548" s="2" t="s">
        <v>4877</v>
      </c>
      <c r="L1548" s="2" t="s">
        <v>282</v>
      </c>
      <c r="M1548" s="2" t="s">
        <v>3228</v>
      </c>
      <c r="N1548" s="16">
        <v>2.2499999999999999E-2</v>
      </c>
      <c r="O1548" s="17">
        <f>N1548*'Financial Inputs'!$B$3</f>
        <v>2250000</v>
      </c>
      <c r="P1548" s="18">
        <f>IF(I1548="L",'Financial Inputs'!$B$4,IF(I1548="M",'Financial Inputs'!$B$5,'Financial Inputs'!$B$6))</f>
        <v>0.7</v>
      </c>
      <c r="Q1548" s="17">
        <f>O1548*P1548</f>
        <v>1575000</v>
      </c>
      <c r="R1548" s="16">
        <f>'Financial Inputs'!$B$7</f>
        <v>0.35</v>
      </c>
      <c r="S1548" s="17">
        <f>Q1548*(1-R1548)</f>
        <v>1023750</v>
      </c>
      <c r="T1548" s="18">
        <f>S1548/'Financial Inputs'!$B$3</f>
        <v>1.02375E-2</v>
      </c>
      <c r="U1548" s="9" t="s">
        <v>52</v>
      </c>
      <c r="V1548" s="3" t="s">
        <v>53</v>
      </c>
    </row>
    <row r="1549" spans="1:22">
      <c r="A1549" s="2" t="s">
        <v>4878</v>
      </c>
      <c r="B1549" s="2" t="s">
        <v>4879</v>
      </c>
      <c r="C1549" s="2" t="s">
        <v>4737</v>
      </c>
      <c r="D1549" s="2" t="s">
        <v>127</v>
      </c>
      <c r="E1549" s="2" t="s">
        <v>73</v>
      </c>
      <c r="F1549" s="2" t="s">
        <v>97</v>
      </c>
      <c r="G1549" s="2" t="s">
        <v>45</v>
      </c>
      <c r="H1549" s="2" t="s">
        <v>498</v>
      </c>
      <c r="I1549" s="2" t="s">
        <v>499</v>
      </c>
      <c r="J1549" s="2" t="s">
        <v>4738</v>
      </c>
      <c r="K1549" s="2" t="s">
        <v>4880</v>
      </c>
      <c r="L1549" s="2" t="s">
        <v>286</v>
      </c>
      <c r="M1549" s="2" t="s">
        <v>3228</v>
      </c>
      <c r="N1549" s="16">
        <v>2.5000000000000001E-2</v>
      </c>
      <c r="O1549" s="17">
        <f>N1549*'Financial Inputs'!$B$3</f>
        <v>2500000</v>
      </c>
      <c r="P1549" s="18">
        <f>IF(I1549="L",'Financial Inputs'!$B$4,IF(I1549="M",'Financial Inputs'!$B$5,'Financial Inputs'!$B$6))</f>
        <v>0.7</v>
      </c>
      <c r="Q1549" s="17">
        <f>O1549*P1549</f>
        <v>1750000</v>
      </c>
      <c r="R1549" s="16">
        <f>'Financial Inputs'!$B$7</f>
        <v>0.35</v>
      </c>
      <c r="S1549" s="17">
        <f>Q1549*(1-R1549)</f>
        <v>1137500</v>
      </c>
      <c r="T1549" s="18">
        <f>S1549/'Financial Inputs'!$B$3</f>
        <v>1.1375E-2</v>
      </c>
      <c r="U1549" s="9" t="s">
        <v>52</v>
      </c>
      <c r="V1549" s="3" t="s">
        <v>53</v>
      </c>
    </row>
    <row r="1550" spans="1:22">
      <c r="A1550" s="2" t="s">
        <v>4881</v>
      </c>
      <c r="B1550" s="2" t="s">
        <v>4882</v>
      </c>
      <c r="C1550" s="2" t="s">
        <v>4737</v>
      </c>
      <c r="D1550" s="2" t="s">
        <v>133</v>
      </c>
      <c r="E1550" s="2" t="s">
        <v>81</v>
      </c>
      <c r="F1550" s="2" t="s">
        <v>104</v>
      </c>
      <c r="G1550" s="2" t="s">
        <v>59</v>
      </c>
      <c r="H1550" s="2" t="s">
        <v>498</v>
      </c>
      <c r="I1550" s="2" t="s">
        <v>499</v>
      </c>
      <c r="J1550" s="2" t="s">
        <v>4738</v>
      </c>
      <c r="K1550" s="2" t="s">
        <v>4883</v>
      </c>
      <c r="L1550" s="2" t="s">
        <v>290</v>
      </c>
      <c r="M1550" s="2" t="s">
        <v>3228</v>
      </c>
      <c r="N1550" s="16">
        <v>2.75E-2</v>
      </c>
      <c r="O1550" s="17">
        <f>N1550*'Financial Inputs'!$B$3</f>
        <v>2750000</v>
      </c>
      <c r="P1550" s="18">
        <f>IF(I1550="L",'Financial Inputs'!$B$4,IF(I1550="M",'Financial Inputs'!$B$5,'Financial Inputs'!$B$6))</f>
        <v>0.7</v>
      </c>
      <c r="Q1550" s="17">
        <f>O1550*P1550</f>
        <v>1924999.9999999998</v>
      </c>
      <c r="R1550" s="16">
        <f>'Financial Inputs'!$B$7</f>
        <v>0.35</v>
      </c>
      <c r="S1550" s="17">
        <f>Q1550*(1-R1550)</f>
        <v>1251250</v>
      </c>
      <c r="T1550" s="18">
        <f>S1550/'Financial Inputs'!$B$3</f>
        <v>1.2512499999999999E-2</v>
      </c>
      <c r="U1550" s="9" t="s">
        <v>52</v>
      </c>
      <c r="V1550" s="3" t="s">
        <v>53</v>
      </c>
    </row>
    <row r="1551" spans="1:22">
      <c r="A1551" s="2" t="s">
        <v>4884</v>
      </c>
      <c r="B1551" s="2" t="s">
        <v>4885</v>
      </c>
      <c r="C1551" s="2" t="s">
        <v>4737</v>
      </c>
      <c r="D1551" s="2" t="s">
        <v>88</v>
      </c>
      <c r="E1551" s="2" t="s">
        <v>193</v>
      </c>
      <c r="F1551" s="2" t="s">
        <v>110</v>
      </c>
      <c r="G1551" s="2" t="s">
        <v>67</v>
      </c>
      <c r="H1551" s="2" t="s">
        <v>498</v>
      </c>
      <c r="I1551" s="2" t="s">
        <v>499</v>
      </c>
      <c r="J1551" s="2" t="s">
        <v>4738</v>
      </c>
      <c r="K1551" s="2" t="s">
        <v>4886</v>
      </c>
      <c r="L1551" s="2" t="s">
        <v>294</v>
      </c>
      <c r="M1551" s="2" t="s">
        <v>3228</v>
      </c>
      <c r="N1551" s="16">
        <v>3.0000000000000009E-2</v>
      </c>
      <c r="O1551" s="17">
        <f>N1551*'Financial Inputs'!$B$3</f>
        <v>3000000.0000000009</v>
      </c>
      <c r="P1551" s="18">
        <f>IF(I1551="L",'Financial Inputs'!$B$4,IF(I1551="M",'Financial Inputs'!$B$5,'Financial Inputs'!$B$6))</f>
        <v>0.7</v>
      </c>
      <c r="Q1551" s="17">
        <f>O1551*P1551</f>
        <v>2100000.0000000005</v>
      </c>
      <c r="R1551" s="16">
        <f>'Financial Inputs'!$B$7</f>
        <v>0.35</v>
      </c>
      <c r="S1551" s="17">
        <f>Q1551*(1-R1551)</f>
        <v>1365000.0000000005</v>
      </c>
      <c r="T1551" s="18">
        <f>S1551/'Financial Inputs'!$B$3</f>
        <v>1.3650000000000004E-2</v>
      </c>
      <c r="U1551" s="9" t="s">
        <v>52</v>
      </c>
      <c r="V1551" s="3" t="s">
        <v>53</v>
      </c>
    </row>
    <row r="1552" spans="1:22">
      <c r="A1552" s="2" t="s">
        <v>4887</v>
      </c>
      <c r="B1552" s="2" t="s">
        <v>4888</v>
      </c>
      <c r="C1552" s="2" t="s">
        <v>4737</v>
      </c>
      <c r="D1552" s="2" t="s">
        <v>42</v>
      </c>
      <c r="E1552" s="2" t="s">
        <v>96</v>
      </c>
      <c r="F1552" s="2" t="s">
        <v>44</v>
      </c>
      <c r="G1552" s="2" t="s">
        <v>45</v>
      </c>
      <c r="H1552" s="2" t="s">
        <v>498</v>
      </c>
      <c r="I1552" s="2" t="s">
        <v>499</v>
      </c>
      <c r="J1552" s="2" t="s">
        <v>4738</v>
      </c>
      <c r="K1552" s="2" t="s">
        <v>4889</v>
      </c>
      <c r="L1552" s="2" t="s">
        <v>298</v>
      </c>
      <c r="M1552" s="2" t="s">
        <v>3228</v>
      </c>
      <c r="N1552" s="16">
        <v>0.02</v>
      </c>
      <c r="O1552" s="17">
        <f>N1552*'Financial Inputs'!$B$3</f>
        <v>2000000</v>
      </c>
      <c r="P1552" s="18">
        <f>IF(I1552="L",'Financial Inputs'!$B$4,IF(I1552="M",'Financial Inputs'!$B$5,'Financial Inputs'!$B$6))</f>
        <v>0.7</v>
      </c>
      <c r="Q1552" s="17">
        <f>O1552*P1552</f>
        <v>1400000</v>
      </c>
      <c r="R1552" s="16">
        <f>'Financial Inputs'!$B$7</f>
        <v>0.35</v>
      </c>
      <c r="S1552" s="17">
        <f>Q1552*(1-R1552)</f>
        <v>910000</v>
      </c>
      <c r="T1552" s="18">
        <f>S1552/'Financial Inputs'!$B$3</f>
        <v>9.1000000000000004E-3</v>
      </c>
      <c r="U1552" s="9" t="s">
        <v>52</v>
      </c>
      <c r="V1552" s="3" t="s">
        <v>53</v>
      </c>
    </row>
    <row r="1553" spans="1:22">
      <c r="A1553" s="2" t="s">
        <v>4890</v>
      </c>
      <c r="B1553" s="2" t="s">
        <v>4891</v>
      </c>
      <c r="C1553" s="2" t="s">
        <v>4737</v>
      </c>
      <c r="D1553" s="2" t="s">
        <v>56</v>
      </c>
      <c r="E1553" s="2" t="s">
        <v>103</v>
      </c>
      <c r="F1553" s="2" t="s">
        <v>58</v>
      </c>
      <c r="G1553" s="2" t="s">
        <v>59</v>
      </c>
      <c r="H1553" s="2" t="s">
        <v>498</v>
      </c>
      <c r="I1553" s="2" t="s">
        <v>499</v>
      </c>
      <c r="J1553" s="2" t="s">
        <v>4738</v>
      </c>
      <c r="K1553" s="2" t="s">
        <v>4892</v>
      </c>
      <c r="L1553" s="2" t="s">
        <v>302</v>
      </c>
      <c r="M1553" s="2" t="s">
        <v>3228</v>
      </c>
      <c r="N1553" s="16">
        <v>2.2499999999999999E-2</v>
      </c>
      <c r="O1553" s="17">
        <f>N1553*'Financial Inputs'!$B$3</f>
        <v>2250000</v>
      </c>
      <c r="P1553" s="18">
        <f>IF(I1553="L",'Financial Inputs'!$B$4,IF(I1553="M",'Financial Inputs'!$B$5,'Financial Inputs'!$B$6))</f>
        <v>0.7</v>
      </c>
      <c r="Q1553" s="17">
        <f>O1553*P1553</f>
        <v>1575000</v>
      </c>
      <c r="R1553" s="16">
        <f>'Financial Inputs'!$B$7</f>
        <v>0.35</v>
      </c>
      <c r="S1553" s="17">
        <f>Q1553*(1-R1553)</f>
        <v>1023750</v>
      </c>
      <c r="T1553" s="18">
        <f>S1553/'Financial Inputs'!$B$3</f>
        <v>1.02375E-2</v>
      </c>
      <c r="U1553" s="9" t="s">
        <v>52</v>
      </c>
      <c r="V1553" s="3" t="s">
        <v>53</v>
      </c>
    </row>
    <row r="1554" spans="1:22">
      <c r="A1554" s="2" t="s">
        <v>4893</v>
      </c>
      <c r="B1554" s="2" t="s">
        <v>4894</v>
      </c>
      <c r="C1554" s="2" t="s">
        <v>4737</v>
      </c>
      <c r="D1554" s="2" t="s">
        <v>64</v>
      </c>
      <c r="E1554" s="2" t="s">
        <v>109</v>
      </c>
      <c r="F1554" s="2" t="s">
        <v>66</v>
      </c>
      <c r="G1554" s="2" t="s">
        <v>67</v>
      </c>
      <c r="H1554" s="2" t="s">
        <v>498</v>
      </c>
      <c r="I1554" s="2" t="s">
        <v>499</v>
      </c>
      <c r="J1554" s="2" t="s">
        <v>4738</v>
      </c>
      <c r="K1554" s="2" t="s">
        <v>4895</v>
      </c>
      <c r="L1554" s="2" t="s">
        <v>306</v>
      </c>
      <c r="M1554" s="2" t="s">
        <v>3228</v>
      </c>
      <c r="N1554" s="16">
        <v>2.5000000000000001E-2</v>
      </c>
      <c r="O1554" s="17">
        <f>N1554*'Financial Inputs'!$B$3</f>
        <v>2500000</v>
      </c>
      <c r="P1554" s="18">
        <f>IF(I1554="L",'Financial Inputs'!$B$4,IF(I1554="M",'Financial Inputs'!$B$5,'Financial Inputs'!$B$6))</f>
        <v>0.7</v>
      </c>
      <c r="Q1554" s="17">
        <f>O1554*P1554</f>
        <v>1750000</v>
      </c>
      <c r="R1554" s="16">
        <f>'Financial Inputs'!$B$7</f>
        <v>0.35</v>
      </c>
      <c r="S1554" s="17">
        <f>Q1554*(1-R1554)</f>
        <v>1137500</v>
      </c>
      <c r="T1554" s="18">
        <f>S1554/'Financial Inputs'!$B$3</f>
        <v>1.1375E-2</v>
      </c>
      <c r="U1554" s="9" t="s">
        <v>52</v>
      </c>
      <c r="V1554" s="3" t="s">
        <v>53</v>
      </c>
    </row>
    <row r="1555" spans="1:22">
      <c r="A1555" s="2" t="s">
        <v>4896</v>
      </c>
      <c r="B1555" s="2" t="s">
        <v>4897</v>
      </c>
      <c r="C1555" s="2" t="s">
        <v>4737</v>
      </c>
      <c r="D1555" s="2" t="s">
        <v>72</v>
      </c>
      <c r="E1555" s="2" t="s">
        <v>116</v>
      </c>
      <c r="F1555" s="2" t="s">
        <v>74</v>
      </c>
      <c r="G1555" s="2" t="s">
        <v>75</v>
      </c>
      <c r="H1555" s="2" t="s">
        <v>498</v>
      </c>
      <c r="I1555" s="2" t="s">
        <v>499</v>
      </c>
      <c r="J1555" s="2" t="s">
        <v>4738</v>
      </c>
      <c r="K1555" s="2" t="s">
        <v>4898</v>
      </c>
      <c r="L1555" s="2" t="s">
        <v>310</v>
      </c>
      <c r="M1555" s="2" t="s">
        <v>3228</v>
      </c>
      <c r="N1555" s="16">
        <v>2.75E-2</v>
      </c>
      <c r="O1555" s="17">
        <f>N1555*'Financial Inputs'!$B$3</f>
        <v>2750000</v>
      </c>
      <c r="P1555" s="18">
        <f>IF(I1555="L",'Financial Inputs'!$B$4,IF(I1555="M",'Financial Inputs'!$B$5,'Financial Inputs'!$B$6))</f>
        <v>0.7</v>
      </c>
      <c r="Q1555" s="17">
        <f>O1555*P1555</f>
        <v>1924999.9999999998</v>
      </c>
      <c r="R1555" s="16">
        <f>'Financial Inputs'!$B$7</f>
        <v>0.35</v>
      </c>
      <c r="S1555" s="17">
        <f>Q1555*(1-R1555)</f>
        <v>1251250</v>
      </c>
      <c r="T1555" s="18">
        <f>S1555/'Financial Inputs'!$B$3</f>
        <v>1.2512499999999999E-2</v>
      </c>
      <c r="U1555" s="9" t="s">
        <v>52</v>
      </c>
      <c r="V1555" s="3" t="s">
        <v>53</v>
      </c>
    </row>
    <row r="1556" spans="1:22">
      <c r="A1556" s="2" t="s">
        <v>4899</v>
      </c>
      <c r="B1556" s="2" t="s">
        <v>4900</v>
      </c>
      <c r="C1556" s="2" t="s">
        <v>4737</v>
      </c>
      <c r="D1556" s="2" t="s">
        <v>80</v>
      </c>
      <c r="E1556" s="2" t="s">
        <v>215</v>
      </c>
      <c r="F1556" s="2" t="s">
        <v>82</v>
      </c>
      <c r="G1556" s="2" t="s">
        <v>83</v>
      </c>
      <c r="H1556" s="2" t="s">
        <v>498</v>
      </c>
      <c r="I1556" s="2" t="s">
        <v>499</v>
      </c>
      <c r="J1556" s="2" t="s">
        <v>4738</v>
      </c>
      <c r="K1556" s="2" t="s">
        <v>4901</v>
      </c>
      <c r="L1556" s="2" t="s">
        <v>314</v>
      </c>
      <c r="M1556" s="2" t="s">
        <v>3228</v>
      </c>
      <c r="N1556" s="16">
        <v>3.0000000000000009E-2</v>
      </c>
      <c r="O1556" s="17">
        <f>N1556*'Financial Inputs'!$B$3</f>
        <v>3000000.0000000009</v>
      </c>
      <c r="P1556" s="18">
        <f>IF(I1556="L",'Financial Inputs'!$B$4,IF(I1556="M",'Financial Inputs'!$B$5,'Financial Inputs'!$B$6))</f>
        <v>0.7</v>
      </c>
      <c r="Q1556" s="17">
        <f>O1556*P1556</f>
        <v>2100000.0000000005</v>
      </c>
      <c r="R1556" s="16">
        <f>'Financial Inputs'!$B$7</f>
        <v>0.35</v>
      </c>
      <c r="S1556" s="17">
        <f>Q1556*(1-R1556)</f>
        <v>1365000.0000000005</v>
      </c>
      <c r="T1556" s="18">
        <f>S1556/'Financial Inputs'!$B$3</f>
        <v>1.3650000000000004E-2</v>
      </c>
      <c r="U1556" s="9" t="s">
        <v>52</v>
      </c>
      <c r="V1556" s="3" t="s">
        <v>53</v>
      </c>
    </row>
    <row r="1557" spans="1:22">
      <c r="A1557" s="2" t="s">
        <v>4902</v>
      </c>
      <c r="B1557" s="2" t="s">
        <v>4903</v>
      </c>
      <c r="C1557" s="2" t="s">
        <v>4737</v>
      </c>
      <c r="D1557" s="2" t="s">
        <v>88</v>
      </c>
      <c r="E1557" s="2" t="s">
        <v>128</v>
      </c>
      <c r="F1557" s="2" t="s">
        <v>90</v>
      </c>
      <c r="G1557" s="2" t="s">
        <v>67</v>
      </c>
      <c r="H1557" s="2" t="s">
        <v>498</v>
      </c>
      <c r="I1557" s="2" t="s">
        <v>499</v>
      </c>
      <c r="J1557" s="2" t="s">
        <v>4738</v>
      </c>
      <c r="K1557" s="2" t="s">
        <v>4904</v>
      </c>
      <c r="L1557" s="2" t="s">
        <v>318</v>
      </c>
      <c r="M1557" s="2" t="s">
        <v>3228</v>
      </c>
      <c r="N1557" s="16">
        <v>0.02</v>
      </c>
      <c r="O1557" s="17">
        <f>N1557*'Financial Inputs'!$B$3</f>
        <v>2000000</v>
      </c>
      <c r="P1557" s="18">
        <f>IF(I1557="L",'Financial Inputs'!$B$4,IF(I1557="M",'Financial Inputs'!$B$5,'Financial Inputs'!$B$6))</f>
        <v>0.7</v>
      </c>
      <c r="Q1557" s="17">
        <f>O1557*P1557</f>
        <v>1400000</v>
      </c>
      <c r="R1557" s="16">
        <f>'Financial Inputs'!$B$7</f>
        <v>0.35</v>
      </c>
      <c r="S1557" s="17">
        <f>Q1557*(1-R1557)</f>
        <v>910000</v>
      </c>
      <c r="T1557" s="18">
        <f>S1557/'Financial Inputs'!$B$3</f>
        <v>9.1000000000000004E-3</v>
      </c>
      <c r="U1557" s="9" t="s">
        <v>52</v>
      </c>
      <c r="V1557" s="3" t="s">
        <v>53</v>
      </c>
    </row>
    <row r="1558" spans="1:22">
      <c r="A1558" s="2" t="s">
        <v>4905</v>
      </c>
      <c r="B1558" s="2" t="s">
        <v>4906</v>
      </c>
      <c r="C1558" s="2" t="s">
        <v>4737</v>
      </c>
      <c r="D1558" s="2" t="s">
        <v>95</v>
      </c>
      <c r="E1558" s="2" t="s">
        <v>43</v>
      </c>
      <c r="F1558" s="2" t="s">
        <v>97</v>
      </c>
      <c r="G1558" s="2" t="s">
        <v>75</v>
      </c>
      <c r="H1558" s="2" t="s">
        <v>498</v>
      </c>
      <c r="I1558" s="2" t="s">
        <v>499</v>
      </c>
      <c r="J1558" s="2" t="s">
        <v>4738</v>
      </c>
      <c r="K1558" s="2" t="s">
        <v>4907</v>
      </c>
      <c r="L1558" s="2" t="s">
        <v>322</v>
      </c>
      <c r="M1558" s="2" t="s">
        <v>3228</v>
      </c>
      <c r="N1558" s="16">
        <v>2.2499999999999999E-2</v>
      </c>
      <c r="O1558" s="17">
        <f>N1558*'Financial Inputs'!$B$3</f>
        <v>2250000</v>
      </c>
      <c r="P1558" s="18">
        <f>IF(I1558="L",'Financial Inputs'!$B$4,IF(I1558="M",'Financial Inputs'!$B$5,'Financial Inputs'!$B$6))</f>
        <v>0.7</v>
      </c>
      <c r="Q1558" s="17">
        <f>O1558*P1558</f>
        <v>1575000</v>
      </c>
      <c r="R1558" s="16">
        <f>'Financial Inputs'!$B$7</f>
        <v>0.35</v>
      </c>
      <c r="S1558" s="17">
        <f>Q1558*(1-R1558)</f>
        <v>1023750</v>
      </c>
      <c r="T1558" s="18">
        <f>S1558/'Financial Inputs'!$B$3</f>
        <v>1.02375E-2</v>
      </c>
      <c r="U1558" s="9" t="s">
        <v>52</v>
      </c>
      <c r="V1558" s="3" t="s">
        <v>53</v>
      </c>
    </row>
    <row r="1559" spans="1:22">
      <c r="A1559" s="2" t="s">
        <v>4908</v>
      </c>
      <c r="B1559" s="2" t="s">
        <v>4909</v>
      </c>
      <c r="C1559" s="2" t="s">
        <v>4737</v>
      </c>
      <c r="D1559" s="2" t="s">
        <v>102</v>
      </c>
      <c r="E1559" s="2" t="s">
        <v>57</v>
      </c>
      <c r="F1559" s="2" t="s">
        <v>104</v>
      </c>
      <c r="G1559" s="2" t="s">
        <v>83</v>
      </c>
      <c r="H1559" s="2" t="s">
        <v>498</v>
      </c>
      <c r="I1559" s="2" t="s">
        <v>499</v>
      </c>
      <c r="J1559" s="2" t="s">
        <v>4738</v>
      </c>
      <c r="K1559" s="2" t="s">
        <v>4910</v>
      </c>
      <c r="L1559" s="2" t="s">
        <v>326</v>
      </c>
      <c r="M1559" s="2" t="s">
        <v>3228</v>
      </c>
      <c r="N1559" s="16">
        <v>2.5000000000000001E-2</v>
      </c>
      <c r="O1559" s="17">
        <f>N1559*'Financial Inputs'!$B$3</f>
        <v>2500000</v>
      </c>
      <c r="P1559" s="18">
        <f>IF(I1559="L",'Financial Inputs'!$B$4,IF(I1559="M",'Financial Inputs'!$B$5,'Financial Inputs'!$B$6))</f>
        <v>0.7</v>
      </c>
      <c r="Q1559" s="17">
        <f>O1559*P1559</f>
        <v>1750000</v>
      </c>
      <c r="R1559" s="16">
        <f>'Financial Inputs'!$B$7</f>
        <v>0.35</v>
      </c>
      <c r="S1559" s="17">
        <f>Q1559*(1-R1559)</f>
        <v>1137500</v>
      </c>
      <c r="T1559" s="18">
        <f>S1559/'Financial Inputs'!$B$3</f>
        <v>1.1375E-2</v>
      </c>
      <c r="U1559" s="9" t="s">
        <v>52</v>
      </c>
      <c r="V1559" s="3" t="s">
        <v>53</v>
      </c>
    </row>
    <row r="1560" spans="1:22">
      <c r="A1560" s="2" t="s">
        <v>4911</v>
      </c>
      <c r="B1560" s="2" t="s">
        <v>4912</v>
      </c>
      <c r="C1560" s="2" t="s">
        <v>4737</v>
      </c>
      <c r="D1560" s="2" t="s">
        <v>42</v>
      </c>
      <c r="E1560" s="2" t="s">
        <v>65</v>
      </c>
      <c r="F1560" s="2" t="s">
        <v>110</v>
      </c>
      <c r="G1560" s="2" t="s">
        <v>111</v>
      </c>
      <c r="H1560" s="2" t="s">
        <v>498</v>
      </c>
      <c r="I1560" s="2" t="s">
        <v>499</v>
      </c>
      <c r="J1560" s="2" t="s">
        <v>4738</v>
      </c>
      <c r="K1560" s="2" t="s">
        <v>4913</v>
      </c>
      <c r="L1560" s="2" t="s">
        <v>330</v>
      </c>
      <c r="M1560" s="2" t="s">
        <v>3228</v>
      </c>
      <c r="N1560" s="16">
        <v>2.75E-2</v>
      </c>
      <c r="O1560" s="17">
        <f>N1560*'Financial Inputs'!$B$3</f>
        <v>2750000</v>
      </c>
      <c r="P1560" s="18">
        <f>IF(I1560="L",'Financial Inputs'!$B$4,IF(I1560="M",'Financial Inputs'!$B$5,'Financial Inputs'!$B$6))</f>
        <v>0.7</v>
      </c>
      <c r="Q1560" s="17">
        <f>O1560*P1560</f>
        <v>1924999.9999999998</v>
      </c>
      <c r="R1560" s="16">
        <f>'Financial Inputs'!$B$7</f>
        <v>0.35</v>
      </c>
      <c r="S1560" s="17">
        <f>Q1560*(1-R1560)</f>
        <v>1251250</v>
      </c>
      <c r="T1560" s="18">
        <f>S1560/'Financial Inputs'!$B$3</f>
        <v>1.2512499999999999E-2</v>
      </c>
      <c r="U1560" s="9" t="s">
        <v>52</v>
      </c>
      <c r="V1560" s="3" t="s">
        <v>53</v>
      </c>
    </row>
    <row r="1561" spans="1:22">
      <c r="A1561" s="2" t="s">
        <v>4914</v>
      </c>
      <c r="B1561" s="2" t="s">
        <v>4915</v>
      </c>
      <c r="C1561" s="2" t="s">
        <v>4737</v>
      </c>
      <c r="D1561" s="2" t="s">
        <v>56</v>
      </c>
      <c r="E1561" s="2" t="s">
        <v>73</v>
      </c>
      <c r="F1561" s="2" t="s">
        <v>117</v>
      </c>
      <c r="G1561" s="2" t="s">
        <v>56</v>
      </c>
      <c r="H1561" s="2" t="s">
        <v>498</v>
      </c>
      <c r="I1561" s="2" t="s">
        <v>499</v>
      </c>
      <c r="J1561" s="2" t="s">
        <v>4738</v>
      </c>
      <c r="K1561" s="2" t="s">
        <v>4916</v>
      </c>
      <c r="L1561" s="2" t="s">
        <v>334</v>
      </c>
      <c r="M1561" s="2" t="s">
        <v>3228</v>
      </c>
      <c r="N1561" s="16">
        <v>3.0000000000000009E-2</v>
      </c>
      <c r="O1561" s="17">
        <f>N1561*'Financial Inputs'!$B$3</f>
        <v>3000000.0000000009</v>
      </c>
      <c r="P1561" s="18">
        <f>IF(I1561="L",'Financial Inputs'!$B$4,IF(I1561="M",'Financial Inputs'!$B$5,'Financial Inputs'!$B$6))</f>
        <v>0.7</v>
      </c>
      <c r="Q1561" s="17">
        <f>O1561*P1561</f>
        <v>2100000.0000000005</v>
      </c>
      <c r="R1561" s="16">
        <f>'Financial Inputs'!$B$7</f>
        <v>0.35</v>
      </c>
      <c r="S1561" s="17">
        <f>Q1561*(1-R1561)</f>
        <v>1365000.0000000005</v>
      </c>
      <c r="T1561" s="18">
        <f>S1561/'Financial Inputs'!$B$3</f>
        <v>1.3650000000000004E-2</v>
      </c>
      <c r="U1561" s="9" t="s">
        <v>52</v>
      </c>
      <c r="V1561" s="3" t="s">
        <v>53</v>
      </c>
    </row>
    <row r="1562" spans="1:22">
      <c r="A1562" s="2" t="s">
        <v>4917</v>
      </c>
      <c r="B1562" s="2" t="s">
        <v>4918</v>
      </c>
      <c r="C1562" s="2" t="s">
        <v>4737</v>
      </c>
      <c r="D1562" s="2" t="s">
        <v>80</v>
      </c>
      <c r="E1562" s="2" t="s">
        <v>153</v>
      </c>
      <c r="F1562" s="2" t="s">
        <v>58</v>
      </c>
      <c r="G1562" s="2" t="s">
        <v>83</v>
      </c>
      <c r="H1562" s="2" t="s">
        <v>498</v>
      </c>
      <c r="I1562" s="2" t="s">
        <v>499</v>
      </c>
      <c r="J1562" s="2" t="s">
        <v>4738</v>
      </c>
      <c r="K1562" s="2" t="s">
        <v>4919</v>
      </c>
      <c r="L1562" s="2" t="s">
        <v>338</v>
      </c>
      <c r="M1562" s="2" t="s">
        <v>3228</v>
      </c>
      <c r="N1562" s="16">
        <v>0.02</v>
      </c>
      <c r="O1562" s="17">
        <f>N1562*'Financial Inputs'!$B$3</f>
        <v>2000000</v>
      </c>
      <c r="P1562" s="18">
        <f>IF(I1562="L",'Financial Inputs'!$B$4,IF(I1562="M",'Financial Inputs'!$B$5,'Financial Inputs'!$B$6))</f>
        <v>0.7</v>
      </c>
      <c r="Q1562" s="17">
        <f>O1562*P1562</f>
        <v>1400000</v>
      </c>
      <c r="R1562" s="16">
        <f>'Financial Inputs'!$B$7</f>
        <v>0.35</v>
      </c>
      <c r="S1562" s="17">
        <f>Q1562*(1-R1562)</f>
        <v>910000</v>
      </c>
      <c r="T1562" s="18">
        <f>S1562/'Financial Inputs'!$B$3</f>
        <v>9.1000000000000004E-3</v>
      </c>
      <c r="U1562" s="9" t="s">
        <v>52</v>
      </c>
      <c r="V1562" s="3" t="s">
        <v>53</v>
      </c>
    </row>
    <row r="1563" spans="1:22">
      <c r="A1563" s="2" t="s">
        <v>4920</v>
      </c>
      <c r="B1563" s="2" t="s">
        <v>4921</v>
      </c>
      <c r="C1563" s="2" t="s">
        <v>4737</v>
      </c>
      <c r="D1563" s="2" t="s">
        <v>127</v>
      </c>
      <c r="E1563" s="2" t="s">
        <v>89</v>
      </c>
      <c r="F1563" s="2" t="s">
        <v>66</v>
      </c>
      <c r="G1563" s="2" t="s">
        <v>111</v>
      </c>
      <c r="H1563" s="2" t="s">
        <v>498</v>
      </c>
      <c r="I1563" s="2" t="s">
        <v>499</v>
      </c>
      <c r="J1563" s="2" t="s">
        <v>4738</v>
      </c>
      <c r="K1563" s="2" t="s">
        <v>4922</v>
      </c>
      <c r="L1563" s="2" t="s">
        <v>342</v>
      </c>
      <c r="M1563" s="2" t="s">
        <v>3228</v>
      </c>
      <c r="N1563" s="16">
        <v>2.2499999999999999E-2</v>
      </c>
      <c r="O1563" s="17">
        <f>N1563*'Financial Inputs'!$B$3</f>
        <v>2250000</v>
      </c>
      <c r="P1563" s="18">
        <f>IF(I1563="L",'Financial Inputs'!$B$4,IF(I1563="M",'Financial Inputs'!$B$5,'Financial Inputs'!$B$6))</f>
        <v>0.7</v>
      </c>
      <c r="Q1563" s="17">
        <f>O1563*P1563</f>
        <v>1575000</v>
      </c>
      <c r="R1563" s="16">
        <f>'Financial Inputs'!$B$7</f>
        <v>0.35</v>
      </c>
      <c r="S1563" s="17">
        <f>Q1563*(1-R1563)</f>
        <v>1023750</v>
      </c>
      <c r="T1563" s="18">
        <f>S1563/'Financial Inputs'!$B$3</f>
        <v>1.02375E-2</v>
      </c>
      <c r="U1563" s="9" t="s">
        <v>52</v>
      </c>
      <c r="V1563" s="3" t="s">
        <v>53</v>
      </c>
    </row>
    <row r="1564" spans="1:22">
      <c r="A1564" s="2" t="s">
        <v>4923</v>
      </c>
      <c r="B1564" s="2" t="s">
        <v>4924</v>
      </c>
      <c r="C1564" s="2" t="s">
        <v>4737</v>
      </c>
      <c r="D1564" s="2" t="s">
        <v>133</v>
      </c>
      <c r="E1564" s="2" t="s">
        <v>96</v>
      </c>
      <c r="F1564" s="2" t="s">
        <v>74</v>
      </c>
      <c r="G1564" s="2" t="s">
        <v>56</v>
      </c>
      <c r="H1564" s="2" t="s">
        <v>498</v>
      </c>
      <c r="I1564" s="2" t="s">
        <v>499</v>
      </c>
      <c r="J1564" s="2" t="s">
        <v>4738</v>
      </c>
      <c r="K1564" s="2" t="s">
        <v>4925</v>
      </c>
      <c r="L1564" s="2" t="s">
        <v>346</v>
      </c>
      <c r="M1564" s="2" t="s">
        <v>3228</v>
      </c>
      <c r="N1564" s="16">
        <v>2.5000000000000001E-2</v>
      </c>
      <c r="O1564" s="17">
        <f>N1564*'Financial Inputs'!$B$3</f>
        <v>2500000</v>
      </c>
      <c r="P1564" s="18">
        <f>IF(I1564="L",'Financial Inputs'!$B$4,IF(I1564="M",'Financial Inputs'!$B$5,'Financial Inputs'!$B$6))</f>
        <v>0.7</v>
      </c>
      <c r="Q1564" s="17">
        <f>O1564*P1564</f>
        <v>1750000</v>
      </c>
      <c r="R1564" s="16">
        <f>'Financial Inputs'!$B$7</f>
        <v>0.35</v>
      </c>
      <c r="S1564" s="17">
        <f>Q1564*(1-R1564)</f>
        <v>1137500</v>
      </c>
      <c r="T1564" s="18">
        <f>S1564/'Financial Inputs'!$B$3</f>
        <v>1.1375E-2</v>
      </c>
      <c r="U1564" s="9" t="s">
        <v>52</v>
      </c>
      <c r="V1564" s="3" t="s">
        <v>53</v>
      </c>
    </row>
    <row r="1565" spans="1:22">
      <c r="A1565" s="2" t="s">
        <v>4926</v>
      </c>
      <c r="B1565" s="2" t="s">
        <v>4927</v>
      </c>
      <c r="C1565" s="2" t="s">
        <v>4737</v>
      </c>
      <c r="D1565" s="2" t="s">
        <v>88</v>
      </c>
      <c r="E1565" s="2" t="s">
        <v>103</v>
      </c>
      <c r="F1565" s="2" t="s">
        <v>82</v>
      </c>
      <c r="G1565" s="2" t="s">
        <v>138</v>
      </c>
      <c r="H1565" s="2" t="s">
        <v>498</v>
      </c>
      <c r="I1565" s="2" t="s">
        <v>499</v>
      </c>
      <c r="J1565" s="2" t="s">
        <v>4738</v>
      </c>
      <c r="K1565" s="2" t="s">
        <v>4928</v>
      </c>
      <c r="L1565" s="2" t="s">
        <v>350</v>
      </c>
      <c r="M1565" s="2" t="s">
        <v>3228</v>
      </c>
      <c r="N1565" s="16">
        <v>2.75E-2</v>
      </c>
      <c r="O1565" s="17">
        <f>N1565*'Financial Inputs'!$B$3</f>
        <v>2750000</v>
      </c>
      <c r="P1565" s="18">
        <f>IF(I1565="L",'Financial Inputs'!$B$4,IF(I1565="M",'Financial Inputs'!$B$5,'Financial Inputs'!$B$6))</f>
        <v>0.7</v>
      </c>
      <c r="Q1565" s="17">
        <f>O1565*P1565</f>
        <v>1924999.9999999998</v>
      </c>
      <c r="R1565" s="16">
        <f>'Financial Inputs'!$B$7</f>
        <v>0.35</v>
      </c>
      <c r="S1565" s="17">
        <f>Q1565*(1-R1565)</f>
        <v>1251250</v>
      </c>
      <c r="T1565" s="18">
        <f>S1565/'Financial Inputs'!$B$3</f>
        <v>1.2512499999999999E-2</v>
      </c>
      <c r="U1565" s="9" t="s">
        <v>52</v>
      </c>
      <c r="V1565" s="3" t="s">
        <v>53</v>
      </c>
    </row>
    <row r="1566" spans="1:22">
      <c r="A1566" s="2" t="s">
        <v>4929</v>
      </c>
      <c r="B1566" s="2" t="s">
        <v>4930</v>
      </c>
      <c r="C1566" s="2" t="s">
        <v>4737</v>
      </c>
      <c r="D1566" s="2" t="s">
        <v>95</v>
      </c>
      <c r="E1566" s="2" t="s">
        <v>109</v>
      </c>
      <c r="F1566" s="2" t="s">
        <v>44</v>
      </c>
      <c r="G1566" s="2" t="s">
        <v>143</v>
      </c>
      <c r="H1566" s="2" t="s">
        <v>498</v>
      </c>
      <c r="I1566" s="2" t="s">
        <v>499</v>
      </c>
      <c r="J1566" s="2" t="s">
        <v>4738</v>
      </c>
      <c r="K1566" s="2" t="s">
        <v>4931</v>
      </c>
      <c r="L1566" s="2" t="s">
        <v>354</v>
      </c>
      <c r="M1566" s="2" t="s">
        <v>3228</v>
      </c>
      <c r="N1566" s="16">
        <v>3.0000000000000009E-2</v>
      </c>
      <c r="O1566" s="17">
        <f>N1566*'Financial Inputs'!$B$3</f>
        <v>3000000.0000000009</v>
      </c>
      <c r="P1566" s="18">
        <f>IF(I1566="L",'Financial Inputs'!$B$4,IF(I1566="M",'Financial Inputs'!$B$5,'Financial Inputs'!$B$6))</f>
        <v>0.7</v>
      </c>
      <c r="Q1566" s="17">
        <f>O1566*P1566</f>
        <v>2100000.0000000005</v>
      </c>
      <c r="R1566" s="16">
        <f>'Financial Inputs'!$B$7</f>
        <v>0.35</v>
      </c>
      <c r="S1566" s="17">
        <f>Q1566*(1-R1566)</f>
        <v>1365000.0000000005</v>
      </c>
      <c r="T1566" s="18">
        <f>S1566/'Financial Inputs'!$B$3</f>
        <v>1.3650000000000004E-2</v>
      </c>
      <c r="U1566" s="9" t="s">
        <v>52</v>
      </c>
      <c r="V1566" s="3" t="s">
        <v>53</v>
      </c>
    </row>
    <row r="1567" spans="1:22">
      <c r="A1567" s="2" t="s">
        <v>4932</v>
      </c>
      <c r="B1567" s="2" t="s">
        <v>4933</v>
      </c>
      <c r="C1567" s="2" t="s">
        <v>4737</v>
      </c>
      <c r="D1567" s="2" t="s">
        <v>56</v>
      </c>
      <c r="E1567" s="2" t="s">
        <v>176</v>
      </c>
      <c r="F1567" s="2" t="s">
        <v>97</v>
      </c>
      <c r="G1567" s="2" t="s">
        <v>56</v>
      </c>
      <c r="H1567" s="2" t="s">
        <v>498</v>
      </c>
      <c r="I1567" s="2" t="s">
        <v>499</v>
      </c>
      <c r="J1567" s="2" t="s">
        <v>4738</v>
      </c>
      <c r="K1567" s="2" t="s">
        <v>4934</v>
      </c>
      <c r="L1567" s="2" t="s">
        <v>358</v>
      </c>
      <c r="M1567" s="2" t="s">
        <v>3228</v>
      </c>
      <c r="N1567" s="16">
        <v>0.02</v>
      </c>
      <c r="O1567" s="17">
        <f>N1567*'Financial Inputs'!$B$3</f>
        <v>2000000</v>
      </c>
      <c r="P1567" s="18">
        <f>IF(I1567="L",'Financial Inputs'!$B$4,IF(I1567="M",'Financial Inputs'!$B$5,'Financial Inputs'!$B$6))</f>
        <v>0.7</v>
      </c>
      <c r="Q1567" s="17">
        <f>O1567*P1567</f>
        <v>1400000</v>
      </c>
      <c r="R1567" s="16">
        <f>'Financial Inputs'!$B$7</f>
        <v>0.35</v>
      </c>
      <c r="S1567" s="17">
        <f>Q1567*(1-R1567)</f>
        <v>910000</v>
      </c>
      <c r="T1567" s="18">
        <f>S1567/'Financial Inputs'!$B$3</f>
        <v>9.1000000000000004E-3</v>
      </c>
      <c r="U1567" s="9" t="s">
        <v>52</v>
      </c>
      <c r="V1567" s="3" t="s">
        <v>53</v>
      </c>
    </row>
    <row r="1568" spans="1:22">
      <c r="A1568" s="2" t="s">
        <v>4935</v>
      </c>
      <c r="B1568" s="2" t="s">
        <v>4936</v>
      </c>
      <c r="C1568" s="2" t="s">
        <v>4737</v>
      </c>
      <c r="D1568" s="2" t="s">
        <v>64</v>
      </c>
      <c r="E1568" s="2" t="s">
        <v>122</v>
      </c>
      <c r="F1568" s="2" t="s">
        <v>104</v>
      </c>
      <c r="G1568" s="2" t="s">
        <v>138</v>
      </c>
      <c r="H1568" s="2" t="s">
        <v>498</v>
      </c>
      <c r="I1568" s="2" t="s">
        <v>499</v>
      </c>
      <c r="J1568" s="2" t="s">
        <v>4738</v>
      </c>
      <c r="K1568" s="2" t="s">
        <v>4937</v>
      </c>
      <c r="L1568" s="2" t="s">
        <v>362</v>
      </c>
      <c r="M1568" s="2" t="s">
        <v>3228</v>
      </c>
      <c r="N1568" s="16">
        <v>2.2499999999999999E-2</v>
      </c>
      <c r="O1568" s="17">
        <f>N1568*'Financial Inputs'!$B$3</f>
        <v>2250000</v>
      </c>
      <c r="P1568" s="18">
        <f>IF(I1568="L",'Financial Inputs'!$B$4,IF(I1568="M",'Financial Inputs'!$B$5,'Financial Inputs'!$B$6))</f>
        <v>0.7</v>
      </c>
      <c r="Q1568" s="17">
        <f>O1568*P1568</f>
        <v>1575000</v>
      </c>
      <c r="R1568" s="16">
        <f>'Financial Inputs'!$B$7</f>
        <v>0.35</v>
      </c>
      <c r="S1568" s="17">
        <f>Q1568*(1-R1568)</f>
        <v>1023750</v>
      </c>
      <c r="T1568" s="18">
        <f>S1568/'Financial Inputs'!$B$3</f>
        <v>1.02375E-2</v>
      </c>
      <c r="U1568" s="9" t="s">
        <v>52</v>
      </c>
      <c r="V1568" s="3" t="s">
        <v>53</v>
      </c>
    </row>
    <row r="1569" spans="1:22">
      <c r="A1569" s="2" t="s">
        <v>4938</v>
      </c>
      <c r="B1569" s="2" t="s">
        <v>4939</v>
      </c>
      <c r="C1569" s="2" t="s">
        <v>4737</v>
      </c>
      <c r="D1569" s="2" t="s">
        <v>72</v>
      </c>
      <c r="E1569" s="2" t="s">
        <v>128</v>
      </c>
      <c r="F1569" s="2" t="s">
        <v>110</v>
      </c>
      <c r="G1569" s="2" t="s">
        <v>143</v>
      </c>
      <c r="H1569" s="2" t="s">
        <v>498</v>
      </c>
      <c r="I1569" s="2" t="s">
        <v>499</v>
      </c>
      <c r="J1569" s="2" t="s">
        <v>4738</v>
      </c>
      <c r="K1569" s="2" t="s">
        <v>4940</v>
      </c>
      <c r="L1569" s="2" t="s">
        <v>366</v>
      </c>
      <c r="M1569" s="2" t="s">
        <v>3228</v>
      </c>
      <c r="N1569" s="16">
        <v>2.5000000000000001E-2</v>
      </c>
      <c r="O1569" s="17">
        <f>N1569*'Financial Inputs'!$B$3</f>
        <v>2500000</v>
      </c>
      <c r="P1569" s="18">
        <f>IF(I1569="L",'Financial Inputs'!$B$4,IF(I1569="M",'Financial Inputs'!$B$5,'Financial Inputs'!$B$6))</f>
        <v>0.7</v>
      </c>
      <c r="Q1569" s="17">
        <f>O1569*P1569</f>
        <v>1750000</v>
      </c>
      <c r="R1569" s="16">
        <f>'Financial Inputs'!$B$7</f>
        <v>0.35</v>
      </c>
      <c r="S1569" s="17">
        <f>Q1569*(1-R1569)</f>
        <v>1137500</v>
      </c>
      <c r="T1569" s="18">
        <f>S1569/'Financial Inputs'!$B$3</f>
        <v>1.1375E-2</v>
      </c>
      <c r="U1569" s="9" t="s">
        <v>52</v>
      </c>
      <c r="V1569" s="3" t="s">
        <v>53</v>
      </c>
    </row>
    <row r="1570" spans="1:22">
      <c r="A1570" s="2" t="s">
        <v>4941</v>
      </c>
      <c r="B1570" s="2" t="s">
        <v>4942</v>
      </c>
      <c r="C1570" s="2" t="s">
        <v>4737</v>
      </c>
      <c r="D1570" s="2" t="s">
        <v>80</v>
      </c>
      <c r="E1570" s="2" t="s">
        <v>43</v>
      </c>
      <c r="F1570" s="2" t="s">
        <v>117</v>
      </c>
      <c r="G1570" s="2" t="s">
        <v>162</v>
      </c>
      <c r="H1570" s="2" t="s">
        <v>498</v>
      </c>
      <c r="I1570" s="2" t="s">
        <v>499</v>
      </c>
      <c r="J1570" s="2" t="s">
        <v>4738</v>
      </c>
      <c r="K1570" s="2" t="s">
        <v>4943</v>
      </c>
      <c r="L1570" s="2" t="s">
        <v>370</v>
      </c>
      <c r="M1570" s="2" t="s">
        <v>3228</v>
      </c>
      <c r="N1570" s="16">
        <v>2.75E-2</v>
      </c>
      <c r="O1570" s="17">
        <f>N1570*'Financial Inputs'!$B$3</f>
        <v>2750000</v>
      </c>
      <c r="P1570" s="18">
        <f>IF(I1570="L",'Financial Inputs'!$B$4,IF(I1570="M",'Financial Inputs'!$B$5,'Financial Inputs'!$B$6))</f>
        <v>0.7</v>
      </c>
      <c r="Q1570" s="17">
        <f>O1570*P1570</f>
        <v>1924999.9999999998</v>
      </c>
      <c r="R1570" s="16">
        <f>'Financial Inputs'!$B$7</f>
        <v>0.35</v>
      </c>
      <c r="S1570" s="17">
        <f>Q1570*(1-R1570)</f>
        <v>1251250</v>
      </c>
      <c r="T1570" s="18">
        <f>S1570/'Financial Inputs'!$B$3</f>
        <v>1.2512499999999999E-2</v>
      </c>
      <c r="U1570" s="9" t="s">
        <v>52</v>
      </c>
      <c r="V1570" s="3" t="s">
        <v>53</v>
      </c>
    </row>
    <row r="1571" spans="1:22">
      <c r="A1571" s="2" t="s">
        <v>4944</v>
      </c>
      <c r="B1571" s="2" t="s">
        <v>4945</v>
      </c>
      <c r="C1571" s="2" t="s">
        <v>4737</v>
      </c>
      <c r="D1571" s="2" t="s">
        <v>127</v>
      </c>
      <c r="E1571" s="2" t="s">
        <v>57</v>
      </c>
      <c r="F1571" s="2" t="s">
        <v>90</v>
      </c>
      <c r="G1571" s="2" t="s">
        <v>45</v>
      </c>
      <c r="H1571" s="2" t="s">
        <v>498</v>
      </c>
      <c r="I1571" s="2" t="s">
        <v>499</v>
      </c>
      <c r="J1571" s="2" t="s">
        <v>4738</v>
      </c>
      <c r="K1571" s="2" t="s">
        <v>4946</v>
      </c>
      <c r="L1571" s="2" t="s">
        <v>374</v>
      </c>
      <c r="M1571" s="2" t="s">
        <v>3228</v>
      </c>
      <c r="N1571" s="16">
        <v>3.0000000000000009E-2</v>
      </c>
      <c r="O1571" s="17">
        <f>N1571*'Financial Inputs'!$B$3</f>
        <v>3000000.0000000009</v>
      </c>
      <c r="P1571" s="18">
        <f>IF(I1571="L",'Financial Inputs'!$B$4,IF(I1571="M",'Financial Inputs'!$B$5,'Financial Inputs'!$B$6))</f>
        <v>0.7</v>
      </c>
      <c r="Q1571" s="17">
        <f>O1571*P1571</f>
        <v>2100000.0000000005</v>
      </c>
      <c r="R1571" s="16">
        <f>'Financial Inputs'!$B$7</f>
        <v>0.35</v>
      </c>
      <c r="S1571" s="17">
        <f>Q1571*(1-R1571)</f>
        <v>1365000.0000000005</v>
      </c>
      <c r="T1571" s="18">
        <f>S1571/'Financial Inputs'!$B$3</f>
        <v>1.3650000000000004E-2</v>
      </c>
      <c r="U1571" s="9" t="s">
        <v>52</v>
      </c>
      <c r="V1571" s="3" t="s">
        <v>53</v>
      </c>
    </row>
    <row r="1572" spans="1:22">
      <c r="A1572" s="2" t="s">
        <v>4947</v>
      </c>
      <c r="B1572" s="2" t="s">
        <v>4948</v>
      </c>
      <c r="C1572" s="2" t="s">
        <v>4737</v>
      </c>
      <c r="D1572" s="2" t="s">
        <v>95</v>
      </c>
      <c r="E1572" s="2" t="s">
        <v>198</v>
      </c>
      <c r="F1572" s="2" t="s">
        <v>66</v>
      </c>
      <c r="G1572" s="2" t="s">
        <v>143</v>
      </c>
      <c r="H1572" s="2" t="s">
        <v>498</v>
      </c>
      <c r="I1572" s="2" t="s">
        <v>499</v>
      </c>
      <c r="J1572" s="2" t="s">
        <v>4738</v>
      </c>
      <c r="K1572" s="2" t="s">
        <v>4949</v>
      </c>
      <c r="L1572" s="2" t="s">
        <v>378</v>
      </c>
      <c r="M1572" s="2" t="s">
        <v>3228</v>
      </c>
      <c r="N1572" s="16">
        <v>0.02</v>
      </c>
      <c r="O1572" s="17">
        <f>N1572*'Financial Inputs'!$B$3</f>
        <v>2000000</v>
      </c>
      <c r="P1572" s="18">
        <f>IF(I1572="L",'Financial Inputs'!$B$4,IF(I1572="M",'Financial Inputs'!$B$5,'Financial Inputs'!$B$6))</f>
        <v>0.7</v>
      </c>
      <c r="Q1572" s="17">
        <f>O1572*P1572</f>
        <v>1400000</v>
      </c>
      <c r="R1572" s="16">
        <f>'Financial Inputs'!$B$7</f>
        <v>0.35</v>
      </c>
      <c r="S1572" s="17">
        <f>Q1572*(1-R1572)</f>
        <v>910000</v>
      </c>
      <c r="T1572" s="18">
        <f>S1572/'Financial Inputs'!$B$3</f>
        <v>9.1000000000000004E-3</v>
      </c>
      <c r="U1572" s="9" t="s">
        <v>52</v>
      </c>
      <c r="V1572" s="3" t="s">
        <v>53</v>
      </c>
    </row>
    <row r="1573" spans="1:22">
      <c r="A1573" s="2" t="s">
        <v>4950</v>
      </c>
      <c r="B1573" s="2" t="s">
        <v>4951</v>
      </c>
      <c r="C1573" s="2" t="s">
        <v>4737</v>
      </c>
      <c r="D1573" s="2" t="s">
        <v>102</v>
      </c>
      <c r="E1573" s="2" t="s">
        <v>148</v>
      </c>
      <c r="F1573" s="2" t="s">
        <v>74</v>
      </c>
      <c r="G1573" s="2" t="s">
        <v>162</v>
      </c>
      <c r="H1573" s="2" t="s">
        <v>498</v>
      </c>
      <c r="I1573" s="2" t="s">
        <v>499</v>
      </c>
      <c r="J1573" s="2" t="s">
        <v>4738</v>
      </c>
      <c r="K1573" s="2" t="s">
        <v>4952</v>
      </c>
      <c r="L1573" s="2" t="s">
        <v>382</v>
      </c>
      <c r="M1573" s="2" t="s">
        <v>3228</v>
      </c>
      <c r="N1573" s="16">
        <v>2.2499999999999999E-2</v>
      </c>
      <c r="O1573" s="17">
        <f>N1573*'Financial Inputs'!$B$3</f>
        <v>2250000</v>
      </c>
      <c r="P1573" s="18">
        <f>IF(I1573="L",'Financial Inputs'!$B$4,IF(I1573="M",'Financial Inputs'!$B$5,'Financial Inputs'!$B$6))</f>
        <v>0.7</v>
      </c>
      <c r="Q1573" s="17">
        <f>O1573*P1573</f>
        <v>1575000</v>
      </c>
      <c r="R1573" s="16">
        <f>'Financial Inputs'!$B$7</f>
        <v>0.35</v>
      </c>
      <c r="S1573" s="17">
        <f>Q1573*(1-R1573)</f>
        <v>1023750</v>
      </c>
      <c r="T1573" s="18">
        <f>S1573/'Financial Inputs'!$B$3</f>
        <v>1.02375E-2</v>
      </c>
      <c r="U1573" s="9" t="s">
        <v>52</v>
      </c>
      <c r="V1573" s="3" t="s">
        <v>53</v>
      </c>
    </row>
    <row r="1574" spans="1:22">
      <c r="A1574" s="2" t="s">
        <v>4953</v>
      </c>
      <c r="B1574" s="2" t="s">
        <v>4954</v>
      </c>
      <c r="C1574" s="2" t="s">
        <v>4737</v>
      </c>
      <c r="D1574" s="2" t="s">
        <v>42</v>
      </c>
      <c r="E1574" s="2" t="s">
        <v>153</v>
      </c>
      <c r="F1574" s="2" t="s">
        <v>82</v>
      </c>
      <c r="G1574" s="2" t="s">
        <v>45</v>
      </c>
      <c r="H1574" s="2" t="s">
        <v>498</v>
      </c>
      <c r="I1574" s="2" t="s">
        <v>499</v>
      </c>
      <c r="J1574" s="2" t="s">
        <v>4738</v>
      </c>
      <c r="K1574" s="2" t="s">
        <v>4955</v>
      </c>
      <c r="L1574" s="2" t="s">
        <v>386</v>
      </c>
      <c r="M1574" s="2" t="s">
        <v>3228</v>
      </c>
      <c r="N1574" s="16">
        <v>2.5000000000000001E-2</v>
      </c>
      <c r="O1574" s="17">
        <f>N1574*'Financial Inputs'!$B$3</f>
        <v>2500000</v>
      </c>
      <c r="P1574" s="18">
        <f>IF(I1574="L",'Financial Inputs'!$B$4,IF(I1574="M",'Financial Inputs'!$B$5,'Financial Inputs'!$B$6))</f>
        <v>0.7</v>
      </c>
      <c r="Q1574" s="17">
        <f>O1574*P1574</f>
        <v>1750000</v>
      </c>
      <c r="R1574" s="16">
        <f>'Financial Inputs'!$B$7</f>
        <v>0.35</v>
      </c>
      <c r="S1574" s="17">
        <f>Q1574*(1-R1574)</f>
        <v>1137500</v>
      </c>
      <c r="T1574" s="18">
        <f>S1574/'Financial Inputs'!$B$3</f>
        <v>1.1375E-2</v>
      </c>
      <c r="U1574" s="9" t="s">
        <v>52</v>
      </c>
      <c r="V1574" s="3" t="s">
        <v>53</v>
      </c>
    </row>
    <row r="1575" spans="1:22">
      <c r="A1575" s="2" t="s">
        <v>4956</v>
      </c>
      <c r="B1575" s="2" t="s">
        <v>4957</v>
      </c>
      <c r="C1575" s="2" t="s">
        <v>4737</v>
      </c>
      <c r="D1575" s="2" t="s">
        <v>56</v>
      </c>
      <c r="E1575" s="2" t="s">
        <v>89</v>
      </c>
      <c r="F1575" s="2" t="s">
        <v>44</v>
      </c>
      <c r="G1575" s="2" t="s">
        <v>59</v>
      </c>
      <c r="H1575" s="2" t="s">
        <v>498</v>
      </c>
      <c r="I1575" s="2" t="s">
        <v>499</v>
      </c>
      <c r="J1575" s="2" t="s">
        <v>4738</v>
      </c>
      <c r="K1575" s="2" t="s">
        <v>4958</v>
      </c>
      <c r="L1575" s="2" t="s">
        <v>390</v>
      </c>
      <c r="M1575" s="2" t="s">
        <v>3228</v>
      </c>
      <c r="N1575" s="16">
        <v>2.75E-2</v>
      </c>
      <c r="O1575" s="17">
        <f>N1575*'Financial Inputs'!$B$3</f>
        <v>2750000</v>
      </c>
      <c r="P1575" s="18">
        <f>IF(I1575="L",'Financial Inputs'!$B$4,IF(I1575="M",'Financial Inputs'!$B$5,'Financial Inputs'!$B$6))</f>
        <v>0.7</v>
      </c>
      <c r="Q1575" s="17">
        <f>O1575*P1575</f>
        <v>1924999.9999999998</v>
      </c>
      <c r="R1575" s="16">
        <f>'Financial Inputs'!$B$7</f>
        <v>0.35</v>
      </c>
      <c r="S1575" s="17">
        <f>Q1575*(1-R1575)</f>
        <v>1251250</v>
      </c>
      <c r="T1575" s="18">
        <f>S1575/'Financial Inputs'!$B$3</f>
        <v>1.2512499999999999E-2</v>
      </c>
      <c r="U1575" s="9" t="s">
        <v>52</v>
      </c>
      <c r="V1575" s="3" t="s">
        <v>53</v>
      </c>
    </row>
    <row r="1576" spans="1:22">
      <c r="A1576" s="2" t="s">
        <v>4959</v>
      </c>
      <c r="B1576" s="2" t="s">
        <v>4960</v>
      </c>
      <c r="C1576" s="2" t="s">
        <v>4737</v>
      </c>
      <c r="D1576" s="2" t="s">
        <v>64</v>
      </c>
      <c r="E1576" s="2" t="s">
        <v>96</v>
      </c>
      <c r="F1576" s="2" t="s">
        <v>58</v>
      </c>
      <c r="G1576" s="2" t="s">
        <v>67</v>
      </c>
      <c r="H1576" s="2" t="s">
        <v>498</v>
      </c>
      <c r="I1576" s="2" t="s">
        <v>499</v>
      </c>
      <c r="J1576" s="2" t="s">
        <v>4738</v>
      </c>
      <c r="K1576" s="2" t="s">
        <v>4961</v>
      </c>
      <c r="L1576" s="2" t="s">
        <v>394</v>
      </c>
      <c r="M1576" s="2" t="s">
        <v>3228</v>
      </c>
      <c r="N1576" s="16">
        <v>3.0000000000000009E-2</v>
      </c>
      <c r="O1576" s="17">
        <f>N1576*'Financial Inputs'!$B$3</f>
        <v>3000000.0000000009</v>
      </c>
      <c r="P1576" s="18">
        <f>IF(I1576="L",'Financial Inputs'!$B$4,IF(I1576="M",'Financial Inputs'!$B$5,'Financial Inputs'!$B$6))</f>
        <v>0.7</v>
      </c>
      <c r="Q1576" s="17">
        <f>O1576*P1576</f>
        <v>2100000.0000000005</v>
      </c>
      <c r="R1576" s="16">
        <f>'Financial Inputs'!$B$7</f>
        <v>0.35</v>
      </c>
      <c r="S1576" s="17">
        <f>Q1576*(1-R1576)</f>
        <v>1365000.0000000005</v>
      </c>
      <c r="T1576" s="18">
        <f>S1576/'Financial Inputs'!$B$3</f>
        <v>1.3650000000000004E-2</v>
      </c>
      <c r="U1576" s="9" t="s">
        <v>52</v>
      </c>
      <c r="V1576" s="3" t="s">
        <v>53</v>
      </c>
    </row>
    <row r="1577" spans="1:22">
      <c r="A1577" s="2" t="s">
        <v>4962</v>
      </c>
      <c r="B1577" s="2" t="s">
        <v>4963</v>
      </c>
      <c r="C1577" s="2" t="s">
        <v>4737</v>
      </c>
      <c r="D1577" s="2" t="s">
        <v>127</v>
      </c>
      <c r="E1577" s="2" t="s">
        <v>220</v>
      </c>
      <c r="F1577" s="2" t="s">
        <v>104</v>
      </c>
      <c r="G1577" s="2" t="s">
        <v>45</v>
      </c>
      <c r="H1577" s="2" t="s">
        <v>498</v>
      </c>
      <c r="I1577" s="2" t="s">
        <v>499</v>
      </c>
      <c r="J1577" s="2" t="s">
        <v>4738</v>
      </c>
      <c r="K1577" s="2" t="s">
        <v>4964</v>
      </c>
      <c r="L1577" s="2" t="s">
        <v>398</v>
      </c>
      <c r="M1577" s="2" t="s">
        <v>3228</v>
      </c>
      <c r="N1577" s="16">
        <v>0.02</v>
      </c>
      <c r="O1577" s="17">
        <f>N1577*'Financial Inputs'!$B$3</f>
        <v>2000000</v>
      </c>
      <c r="P1577" s="18">
        <f>IF(I1577="L",'Financial Inputs'!$B$4,IF(I1577="M",'Financial Inputs'!$B$5,'Financial Inputs'!$B$6))</f>
        <v>0.7</v>
      </c>
      <c r="Q1577" s="17">
        <f>O1577*P1577</f>
        <v>1400000</v>
      </c>
      <c r="R1577" s="16">
        <f>'Financial Inputs'!$B$7</f>
        <v>0.35</v>
      </c>
      <c r="S1577" s="17">
        <f>Q1577*(1-R1577)</f>
        <v>910000</v>
      </c>
      <c r="T1577" s="18">
        <f>S1577/'Financial Inputs'!$B$3</f>
        <v>9.1000000000000004E-3</v>
      </c>
      <c r="U1577" s="9" t="s">
        <v>52</v>
      </c>
      <c r="V1577" s="3" t="s">
        <v>53</v>
      </c>
    </row>
    <row r="1578" spans="1:22">
      <c r="A1578" s="2" t="s">
        <v>4965</v>
      </c>
      <c r="B1578" s="2" t="s">
        <v>4966</v>
      </c>
      <c r="C1578" s="2" t="s">
        <v>4737</v>
      </c>
      <c r="D1578" s="2" t="s">
        <v>133</v>
      </c>
      <c r="E1578" s="2" t="s">
        <v>171</v>
      </c>
      <c r="F1578" s="2" t="s">
        <v>110</v>
      </c>
      <c r="G1578" s="2" t="s">
        <v>59</v>
      </c>
      <c r="H1578" s="2" t="s">
        <v>498</v>
      </c>
      <c r="I1578" s="2" t="s">
        <v>499</v>
      </c>
      <c r="J1578" s="2" t="s">
        <v>4738</v>
      </c>
      <c r="K1578" s="2" t="s">
        <v>4967</v>
      </c>
      <c r="L1578" s="2" t="s">
        <v>402</v>
      </c>
      <c r="M1578" s="2" t="s">
        <v>3228</v>
      </c>
      <c r="N1578" s="16">
        <v>2.2499999999999999E-2</v>
      </c>
      <c r="O1578" s="17">
        <f>N1578*'Financial Inputs'!$B$3</f>
        <v>2250000</v>
      </c>
      <c r="P1578" s="18">
        <f>IF(I1578="L",'Financial Inputs'!$B$4,IF(I1578="M",'Financial Inputs'!$B$5,'Financial Inputs'!$B$6))</f>
        <v>0.7</v>
      </c>
      <c r="Q1578" s="17">
        <f>O1578*P1578</f>
        <v>1575000</v>
      </c>
      <c r="R1578" s="16">
        <f>'Financial Inputs'!$B$7</f>
        <v>0.35</v>
      </c>
      <c r="S1578" s="17">
        <f>Q1578*(1-R1578)</f>
        <v>1023750</v>
      </c>
      <c r="T1578" s="18">
        <f>S1578/'Financial Inputs'!$B$3</f>
        <v>1.02375E-2</v>
      </c>
      <c r="U1578" s="9" t="s">
        <v>52</v>
      </c>
      <c r="V1578" s="3" t="s">
        <v>53</v>
      </c>
    </row>
    <row r="1579" spans="1:22">
      <c r="A1579" s="2" t="s">
        <v>4968</v>
      </c>
      <c r="B1579" s="2" t="s">
        <v>4969</v>
      </c>
      <c r="C1579" s="2" t="s">
        <v>4737</v>
      </c>
      <c r="D1579" s="2" t="s">
        <v>88</v>
      </c>
      <c r="E1579" s="2" t="s">
        <v>176</v>
      </c>
      <c r="F1579" s="2" t="s">
        <v>117</v>
      </c>
      <c r="G1579" s="2" t="s">
        <v>67</v>
      </c>
      <c r="H1579" s="2" t="s">
        <v>498</v>
      </c>
      <c r="I1579" s="2" t="s">
        <v>499</v>
      </c>
      <c r="J1579" s="2" t="s">
        <v>4738</v>
      </c>
      <c r="K1579" s="2" t="s">
        <v>4970</v>
      </c>
      <c r="L1579" s="2" t="s">
        <v>406</v>
      </c>
      <c r="M1579" s="2" t="s">
        <v>3228</v>
      </c>
      <c r="N1579" s="16">
        <v>2.5000000000000001E-2</v>
      </c>
      <c r="O1579" s="17">
        <f>N1579*'Financial Inputs'!$B$3</f>
        <v>2500000</v>
      </c>
      <c r="P1579" s="18">
        <f>IF(I1579="L",'Financial Inputs'!$B$4,IF(I1579="M",'Financial Inputs'!$B$5,'Financial Inputs'!$B$6))</f>
        <v>0.7</v>
      </c>
      <c r="Q1579" s="17">
        <f>O1579*P1579</f>
        <v>1750000</v>
      </c>
      <c r="R1579" s="16">
        <f>'Financial Inputs'!$B$7</f>
        <v>0.35</v>
      </c>
      <c r="S1579" s="17">
        <f>Q1579*(1-R1579)</f>
        <v>1137500</v>
      </c>
      <c r="T1579" s="18">
        <f>S1579/'Financial Inputs'!$B$3</f>
        <v>1.1375E-2</v>
      </c>
      <c r="U1579" s="9" t="s">
        <v>52</v>
      </c>
      <c r="V1579" s="3" t="s">
        <v>53</v>
      </c>
    </row>
    <row r="1580" spans="1:22">
      <c r="A1580" s="2" t="s">
        <v>4971</v>
      </c>
      <c r="B1580" s="2" t="s">
        <v>4972</v>
      </c>
      <c r="C1580" s="2" t="s">
        <v>4737</v>
      </c>
      <c r="D1580" s="2" t="s">
        <v>95</v>
      </c>
      <c r="E1580" s="2" t="s">
        <v>122</v>
      </c>
      <c r="F1580" s="2" t="s">
        <v>90</v>
      </c>
      <c r="G1580" s="2" t="s">
        <v>75</v>
      </c>
      <c r="H1580" s="2" t="s">
        <v>498</v>
      </c>
      <c r="I1580" s="2" t="s">
        <v>499</v>
      </c>
      <c r="J1580" s="2" t="s">
        <v>4738</v>
      </c>
      <c r="K1580" s="2" t="s">
        <v>4973</v>
      </c>
      <c r="L1580" s="2" t="s">
        <v>410</v>
      </c>
      <c r="M1580" s="2" t="s">
        <v>3228</v>
      </c>
      <c r="N1580" s="16">
        <v>2.75E-2</v>
      </c>
      <c r="O1580" s="17">
        <f>N1580*'Financial Inputs'!$B$3</f>
        <v>2750000</v>
      </c>
      <c r="P1580" s="18">
        <f>IF(I1580="L",'Financial Inputs'!$B$4,IF(I1580="M",'Financial Inputs'!$B$5,'Financial Inputs'!$B$6))</f>
        <v>0.7</v>
      </c>
      <c r="Q1580" s="17">
        <f>O1580*P1580</f>
        <v>1924999.9999999998</v>
      </c>
      <c r="R1580" s="16">
        <f>'Financial Inputs'!$B$7</f>
        <v>0.35</v>
      </c>
      <c r="S1580" s="17">
        <f>Q1580*(1-R1580)</f>
        <v>1251250</v>
      </c>
      <c r="T1580" s="18">
        <f>S1580/'Financial Inputs'!$B$3</f>
        <v>1.2512499999999999E-2</v>
      </c>
      <c r="U1580" s="9" t="s">
        <v>52</v>
      </c>
      <c r="V1580" s="3" t="s">
        <v>53</v>
      </c>
    </row>
    <row r="1581" spans="1:22">
      <c r="A1581" s="2" t="s">
        <v>4974</v>
      </c>
      <c r="B1581" s="2" t="s">
        <v>4975</v>
      </c>
      <c r="C1581" s="2" t="s">
        <v>4737</v>
      </c>
      <c r="D1581" s="2" t="s">
        <v>102</v>
      </c>
      <c r="E1581" s="2" t="s">
        <v>128</v>
      </c>
      <c r="F1581" s="2" t="s">
        <v>97</v>
      </c>
      <c r="G1581" s="2" t="s">
        <v>83</v>
      </c>
      <c r="H1581" s="2" t="s">
        <v>498</v>
      </c>
      <c r="I1581" s="2" t="s">
        <v>499</v>
      </c>
      <c r="J1581" s="2" t="s">
        <v>4738</v>
      </c>
      <c r="K1581" s="2" t="s">
        <v>4976</v>
      </c>
      <c r="L1581" s="2" t="s">
        <v>414</v>
      </c>
      <c r="M1581" s="2" t="s">
        <v>3228</v>
      </c>
      <c r="N1581" s="16">
        <v>3.0000000000000009E-2</v>
      </c>
      <c r="O1581" s="17">
        <f>N1581*'Financial Inputs'!$B$3</f>
        <v>3000000.0000000009</v>
      </c>
      <c r="P1581" s="18">
        <f>IF(I1581="L",'Financial Inputs'!$B$4,IF(I1581="M",'Financial Inputs'!$B$5,'Financial Inputs'!$B$6))</f>
        <v>0.7</v>
      </c>
      <c r="Q1581" s="17">
        <f>O1581*P1581</f>
        <v>2100000.0000000005</v>
      </c>
      <c r="R1581" s="16">
        <f>'Financial Inputs'!$B$7</f>
        <v>0.35</v>
      </c>
      <c r="S1581" s="17">
        <f>Q1581*(1-R1581)</f>
        <v>1365000.0000000005</v>
      </c>
      <c r="T1581" s="18">
        <f>S1581/'Financial Inputs'!$B$3</f>
        <v>1.3650000000000004E-2</v>
      </c>
      <c r="U1581" s="9" t="s">
        <v>52</v>
      </c>
      <c r="V1581" s="3" t="s">
        <v>53</v>
      </c>
    </row>
    <row r="1582" spans="1:22">
      <c r="A1582" s="2" t="s">
        <v>4977</v>
      </c>
      <c r="B1582" s="2" t="s">
        <v>4978</v>
      </c>
      <c r="C1582" s="2" t="s">
        <v>4737</v>
      </c>
      <c r="D1582" s="2" t="s">
        <v>64</v>
      </c>
      <c r="E1582" s="2" t="s">
        <v>81</v>
      </c>
      <c r="F1582" s="2" t="s">
        <v>74</v>
      </c>
      <c r="G1582" s="2" t="s">
        <v>67</v>
      </c>
      <c r="H1582" s="2" t="s">
        <v>498</v>
      </c>
      <c r="I1582" s="2" t="s">
        <v>499</v>
      </c>
      <c r="J1582" s="2" t="s">
        <v>4738</v>
      </c>
      <c r="K1582" s="2" t="s">
        <v>4979</v>
      </c>
      <c r="L1582" s="2" t="s">
        <v>418</v>
      </c>
      <c r="M1582" s="2" t="s">
        <v>3228</v>
      </c>
      <c r="N1582" s="16">
        <v>0.02</v>
      </c>
      <c r="O1582" s="17">
        <f>N1582*'Financial Inputs'!$B$3</f>
        <v>2000000</v>
      </c>
      <c r="P1582" s="18">
        <f>IF(I1582="L",'Financial Inputs'!$B$4,IF(I1582="M",'Financial Inputs'!$B$5,'Financial Inputs'!$B$6))</f>
        <v>0.7</v>
      </c>
      <c r="Q1582" s="17">
        <f>O1582*P1582</f>
        <v>1400000</v>
      </c>
      <c r="R1582" s="16">
        <f>'Financial Inputs'!$B$7</f>
        <v>0.35</v>
      </c>
      <c r="S1582" s="17">
        <f>Q1582*(1-R1582)</f>
        <v>910000</v>
      </c>
      <c r="T1582" s="18">
        <f>S1582/'Financial Inputs'!$B$3</f>
        <v>9.1000000000000004E-3</v>
      </c>
      <c r="U1582" s="9" t="s">
        <v>52</v>
      </c>
      <c r="V1582" s="3" t="s">
        <v>53</v>
      </c>
    </row>
    <row r="1583" spans="1:22">
      <c r="A1583" s="2" t="s">
        <v>4980</v>
      </c>
      <c r="B1583" s="2" t="s">
        <v>4981</v>
      </c>
      <c r="C1583" s="2" t="s">
        <v>4737</v>
      </c>
      <c r="D1583" s="2" t="s">
        <v>72</v>
      </c>
      <c r="E1583" s="2" t="s">
        <v>193</v>
      </c>
      <c r="F1583" s="2" t="s">
        <v>82</v>
      </c>
      <c r="G1583" s="2" t="s">
        <v>75</v>
      </c>
      <c r="H1583" s="2" t="s">
        <v>498</v>
      </c>
      <c r="I1583" s="2" t="s">
        <v>499</v>
      </c>
      <c r="J1583" s="2" t="s">
        <v>4738</v>
      </c>
      <c r="K1583" s="2" t="s">
        <v>4982</v>
      </c>
      <c r="L1583" s="2" t="s">
        <v>422</v>
      </c>
      <c r="M1583" s="2" t="s">
        <v>3228</v>
      </c>
      <c r="N1583" s="16">
        <v>2.2499999999999999E-2</v>
      </c>
      <c r="O1583" s="17">
        <f>N1583*'Financial Inputs'!$B$3</f>
        <v>2250000</v>
      </c>
      <c r="P1583" s="18">
        <f>IF(I1583="L",'Financial Inputs'!$B$4,IF(I1583="M",'Financial Inputs'!$B$5,'Financial Inputs'!$B$6))</f>
        <v>0.7</v>
      </c>
      <c r="Q1583" s="17">
        <f>O1583*P1583</f>
        <v>1575000</v>
      </c>
      <c r="R1583" s="16">
        <f>'Financial Inputs'!$B$7</f>
        <v>0.35</v>
      </c>
      <c r="S1583" s="17">
        <f>Q1583*(1-R1583)</f>
        <v>1023750</v>
      </c>
      <c r="T1583" s="18">
        <f>S1583/'Financial Inputs'!$B$3</f>
        <v>1.02375E-2</v>
      </c>
      <c r="U1583" s="9" t="s">
        <v>52</v>
      </c>
      <c r="V1583" s="3" t="s">
        <v>53</v>
      </c>
    </row>
    <row r="1584" spans="1:22">
      <c r="A1584" s="2" t="s">
        <v>4983</v>
      </c>
      <c r="B1584" s="2" t="s">
        <v>4984</v>
      </c>
      <c r="C1584" s="2" t="s">
        <v>4737</v>
      </c>
      <c r="D1584" s="2" t="s">
        <v>80</v>
      </c>
      <c r="E1584" s="2" t="s">
        <v>198</v>
      </c>
      <c r="F1584" s="2" t="s">
        <v>44</v>
      </c>
      <c r="G1584" s="2" t="s">
        <v>83</v>
      </c>
      <c r="H1584" s="2" t="s">
        <v>498</v>
      </c>
      <c r="I1584" s="2" t="s">
        <v>499</v>
      </c>
      <c r="J1584" s="2" t="s">
        <v>4738</v>
      </c>
      <c r="K1584" s="2" t="s">
        <v>4985</v>
      </c>
      <c r="L1584" s="2" t="s">
        <v>426</v>
      </c>
      <c r="M1584" s="2" t="s">
        <v>3228</v>
      </c>
      <c r="N1584" s="16">
        <v>2.5000000000000001E-2</v>
      </c>
      <c r="O1584" s="17">
        <f>N1584*'Financial Inputs'!$B$3</f>
        <v>2500000</v>
      </c>
      <c r="P1584" s="18">
        <f>IF(I1584="L",'Financial Inputs'!$B$4,IF(I1584="M",'Financial Inputs'!$B$5,'Financial Inputs'!$B$6))</f>
        <v>0.7</v>
      </c>
      <c r="Q1584" s="17">
        <f>O1584*P1584</f>
        <v>1750000</v>
      </c>
      <c r="R1584" s="16">
        <f>'Financial Inputs'!$B$7</f>
        <v>0.35</v>
      </c>
      <c r="S1584" s="17">
        <f>Q1584*(1-R1584)</f>
        <v>1137500</v>
      </c>
      <c r="T1584" s="18">
        <f>S1584/'Financial Inputs'!$B$3</f>
        <v>1.1375E-2</v>
      </c>
      <c r="U1584" s="9" t="s">
        <v>52</v>
      </c>
      <c r="V1584" s="3" t="s">
        <v>53</v>
      </c>
    </row>
    <row r="1585" spans="1:22">
      <c r="A1585" s="2" t="s">
        <v>4986</v>
      </c>
      <c r="B1585" s="2" t="s">
        <v>4987</v>
      </c>
      <c r="C1585" s="2" t="s">
        <v>4737</v>
      </c>
      <c r="D1585" s="2" t="s">
        <v>127</v>
      </c>
      <c r="E1585" s="2" t="s">
        <v>148</v>
      </c>
      <c r="F1585" s="2" t="s">
        <v>58</v>
      </c>
      <c r="G1585" s="2" t="s">
        <v>111</v>
      </c>
      <c r="H1585" s="2" t="s">
        <v>498</v>
      </c>
      <c r="I1585" s="2" t="s">
        <v>499</v>
      </c>
      <c r="J1585" s="2" t="s">
        <v>4738</v>
      </c>
      <c r="K1585" s="2" t="s">
        <v>4988</v>
      </c>
      <c r="L1585" s="2" t="s">
        <v>430</v>
      </c>
      <c r="M1585" s="2" t="s">
        <v>3228</v>
      </c>
      <c r="N1585" s="16">
        <v>2.75E-2</v>
      </c>
      <c r="O1585" s="17">
        <f>N1585*'Financial Inputs'!$B$3</f>
        <v>2750000</v>
      </c>
      <c r="P1585" s="18">
        <f>IF(I1585="L",'Financial Inputs'!$B$4,IF(I1585="M",'Financial Inputs'!$B$5,'Financial Inputs'!$B$6))</f>
        <v>0.7</v>
      </c>
      <c r="Q1585" s="17">
        <f>O1585*P1585</f>
        <v>1924999.9999999998</v>
      </c>
      <c r="R1585" s="16">
        <f>'Financial Inputs'!$B$7</f>
        <v>0.35</v>
      </c>
      <c r="S1585" s="17">
        <f>Q1585*(1-R1585)</f>
        <v>1251250</v>
      </c>
      <c r="T1585" s="18">
        <f>S1585/'Financial Inputs'!$B$3</f>
        <v>1.2512499999999999E-2</v>
      </c>
      <c r="U1585" s="9" t="s">
        <v>52</v>
      </c>
      <c r="V1585" s="3" t="s">
        <v>53</v>
      </c>
    </row>
    <row r="1586" spans="1:22">
      <c r="A1586" s="2" t="s">
        <v>4989</v>
      </c>
      <c r="B1586" s="2" t="s">
        <v>4990</v>
      </c>
      <c r="C1586" s="2" t="s">
        <v>4737</v>
      </c>
      <c r="D1586" s="2" t="s">
        <v>133</v>
      </c>
      <c r="E1586" s="2" t="s">
        <v>153</v>
      </c>
      <c r="F1586" s="2" t="s">
        <v>66</v>
      </c>
      <c r="G1586" s="2" t="s">
        <v>56</v>
      </c>
      <c r="H1586" s="2" t="s">
        <v>498</v>
      </c>
      <c r="I1586" s="2" t="s">
        <v>499</v>
      </c>
      <c r="J1586" s="2" t="s">
        <v>4738</v>
      </c>
      <c r="K1586" s="2" t="s">
        <v>4991</v>
      </c>
      <c r="L1586" s="2" t="s">
        <v>434</v>
      </c>
      <c r="M1586" s="2" t="s">
        <v>3228</v>
      </c>
      <c r="N1586" s="16">
        <v>3.0000000000000009E-2</v>
      </c>
      <c r="O1586" s="17">
        <f>N1586*'Financial Inputs'!$B$3</f>
        <v>3000000.0000000009</v>
      </c>
      <c r="P1586" s="18">
        <f>IF(I1586="L",'Financial Inputs'!$B$4,IF(I1586="M",'Financial Inputs'!$B$5,'Financial Inputs'!$B$6))</f>
        <v>0.7</v>
      </c>
      <c r="Q1586" s="17">
        <f>O1586*P1586</f>
        <v>2100000.0000000005</v>
      </c>
      <c r="R1586" s="16">
        <f>'Financial Inputs'!$B$7</f>
        <v>0.35</v>
      </c>
      <c r="S1586" s="17">
        <f>Q1586*(1-R1586)</f>
        <v>1365000.0000000005</v>
      </c>
      <c r="T1586" s="18">
        <f>S1586/'Financial Inputs'!$B$3</f>
        <v>1.3650000000000004E-2</v>
      </c>
      <c r="U1586" s="9" t="s">
        <v>52</v>
      </c>
      <c r="V1586" s="3" t="s">
        <v>53</v>
      </c>
    </row>
    <row r="1587" spans="1:22">
      <c r="A1587" s="2" t="s">
        <v>4992</v>
      </c>
      <c r="B1587" s="2" t="s">
        <v>4993</v>
      </c>
      <c r="C1587" s="2" t="s">
        <v>4737</v>
      </c>
      <c r="D1587" s="2" t="s">
        <v>102</v>
      </c>
      <c r="E1587" s="2" t="s">
        <v>116</v>
      </c>
      <c r="F1587" s="2" t="s">
        <v>110</v>
      </c>
      <c r="G1587" s="2" t="s">
        <v>83</v>
      </c>
      <c r="H1587" s="2" t="s">
        <v>498</v>
      </c>
      <c r="I1587" s="2" t="s">
        <v>499</v>
      </c>
      <c r="J1587" s="2" t="s">
        <v>4738</v>
      </c>
      <c r="K1587" s="2" t="s">
        <v>4994</v>
      </c>
      <c r="L1587" s="2" t="s">
        <v>438</v>
      </c>
      <c r="M1587" s="2" t="s">
        <v>3228</v>
      </c>
      <c r="N1587" s="16">
        <v>0.02</v>
      </c>
      <c r="O1587" s="17">
        <f>N1587*'Financial Inputs'!$B$3</f>
        <v>2000000</v>
      </c>
      <c r="P1587" s="18">
        <f>IF(I1587="L",'Financial Inputs'!$B$4,IF(I1587="M",'Financial Inputs'!$B$5,'Financial Inputs'!$B$6))</f>
        <v>0.7</v>
      </c>
      <c r="Q1587" s="17">
        <f>O1587*P1587</f>
        <v>1400000</v>
      </c>
      <c r="R1587" s="16">
        <f>'Financial Inputs'!$B$7</f>
        <v>0.35</v>
      </c>
      <c r="S1587" s="17">
        <f>Q1587*(1-R1587)</f>
        <v>910000</v>
      </c>
      <c r="T1587" s="18">
        <f>S1587/'Financial Inputs'!$B$3</f>
        <v>9.1000000000000004E-3</v>
      </c>
      <c r="U1587" s="9" t="s">
        <v>52</v>
      </c>
      <c r="V1587" s="3" t="s">
        <v>53</v>
      </c>
    </row>
    <row r="1588" spans="1:22">
      <c r="A1588" s="2" t="s">
        <v>4995</v>
      </c>
      <c r="B1588" s="2" t="s">
        <v>4996</v>
      </c>
      <c r="C1588" s="2" t="s">
        <v>4737</v>
      </c>
      <c r="D1588" s="2" t="s">
        <v>42</v>
      </c>
      <c r="E1588" s="2" t="s">
        <v>215</v>
      </c>
      <c r="F1588" s="2" t="s">
        <v>117</v>
      </c>
      <c r="G1588" s="2" t="s">
        <v>111</v>
      </c>
      <c r="H1588" s="2" t="s">
        <v>498</v>
      </c>
      <c r="I1588" s="2" t="s">
        <v>499</v>
      </c>
      <c r="J1588" s="2" t="s">
        <v>4738</v>
      </c>
      <c r="K1588" s="2" t="s">
        <v>4997</v>
      </c>
      <c r="L1588" s="2" t="s">
        <v>442</v>
      </c>
      <c r="M1588" s="2" t="s">
        <v>3228</v>
      </c>
      <c r="N1588" s="16">
        <v>2.2499999999999999E-2</v>
      </c>
      <c r="O1588" s="17">
        <f>N1588*'Financial Inputs'!$B$3</f>
        <v>2250000</v>
      </c>
      <c r="P1588" s="18">
        <f>IF(I1588="L",'Financial Inputs'!$B$4,IF(I1588="M",'Financial Inputs'!$B$5,'Financial Inputs'!$B$6))</f>
        <v>0.7</v>
      </c>
      <c r="Q1588" s="17">
        <f>O1588*P1588</f>
        <v>1575000</v>
      </c>
      <c r="R1588" s="16">
        <f>'Financial Inputs'!$B$7</f>
        <v>0.35</v>
      </c>
      <c r="S1588" s="17">
        <f>Q1588*(1-R1588)</f>
        <v>1023750</v>
      </c>
      <c r="T1588" s="18">
        <f>S1588/'Financial Inputs'!$B$3</f>
        <v>1.02375E-2</v>
      </c>
      <c r="U1588" s="9" t="s">
        <v>52</v>
      </c>
      <c r="V1588" s="3" t="s">
        <v>53</v>
      </c>
    </row>
    <row r="1589" spans="1:22">
      <c r="A1589" s="2" t="s">
        <v>4998</v>
      </c>
      <c r="B1589" s="2" t="s">
        <v>4999</v>
      </c>
      <c r="C1589" s="2" t="s">
        <v>4737</v>
      </c>
      <c r="D1589" s="2" t="s">
        <v>56</v>
      </c>
      <c r="E1589" s="2" t="s">
        <v>220</v>
      </c>
      <c r="F1589" s="2" t="s">
        <v>90</v>
      </c>
      <c r="G1589" s="2" t="s">
        <v>56</v>
      </c>
      <c r="H1589" s="2" t="s">
        <v>498</v>
      </c>
      <c r="I1589" s="2" t="s">
        <v>499</v>
      </c>
      <c r="J1589" s="2" t="s">
        <v>4738</v>
      </c>
      <c r="K1589" s="2" t="s">
        <v>5000</v>
      </c>
      <c r="L1589" s="2" t="s">
        <v>446</v>
      </c>
      <c r="M1589" s="2" t="s">
        <v>3228</v>
      </c>
      <c r="N1589" s="16">
        <v>2.5000000000000001E-2</v>
      </c>
      <c r="O1589" s="17">
        <f>N1589*'Financial Inputs'!$B$3</f>
        <v>2500000</v>
      </c>
      <c r="P1589" s="18">
        <f>IF(I1589="L",'Financial Inputs'!$B$4,IF(I1589="M",'Financial Inputs'!$B$5,'Financial Inputs'!$B$6))</f>
        <v>0.7</v>
      </c>
      <c r="Q1589" s="17">
        <f>O1589*P1589</f>
        <v>1750000</v>
      </c>
      <c r="R1589" s="16">
        <f>'Financial Inputs'!$B$7</f>
        <v>0.35</v>
      </c>
      <c r="S1589" s="17">
        <f>Q1589*(1-R1589)</f>
        <v>1137500</v>
      </c>
      <c r="T1589" s="18">
        <f>S1589/'Financial Inputs'!$B$3</f>
        <v>1.1375E-2</v>
      </c>
      <c r="U1589" s="9" t="s">
        <v>52</v>
      </c>
      <c r="V1589" s="3" t="s">
        <v>53</v>
      </c>
    </row>
    <row r="1590" spans="1:22">
      <c r="A1590" s="2" t="s">
        <v>5001</v>
      </c>
      <c r="B1590" s="2" t="s">
        <v>5002</v>
      </c>
      <c r="C1590" s="2" t="s">
        <v>4737</v>
      </c>
      <c r="D1590" s="2" t="s">
        <v>64</v>
      </c>
      <c r="E1590" s="2" t="s">
        <v>171</v>
      </c>
      <c r="F1590" s="2" t="s">
        <v>97</v>
      </c>
      <c r="G1590" s="2" t="s">
        <v>138</v>
      </c>
      <c r="H1590" s="2" t="s">
        <v>498</v>
      </c>
      <c r="I1590" s="2" t="s">
        <v>499</v>
      </c>
      <c r="J1590" s="2" t="s">
        <v>4738</v>
      </c>
      <c r="K1590" s="2" t="s">
        <v>5003</v>
      </c>
      <c r="L1590" s="2" t="s">
        <v>450</v>
      </c>
      <c r="M1590" s="2" t="s">
        <v>3228</v>
      </c>
      <c r="N1590" s="16">
        <v>2.75E-2</v>
      </c>
      <c r="O1590" s="17">
        <f>N1590*'Financial Inputs'!$B$3</f>
        <v>2750000</v>
      </c>
      <c r="P1590" s="18">
        <f>IF(I1590="L",'Financial Inputs'!$B$4,IF(I1590="M",'Financial Inputs'!$B$5,'Financial Inputs'!$B$6))</f>
        <v>0.7</v>
      </c>
      <c r="Q1590" s="17">
        <f>O1590*P1590</f>
        <v>1924999.9999999998</v>
      </c>
      <c r="R1590" s="16">
        <f>'Financial Inputs'!$B$7</f>
        <v>0.35</v>
      </c>
      <c r="S1590" s="17">
        <f>Q1590*(1-R1590)</f>
        <v>1251250</v>
      </c>
      <c r="T1590" s="18">
        <f>S1590/'Financial Inputs'!$B$3</f>
        <v>1.2512499999999999E-2</v>
      </c>
      <c r="U1590" s="9" t="s">
        <v>52</v>
      </c>
      <c r="V1590" s="3" t="s">
        <v>53</v>
      </c>
    </row>
    <row r="1591" spans="1:22">
      <c r="A1591" s="2" t="s">
        <v>5004</v>
      </c>
      <c r="B1591" s="2" t="s">
        <v>5005</v>
      </c>
      <c r="C1591" s="2" t="s">
        <v>4737</v>
      </c>
      <c r="D1591" s="2" t="s">
        <v>72</v>
      </c>
      <c r="E1591" s="2" t="s">
        <v>176</v>
      </c>
      <c r="F1591" s="2" t="s">
        <v>104</v>
      </c>
      <c r="G1591" s="2" t="s">
        <v>143</v>
      </c>
      <c r="H1591" s="2" t="s">
        <v>498</v>
      </c>
      <c r="I1591" s="2" t="s">
        <v>499</v>
      </c>
      <c r="J1591" s="2" t="s">
        <v>4738</v>
      </c>
      <c r="K1591" s="2" t="s">
        <v>5006</v>
      </c>
      <c r="L1591" s="2" t="s">
        <v>454</v>
      </c>
      <c r="M1591" s="2" t="s">
        <v>3228</v>
      </c>
      <c r="N1591" s="16">
        <v>3.0000000000000009E-2</v>
      </c>
      <c r="O1591" s="17">
        <f>N1591*'Financial Inputs'!$B$3</f>
        <v>3000000.0000000009</v>
      </c>
      <c r="P1591" s="18">
        <f>IF(I1591="L",'Financial Inputs'!$B$4,IF(I1591="M",'Financial Inputs'!$B$5,'Financial Inputs'!$B$6))</f>
        <v>0.7</v>
      </c>
      <c r="Q1591" s="17">
        <f>O1591*P1591</f>
        <v>2100000.0000000005</v>
      </c>
      <c r="R1591" s="16">
        <f>'Financial Inputs'!$B$7</f>
        <v>0.35</v>
      </c>
      <c r="S1591" s="17">
        <f>Q1591*(1-R1591)</f>
        <v>1365000.0000000005</v>
      </c>
      <c r="T1591" s="18">
        <f>S1591/'Financial Inputs'!$B$3</f>
        <v>1.3650000000000004E-2</v>
      </c>
      <c r="U1591" s="9" t="s">
        <v>52</v>
      </c>
      <c r="V1591" s="3" t="s">
        <v>53</v>
      </c>
    </row>
    <row r="1592" spans="1:22">
      <c r="A1592" s="2" t="s">
        <v>5007</v>
      </c>
      <c r="B1592" s="2" t="s">
        <v>5008</v>
      </c>
      <c r="C1592" s="2" t="s">
        <v>4737</v>
      </c>
      <c r="D1592" s="2" t="s">
        <v>133</v>
      </c>
      <c r="E1592" s="2" t="s">
        <v>65</v>
      </c>
      <c r="F1592" s="2" t="s">
        <v>82</v>
      </c>
      <c r="G1592" s="2" t="s">
        <v>56</v>
      </c>
      <c r="H1592" s="2" t="s">
        <v>498</v>
      </c>
      <c r="I1592" s="2" t="s">
        <v>499</v>
      </c>
      <c r="J1592" s="2" t="s">
        <v>4738</v>
      </c>
      <c r="K1592" s="2" t="s">
        <v>5009</v>
      </c>
      <c r="L1592" s="2" t="s">
        <v>458</v>
      </c>
      <c r="M1592" s="2" t="s">
        <v>3228</v>
      </c>
      <c r="N1592" s="16">
        <v>0.02</v>
      </c>
      <c r="O1592" s="17">
        <f>N1592*'Financial Inputs'!$B$3</f>
        <v>2000000</v>
      </c>
      <c r="P1592" s="18">
        <f>IF(I1592="L",'Financial Inputs'!$B$4,IF(I1592="M",'Financial Inputs'!$B$5,'Financial Inputs'!$B$6))</f>
        <v>0.7</v>
      </c>
      <c r="Q1592" s="17">
        <f>O1592*P1592</f>
        <v>1400000</v>
      </c>
      <c r="R1592" s="16">
        <f>'Financial Inputs'!$B$7</f>
        <v>0.35</v>
      </c>
      <c r="S1592" s="17">
        <f>Q1592*(1-R1592)</f>
        <v>910000</v>
      </c>
      <c r="T1592" s="18">
        <f>S1592/'Financial Inputs'!$B$3</f>
        <v>9.1000000000000004E-3</v>
      </c>
      <c r="U1592" s="9" t="s">
        <v>52</v>
      </c>
      <c r="V1592" s="3" t="s">
        <v>53</v>
      </c>
    </row>
    <row r="1593" spans="1:22">
      <c r="A1593" s="2" t="s">
        <v>5010</v>
      </c>
      <c r="B1593" s="2" t="s">
        <v>5011</v>
      </c>
      <c r="C1593" s="2" t="s">
        <v>4737</v>
      </c>
      <c r="D1593" s="2" t="s">
        <v>88</v>
      </c>
      <c r="E1593" s="2" t="s">
        <v>73</v>
      </c>
      <c r="F1593" s="2" t="s">
        <v>44</v>
      </c>
      <c r="G1593" s="2" t="s">
        <v>138</v>
      </c>
      <c r="H1593" s="2" t="s">
        <v>498</v>
      </c>
      <c r="I1593" s="2" t="s">
        <v>499</v>
      </c>
      <c r="J1593" s="2" t="s">
        <v>4738</v>
      </c>
      <c r="K1593" s="2" t="s">
        <v>5012</v>
      </c>
      <c r="L1593" s="2" t="s">
        <v>462</v>
      </c>
      <c r="M1593" s="2" t="s">
        <v>3228</v>
      </c>
      <c r="N1593" s="16">
        <v>2.2499999999999999E-2</v>
      </c>
      <c r="O1593" s="17">
        <f>N1593*'Financial Inputs'!$B$3</f>
        <v>2250000</v>
      </c>
      <c r="P1593" s="18">
        <f>IF(I1593="L",'Financial Inputs'!$B$4,IF(I1593="M",'Financial Inputs'!$B$5,'Financial Inputs'!$B$6))</f>
        <v>0.7</v>
      </c>
      <c r="Q1593" s="17">
        <f>O1593*P1593</f>
        <v>1575000</v>
      </c>
      <c r="R1593" s="16">
        <f>'Financial Inputs'!$B$7</f>
        <v>0.35</v>
      </c>
      <c r="S1593" s="17">
        <f>Q1593*(1-R1593)</f>
        <v>1023750</v>
      </c>
      <c r="T1593" s="18">
        <f>S1593/'Financial Inputs'!$B$3</f>
        <v>1.02375E-2</v>
      </c>
      <c r="U1593" s="9" t="s">
        <v>52</v>
      </c>
      <c r="V1593" s="3" t="s">
        <v>53</v>
      </c>
    </row>
    <row r="1594" spans="1:22">
      <c r="A1594" s="2" t="s">
        <v>5013</v>
      </c>
      <c r="B1594" s="2" t="s">
        <v>5014</v>
      </c>
      <c r="C1594" s="2" t="s">
        <v>4737</v>
      </c>
      <c r="D1594" s="2" t="s">
        <v>95</v>
      </c>
      <c r="E1594" s="2" t="s">
        <v>81</v>
      </c>
      <c r="F1594" s="2" t="s">
        <v>58</v>
      </c>
      <c r="G1594" s="2" t="s">
        <v>143</v>
      </c>
      <c r="H1594" s="2" t="s">
        <v>498</v>
      </c>
      <c r="I1594" s="2" t="s">
        <v>499</v>
      </c>
      <c r="J1594" s="2" t="s">
        <v>4738</v>
      </c>
      <c r="K1594" s="2" t="s">
        <v>5015</v>
      </c>
      <c r="L1594" s="2" t="s">
        <v>466</v>
      </c>
      <c r="M1594" s="2" t="s">
        <v>3228</v>
      </c>
      <c r="N1594" s="16">
        <v>2.5000000000000001E-2</v>
      </c>
      <c r="O1594" s="17">
        <f>N1594*'Financial Inputs'!$B$3</f>
        <v>2500000</v>
      </c>
      <c r="P1594" s="18">
        <f>IF(I1594="L",'Financial Inputs'!$B$4,IF(I1594="M",'Financial Inputs'!$B$5,'Financial Inputs'!$B$6))</f>
        <v>0.7</v>
      </c>
      <c r="Q1594" s="17">
        <f>O1594*P1594</f>
        <v>1750000</v>
      </c>
      <c r="R1594" s="16">
        <f>'Financial Inputs'!$B$7</f>
        <v>0.35</v>
      </c>
      <c r="S1594" s="17">
        <f>Q1594*(1-R1594)</f>
        <v>1137500</v>
      </c>
      <c r="T1594" s="18">
        <f>S1594/'Financial Inputs'!$B$3</f>
        <v>1.1375E-2</v>
      </c>
      <c r="U1594" s="9" t="s">
        <v>52</v>
      </c>
      <c r="V1594" s="3" t="s">
        <v>53</v>
      </c>
    </row>
    <row r="1595" spans="1:22">
      <c r="A1595" s="2" t="s">
        <v>5016</v>
      </c>
      <c r="B1595" s="2" t="s">
        <v>5017</v>
      </c>
      <c r="C1595" s="2" t="s">
        <v>4737</v>
      </c>
      <c r="D1595" s="2" t="s">
        <v>102</v>
      </c>
      <c r="E1595" s="2" t="s">
        <v>193</v>
      </c>
      <c r="F1595" s="2" t="s">
        <v>66</v>
      </c>
      <c r="G1595" s="2" t="s">
        <v>162</v>
      </c>
      <c r="H1595" s="2" t="s">
        <v>498</v>
      </c>
      <c r="I1595" s="2" t="s">
        <v>499</v>
      </c>
      <c r="J1595" s="2" t="s">
        <v>4738</v>
      </c>
      <c r="K1595" s="2" t="s">
        <v>5018</v>
      </c>
      <c r="L1595" s="2" t="s">
        <v>470</v>
      </c>
      <c r="M1595" s="2" t="s">
        <v>3228</v>
      </c>
      <c r="N1595" s="16">
        <v>2.75E-2</v>
      </c>
      <c r="O1595" s="17">
        <f>N1595*'Financial Inputs'!$B$3</f>
        <v>2750000</v>
      </c>
      <c r="P1595" s="18">
        <f>IF(I1595="L",'Financial Inputs'!$B$4,IF(I1595="M",'Financial Inputs'!$B$5,'Financial Inputs'!$B$6))</f>
        <v>0.7</v>
      </c>
      <c r="Q1595" s="17">
        <f>O1595*P1595</f>
        <v>1924999.9999999998</v>
      </c>
      <c r="R1595" s="16">
        <f>'Financial Inputs'!$B$7</f>
        <v>0.35</v>
      </c>
      <c r="S1595" s="17">
        <f>Q1595*(1-R1595)</f>
        <v>1251250</v>
      </c>
      <c r="T1595" s="18">
        <f>S1595/'Financial Inputs'!$B$3</f>
        <v>1.2512499999999999E-2</v>
      </c>
      <c r="U1595" s="9" t="s">
        <v>52</v>
      </c>
      <c r="V1595" s="3" t="s">
        <v>53</v>
      </c>
    </row>
    <row r="1596" spans="1:22">
      <c r="A1596" s="2" t="s">
        <v>5019</v>
      </c>
      <c r="B1596" s="2" t="s">
        <v>5020</v>
      </c>
      <c r="C1596" s="2" t="s">
        <v>4737</v>
      </c>
      <c r="D1596" s="2" t="s">
        <v>42</v>
      </c>
      <c r="E1596" s="2" t="s">
        <v>198</v>
      </c>
      <c r="F1596" s="2" t="s">
        <v>74</v>
      </c>
      <c r="G1596" s="2" t="s">
        <v>45</v>
      </c>
      <c r="H1596" s="2" t="s">
        <v>498</v>
      </c>
      <c r="I1596" s="2" t="s">
        <v>499</v>
      </c>
      <c r="J1596" s="2" t="s">
        <v>4738</v>
      </c>
      <c r="K1596" s="2" t="s">
        <v>5021</v>
      </c>
      <c r="L1596" s="2" t="s">
        <v>474</v>
      </c>
      <c r="M1596" s="2" t="s">
        <v>3228</v>
      </c>
      <c r="N1596" s="16">
        <v>3.0000000000000009E-2</v>
      </c>
      <c r="O1596" s="17">
        <f>N1596*'Financial Inputs'!$B$3</f>
        <v>3000000.0000000009</v>
      </c>
      <c r="P1596" s="18">
        <f>IF(I1596="L",'Financial Inputs'!$B$4,IF(I1596="M",'Financial Inputs'!$B$5,'Financial Inputs'!$B$6))</f>
        <v>0.7</v>
      </c>
      <c r="Q1596" s="17">
        <f>O1596*P1596</f>
        <v>2100000.0000000005</v>
      </c>
      <c r="R1596" s="16">
        <f>'Financial Inputs'!$B$7</f>
        <v>0.35</v>
      </c>
      <c r="S1596" s="17">
        <f>Q1596*(1-R1596)</f>
        <v>1365000.0000000005</v>
      </c>
      <c r="T1596" s="18">
        <f>S1596/'Financial Inputs'!$B$3</f>
        <v>1.3650000000000004E-2</v>
      </c>
      <c r="U1596" s="9" t="s">
        <v>52</v>
      </c>
      <c r="V1596" s="3" t="s">
        <v>53</v>
      </c>
    </row>
    <row r="1597" spans="1:22">
      <c r="A1597" s="2" t="s">
        <v>5022</v>
      </c>
      <c r="B1597" s="2" t="s">
        <v>5023</v>
      </c>
      <c r="C1597" s="2" t="s">
        <v>4737</v>
      </c>
      <c r="D1597" s="2" t="s">
        <v>72</v>
      </c>
      <c r="E1597" s="2" t="s">
        <v>103</v>
      </c>
      <c r="F1597" s="2" t="s">
        <v>117</v>
      </c>
      <c r="G1597" s="2" t="s">
        <v>143</v>
      </c>
      <c r="H1597" s="2" t="s">
        <v>498</v>
      </c>
      <c r="I1597" s="2" t="s">
        <v>499</v>
      </c>
      <c r="J1597" s="2" t="s">
        <v>4738</v>
      </c>
      <c r="K1597" s="2" t="s">
        <v>5024</v>
      </c>
      <c r="L1597" s="2" t="s">
        <v>478</v>
      </c>
      <c r="M1597" s="2" t="s">
        <v>3228</v>
      </c>
      <c r="N1597" s="16">
        <v>0.02</v>
      </c>
      <c r="O1597" s="17">
        <f>N1597*'Financial Inputs'!$B$3</f>
        <v>2000000</v>
      </c>
      <c r="P1597" s="18">
        <f>IF(I1597="L",'Financial Inputs'!$B$4,IF(I1597="M",'Financial Inputs'!$B$5,'Financial Inputs'!$B$6))</f>
        <v>0.7</v>
      </c>
      <c r="Q1597" s="17">
        <f>O1597*P1597</f>
        <v>1400000</v>
      </c>
      <c r="R1597" s="16">
        <f>'Financial Inputs'!$B$7</f>
        <v>0.35</v>
      </c>
      <c r="S1597" s="17">
        <f>Q1597*(1-R1597)</f>
        <v>910000</v>
      </c>
      <c r="T1597" s="18">
        <f>S1597/'Financial Inputs'!$B$3</f>
        <v>9.1000000000000004E-3</v>
      </c>
      <c r="U1597" s="9" t="s">
        <v>52</v>
      </c>
      <c r="V1597" s="3" t="s">
        <v>53</v>
      </c>
    </row>
    <row r="1598" spans="1:22">
      <c r="A1598" s="2" t="s">
        <v>5025</v>
      </c>
      <c r="B1598" s="2" t="s">
        <v>5026</v>
      </c>
      <c r="C1598" s="2" t="s">
        <v>4737</v>
      </c>
      <c r="D1598" s="2" t="s">
        <v>80</v>
      </c>
      <c r="E1598" s="2" t="s">
        <v>109</v>
      </c>
      <c r="F1598" s="2" t="s">
        <v>90</v>
      </c>
      <c r="G1598" s="2" t="s">
        <v>162</v>
      </c>
      <c r="H1598" s="2" t="s">
        <v>498</v>
      </c>
      <c r="I1598" s="2" t="s">
        <v>499</v>
      </c>
      <c r="J1598" s="2" t="s">
        <v>4738</v>
      </c>
      <c r="K1598" s="2" t="s">
        <v>5027</v>
      </c>
      <c r="L1598" s="2" t="s">
        <v>482</v>
      </c>
      <c r="M1598" s="2" t="s">
        <v>3228</v>
      </c>
      <c r="N1598" s="16">
        <v>2.2499999999999999E-2</v>
      </c>
      <c r="O1598" s="17">
        <f>N1598*'Financial Inputs'!$B$3</f>
        <v>2250000</v>
      </c>
      <c r="P1598" s="18">
        <f>IF(I1598="L",'Financial Inputs'!$B$4,IF(I1598="M",'Financial Inputs'!$B$5,'Financial Inputs'!$B$6))</f>
        <v>0.7</v>
      </c>
      <c r="Q1598" s="17">
        <f>O1598*P1598</f>
        <v>1575000</v>
      </c>
      <c r="R1598" s="16">
        <f>'Financial Inputs'!$B$7</f>
        <v>0.35</v>
      </c>
      <c r="S1598" s="17">
        <f>Q1598*(1-R1598)</f>
        <v>1023750</v>
      </c>
      <c r="T1598" s="18">
        <f>S1598/'Financial Inputs'!$B$3</f>
        <v>1.02375E-2</v>
      </c>
      <c r="U1598" s="9" t="s">
        <v>52</v>
      </c>
      <c r="V1598" s="3" t="s">
        <v>53</v>
      </c>
    </row>
    <row r="1599" spans="1:22">
      <c r="A1599" s="2" t="s">
        <v>5028</v>
      </c>
      <c r="B1599" s="2" t="s">
        <v>5029</v>
      </c>
      <c r="C1599" s="2" t="s">
        <v>4737</v>
      </c>
      <c r="D1599" s="2" t="s">
        <v>127</v>
      </c>
      <c r="E1599" s="2" t="s">
        <v>116</v>
      </c>
      <c r="F1599" s="2" t="s">
        <v>97</v>
      </c>
      <c r="G1599" s="2" t="s">
        <v>45</v>
      </c>
      <c r="H1599" s="2" t="s">
        <v>498</v>
      </c>
      <c r="I1599" s="2" t="s">
        <v>499</v>
      </c>
      <c r="J1599" s="2" t="s">
        <v>4738</v>
      </c>
      <c r="K1599" s="2" t="s">
        <v>5030</v>
      </c>
      <c r="L1599" s="2" t="s">
        <v>486</v>
      </c>
      <c r="M1599" s="2" t="s">
        <v>3228</v>
      </c>
      <c r="N1599" s="16">
        <v>2.5000000000000001E-2</v>
      </c>
      <c r="O1599" s="17">
        <f>N1599*'Financial Inputs'!$B$3</f>
        <v>2500000</v>
      </c>
      <c r="P1599" s="18">
        <f>IF(I1599="L",'Financial Inputs'!$B$4,IF(I1599="M",'Financial Inputs'!$B$5,'Financial Inputs'!$B$6))</f>
        <v>0.7</v>
      </c>
      <c r="Q1599" s="17">
        <f>O1599*P1599</f>
        <v>1750000</v>
      </c>
      <c r="R1599" s="16">
        <f>'Financial Inputs'!$B$7</f>
        <v>0.35</v>
      </c>
      <c r="S1599" s="17">
        <f>Q1599*(1-R1599)</f>
        <v>1137500</v>
      </c>
      <c r="T1599" s="18">
        <f>S1599/'Financial Inputs'!$B$3</f>
        <v>1.1375E-2</v>
      </c>
      <c r="U1599" s="9" t="s">
        <v>52</v>
      </c>
      <c r="V1599" s="3" t="s">
        <v>53</v>
      </c>
    </row>
    <row r="1600" spans="1:22">
      <c r="A1600" s="2" t="s">
        <v>5031</v>
      </c>
      <c r="B1600" s="2" t="s">
        <v>5032</v>
      </c>
      <c r="C1600" s="2" t="s">
        <v>4737</v>
      </c>
      <c r="D1600" s="2" t="s">
        <v>133</v>
      </c>
      <c r="E1600" s="2" t="s">
        <v>215</v>
      </c>
      <c r="F1600" s="2" t="s">
        <v>104</v>
      </c>
      <c r="G1600" s="2" t="s">
        <v>59</v>
      </c>
      <c r="H1600" s="2" t="s">
        <v>498</v>
      </c>
      <c r="I1600" s="2" t="s">
        <v>499</v>
      </c>
      <c r="J1600" s="2" t="s">
        <v>4738</v>
      </c>
      <c r="K1600" s="2" t="s">
        <v>5033</v>
      </c>
      <c r="L1600" s="2" t="s">
        <v>490</v>
      </c>
      <c r="M1600" s="2" t="s">
        <v>3228</v>
      </c>
      <c r="N1600" s="16">
        <v>2.75E-2</v>
      </c>
      <c r="O1600" s="17">
        <f>N1600*'Financial Inputs'!$B$3</f>
        <v>2750000</v>
      </c>
      <c r="P1600" s="18">
        <f>IF(I1600="L",'Financial Inputs'!$B$4,IF(I1600="M",'Financial Inputs'!$B$5,'Financial Inputs'!$B$6))</f>
        <v>0.7</v>
      </c>
      <c r="Q1600" s="17">
        <f>O1600*P1600</f>
        <v>1924999.9999999998</v>
      </c>
      <c r="R1600" s="16">
        <f>'Financial Inputs'!$B$7</f>
        <v>0.35</v>
      </c>
      <c r="S1600" s="17">
        <f>Q1600*(1-R1600)</f>
        <v>1251250</v>
      </c>
      <c r="T1600" s="18">
        <f>S1600/'Financial Inputs'!$B$3</f>
        <v>1.2512499999999999E-2</v>
      </c>
      <c r="U1600" s="9" t="s">
        <v>52</v>
      </c>
      <c r="V1600" s="3" t="s">
        <v>53</v>
      </c>
    </row>
    <row r="1601" spans="1:22">
      <c r="A1601" s="2" t="s">
        <v>5034</v>
      </c>
      <c r="B1601" s="2" t="s">
        <v>5035</v>
      </c>
      <c r="C1601" s="2" t="s">
        <v>4737</v>
      </c>
      <c r="D1601" s="2" t="s">
        <v>88</v>
      </c>
      <c r="E1601" s="2" t="s">
        <v>220</v>
      </c>
      <c r="F1601" s="2" t="s">
        <v>110</v>
      </c>
      <c r="G1601" s="2" t="s">
        <v>67</v>
      </c>
      <c r="H1601" s="2" t="s">
        <v>498</v>
      </c>
      <c r="I1601" s="2" t="s">
        <v>499</v>
      </c>
      <c r="J1601" s="2" t="s">
        <v>4738</v>
      </c>
      <c r="K1601" s="2" t="s">
        <v>5036</v>
      </c>
      <c r="L1601" s="2" t="s">
        <v>494</v>
      </c>
      <c r="M1601" s="2" t="s">
        <v>3228</v>
      </c>
      <c r="N1601" s="16">
        <v>3.0000000000000009E-2</v>
      </c>
      <c r="O1601" s="17">
        <f>N1601*'Financial Inputs'!$B$3</f>
        <v>3000000.0000000009</v>
      </c>
      <c r="P1601" s="18">
        <f>IF(I1601="L",'Financial Inputs'!$B$4,IF(I1601="M",'Financial Inputs'!$B$5,'Financial Inputs'!$B$6))</f>
        <v>0.7</v>
      </c>
      <c r="Q1601" s="17">
        <f>O1601*P1601</f>
        <v>2100000.0000000005</v>
      </c>
      <c r="R1601" s="16">
        <f>'Financial Inputs'!$B$7</f>
        <v>0.35</v>
      </c>
      <c r="S1601" s="17">
        <f>Q1601*(1-R1601)</f>
        <v>1365000.0000000005</v>
      </c>
      <c r="T1601" s="18">
        <f>S1601/'Financial Inputs'!$B$3</f>
        <v>1.3650000000000004E-2</v>
      </c>
      <c r="U1601" s="9" t="s">
        <v>52</v>
      </c>
      <c r="V1601" s="3" t="s">
        <v>53</v>
      </c>
    </row>
    <row r="1602" spans="1:22">
      <c r="A1602" s="2" t="s">
        <v>5037</v>
      </c>
      <c r="B1602" s="2" t="s">
        <v>5038</v>
      </c>
      <c r="C1602" s="2" t="s">
        <v>5039</v>
      </c>
      <c r="D1602" s="2" t="s">
        <v>42</v>
      </c>
      <c r="E1602" s="2" t="s">
        <v>43</v>
      </c>
      <c r="F1602" s="2" t="s">
        <v>44</v>
      </c>
      <c r="G1602" s="2" t="s">
        <v>45</v>
      </c>
      <c r="H1602" s="2" t="s">
        <v>498</v>
      </c>
      <c r="I1602" s="2" t="s">
        <v>47</v>
      </c>
      <c r="J1602" s="2" t="s">
        <v>3529</v>
      </c>
      <c r="K1602" s="2" t="s">
        <v>5040</v>
      </c>
      <c r="L1602" s="2" t="s">
        <v>50</v>
      </c>
      <c r="M1602" s="2" t="s">
        <v>5041</v>
      </c>
      <c r="N1602" s="16">
        <v>1.44E-2</v>
      </c>
      <c r="O1602" s="17">
        <f>N1602*'Financial Inputs'!$B$3</f>
        <v>1440000</v>
      </c>
      <c r="P1602" s="18">
        <f>IF(I1602="L",'Financial Inputs'!$B$4,IF(I1602="M",'Financial Inputs'!$B$5,'Financial Inputs'!$B$6))</f>
        <v>0.4</v>
      </c>
      <c r="Q1602" s="17">
        <f>O1602*P1602</f>
        <v>576000</v>
      </c>
      <c r="R1602" s="16">
        <f>'Financial Inputs'!$B$7</f>
        <v>0.35</v>
      </c>
      <c r="S1602" s="17">
        <f>Q1602*(1-R1602)</f>
        <v>374400</v>
      </c>
      <c r="T1602" s="18">
        <f>S1602/'Financial Inputs'!$B$3</f>
        <v>3.7439999999999999E-3</v>
      </c>
      <c r="U1602" s="9" t="s">
        <v>52</v>
      </c>
      <c r="V1602" s="3" t="s">
        <v>53</v>
      </c>
    </row>
    <row r="1603" spans="1:22">
      <c r="A1603" s="2" t="s">
        <v>5042</v>
      </c>
      <c r="B1603" s="2" t="s">
        <v>5043</v>
      </c>
      <c r="C1603" s="2" t="s">
        <v>5039</v>
      </c>
      <c r="D1603" s="2" t="s">
        <v>56</v>
      </c>
      <c r="E1603" s="2" t="s">
        <v>57</v>
      </c>
      <c r="F1603" s="2" t="s">
        <v>58</v>
      </c>
      <c r="G1603" s="2" t="s">
        <v>59</v>
      </c>
      <c r="H1603" s="2" t="s">
        <v>498</v>
      </c>
      <c r="I1603" s="2" t="s">
        <v>47</v>
      </c>
      <c r="J1603" s="2" t="s">
        <v>3529</v>
      </c>
      <c r="K1603" s="2" t="s">
        <v>5044</v>
      </c>
      <c r="L1603" s="2" t="s">
        <v>61</v>
      </c>
      <c r="M1603" s="2" t="s">
        <v>5041</v>
      </c>
      <c r="N1603" s="16">
        <v>1.6199999999999999E-2</v>
      </c>
      <c r="O1603" s="17">
        <f>N1603*'Financial Inputs'!$B$3</f>
        <v>1620000</v>
      </c>
      <c r="P1603" s="18">
        <f>IF(I1603="L",'Financial Inputs'!$B$4,IF(I1603="M",'Financial Inputs'!$B$5,'Financial Inputs'!$B$6))</f>
        <v>0.4</v>
      </c>
      <c r="Q1603" s="17">
        <f>O1603*P1603</f>
        <v>648000</v>
      </c>
      <c r="R1603" s="16">
        <f>'Financial Inputs'!$B$7</f>
        <v>0.35</v>
      </c>
      <c r="S1603" s="17">
        <f>Q1603*(1-R1603)</f>
        <v>421200</v>
      </c>
      <c r="T1603" s="18">
        <f>S1603/'Financial Inputs'!$B$3</f>
        <v>4.2119999999999996E-3</v>
      </c>
      <c r="U1603" s="9" t="s">
        <v>52</v>
      </c>
      <c r="V1603" s="3" t="s">
        <v>53</v>
      </c>
    </row>
    <row r="1604" spans="1:22">
      <c r="A1604" s="2" t="s">
        <v>5045</v>
      </c>
      <c r="B1604" s="2" t="s">
        <v>5046</v>
      </c>
      <c r="C1604" s="2" t="s">
        <v>5039</v>
      </c>
      <c r="D1604" s="2" t="s">
        <v>64</v>
      </c>
      <c r="E1604" s="2" t="s">
        <v>65</v>
      </c>
      <c r="F1604" s="2" t="s">
        <v>66</v>
      </c>
      <c r="G1604" s="2" t="s">
        <v>67</v>
      </c>
      <c r="H1604" s="2" t="s">
        <v>498</v>
      </c>
      <c r="I1604" s="2" t="s">
        <v>47</v>
      </c>
      <c r="J1604" s="2" t="s">
        <v>3529</v>
      </c>
      <c r="K1604" s="2" t="s">
        <v>5047</v>
      </c>
      <c r="L1604" s="2" t="s">
        <v>69</v>
      </c>
      <c r="M1604" s="2" t="s">
        <v>5041</v>
      </c>
      <c r="N1604" s="16">
        <v>1.7999999999999999E-2</v>
      </c>
      <c r="O1604" s="17">
        <f>N1604*'Financial Inputs'!$B$3</f>
        <v>1799999.9999999998</v>
      </c>
      <c r="P1604" s="18">
        <f>IF(I1604="L",'Financial Inputs'!$B$4,IF(I1604="M",'Financial Inputs'!$B$5,'Financial Inputs'!$B$6))</f>
        <v>0.4</v>
      </c>
      <c r="Q1604" s="17">
        <f>O1604*P1604</f>
        <v>720000</v>
      </c>
      <c r="R1604" s="16">
        <f>'Financial Inputs'!$B$7</f>
        <v>0.35</v>
      </c>
      <c r="S1604" s="17">
        <f>Q1604*(1-R1604)</f>
        <v>468000</v>
      </c>
      <c r="T1604" s="18">
        <f>S1604/'Financial Inputs'!$B$3</f>
        <v>4.6800000000000001E-3</v>
      </c>
      <c r="U1604" s="9" t="s">
        <v>52</v>
      </c>
      <c r="V1604" s="3" t="s">
        <v>53</v>
      </c>
    </row>
    <row r="1605" spans="1:22">
      <c r="A1605" s="2" t="s">
        <v>5048</v>
      </c>
      <c r="B1605" s="2" t="s">
        <v>5049</v>
      </c>
      <c r="C1605" s="2" t="s">
        <v>5039</v>
      </c>
      <c r="D1605" s="2" t="s">
        <v>72</v>
      </c>
      <c r="E1605" s="2" t="s">
        <v>73</v>
      </c>
      <c r="F1605" s="2" t="s">
        <v>74</v>
      </c>
      <c r="G1605" s="2" t="s">
        <v>75</v>
      </c>
      <c r="H1605" s="2" t="s">
        <v>498</v>
      </c>
      <c r="I1605" s="2" t="s">
        <v>47</v>
      </c>
      <c r="J1605" s="2" t="s">
        <v>3529</v>
      </c>
      <c r="K1605" s="2" t="s">
        <v>5050</v>
      </c>
      <c r="L1605" s="2" t="s">
        <v>77</v>
      </c>
      <c r="M1605" s="2" t="s">
        <v>5041</v>
      </c>
      <c r="N1605" s="16">
        <v>1.9800000000000002E-2</v>
      </c>
      <c r="O1605" s="17">
        <f>N1605*'Financial Inputs'!$B$3</f>
        <v>1980000.0000000002</v>
      </c>
      <c r="P1605" s="18">
        <f>IF(I1605="L",'Financial Inputs'!$B$4,IF(I1605="M",'Financial Inputs'!$B$5,'Financial Inputs'!$B$6))</f>
        <v>0.4</v>
      </c>
      <c r="Q1605" s="17">
        <f>O1605*P1605</f>
        <v>792000.00000000012</v>
      </c>
      <c r="R1605" s="16">
        <f>'Financial Inputs'!$B$7</f>
        <v>0.35</v>
      </c>
      <c r="S1605" s="17">
        <f>Q1605*(1-R1605)</f>
        <v>514800.00000000012</v>
      </c>
      <c r="T1605" s="18">
        <f>S1605/'Financial Inputs'!$B$3</f>
        <v>5.1480000000000015E-3</v>
      </c>
      <c r="U1605" s="9" t="s">
        <v>52</v>
      </c>
      <c r="V1605" s="3" t="s">
        <v>53</v>
      </c>
    </row>
    <row r="1606" spans="1:22">
      <c r="A1606" s="2" t="s">
        <v>5051</v>
      </c>
      <c r="B1606" s="2" t="s">
        <v>5052</v>
      </c>
      <c r="C1606" s="2" t="s">
        <v>5039</v>
      </c>
      <c r="D1606" s="2" t="s">
        <v>80</v>
      </c>
      <c r="E1606" s="2" t="s">
        <v>81</v>
      </c>
      <c r="F1606" s="2" t="s">
        <v>82</v>
      </c>
      <c r="G1606" s="2" t="s">
        <v>83</v>
      </c>
      <c r="H1606" s="2" t="s">
        <v>498</v>
      </c>
      <c r="I1606" s="2" t="s">
        <v>47</v>
      </c>
      <c r="J1606" s="2" t="s">
        <v>3529</v>
      </c>
      <c r="K1606" s="2" t="s">
        <v>5053</v>
      </c>
      <c r="L1606" s="2" t="s">
        <v>85</v>
      </c>
      <c r="M1606" s="2" t="s">
        <v>5041</v>
      </c>
      <c r="N1606" s="16">
        <v>2.1600000000000001E-2</v>
      </c>
      <c r="O1606" s="17">
        <f>N1606*'Financial Inputs'!$B$3</f>
        <v>2160000</v>
      </c>
      <c r="P1606" s="18">
        <f>IF(I1606="L",'Financial Inputs'!$B$4,IF(I1606="M",'Financial Inputs'!$B$5,'Financial Inputs'!$B$6))</f>
        <v>0.4</v>
      </c>
      <c r="Q1606" s="17">
        <f>O1606*P1606</f>
        <v>864000</v>
      </c>
      <c r="R1606" s="16">
        <f>'Financial Inputs'!$B$7</f>
        <v>0.35</v>
      </c>
      <c r="S1606" s="17">
        <f>Q1606*(1-R1606)</f>
        <v>561600</v>
      </c>
      <c r="T1606" s="18">
        <f>S1606/'Financial Inputs'!$B$3</f>
        <v>5.6160000000000003E-3</v>
      </c>
      <c r="U1606" s="9" t="s">
        <v>52</v>
      </c>
      <c r="V1606" s="3" t="s">
        <v>53</v>
      </c>
    </row>
    <row r="1607" spans="1:22">
      <c r="A1607" s="2" t="s">
        <v>5054</v>
      </c>
      <c r="B1607" s="2" t="s">
        <v>5055</v>
      </c>
      <c r="C1607" s="2" t="s">
        <v>5039</v>
      </c>
      <c r="D1607" s="2" t="s">
        <v>88</v>
      </c>
      <c r="E1607" s="2" t="s">
        <v>89</v>
      </c>
      <c r="F1607" s="2" t="s">
        <v>90</v>
      </c>
      <c r="G1607" s="2" t="s">
        <v>67</v>
      </c>
      <c r="H1607" s="2" t="s">
        <v>498</v>
      </c>
      <c r="I1607" s="2" t="s">
        <v>47</v>
      </c>
      <c r="J1607" s="2" t="s">
        <v>3529</v>
      </c>
      <c r="K1607" s="2" t="s">
        <v>5056</v>
      </c>
      <c r="L1607" s="2" t="s">
        <v>92</v>
      </c>
      <c r="M1607" s="2" t="s">
        <v>5041</v>
      </c>
      <c r="N1607" s="16">
        <v>1.44E-2</v>
      </c>
      <c r="O1607" s="17">
        <f>N1607*'Financial Inputs'!$B$3</f>
        <v>1440000</v>
      </c>
      <c r="P1607" s="18">
        <f>IF(I1607="L",'Financial Inputs'!$B$4,IF(I1607="M",'Financial Inputs'!$B$5,'Financial Inputs'!$B$6))</f>
        <v>0.4</v>
      </c>
      <c r="Q1607" s="17">
        <f>O1607*P1607</f>
        <v>576000</v>
      </c>
      <c r="R1607" s="16">
        <f>'Financial Inputs'!$B$7</f>
        <v>0.35</v>
      </c>
      <c r="S1607" s="17">
        <f>Q1607*(1-R1607)</f>
        <v>374400</v>
      </c>
      <c r="T1607" s="18">
        <f>S1607/'Financial Inputs'!$B$3</f>
        <v>3.7439999999999999E-3</v>
      </c>
      <c r="U1607" s="9" t="s">
        <v>52</v>
      </c>
      <c r="V1607" s="3" t="s">
        <v>53</v>
      </c>
    </row>
    <row r="1608" spans="1:22">
      <c r="A1608" s="2" t="s">
        <v>5057</v>
      </c>
      <c r="B1608" s="2" t="s">
        <v>5058</v>
      </c>
      <c r="C1608" s="2" t="s">
        <v>5039</v>
      </c>
      <c r="D1608" s="2" t="s">
        <v>95</v>
      </c>
      <c r="E1608" s="2" t="s">
        <v>96</v>
      </c>
      <c r="F1608" s="2" t="s">
        <v>97</v>
      </c>
      <c r="G1608" s="2" t="s">
        <v>75</v>
      </c>
      <c r="H1608" s="2" t="s">
        <v>498</v>
      </c>
      <c r="I1608" s="2" t="s">
        <v>47</v>
      </c>
      <c r="J1608" s="2" t="s">
        <v>3529</v>
      </c>
      <c r="K1608" s="2" t="s">
        <v>5059</v>
      </c>
      <c r="L1608" s="2" t="s">
        <v>99</v>
      </c>
      <c r="M1608" s="2" t="s">
        <v>5041</v>
      </c>
      <c r="N1608" s="16">
        <v>1.6199999999999999E-2</v>
      </c>
      <c r="O1608" s="17">
        <f>N1608*'Financial Inputs'!$B$3</f>
        <v>1620000</v>
      </c>
      <c r="P1608" s="18">
        <f>IF(I1608="L",'Financial Inputs'!$B$4,IF(I1608="M",'Financial Inputs'!$B$5,'Financial Inputs'!$B$6))</f>
        <v>0.4</v>
      </c>
      <c r="Q1608" s="17">
        <f>O1608*P1608</f>
        <v>648000</v>
      </c>
      <c r="R1608" s="16">
        <f>'Financial Inputs'!$B$7</f>
        <v>0.35</v>
      </c>
      <c r="S1608" s="17">
        <f>Q1608*(1-R1608)</f>
        <v>421200</v>
      </c>
      <c r="T1608" s="18">
        <f>S1608/'Financial Inputs'!$B$3</f>
        <v>4.2119999999999996E-3</v>
      </c>
      <c r="U1608" s="9" t="s">
        <v>52</v>
      </c>
      <c r="V1608" s="3" t="s">
        <v>53</v>
      </c>
    </row>
    <row r="1609" spans="1:22">
      <c r="A1609" s="2" t="s">
        <v>5060</v>
      </c>
      <c r="B1609" s="2" t="s">
        <v>5061</v>
      </c>
      <c r="C1609" s="2" t="s">
        <v>5039</v>
      </c>
      <c r="D1609" s="2" t="s">
        <v>102</v>
      </c>
      <c r="E1609" s="2" t="s">
        <v>103</v>
      </c>
      <c r="F1609" s="2" t="s">
        <v>104</v>
      </c>
      <c r="G1609" s="2" t="s">
        <v>83</v>
      </c>
      <c r="H1609" s="2" t="s">
        <v>498</v>
      </c>
      <c r="I1609" s="2" t="s">
        <v>47</v>
      </c>
      <c r="J1609" s="2" t="s">
        <v>3529</v>
      </c>
      <c r="K1609" s="2" t="s">
        <v>5062</v>
      </c>
      <c r="L1609" s="2" t="s">
        <v>106</v>
      </c>
      <c r="M1609" s="2" t="s">
        <v>5041</v>
      </c>
      <c r="N1609" s="16">
        <v>1.7999999999999999E-2</v>
      </c>
      <c r="O1609" s="17">
        <f>N1609*'Financial Inputs'!$B$3</f>
        <v>1799999.9999999998</v>
      </c>
      <c r="P1609" s="18">
        <f>IF(I1609="L",'Financial Inputs'!$B$4,IF(I1609="M",'Financial Inputs'!$B$5,'Financial Inputs'!$B$6))</f>
        <v>0.4</v>
      </c>
      <c r="Q1609" s="17">
        <f>O1609*P1609</f>
        <v>720000</v>
      </c>
      <c r="R1609" s="16">
        <f>'Financial Inputs'!$B$7</f>
        <v>0.35</v>
      </c>
      <c r="S1609" s="17">
        <f>Q1609*(1-R1609)</f>
        <v>468000</v>
      </c>
      <c r="T1609" s="18">
        <f>S1609/'Financial Inputs'!$B$3</f>
        <v>4.6800000000000001E-3</v>
      </c>
      <c r="U1609" s="9" t="s">
        <v>52</v>
      </c>
      <c r="V1609" s="3" t="s">
        <v>53</v>
      </c>
    </row>
    <row r="1610" spans="1:22">
      <c r="A1610" s="2" t="s">
        <v>5063</v>
      </c>
      <c r="B1610" s="2" t="s">
        <v>5064</v>
      </c>
      <c r="C1610" s="2" t="s">
        <v>5039</v>
      </c>
      <c r="D1610" s="2" t="s">
        <v>42</v>
      </c>
      <c r="E1610" s="2" t="s">
        <v>109</v>
      </c>
      <c r="F1610" s="2" t="s">
        <v>110</v>
      </c>
      <c r="G1610" s="2" t="s">
        <v>111</v>
      </c>
      <c r="H1610" s="2" t="s">
        <v>498</v>
      </c>
      <c r="I1610" s="2" t="s">
        <v>47</v>
      </c>
      <c r="J1610" s="2" t="s">
        <v>3529</v>
      </c>
      <c r="K1610" s="2" t="s">
        <v>5065</v>
      </c>
      <c r="L1610" s="2" t="s">
        <v>113</v>
      </c>
      <c r="M1610" s="2" t="s">
        <v>5041</v>
      </c>
      <c r="N1610" s="16">
        <v>1.9800000000000002E-2</v>
      </c>
      <c r="O1610" s="17">
        <f>N1610*'Financial Inputs'!$B$3</f>
        <v>1980000.0000000002</v>
      </c>
      <c r="P1610" s="18">
        <f>IF(I1610="L",'Financial Inputs'!$B$4,IF(I1610="M",'Financial Inputs'!$B$5,'Financial Inputs'!$B$6))</f>
        <v>0.4</v>
      </c>
      <c r="Q1610" s="17">
        <f>O1610*P1610</f>
        <v>792000.00000000012</v>
      </c>
      <c r="R1610" s="16">
        <f>'Financial Inputs'!$B$7</f>
        <v>0.35</v>
      </c>
      <c r="S1610" s="17">
        <f>Q1610*(1-R1610)</f>
        <v>514800.00000000012</v>
      </c>
      <c r="T1610" s="18">
        <f>S1610/'Financial Inputs'!$B$3</f>
        <v>5.1480000000000015E-3</v>
      </c>
      <c r="U1610" s="9" t="s">
        <v>52</v>
      </c>
      <c r="V1610" s="3" t="s">
        <v>53</v>
      </c>
    </row>
    <row r="1611" spans="1:22">
      <c r="A1611" s="2" t="s">
        <v>5066</v>
      </c>
      <c r="B1611" s="2" t="s">
        <v>5067</v>
      </c>
      <c r="C1611" s="2" t="s">
        <v>5039</v>
      </c>
      <c r="D1611" s="2" t="s">
        <v>56</v>
      </c>
      <c r="E1611" s="2" t="s">
        <v>116</v>
      </c>
      <c r="F1611" s="2" t="s">
        <v>117</v>
      </c>
      <c r="G1611" s="2" t="s">
        <v>56</v>
      </c>
      <c r="H1611" s="2" t="s">
        <v>498</v>
      </c>
      <c r="I1611" s="2" t="s">
        <v>47</v>
      </c>
      <c r="J1611" s="2" t="s">
        <v>3529</v>
      </c>
      <c r="K1611" s="2" t="s">
        <v>5068</v>
      </c>
      <c r="L1611" s="2" t="s">
        <v>119</v>
      </c>
      <c r="M1611" s="2" t="s">
        <v>5041</v>
      </c>
      <c r="N1611" s="16">
        <v>2.1600000000000001E-2</v>
      </c>
      <c r="O1611" s="17">
        <f>N1611*'Financial Inputs'!$B$3</f>
        <v>2160000</v>
      </c>
      <c r="P1611" s="18">
        <f>IF(I1611="L",'Financial Inputs'!$B$4,IF(I1611="M",'Financial Inputs'!$B$5,'Financial Inputs'!$B$6))</f>
        <v>0.4</v>
      </c>
      <c r="Q1611" s="17">
        <f>O1611*P1611</f>
        <v>864000</v>
      </c>
      <c r="R1611" s="16">
        <f>'Financial Inputs'!$B$7</f>
        <v>0.35</v>
      </c>
      <c r="S1611" s="17">
        <f>Q1611*(1-R1611)</f>
        <v>561600</v>
      </c>
      <c r="T1611" s="18">
        <f>S1611/'Financial Inputs'!$B$3</f>
        <v>5.6160000000000003E-3</v>
      </c>
      <c r="U1611" s="9" t="s">
        <v>52</v>
      </c>
      <c r="V1611" s="3" t="s">
        <v>53</v>
      </c>
    </row>
    <row r="1612" spans="1:22">
      <c r="A1612" s="2" t="s">
        <v>5069</v>
      </c>
      <c r="B1612" s="2" t="s">
        <v>5070</v>
      </c>
      <c r="C1612" s="2" t="s">
        <v>5039</v>
      </c>
      <c r="D1612" s="2" t="s">
        <v>80</v>
      </c>
      <c r="E1612" s="2" t="s">
        <v>122</v>
      </c>
      <c r="F1612" s="2" t="s">
        <v>58</v>
      </c>
      <c r="G1612" s="2" t="s">
        <v>83</v>
      </c>
      <c r="H1612" s="2" t="s">
        <v>498</v>
      </c>
      <c r="I1612" s="2" t="s">
        <v>47</v>
      </c>
      <c r="J1612" s="2" t="s">
        <v>3529</v>
      </c>
      <c r="K1612" s="2" t="s">
        <v>5071</v>
      </c>
      <c r="L1612" s="2" t="s">
        <v>124</v>
      </c>
      <c r="M1612" s="2" t="s">
        <v>5041</v>
      </c>
      <c r="N1612" s="16">
        <v>1.44E-2</v>
      </c>
      <c r="O1612" s="17">
        <f>N1612*'Financial Inputs'!$B$3</f>
        <v>1440000</v>
      </c>
      <c r="P1612" s="18">
        <f>IF(I1612="L",'Financial Inputs'!$B$4,IF(I1612="M",'Financial Inputs'!$B$5,'Financial Inputs'!$B$6))</f>
        <v>0.4</v>
      </c>
      <c r="Q1612" s="17">
        <f>O1612*P1612</f>
        <v>576000</v>
      </c>
      <c r="R1612" s="16">
        <f>'Financial Inputs'!$B$7</f>
        <v>0.35</v>
      </c>
      <c r="S1612" s="17">
        <f>Q1612*(1-R1612)</f>
        <v>374400</v>
      </c>
      <c r="T1612" s="18">
        <f>S1612/'Financial Inputs'!$B$3</f>
        <v>3.7439999999999999E-3</v>
      </c>
      <c r="U1612" s="9" t="s">
        <v>52</v>
      </c>
      <c r="V1612" s="3" t="s">
        <v>53</v>
      </c>
    </row>
    <row r="1613" spans="1:22">
      <c r="A1613" s="2" t="s">
        <v>5072</v>
      </c>
      <c r="B1613" s="2" t="s">
        <v>5073</v>
      </c>
      <c r="C1613" s="2" t="s">
        <v>5039</v>
      </c>
      <c r="D1613" s="2" t="s">
        <v>127</v>
      </c>
      <c r="E1613" s="2" t="s">
        <v>128</v>
      </c>
      <c r="F1613" s="2" t="s">
        <v>66</v>
      </c>
      <c r="G1613" s="2" t="s">
        <v>111</v>
      </c>
      <c r="H1613" s="2" t="s">
        <v>498</v>
      </c>
      <c r="I1613" s="2" t="s">
        <v>47</v>
      </c>
      <c r="J1613" s="2" t="s">
        <v>3529</v>
      </c>
      <c r="K1613" s="2" t="s">
        <v>5074</v>
      </c>
      <c r="L1613" s="2" t="s">
        <v>130</v>
      </c>
      <c r="M1613" s="2" t="s">
        <v>5041</v>
      </c>
      <c r="N1613" s="16">
        <v>1.6199999999999999E-2</v>
      </c>
      <c r="O1613" s="17">
        <f>N1613*'Financial Inputs'!$B$3</f>
        <v>1620000</v>
      </c>
      <c r="P1613" s="18">
        <f>IF(I1613="L",'Financial Inputs'!$B$4,IF(I1613="M",'Financial Inputs'!$B$5,'Financial Inputs'!$B$6))</f>
        <v>0.4</v>
      </c>
      <c r="Q1613" s="17">
        <f>O1613*P1613</f>
        <v>648000</v>
      </c>
      <c r="R1613" s="16">
        <f>'Financial Inputs'!$B$7</f>
        <v>0.35</v>
      </c>
      <c r="S1613" s="17">
        <f>Q1613*(1-R1613)</f>
        <v>421200</v>
      </c>
      <c r="T1613" s="18">
        <f>S1613/'Financial Inputs'!$B$3</f>
        <v>4.2119999999999996E-3</v>
      </c>
      <c r="U1613" s="9" t="s">
        <v>52</v>
      </c>
      <c r="V1613" s="3" t="s">
        <v>53</v>
      </c>
    </row>
    <row r="1614" spans="1:22">
      <c r="A1614" s="2" t="s">
        <v>5075</v>
      </c>
      <c r="B1614" s="2" t="s">
        <v>5076</v>
      </c>
      <c r="C1614" s="2" t="s">
        <v>5039</v>
      </c>
      <c r="D1614" s="2" t="s">
        <v>133</v>
      </c>
      <c r="E1614" s="2" t="s">
        <v>43</v>
      </c>
      <c r="F1614" s="2" t="s">
        <v>74</v>
      </c>
      <c r="G1614" s="2" t="s">
        <v>56</v>
      </c>
      <c r="H1614" s="2" t="s">
        <v>498</v>
      </c>
      <c r="I1614" s="2" t="s">
        <v>47</v>
      </c>
      <c r="J1614" s="2" t="s">
        <v>3529</v>
      </c>
      <c r="K1614" s="2" t="s">
        <v>5077</v>
      </c>
      <c r="L1614" s="2" t="s">
        <v>135</v>
      </c>
      <c r="M1614" s="2" t="s">
        <v>5041</v>
      </c>
      <c r="N1614" s="16">
        <v>1.7999999999999999E-2</v>
      </c>
      <c r="O1614" s="17">
        <f>N1614*'Financial Inputs'!$B$3</f>
        <v>1799999.9999999998</v>
      </c>
      <c r="P1614" s="18">
        <f>IF(I1614="L",'Financial Inputs'!$B$4,IF(I1614="M",'Financial Inputs'!$B$5,'Financial Inputs'!$B$6))</f>
        <v>0.4</v>
      </c>
      <c r="Q1614" s="17">
        <f>O1614*P1614</f>
        <v>720000</v>
      </c>
      <c r="R1614" s="16">
        <f>'Financial Inputs'!$B$7</f>
        <v>0.35</v>
      </c>
      <c r="S1614" s="17">
        <f>Q1614*(1-R1614)</f>
        <v>468000</v>
      </c>
      <c r="T1614" s="18">
        <f>S1614/'Financial Inputs'!$B$3</f>
        <v>4.6800000000000001E-3</v>
      </c>
      <c r="U1614" s="9" t="s">
        <v>52</v>
      </c>
      <c r="V1614" s="3" t="s">
        <v>53</v>
      </c>
    </row>
    <row r="1615" spans="1:22">
      <c r="A1615" s="2" t="s">
        <v>5078</v>
      </c>
      <c r="B1615" s="2" t="s">
        <v>5079</v>
      </c>
      <c r="C1615" s="2" t="s">
        <v>5039</v>
      </c>
      <c r="D1615" s="2" t="s">
        <v>88</v>
      </c>
      <c r="E1615" s="2" t="s">
        <v>57</v>
      </c>
      <c r="F1615" s="2" t="s">
        <v>82</v>
      </c>
      <c r="G1615" s="2" t="s">
        <v>138</v>
      </c>
      <c r="H1615" s="2" t="s">
        <v>498</v>
      </c>
      <c r="I1615" s="2" t="s">
        <v>47</v>
      </c>
      <c r="J1615" s="2" t="s">
        <v>3529</v>
      </c>
      <c r="K1615" s="2" t="s">
        <v>5080</v>
      </c>
      <c r="L1615" s="2" t="s">
        <v>140</v>
      </c>
      <c r="M1615" s="2" t="s">
        <v>5041</v>
      </c>
      <c r="N1615" s="16">
        <v>1.9800000000000002E-2</v>
      </c>
      <c r="O1615" s="17">
        <f>N1615*'Financial Inputs'!$B$3</f>
        <v>1980000.0000000002</v>
      </c>
      <c r="P1615" s="18">
        <f>IF(I1615="L",'Financial Inputs'!$B$4,IF(I1615="M",'Financial Inputs'!$B$5,'Financial Inputs'!$B$6))</f>
        <v>0.4</v>
      </c>
      <c r="Q1615" s="17">
        <f>O1615*P1615</f>
        <v>792000.00000000012</v>
      </c>
      <c r="R1615" s="16">
        <f>'Financial Inputs'!$B$7</f>
        <v>0.35</v>
      </c>
      <c r="S1615" s="17">
        <f>Q1615*(1-R1615)</f>
        <v>514800.00000000012</v>
      </c>
      <c r="T1615" s="18">
        <f>S1615/'Financial Inputs'!$B$3</f>
        <v>5.1480000000000015E-3</v>
      </c>
      <c r="U1615" s="9" t="s">
        <v>52</v>
      </c>
      <c r="V1615" s="3" t="s">
        <v>53</v>
      </c>
    </row>
    <row r="1616" spans="1:22">
      <c r="A1616" s="2" t="s">
        <v>5081</v>
      </c>
      <c r="B1616" s="2" t="s">
        <v>5082</v>
      </c>
      <c r="C1616" s="2" t="s">
        <v>5039</v>
      </c>
      <c r="D1616" s="2" t="s">
        <v>95</v>
      </c>
      <c r="E1616" s="2" t="s">
        <v>65</v>
      </c>
      <c r="F1616" s="2" t="s">
        <v>44</v>
      </c>
      <c r="G1616" s="2" t="s">
        <v>143</v>
      </c>
      <c r="H1616" s="2" t="s">
        <v>498</v>
      </c>
      <c r="I1616" s="2" t="s">
        <v>47</v>
      </c>
      <c r="J1616" s="2" t="s">
        <v>3529</v>
      </c>
      <c r="K1616" s="2" t="s">
        <v>5083</v>
      </c>
      <c r="L1616" s="2" t="s">
        <v>145</v>
      </c>
      <c r="M1616" s="2" t="s">
        <v>5041</v>
      </c>
      <c r="N1616" s="16">
        <v>2.1600000000000001E-2</v>
      </c>
      <c r="O1616" s="17">
        <f>N1616*'Financial Inputs'!$B$3</f>
        <v>2160000</v>
      </c>
      <c r="P1616" s="18">
        <f>IF(I1616="L",'Financial Inputs'!$B$4,IF(I1616="M",'Financial Inputs'!$B$5,'Financial Inputs'!$B$6))</f>
        <v>0.4</v>
      </c>
      <c r="Q1616" s="17">
        <f>O1616*P1616</f>
        <v>864000</v>
      </c>
      <c r="R1616" s="16">
        <f>'Financial Inputs'!$B$7</f>
        <v>0.35</v>
      </c>
      <c r="S1616" s="17">
        <f>Q1616*(1-R1616)</f>
        <v>561600</v>
      </c>
      <c r="T1616" s="18">
        <f>S1616/'Financial Inputs'!$B$3</f>
        <v>5.6160000000000003E-3</v>
      </c>
      <c r="U1616" s="9" t="s">
        <v>52</v>
      </c>
      <c r="V1616" s="3" t="s">
        <v>53</v>
      </c>
    </row>
    <row r="1617" spans="1:22">
      <c r="A1617" s="2" t="s">
        <v>5084</v>
      </c>
      <c r="B1617" s="2" t="s">
        <v>5085</v>
      </c>
      <c r="C1617" s="2" t="s">
        <v>5039</v>
      </c>
      <c r="D1617" s="2" t="s">
        <v>56</v>
      </c>
      <c r="E1617" s="2" t="s">
        <v>148</v>
      </c>
      <c r="F1617" s="2" t="s">
        <v>97</v>
      </c>
      <c r="G1617" s="2" t="s">
        <v>56</v>
      </c>
      <c r="H1617" s="2" t="s">
        <v>498</v>
      </c>
      <c r="I1617" s="2" t="s">
        <v>47</v>
      </c>
      <c r="J1617" s="2" t="s">
        <v>3529</v>
      </c>
      <c r="K1617" s="2" t="s">
        <v>5086</v>
      </c>
      <c r="L1617" s="2" t="s">
        <v>150</v>
      </c>
      <c r="M1617" s="2" t="s">
        <v>5041</v>
      </c>
      <c r="N1617" s="16">
        <v>1.44E-2</v>
      </c>
      <c r="O1617" s="17">
        <f>N1617*'Financial Inputs'!$B$3</f>
        <v>1440000</v>
      </c>
      <c r="P1617" s="18">
        <f>IF(I1617="L",'Financial Inputs'!$B$4,IF(I1617="M",'Financial Inputs'!$B$5,'Financial Inputs'!$B$6))</f>
        <v>0.4</v>
      </c>
      <c r="Q1617" s="17">
        <f>O1617*P1617</f>
        <v>576000</v>
      </c>
      <c r="R1617" s="16">
        <f>'Financial Inputs'!$B$7</f>
        <v>0.35</v>
      </c>
      <c r="S1617" s="17">
        <f>Q1617*(1-R1617)</f>
        <v>374400</v>
      </c>
      <c r="T1617" s="18">
        <f>S1617/'Financial Inputs'!$B$3</f>
        <v>3.7439999999999999E-3</v>
      </c>
      <c r="U1617" s="9" t="s">
        <v>52</v>
      </c>
      <c r="V1617" s="3" t="s">
        <v>53</v>
      </c>
    </row>
    <row r="1618" spans="1:22">
      <c r="A1618" s="2" t="s">
        <v>5087</v>
      </c>
      <c r="B1618" s="2" t="s">
        <v>5088</v>
      </c>
      <c r="C1618" s="2" t="s">
        <v>5039</v>
      </c>
      <c r="D1618" s="2" t="s">
        <v>64</v>
      </c>
      <c r="E1618" s="2" t="s">
        <v>153</v>
      </c>
      <c r="F1618" s="2" t="s">
        <v>104</v>
      </c>
      <c r="G1618" s="2" t="s">
        <v>138</v>
      </c>
      <c r="H1618" s="2" t="s">
        <v>498</v>
      </c>
      <c r="I1618" s="2" t="s">
        <v>47</v>
      </c>
      <c r="J1618" s="2" t="s">
        <v>3529</v>
      </c>
      <c r="K1618" s="2" t="s">
        <v>5089</v>
      </c>
      <c r="L1618" s="2" t="s">
        <v>155</v>
      </c>
      <c r="M1618" s="2" t="s">
        <v>5041</v>
      </c>
      <c r="N1618" s="16">
        <v>1.6199999999999999E-2</v>
      </c>
      <c r="O1618" s="17">
        <f>N1618*'Financial Inputs'!$B$3</f>
        <v>1620000</v>
      </c>
      <c r="P1618" s="18">
        <f>IF(I1618="L",'Financial Inputs'!$B$4,IF(I1618="M",'Financial Inputs'!$B$5,'Financial Inputs'!$B$6))</f>
        <v>0.4</v>
      </c>
      <c r="Q1618" s="17">
        <f>O1618*P1618</f>
        <v>648000</v>
      </c>
      <c r="R1618" s="16">
        <f>'Financial Inputs'!$B$7</f>
        <v>0.35</v>
      </c>
      <c r="S1618" s="17">
        <f>Q1618*(1-R1618)</f>
        <v>421200</v>
      </c>
      <c r="T1618" s="18">
        <f>S1618/'Financial Inputs'!$B$3</f>
        <v>4.2119999999999996E-3</v>
      </c>
      <c r="U1618" s="9" t="s">
        <v>52</v>
      </c>
      <c r="V1618" s="3" t="s">
        <v>53</v>
      </c>
    </row>
    <row r="1619" spans="1:22">
      <c r="A1619" s="2" t="s">
        <v>5090</v>
      </c>
      <c r="B1619" s="2" t="s">
        <v>5091</v>
      </c>
      <c r="C1619" s="2" t="s">
        <v>5039</v>
      </c>
      <c r="D1619" s="2" t="s">
        <v>72</v>
      </c>
      <c r="E1619" s="2" t="s">
        <v>89</v>
      </c>
      <c r="F1619" s="2" t="s">
        <v>110</v>
      </c>
      <c r="G1619" s="2" t="s">
        <v>143</v>
      </c>
      <c r="H1619" s="2" t="s">
        <v>498</v>
      </c>
      <c r="I1619" s="2" t="s">
        <v>47</v>
      </c>
      <c r="J1619" s="2" t="s">
        <v>3529</v>
      </c>
      <c r="K1619" s="2" t="s">
        <v>5092</v>
      </c>
      <c r="L1619" s="2" t="s">
        <v>159</v>
      </c>
      <c r="M1619" s="2" t="s">
        <v>5041</v>
      </c>
      <c r="N1619" s="16">
        <v>1.7999999999999999E-2</v>
      </c>
      <c r="O1619" s="17">
        <f>N1619*'Financial Inputs'!$B$3</f>
        <v>1799999.9999999998</v>
      </c>
      <c r="P1619" s="18">
        <f>IF(I1619="L",'Financial Inputs'!$B$4,IF(I1619="M",'Financial Inputs'!$B$5,'Financial Inputs'!$B$6))</f>
        <v>0.4</v>
      </c>
      <c r="Q1619" s="17">
        <f>O1619*P1619</f>
        <v>720000</v>
      </c>
      <c r="R1619" s="16">
        <f>'Financial Inputs'!$B$7</f>
        <v>0.35</v>
      </c>
      <c r="S1619" s="17">
        <f>Q1619*(1-R1619)</f>
        <v>468000</v>
      </c>
      <c r="T1619" s="18">
        <f>S1619/'Financial Inputs'!$B$3</f>
        <v>4.6800000000000001E-3</v>
      </c>
      <c r="U1619" s="9" t="s">
        <v>52</v>
      </c>
      <c r="V1619" s="3" t="s">
        <v>53</v>
      </c>
    </row>
    <row r="1620" spans="1:22">
      <c r="A1620" s="2" t="s">
        <v>5093</v>
      </c>
      <c r="B1620" s="2" t="s">
        <v>5094</v>
      </c>
      <c r="C1620" s="2" t="s">
        <v>5039</v>
      </c>
      <c r="D1620" s="2" t="s">
        <v>80</v>
      </c>
      <c r="E1620" s="2" t="s">
        <v>96</v>
      </c>
      <c r="F1620" s="2" t="s">
        <v>117</v>
      </c>
      <c r="G1620" s="2" t="s">
        <v>162</v>
      </c>
      <c r="H1620" s="2" t="s">
        <v>498</v>
      </c>
      <c r="I1620" s="2" t="s">
        <v>47</v>
      </c>
      <c r="J1620" s="2" t="s">
        <v>3529</v>
      </c>
      <c r="K1620" s="2" t="s">
        <v>5095</v>
      </c>
      <c r="L1620" s="2" t="s">
        <v>164</v>
      </c>
      <c r="M1620" s="2" t="s">
        <v>5041</v>
      </c>
      <c r="N1620" s="16">
        <v>1.9800000000000002E-2</v>
      </c>
      <c r="O1620" s="17">
        <f>N1620*'Financial Inputs'!$B$3</f>
        <v>1980000.0000000002</v>
      </c>
      <c r="P1620" s="18">
        <f>IF(I1620="L",'Financial Inputs'!$B$4,IF(I1620="M",'Financial Inputs'!$B$5,'Financial Inputs'!$B$6))</f>
        <v>0.4</v>
      </c>
      <c r="Q1620" s="17">
        <f>O1620*P1620</f>
        <v>792000.00000000012</v>
      </c>
      <c r="R1620" s="16">
        <f>'Financial Inputs'!$B$7</f>
        <v>0.35</v>
      </c>
      <c r="S1620" s="17">
        <f>Q1620*(1-R1620)</f>
        <v>514800.00000000012</v>
      </c>
      <c r="T1620" s="18">
        <f>S1620/'Financial Inputs'!$B$3</f>
        <v>5.1480000000000015E-3</v>
      </c>
      <c r="U1620" s="9" t="s">
        <v>52</v>
      </c>
      <c r="V1620" s="3" t="s">
        <v>53</v>
      </c>
    </row>
    <row r="1621" spans="1:22">
      <c r="A1621" s="2" t="s">
        <v>5096</v>
      </c>
      <c r="B1621" s="2" t="s">
        <v>5097</v>
      </c>
      <c r="C1621" s="2" t="s">
        <v>5039</v>
      </c>
      <c r="D1621" s="2" t="s">
        <v>127</v>
      </c>
      <c r="E1621" s="2" t="s">
        <v>103</v>
      </c>
      <c r="F1621" s="2" t="s">
        <v>90</v>
      </c>
      <c r="G1621" s="2" t="s">
        <v>45</v>
      </c>
      <c r="H1621" s="2" t="s">
        <v>498</v>
      </c>
      <c r="I1621" s="2" t="s">
        <v>47</v>
      </c>
      <c r="J1621" s="2" t="s">
        <v>3529</v>
      </c>
      <c r="K1621" s="2" t="s">
        <v>5098</v>
      </c>
      <c r="L1621" s="2" t="s">
        <v>168</v>
      </c>
      <c r="M1621" s="2" t="s">
        <v>5041</v>
      </c>
      <c r="N1621" s="16">
        <v>2.1600000000000001E-2</v>
      </c>
      <c r="O1621" s="17">
        <f>N1621*'Financial Inputs'!$B$3</f>
        <v>2160000</v>
      </c>
      <c r="P1621" s="18">
        <f>IF(I1621="L",'Financial Inputs'!$B$4,IF(I1621="M",'Financial Inputs'!$B$5,'Financial Inputs'!$B$6))</f>
        <v>0.4</v>
      </c>
      <c r="Q1621" s="17">
        <f>O1621*P1621</f>
        <v>864000</v>
      </c>
      <c r="R1621" s="16">
        <f>'Financial Inputs'!$B$7</f>
        <v>0.35</v>
      </c>
      <c r="S1621" s="17">
        <f>Q1621*(1-R1621)</f>
        <v>561600</v>
      </c>
      <c r="T1621" s="18">
        <f>S1621/'Financial Inputs'!$B$3</f>
        <v>5.6160000000000003E-3</v>
      </c>
      <c r="U1621" s="9" t="s">
        <v>52</v>
      </c>
      <c r="V1621" s="3" t="s">
        <v>53</v>
      </c>
    </row>
    <row r="1622" spans="1:22">
      <c r="A1622" s="2" t="s">
        <v>5099</v>
      </c>
      <c r="B1622" s="2" t="s">
        <v>5100</v>
      </c>
      <c r="C1622" s="2" t="s">
        <v>5039</v>
      </c>
      <c r="D1622" s="2" t="s">
        <v>95</v>
      </c>
      <c r="E1622" s="2" t="s">
        <v>171</v>
      </c>
      <c r="F1622" s="2" t="s">
        <v>66</v>
      </c>
      <c r="G1622" s="2" t="s">
        <v>143</v>
      </c>
      <c r="H1622" s="2" t="s">
        <v>498</v>
      </c>
      <c r="I1622" s="2" t="s">
        <v>47</v>
      </c>
      <c r="J1622" s="2" t="s">
        <v>3529</v>
      </c>
      <c r="K1622" s="2" t="s">
        <v>5101</v>
      </c>
      <c r="L1622" s="2" t="s">
        <v>173</v>
      </c>
      <c r="M1622" s="2" t="s">
        <v>5041</v>
      </c>
      <c r="N1622" s="16">
        <v>1.44E-2</v>
      </c>
      <c r="O1622" s="17">
        <f>N1622*'Financial Inputs'!$B$3</f>
        <v>1440000</v>
      </c>
      <c r="P1622" s="18">
        <f>IF(I1622="L",'Financial Inputs'!$B$4,IF(I1622="M",'Financial Inputs'!$B$5,'Financial Inputs'!$B$6))</f>
        <v>0.4</v>
      </c>
      <c r="Q1622" s="17">
        <f>O1622*P1622</f>
        <v>576000</v>
      </c>
      <c r="R1622" s="16">
        <f>'Financial Inputs'!$B$7</f>
        <v>0.35</v>
      </c>
      <c r="S1622" s="17">
        <f>Q1622*(1-R1622)</f>
        <v>374400</v>
      </c>
      <c r="T1622" s="18">
        <f>S1622/'Financial Inputs'!$B$3</f>
        <v>3.7439999999999999E-3</v>
      </c>
      <c r="U1622" s="9" t="s">
        <v>52</v>
      </c>
      <c r="V1622" s="3" t="s">
        <v>53</v>
      </c>
    </row>
    <row r="1623" spans="1:22">
      <c r="A1623" s="2" t="s">
        <v>5102</v>
      </c>
      <c r="B1623" s="2" t="s">
        <v>5103</v>
      </c>
      <c r="C1623" s="2" t="s">
        <v>5039</v>
      </c>
      <c r="D1623" s="2" t="s">
        <v>102</v>
      </c>
      <c r="E1623" s="2" t="s">
        <v>176</v>
      </c>
      <c r="F1623" s="2" t="s">
        <v>74</v>
      </c>
      <c r="G1623" s="2" t="s">
        <v>162</v>
      </c>
      <c r="H1623" s="2" t="s">
        <v>498</v>
      </c>
      <c r="I1623" s="2" t="s">
        <v>47</v>
      </c>
      <c r="J1623" s="2" t="s">
        <v>3529</v>
      </c>
      <c r="K1623" s="2" t="s">
        <v>5104</v>
      </c>
      <c r="L1623" s="2" t="s">
        <v>178</v>
      </c>
      <c r="M1623" s="2" t="s">
        <v>5041</v>
      </c>
      <c r="N1623" s="16">
        <v>1.6199999999999999E-2</v>
      </c>
      <c r="O1623" s="17">
        <f>N1623*'Financial Inputs'!$B$3</f>
        <v>1620000</v>
      </c>
      <c r="P1623" s="18">
        <f>IF(I1623="L",'Financial Inputs'!$B$4,IF(I1623="M",'Financial Inputs'!$B$5,'Financial Inputs'!$B$6))</f>
        <v>0.4</v>
      </c>
      <c r="Q1623" s="17">
        <f>O1623*P1623</f>
        <v>648000</v>
      </c>
      <c r="R1623" s="16">
        <f>'Financial Inputs'!$B$7</f>
        <v>0.35</v>
      </c>
      <c r="S1623" s="17">
        <f>Q1623*(1-R1623)</f>
        <v>421200</v>
      </c>
      <c r="T1623" s="18">
        <f>S1623/'Financial Inputs'!$B$3</f>
        <v>4.2119999999999996E-3</v>
      </c>
      <c r="U1623" s="9" t="s">
        <v>52</v>
      </c>
      <c r="V1623" s="3" t="s">
        <v>53</v>
      </c>
    </row>
    <row r="1624" spans="1:22">
      <c r="A1624" s="2" t="s">
        <v>5105</v>
      </c>
      <c r="B1624" s="2" t="s">
        <v>5106</v>
      </c>
      <c r="C1624" s="2" t="s">
        <v>5039</v>
      </c>
      <c r="D1624" s="2" t="s">
        <v>42</v>
      </c>
      <c r="E1624" s="2" t="s">
        <v>122</v>
      </c>
      <c r="F1624" s="2" t="s">
        <v>82</v>
      </c>
      <c r="G1624" s="2" t="s">
        <v>45</v>
      </c>
      <c r="H1624" s="2" t="s">
        <v>498</v>
      </c>
      <c r="I1624" s="2" t="s">
        <v>47</v>
      </c>
      <c r="J1624" s="2" t="s">
        <v>3529</v>
      </c>
      <c r="K1624" s="2" t="s">
        <v>5107</v>
      </c>
      <c r="L1624" s="2" t="s">
        <v>182</v>
      </c>
      <c r="M1624" s="2" t="s">
        <v>5041</v>
      </c>
      <c r="N1624" s="16">
        <v>1.7999999999999999E-2</v>
      </c>
      <c r="O1624" s="17">
        <f>N1624*'Financial Inputs'!$B$3</f>
        <v>1799999.9999999998</v>
      </c>
      <c r="P1624" s="18">
        <f>IF(I1624="L",'Financial Inputs'!$B$4,IF(I1624="M",'Financial Inputs'!$B$5,'Financial Inputs'!$B$6))</f>
        <v>0.4</v>
      </c>
      <c r="Q1624" s="17">
        <f>O1624*P1624</f>
        <v>720000</v>
      </c>
      <c r="R1624" s="16">
        <f>'Financial Inputs'!$B$7</f>
        <v>0.35</v>
      </c>
      <c r="S1624" s="17">
        <f>Q1624*(1-R1624)</f>
        <v>468000</v>
      </c>
      <c r="T1624" s="18">
        <f>S1624/'Financial Inputs'!$B$3</f>
        <v>4.6800000000000001E-3</v>
      </c>
      <c r="U1624" s="9" t="s">
        <v>52</v>
      </c>
      <c r="V1624" s="3" t="s">
        <v>53</v>
      </c>
    </row>
    <row r="1625" spans="1:22">
      <c r="A1625" s="2" t="s">
        <v>5108</v>
      </c>
      <c r="B1625" s="2" t="s">
        <v>5109</v>
      </c>
      <c r="C1625" s="2" t="s">
        <v>5039</v>
      </c>
      <c r="D1625" s="2" t="s">
        <v>56</v>
      </c>
      <c r="E1625" s="2" t="s">
        <v>128</v>
      </c>
      <c r="F1625" s="2" t="s">
        <v>44</v>
      </c>
      <c r="G1625" s="2" t="s">
        <v>59</v>
      </c>
      <c r="H1625" s="2" t="s">
        <v>498</v>
      </c>
      <c r="I1625" s="2" t="s">
        <v>47</v>
      </c>
      <c r="J1625" s="2" t="s">
        <v>3529</v>
      </c>
      <c r="K1625" s="2" t="s">
        <v>5110</v>
      </c>
      <c r="L1625" s="2" t="s">
        <v>186</v>
      </c>
      <c r="M1625" s="2" t="s">
        <v>5041</v>
      </c>
      <c r="N1625" s="16">
        <v>1.9800000000000002E-2</v>
      </c>
      <c r="O1625" s="17">
        <f>N1625*'Financial Inputs'!$B$3</f>
        <v>1980000.0000000002</v>
      </c>
      <c r="P1625" s="18">
        <f>IF(I1625="L",'Financial Inputs'!$B$4,IF(I1625="M",'Financial Inputs'!$B$5,'Financial Inputs'!$B$6))</f>
        <v>0.4</v>
      </c>
      <c r="Q1625" s="17">
        <f>O1625*P1625</f>
        <v>792000.00000000012</v>
      </c>
      <c r="R1625" s="16">
        <f>'Financial Inputs'!$B$7</f>
        <v>0.35</v>
      </c>
      <c r="S1625" s="17">
        <f>Q1625*(1-R1625)</f>
        <v>514800.00000000012</v>
      </c>
      <c r="T1625" s="18">
        <f>S1625/'Financial Inputs'!$B$3</f>
        <v>5.1480000000000015E-3</v>
      </c>
      <c r="U1625" s="9" t="s">
        <v>52</v>
      </c>
      <c r="V1625" s="3" t="s">
        <v>53</v>
      </c>
    </row>
    <row r="1626" spans="1:22">
      <c r="A1626" s="2" t="s">
        <v>5111</v>
      </c>
      <c r="B1626" s="2" t="s">
        <v>5112</v>
      </c>
      <c r="C1626" s="2" t="s">
        <v>5039</v>
      </c>
      <c r="D1626" s="2" t="s">
        <v>64</v>
      </c>
      <c r="E1626" s="2" t="s">
        <v>43</v>
      </c>
      <c r="F1626" s="2" t="s">
        <v>58</v>
      </c>
      <c r="G1626" s="2" t="s">
        <v>67</v>
      </c>
      <c r="H1626" s="2" t="s">
        <v>498</v>
      </c>
      <c r="I1626" s="2" t="s">
        <v>47</v>
      </c>
      <c r="J1626" s="2" t="s">
        <v>3529</v>
      </c>
      <c r="K1626" s="2" t="s">
        <v>5113</v>
      </c>
      <c r="L1626" s="2" t="s">
        <v>190</v>
      </c>
      <c r="M1626" s="2" t="s">
        <v>5041</v>
      </c>
      <c r="N1626" s="16">
        <v>2.1600000000000001E-2</v>
      </c>
      <c r="O1626" s="17">
        <f>N1626*'Financial Inputs'!$B$3</f>
        <v>2160000</v>
      </c>
      <c r="P1626" s="18">
        <f>IF(I1626="L",'Financial Inputs'!$B$4,IF(I1626="M",'Financial Inputs'!$B$5,'Financial Inputs'!$B$6))</f>
        <v>0.4</v>
      </c>
      <c r="Q1626" s="17">
        <f>O1626*P1626</f>
        <v>864000</v>
      </c>
      <c r="R1626" s="16">
        <f>'Financial Inputs'!$B$7</f>
        <v>0.35</v>
      </c>
      <c r="S1626" s="17">
        <f>Q1626*(1-R1626)</f>
        <v>561600</v>
      </c>
      <c r="T1626" s="18">
        <f>S1626/'Financial Inputs'!$B$3</f>
        <v>5.6160000000000003E-3</v>
      </c>
      <c r="U1626" s="9" t="s">
        <v>52</v>
      </c>
      <c r="V1626" s="3" t="s">
        <v>53</v>
      </c>
    </row>
    <row r="1627" spans="1:22">
      <c r="A1627" s="2" t="s">
        <v>5114</v>
      </c>
      <c r="B1627" s="2" t="s">
        <v>5115</v>
      </c>
      <c r="C1627" s="2" t="s">
        <v>5039</v>
      </c>
      <c r="D1627" s="2" t="s">
        <v>127</v>
      </c>
      <c r="E1627" s="2" t="s">
        <v>193</v>
      </c>
      <c r="F1627" s="2" t="s">
        <v>104</v>
      </c>
      <c r="G1627" s="2" t="s">
        <v>45</v>
      </c>
      <c r="H1627" s="2" t="s">
        <v>498</v>
      </c>
      <c r="I1627" s="2" t="s">
        <v>47</v>
      </c>
      <c r="J1627" s="2" t="s">
        <v>3529</v>
      </c>
      <c r="K1627" s="2" t="s">
        <v>5116</v>
      </c>
      <c r="L1627" s="2" t="s">
        <v>195</v>
      </c>
      <c r="M1627" s="2" t="s">
        <v>5041</v>
      </c>
      <c r="N1627" s="16">
        <v>1.44E-2</v>
      </c>
      <c r="O1627" s="17">
        <f>N1627*'Financial Inputs'!$B$3</f>
        <v>1440000</v>
      </c>
      <c r="P1627" s="18">
        <f>IF(I1627="L",'Financial Inputs'!$B$4,IF(I1627="M",'Financial Inputs'!$B$5,'Financial Inputs'!$B$6))</f>
        <v>0.4</v>
      </c>
      <c r="Q1627" s="17">
        <f>O1627*P1627</f>
        <v>576000</v>
      </c>
      <c r="R1627" s="16">
        <f>'Financial Inputs'!$B$7</f>
        <v>0.35</v>
      </c>
      <c r="S1627" s="17">
        <f>Q1627*(1-R1627)</f>
        <v>374400</v>
      </c>
      <c r="T1627" s="18">
        <f>S1627/'Financial Inputs'!$B$3</f>
        <v>3.7439999999999999E-3</v>
      </c>
      <c r="U1627" s="9" t="s">
        <v>52</v>
      </c>
      <c r="V1627" s="3" t="s">
        <v>53</v>
      </c>
    </row>
    <row r="1628" spans="1:22">
      <c r="A1628" s="2" t="s">
        <v>5117</v>
      </c>
      <c r="B1628" s="2" t="s">
        <v>5118</v>
      </c>
      <c r="C1628" s="2" t="s">
        <v>5039</v>
      </c>
      <c r="D1628" s="2" t="s">
        <v>133</v>
      </c>
      <c r="E1628" s="2" t="s">
        <v>198</v>
      </c>
      <c r="F1628" s="2" t="s">
        <v>110</v>
      </c>
      <c r="G1628" s="2" t="s">
        <v>59</v>
      </c>
      <c r="H1628" s="2" t="s">
        <v>498</v>
      </c>
      <c r="I1628" s="2" t="s">
        <v>47</v>
      </c>
      <c r="J1628" s="2" t="s">
        <v>3529</v>
      </c>
      <c r="K1628" s="2" t="s">
        <v>5119</v>
      </c>
      <c r="L1628" s="2" t="s">
        <v>200</v>
      </c>
      <c r="M1628" s="2" t="s">
        <v>5041</v>
      </c>
      <c r="N1628" s="16">
        <v>1.6199999999999999E-2</v>
      </c>
      <c r="O1628" s="17">
        <f>N1628*'Financial Inputs'!$B$3</f>
        <v>1620000</v>
      </c>
      <c r="P1628" s="18">
        <f>IF(I1628="L",'Financial Inputs'!$B$4,IF(I1628="M",'Financial Inputs'!$B$5,'Financial Inputs'!$B$6))</f>
        <v>0.4</v>
      </c>
      <c r="Q1628" s="17">
        <f>O1628*P1628</f>
        <v>648000</v>
      </c>
      <c r="R1628" s="16">
        <f>'Financial Inputs'!$B$7</f>
        <v>0.35</v>
      </c>
      <c r="S1628" s="17">
        <f>Q1628*(1-R1628)</f>
        <v>421200</v>
      </c>
      <c r="T1628" s="18">
        <f>S1628/'Financial Inputs'!$B$3</f>
        <v>4.2119999999999996E-3</v>
      </c>
      <c r="U1628" s="9" t="s">
        <v>52</v>
      </c>
      <c r="V1628" s="3" t="s">
        <v>53</v>
      </c>
    </row>
    <row r="1629" spans="1:22">
      <c r="A1629" s="2" t="s">
        <v>5120</v>
      </c>
      <c r="B1629" s="2" t="s">
        <v>5121</v>
      </c>
      <c r="C1629" s="2" t="s">
        <v>5039</v>
      </c>
      <c r="D1629" s="2" t="s">
        <v>88</v>
      </c>
      <c r="E1629" s="2" t="s">
        <v>148</v>
      </c>
      <c r="F1629" s="2" t="s">
        <v>117</v>
      </c>
      <c r="G1629" s="2" t="s">
        <v>67</v>
      </c>
      <c r="H1629" s="2" t="s">
        <v>498</v>
      </c>
      <c r="I1629" s="2" t="s">
        <v>47</v>
      </c>
      <c r="J1629" s="2" t="s">
        <v>3529</v>
      </c>
      <c r="K1629" s="2" t="s">
        <v>5122</v>
      </c>
      <c r="L1629" s="2" t="s">
        <v>204</v>
      </c>
      <c r="M1629" s="2" t="s">
        <v>5041</v>
      </c>
      <c r="N1629" s="16">
        <v>1.7999999999999999E-2</v>
      </c>
      <c r="O1629" s="17">
        <f>N1629*'Financial Inputs'!$B$3</f>
        <v>1799999.9999999998</v>
      </c>
      <c r="P1629" s="18">
        <f>IF(I1629="L",'Financial Inputs'!$B$4,IF(I1629="M",'Financial Inputs'!$B$5,'Financial Inputs'!$B$6))</f>
        <v>0.4</v>
      </c>
      <c r="Q1629" s="17">
        <f>O1629*P1629</f>
        <v>720000</v>
      </c>
      <c r="R1629" s="16">
        <f>'Financial Inputs'!$B$7</f>
        <v>0.35</v>
      </c>
      <c r="S1629" s="17">
        <f>Q1629*(1-R1629)</f>
        <v>468000</v>
      </c>
      <c r="T1629" s="18">
        <f>S1629/'Financial Inputs'!$B$3</f>
        <v>4.6800000000000001E-3</v>
      </c>
      <c r="U1629" s="9" t="s">
        <v>52</v>
      </c>
      <c r="V1629" s="3" t="s">
        <v>53</v>
      </c>
    </row>
    <row r="1630" spans="1:22">
      <c r="A1630" s="2" t="s">
        <v>5123</v>
      </c>
      <c r="B1630" s="2" t="s">
        <v>5124</v>
      </c>
      <c r="C1630" s="2" t="s">
        <v>5039</v>
      </c>
      <c r="D1630" s="2" t="s">
        <v>95</v>
      </c>
      <c r="E1630" s="2" t="s">
        <v>153</v>
      </c>
      <c r="F1630" s="2" t="s">
        <v>90</v>
      </c>
      <c r="G1630" s="2" t="s">
        <v>75</v>
      </c>
      <c r="H1630" s="2" t="s">
        <v>498</v>
      </c>
      <c r="I1630" s="2" t="s">
        <v>47</v>
      </c>
      <c r="J1630" s="2" t="s">
        <v>3529</v>
      </c>
      <c r="K1630" s="2" t="s">
        <v>5125</v>
      </c>
      <c r="L1630" s="2" t="s">
        <v>208</v>
      </c>
      <c r="M1630" s="2" t="s">
        <v>5041</v>
      </c>
      <c r="N1630" s="16">
        <v>1.9800000000000002E-2</v>
      </c>
      <c r="O1630" s="17">
        <f>N1630*'Financial Inputs'!$B$3</f>
        <v>1980000.0000000002</v>
      </c>
      <c r="P1630" s="18">
        <f>IF(I1630="L",'Financial Inputs'!$B$4,IF(I1630="M",'Financial Inputs'!$B$5,'Financial Inputs'!$B$6))</f>
        <v>0.4</v>
      </c>
      <c r="Q1630" s="17">
        <f>O1630*P1630</f>
        <v>792000.00000000012</v>
      </c>
      <c r="R1630" s="16">
        <f>'Financial Inputs'!$B$7</f>
        <v>0.35</v>
      </c>
      <c r="S1630" s="17">
        <f>Q1630*(1-R1630)</f>
        <v>514800.00000000012</v>
      </c>
      <c r="T1630" s="18">
        <f>S1630/'Financial Inputs'!$B$3</f>
        <v>5.1480000000000015E-3</v>
      </c>
      <c r="U1630" s="9" t="s">
        <v>52</v>
      </c>
      <c r="V1630" s="3" t="s">
        <v>53</v>
      </c>
    </row>
    <row r="1631" spans="1:22">
      <c r="A1631" s="2" t="s">
        <v>5126</v>
      </c>
      <c r="B1631" s="2" t="s">
        <v>5127</v>
      </c>
      <c r="C1631" s="2" t="s">
        <v>5039</v>
      </c>
      <c r="D1631" s="2" t="s">
        <v>102</v>
      </c>
      <c r="E1631" s="2" t="s">
        <v>89</v>
      </c>
      <c r="F1631" s="2" t="s">
        <v>97</v>
      </c>
      <c r="G1631" s="2" t="s">
        <v>83</v>
      </c>
      <c r="H1631" s="2" t="s">
        <v>498</v>
      </c>
      <c r="I1631" s="2" t="s">
        <v>47</v>
      </c>
      <c r="J1631" s="2" t="s">
        <v>3529</v>
      </c>
      <c r="K1631" s="2" t="s">
        <v>5128</v>
      </c>
      <c r="L1631" s="2" t="s">
        <v>212</v>
      </c>
      <c r="M1631" s="2" t="s">
        <v>5041</v>
      </c>
      <c r="N1631" s="16">
        <v>2.1600000000000001E-2</v>
      </c>
      <c r="O1631" s="17">
        <f>N1631*'Financial Inputs'!$B$3</f>
        <v>2160000</v>
      </c>
      <c r="P1631" s="18">
        <f>IF(I1631="L",'Financial Inputs'!$B$4,IF(I1631="M",'Financial Inputs'!$B$5,'Financial Inputs'!$B$6))</f>
        <v>0.4</v>
      </c>
      <c r="Q1631" s="17">
        <f>O1631*P1631</f>
        <v>864000</v>
      </c>
      <c r="R1631" s="16">
        <f>'Financial Inputs'!$B$7</f>
        <v>0.35</v>
      </c>
      <c r="S1631" s="17">
        <f>Q1631*(1-R1631)</f>
        <v>561600</v>
      </c>
      <c r="T1631" s="18">
        <f>S1631/'Financial Inputs'!$B$3</f>
        <v>5.6160000000000003E-3</v>
      </c>
      <c r="U1631" s="9" t="s">
        <v>52</v>
      </c>
      <c r="V1631" s="3" t="s">
        <v>53</v>
      </c>
    </row>
    <row r="1632" spans="1:22">
      <c r="A1632" s="2" t="s">
        <v>5129</v>
      </c>
      <c r="B1632" s="2" t="s">
        <v>5130</v>
      </c>
      <c r="C1632" s="2" t="s">
        <v>5039</v>
      </c>
      <c r="D1632" s="2" t="s">
        <v>64</v>
      </c>
      <c r="E1632" s="2" t="s">
        <v>215</v>
      </c>
      <c r="F1632" s="2" t="s">
        <v>74</v>
      </c>
      <c r="G1632" s="2" t="s">
        <v>67</v>
      </c>
      <c r="H1632" s="2" t="s">
        <v>498</v>
      </c>
      <c r="I1632" s="2" t="s">
        <v>47</v>
      </c>
      <c r="J1632" s="2" t="s">
        <v>3529</v>
      </c>
      <c r="K1632" s="2" t="s">
        <v>5131</v>
      </c>
      <c r="L1632" s="2" t="s">
        <v>217</v>
      </c>
      <c r="M1632" s="2" t="s">
        <v>5041</v>
      </c>
      <c r="N1632" s="16">
        <v>1.44E-2</v>
      </c>
      <c r="O1632" s="17">
        <f>N1632*'Financial Inputs'!$B$3</f>
        <v>1440000</v>
      </c>
      <c r="P1632" s="18">
        <f>IF(I1632="L",'Financial Inputs'!$B$4,IF(I1632="M",'Financial Inputs'!$B$5,'Financial Inputs'!$B$6))</f>
        <v>0.4</v>
      </c>
      <c r="Q1632" s="17">
        <f>O1632*P1632</f>
        <v>576000</v>
      </c>
      <c r="R1632" s="16">
        <f>'Financial Inputs'!$B$7</f>
        <v>0.35</v>
      </c>
      <c r="S1632" s="17">
        <f>Q1632*(1-R1632)</f>
        <v>374400</v>
      </c>
      <c r="T1632" s="18">
        <f>S1632/'Financial Inputs'!$B$3</f>
        <v>3.7439999999999999E-3</v>
      </c>
      <c r="U1632" s="9" t="s">
        <v>52</v>
      </c>
      <c r="V1632" s="3" t="s">
        <v>53</v>
      </c>
    </row>
    <row r="1633" spans="1:22">
      <c r="A1633" s="2" t="s">
        <v>5132</v>
      </c>
      <c r="B1633" s="2" t="s">
        <v>5133</v>
      </c>
      <c r="C1633" s="2" t="s">
        <v>5039</v>
      </c>
      <c r="D1633" s="2" t="s">
        <v>72</v>
      </c>
      <c r="E1633" s="2" t="s">
        <v>220</v>
      </c>
      <c r="F1633" s="2" t="s">
        <v>82</v>
      </c>
      <c r="G1633" s="2" t="s">
        <v>75</v>
      </c>
      <c r="H1633" s="2" t="s">
        <v>498</v>
      </c>
      <c r="I1633" s="2" t="s">
        <v>47</v>
      </c>
      <c r="J1633" s="2" t="s">
        <v>3529</v>
      </c>
      <c r="K1633" s="2" t="s">
        <v>5134</v>
      </c>
      <c r="L1633" s="2" t="s">
        <v>222</v>
      </c>
      <c r="M1633" s="2" t="s">
        <v>5041</v>
      </c>
      <c r="N1633" s="16">
        <v>1.6199999999999999E-2</v>
      </c>
      <c r="O1633" s="17">
        <f>N1633*'Financial Inputs'!$B$3</f>
        <v>1620000</v>
      </c>
      <c r="P1633" s="18">
        <f>IF(I1633="L",'Financial Inputs'!$B$4,IF(I1633="M",'Financial Inputs'!$B$5,'Financial Inputs'!$B$6))</f>
        <v>0.4</v>
      </c>
      <c r="Q1633" s="17">
        <f>O1633*P1633</f>
        <v>648000</v>
      </c>
      <c r="R1633" s="16">
        <f>'Financial Inputs'!$B$7</f>
        <v>0.35</v>
      </c>
      <c r="S1633" s="17">
        <f>Q1633*(1-R1633)</f>
        <v>421200</v>
      </c>
      <c r="T1633" s="18">
        <f>S1633/'Financial Inputs'!$B$3</f>
        <v>4.2119999999999996E-3</v>
      </c>
      <c r="U1633" s="9" t="s">
        <v>52</v>
      </c>
      <c r="V1633" s="3" t="s">
        <v>53</v>
      </c>
    </row>
    <row r="1634" spans="1:22">
      <c r="A1634" s="2" t="s">
        <v>5135</v>
      </c>
      <c r="B1634" s="2" t="s">
        <v>5136</v>
      </c>
      <c r="C1634" s="2" t="s">
        <v>5039</v>
      </c>
      <c r="D1634" s="2" t="s">
        <v>80</v>
      </c>
      <c r="E1634" s="2" t="s">
        <v>171</v>
      </c>
      <c r="F1634" s="2" t="s">
        <v>44</v>
      </c>
      <c r="G1634" s="2" t="s">
        <v>83</v>
      </c>
      <c r="H1634" s="2" t="s">
        <v>498</v>
      </c>
      <c r="I1634" s="2" t="s">
        <v>47</v>
      </c>
      <c r="J1634" s="2" t="s">
        <v>3529</v>
      </c>
      <c r="K1634" s="2" t="s">
        <v>5137</v>
      </c>
      <c r="L1634" s="2" t="s">
        <v>226</v>
      </c>
      <c r="M1634" s="2" t="s">
        <v>5041</v>
      </c>
      <c r="N1634" s="16">
        <v>1.7999999999999999E-2</v>
      </c>
      <c r="O1634" s="17">
        <f>N1634*'Financial Inputs'!$B$3</f>
        <v>1799999.9999999998</v>
      </c>
      <c r="P1634" s="18">
        <f>IF(I1634="L",'Financial Inputs'!$B$4,IF(I1634="M",'Financial Inputs'!$B$5,'Financial Inputs'!$B$6))</f>
        <v>0.4</v>
      </c>
      <c r="Q1634" s="17">
        <f>O1634*P1634</f>
        <v>720000</v>
      </c>
      <c r="R1634" s="16">
        <f>'Financial Inputs'!$B$7</f>
        <v>0.35</v>
      </c>
      <c r="S1634" s="17">
        <f>Q1634*(1-R1634)</f>
        <v>468000</v>
      </c>
      <c r="T1634" s="18">
        <f>S1634/'Financial Inputs'!$B$3</f>
        <v>4.6800000000000001E-3</v>
      </c>
      <c r="U1634" s="9" t="s">
        <v>52</v>
      </c>
      <c r="V1634" s="3" t="s">
        <v>53</v>
      </c>
    </row>
    <row r="1635" spans="1:22">
      <c r="A1635" s="2" t="s">
        <v>5138</v>
      </c>
      <c r="B1635" s="2" t="s">
        <v>5139</v>
      </c>
      <c r="C1635" s="2" t="s">
        <v>5039</v>
      </c>
      <c r="D1635" s="2" t="s">
        <v>127</v>
      </c>
      <c r="E1635" s="2" t="s">
        <v>176</v>
      </c>
      <c r="F1635" s="2" t="s">
        <v>58</v>
      </c>
      <c r="G1635" s="2" t="s">
        <v>111</v>
      </c>
      <c r="H1635" s="2" t="s">
        <v>498</v>
      </c>
      <c r="I1635" s="2" t="s">
        <v>47</v>
      </c>
      <c r="J1635" s="2" t="s">
        <v>3529</v>
      </c>
      <c r="K1635" s="2" t="s">
        <v>5140</v>
      </c>
      <c r="L1635" s="2" t="s">
        <v>230</v>
      </c>
      <c r="M1635" s="2" t="s">
        <v>5041</v>
      </c>
      <c r="N1635" s="16">
        <v>1.9800000000000002E-2</v>
      </c>
      <c r="O1635" s="17">
        <f>N1635*'Financial Inputs'!$B$3</f>
        <v>1980000.0000000002</v>
      </c>
      <c r="P1635" s="18">
        <f>IF(I1635="L",'Financial Inputs'!$B$4,IF(I1635="M",'Financial Inputs'!$B$5,'Financial Inputs'!$B$6))</f>
        <v>0.4</v>
      </c>
      <c r="Q1635" s="17">
        <f>O1635*P1635</f>
        <v>792000.00000000012</v>
      </c>
      <c r="R1635" s="16">
        <f>'Financial Inputs'!$B$7</f>
        <v>0.35</v>
      </c>
      <c r="S1635" s="17">
        <f>Q1635*(1-R1635)</f>
        <v>514800.00000000012</v>
      </c>
      <c r="T1635" s="18">
        <f>S1635/'Financial Inputs'!$B$3</f>
        <v>5.1480000000000015E-3</v>
      </c>
      <c r="U1635" s="9" t="s">
        <v>52</v>
      </c>
      <c r="V1635" s="3" t="s">
        <v>53</v>
      </c>
    </row>
    <row r="1636" spans="1:22">
      <c r="A1636" s="2" t="s">
        <v>5141</v>
      </c>
      <c r="B1636" s="2" t="s">
        <v>5142</v>
      </c>
      <c r="C1636" s="2" t="s">
        <v>5039</v>
      </c>
      <c r="D1636" s="2" t="s">
        <v>133</v>
      </c>
      <c r="E1636" s="2" t="s">
        <v>122</v>
      </c>
      <c r="F1636" s="2" t="s">
        <v>66</v>
      </c>
      <c r="G1636" s="2" t="s">
        <v>56</v>
      </c>
      <c r="H1636" s="2" t="s">
        <v>498</v>
      </c>
      <c r="I1636" s="2" t="s">
        <v>47</v>
      </c>
      <c r="J1636" s="2" t="s">
        <v>3529</v>
      </c>
      <c r="K1636" s="2" t="s">
        <v>5143</v>
      </c>
      <c r="L1636" s="2" t="s">
        <v>234</v>
      </c>
      <c r="M1636" s="2" t="s">
        <v>5041</v>
      </c>
      <c r="N1636" s="16">
        <v>2.1600000000000001E-2</v>
      </c>
      <c r="O1636" s="17">
        <f>N1636*'Financial Inputs'!$B$3</f>
        <v>2160000</v>
      </c>
      <c r="P1636" s="18">
        <f>IF(I1636="L",'Financial Inputs'!$B$4,IF(I1636="M",'Financial Inputs'!$B$5,'Financial Inputs'!$B$6))</f>
        <v>0.4</v>
      </c>
      <c r="Q1636" s="17">
        <f>O1636*P1636</f>
        <v>864000</v>
      </c>
      <c r="R1636" s="16">
        <f>'Financial Inputs'!$B$7</f>
        <v>0.35</v>
      </c>
      <c r="S1636" s="17">
        <f>Q1636*(1-R1636)</f>
        <v>561600</v>
      </c>
      <c r="T1636" s="18">
        <f>S1636/'Financial Inputs'!$B$3</f>
        <v>5.6160000000000003E-3</v>
      </c>
      <c r="U1636" s="9" t="s">
        <v>52</v>
      </c>
      <c r="V1636" s="3" t="s">
        <v>53</v>
      </c>
    </row>
    <row r="1637" spans="1:22">
      <c r="A1637" s="2" t="s">
        <v>5144</v>
      </c>
      <c r="B1637" s="2" t="s">
        <v>5145</v>
      </c>
      <c r="C1637" s="2" t="s">
        <v>5039</v>
      </c>
      <c r="D1637" s="2" t="s">
        <v>102</v>
      </c>
      <c r="E1637" s="2" t="s">
        <v>73</v>
      </c>
      <c r="F1637" s="2" t="s">
        <v>110</v>
      </c>
      <c r="G1637" s="2" t="s">
        <v>83</v>
      </c>
      <c r="H1637" s="2" t="s">
        <v>498</v>
      </c>
      <c r="I1637" s="2" t="s">
        <v>47</v>
      </c>
      <c r="J1637" s="2" t="s">
        <v>3529</v>
      </c>
      <c r="K1637" s="2" t="s">
        <v>5146</v>
      </c>
      <c r="L1637" s="2" t="s">
        <v>238</v>
      </c>
      <c r="M1637" s="2" t="s">
        <v>5041</v>
      </c>
      <c r="N1637" s="16">
        <v>1.44E-2</v>
      </c>
      <c r="O1637" s="17">
        <f>N1637*'Financial Inputs'!$B$3</f>
        <v>1440000</v>
      </c>
      <c r="P1637" s="18">
        <f>IF(I1637="L",'Financial Inputs'!$B$4,IF(I1637="M",'Financial Inputs'!$B$5,'Financial Inputs'!$B$6))</f>
        <v>0.4</v>
      </c>
      <c r="Q1637" s="17">
        <f>O1637*P1637</f>
        <v>576000</v>
      </c>
      <c r="R1637" s="16">
        <f>'Financial Inputs'!$B$7</f>
        <v>0.35</v>
      </c>
      <c r="S1637" s="17">
        <f>Q1637*(1-R1637)</f>
        <v>374400</v>
      </c>
      <c r="T1637" s="18">
        <f>S1637/'Financial Inputs'!$B$3</f>
        <v>3.7439999999999999E-3</v>
      </c>
      <c r="U1637" s="9" t="s">
        <v>52</v>
      </c>
      <c r="V1637" s="3" t="s">
        <v>53</v>
      </c>
    </row>
    <row r="1638" spans="1:22">
      <c r="A1638" s="2" t="s">
        <v>5147</v>
      </c>
      <c r="B1638" s="2" t="s">
        <v>5148</v>
      </c>
      <c r="C1638" s="2" t="s">
        <v>5039</v>
      </c>
      <c r="D1638" s="2" t="s">
        <v>42</v>
      </c>
      <c r="E1638" s="2" t="s">
        <v>81</v>
      </c>
      <c r="F1638" s="2" t="s">
        <v>117</v>
      </c>
      <c r="G1638" s="2" t="s">
        <v>111</v>
      </c>
      <c r="H1638" s="2" t="s">
        <v>498</v>
      </c>
      <c r="I1638" s="2" t="s">
        <v>47</v>
      </c>
      <c r="J1638" s="2" t="s">
        <v>3529</v>
      </c>
      <c r="K1638" s="2" t="s">
        <v>5149</v>
      </c>
      <c r="L1638" s="2" t="s">
        <v>242</v>
      </c>
      <c r="M1638" s="2" t="s">
        <v>5041</v>
      </c>
      <c r="N1638" s="16">
        <v>1.6199999999999999E-2</v>
      </c>
      <c r="O1638" s="17">
        <f>N1638*'Financial Inputs'!$B$3</f>
        <v>1620000</v>
      </c>
      <c r="P1638" s="18">
        <f>IF(I1638="L",'Financial Inputs'!$B$4,IF(I1638="M",'Financial Inputs'!$B$5,'Financial Inputs'!$B$6))</f>
        <v>0.4</v>
      </c>
      <c r="Q1638" s="17">
        <f>O1638*P1638</f>
        <v>648000</v>
      </c>
      <c r="R1638" s="16">
        <f>'Financial Inputs'!$B$7</f>
        <v>0.35</v>
      </c>
      <c r="S1638" s="17">
        <f>Q1638*(1-R1638)</f>
        <v>421200</v>
      </c>
      <c r="T1638" s="18">
        <f>S1638/'Financial Inputs'!$B$3</f>
        <v>4.2119999999999996E-3</v>
      </c>
      <c r="U1638" s="9" t="s">
        <v>52</v>
      </c>
      <c r="V1638" s="3" t="s">
        <v>53</v>
      </c>
    </row>
    <row r="1639" spans="1:22">
      <c r="A1639" s="2" t="s">
        <v>5150</v>
      </c>
      <c r="B1639" s="2" t="s">
        <v>5151</v>
      </c>
      <c r="C1639" s="2" t="s">
        <v>5039</v>
      </c>
      <c r="D1639" s="2" t="s">
        <v>56</v>
      </c>
      <c r="E1639" s="2" t="s">
        <v>193</v>
      </c>
      <c r="F1639" s="2" t="s">
        <v>90</v>
      </c>
      <c r="G1639" s="2" t="s">
        <v>56</v>
      </c>
      <c r="H1639" s="2" t="s">
        <v>498</v>
      </c>
      <c r="I1639" s="2" t="s">
        <v>47</v>
      </c>
      <c r="J1639" s="2" t="s">
        <v>3529</v>
      </c>
      <c r="K1639" s="2" t="s">
        <v>5152</v>
      </c>
      <c r="L1639" s="2" t="s">
        <v>246</v>
      </c>
      <c r="M1639" s="2" t="s">
        <v>5041</v>
      </c>
      <c r="N1639" s="16">
        <v>1.7999999999999999E-2</v>
      </c>
      <c r="O1639" s="17">
        <f>N1639*'Financial Inputs'!$B$3</f>
        <v>1799999.9999999998</v>
      </c>
      <c r="P1639" s="18">
        <f>IF(I1639="L",'Financial Inputs'!$B$4,IF(I1639="M",'Financial Inputs'!$B$5,'Financial Inputs'!$B$6))</f>
        <v>0.4</v>
      </c>
      <c r="Q1639" s="17">
        <f>O1639*P1639</f>
        <v>720000</v>
      </c>
      <c r="R1639" s="16">
        <f>'Financial Inputs'!$B$7</f>
        <v>0.35</v>
      </c>
      <c r="S1639" s="17">
        <f>Q1639*(1-R1639)</f>
        <v>468000</v>
      </c>
      <c r="T1639" s="18">
        <f>S1639/'Financial Inputs'!$B$3</f>
        <v>4.6800000000000001E-3</v>
      </c>
      <c r="U1639" s="9" t="s">
        <v>52</v>
      </c>
      <c r="V1639" s="3" t="s">
        <v>53</v>
      </c>
    </row>
    <row r="1640" spans="1:22">
      <c r="A1640" s="2" t="s">
        <v>5153</v>
      </c>
      <c r="B1640" s="2" t="s">
        <v>5154</v>
      </c>
      <c r="C1640" s="2" t="s">
        <v>5039</v>
      </c>
      <c r="D1640" s="2" t="s">
        <v>64</v>
      </c>
      <c r="E1640" s="2" t="s">
        <v>198</v>
      </c>
      <c r="F1640" s="2" t="s">
        <v>97</v>
      </c>
      <c r="G1640" s="2" t="s">
        <v>138</v>
      </c>
      <c r="H1640" s="2" t="s">
        <v>498</v>
      </c>
      <c r="I1640" s="2" t="s">
        <v>47</v>
      </c>
      <c r="J1640" s="2" t="s">
        <v>3529</v>
      </c>
      <c r="K1640" s="2" t="s">
        <v>5155</v>
      </c>
      <c r="L1640" s="2" t="s">
        <v>250</v>
      </c>
      <c r="M1640" s="2" t="s">
        <v>5041</v>
      </c>
      <c r="N1640" s="16">
        <v>1.9800000000000002E-2</v>
      </c>
      <c r="O1640" s="17">
        <f>N1640*'Financial Inputs'!$B$3</f>
        <v>1980000.0000000002</v>
      </c>
      <c r="P1640" s="18">
        <f>IF(I1640="L",'Financial Inputs'!$B$4,IF(I1640="M",'Financial Inputs'!$B$5,'Financial Inputs'!$B$6))</f>
        <v>0.4</v>
      </c>
      <c r="Q1640" s="17">
        <f>O1640*P1640</f>
        <v>792000.00000000012</v>
      </c>
      <c r="R1640" s="16">
        <f>'Financial Inputs'!$B$7</f>
        <v>0.35</v>
      </c>
      <c r="S1640" s="17">
        <f>Q1640*(1-R1640)</f>
        <v>514800.00000000012</v>
      </c>
      <c r="T1640" s="18">
        <f>S1640/'Financial Inputs'!$B$3</f>
        <v>5.1480000000000015E-3</v>
      </c>
      <c r="U1640" s="9" t="s">
        <v>52</v>
      </c>
      <c r="V1640" s="3" t="s">
        <v>53</v>
      </c>
    </row>
    <row r="1641" spans="1:22">
      <c r="A1641" s="2" t="s">
        <v>5156</v>
      </c>
      <c r="B1641" s="2" t="s">
        <v>5157</v>
      </c>
      <c r="C1641" s="2" t="s">
        <v>5039</v>
      </c>
      <c r="D1641" s="2" t="s">
        <v>72</v>
      </c>
      <c r="E1641" s="2" t="s">
        <v>148</v>
      </c>
      <c r="F1641" s="2" t="s">
        <v>104</v>
      </c>
      <c r="G1641" s="2" t="s">
        <v>143</v>
      </c>
      <c r="H1641" s="2" t="s">
        <v>498</v>
      </c>
      <c r="I1641" s="2" t="s">
        <v>47</v>
      </c>
      <c r="J1641" s="2" t="s">
        <v>3529</v>
      </c>
      <c r="K1641" s="2" t="s">
        <v>5158</v>
      </c>
      <c r="L1641" s="2" t="s">
        <v>254</v>
      </c>
      <c r="M1641" s="2" t="s">
        <v>5041</v>
      </c>
      <c r="N1641" s="16">
        <v>2.1600000000000001E-2</v>
      </c>
      <c r="O1641" s="17">
        <f>N1641*'Financial Inputs'!$B$3</f>
        <v>2160000</v>
      </c>
      <c r="P1641" s="18">
        <f>IF(I1641="L",'Financial Inputs'!$B$4,IF(I1641="M",'Financial Inputs'!$B$5,'Financial Inputs'!$B$6))</f>
        <v>0.4</v>
      </c>
      <c r="Q1641" s="17">
        <f>O1641*P1641</f>
        <v>864000</v>
      </c>
      <c r="R1641" s="16">
        <f>'Financial Inputs'!$B$7</f>
        <v>0.35</v>
      </c>
      <c r="S1641" s="17">
        <f>Q1641*(1-R1641)</f>
        <v>561600</v>
      </c>
      <c r="T1641" s="18">
        <f>S1641/'Financial Inputs'!$B$3</f>
        <v>5.6160000000000003E-3</v>
      </c>
      <c r="U1641" s="9" t="s">
        <v>52</v>
      </c>
      <c r="V1641" s="3" t="s">
        <v>53</v>
      </c>
    </row>
    <row r="1642" spans="1:22">
      <c r="A1642" s="2" t="s">
        <v>5159</v>
      </c>
      <c r="B1642" s="2" t="s">
        <v>5160</v>
      </c>
      <c r="C1642" s="2" t="s">
        <v>5039</v>
      </c>
      <c r="D1642" s="2" t="s">
        <v>133</v>
      </c>
      <c r="E1642" s="2" t="s">
        <v>109</v>
      </c>
      <c r="F1642" s="2" t="s">
        <v>82</v>
      </c>
      <c r="G1642" s="2" t="s">
        <v>56</v>
      </c>
      <c r="H1642" s="2" t="s">
        <v>498</v>
      </c>
      <c r="I1642" s="2" t="s">
        <v>47</v>
      </c>
      <c r="J1642" s="2" t="s">
        <v>3529</v>
      </c>
      <c r="K1642" s="2" t="s">
        <v>5161</v>
      </c>
      <c r="L1642" s="2" t="s">
        <v>258</v>
      </c>
      <c r="M1642" s="2" t="s">
        <v>5041</v>
      </c>
      <c r="N1642" s="16">
        <v>1.44E-2</v>
      </c>
      <c r="O1642" s="17">
        <f>N1642*'Financial Inputs'!$B$3</f>
        <v>1440000</v>
      </c>
      <c r="P1642" s="18">
        <f>IF(I1642="L",'Financial Inputs'!$B$4,IF(I1642="M",'Financial Inputs'!$B$5,'Financial Inputs'!$B$6))</f>
        <v>0.4</v>
      </c>
      <c r="Q1642" s="17">
        <f>O1642*P1642</f>
        <v>576000</v>
      </c>
      <c r="R1642" s="16">
        <f>'Financial Inputs'!$B$7</f>
        <v>0.35</v>
      </c>
      <c r="S1642" s="17">
        <f>Q1642*(1-R1642)</f>
        <v>374400</v>
      </c>
      <c r="T1642" s="18">
        <f>S1642/'Financial Inputs'!$B$3</f>
        <v>3.7439999999999999E-3</v>
      </c>
      <c r="U1642" s="9" t="s">
        <v>52</v>
      </c>
      <c r="V1642" s="3" t="s">
        <v>53</v>
      </c>
    </row>
    <row r="1643" spans="1:22">
      <c r="A1643" s="2" t="s">
        <v>5162</v>
      </c>
      <c r="B1643" s="2" t="s">
        <v>5163</v>
      </c>
      <c r="C1643" s="2" t="s">
        <v>5039</v>
      </c>
      <c r="D1643" s="2" t="s">
        <v>88</v>
      </c>
      <c r="E1643" s="2" t="s">
        <v>116</v>
      </c>
      <c r="F1643" s="2" t="s">
        <v>44</v>
      </c>
      <c r="G1643" s="2" t="s">
        <v>138</v>
      </c>
      <c r="H1643" s="2" t="s">
        <v>498</v>
      </c>
      <c r="I1643" s="2" t="s">
        <v>47</v>
      </c>
      <c r="J1643" s="2" t="s">
        <v>3529</v>
      </c>
      <c r="K1643" s="2" t="s">
        <v>5164</v>
      </c>
      <c r="L1643" s="2" t="s">
        <v>262</v>
      </c>
      <c r="M1643" s="2" t="s">
        <v>5041</v>
      </c>
      <c r="N1643" s="16">
        <v>1.6199999999999999E-2</v>
      </c>
      <c r="O1643" s="17">
        <f>N1643*'Financial Inputs'!$B$3</f>
        <v>1620000</v>
      </c>
      <c r="P1643" s="18">
        <f>IF(I1643="L",'Financial Inputs'!$B$4,IF(I1643="M",'Financial Inputs'!$B$5,'Financial Inputs'!$B$6))</f>
        <v>0.4</v>
      </c>
      <c r="Q1643" s="17">
        <f>O1643*P1643</f>
        <v>648000</v>
      </c>
      <c r="R1643" s="16">
        <f>'Financial Inputs'!$B$7</f>
        <v>0.35</v>
      </c>
      <c r="S1643" s="17">
        <f>Q1643*(1-R1643)</f>
        <v>421200</v>
      </c>
      <c r="T1643" s="18">
        <f>S1643/'Financial Inputs'!$B$3</f>
        <v>4.2119999999999996E-3</v>
      </c>
      <c r="U1643" s="9" t="s">
        <v>52</v>
      </c>
      <c r="V1643" s="3" t="s">
        <v>53</v>
      </c>
    </row>
    <row r="1644" spans="1:22">
      <c r="A1644" s="2" t="s">
        <v>5165</v>
      </c>
      <c r="B1644" s="2" t="s">
        <v>5166</v>
      </c>
      <c r="C1644" s="2" t="s">
        <v>5039</v>
      </c>
      <c r="D1644" s="2" t="s">
        <v>95</v>
      </c>
      <c r="E1644" s="2" t="s">
        <v>215</v>
      </c>
      <c r="F1644" s="2" t="s">
        <v>58</v>
      </c>
      <c r="G1644" s="2" t="s">
        <v>143</v>
      </c>
      <c r="H1644" s="2" t="s">
        <v>498</v>
      </c>
      <c r="I1644" s="2" t="s">
        <v>47</v>
      </c>
      <c r="J1644" s="2" t="s">
        <v>3529</v>
      </c>
      <c r="K1644" s="2" t="s">
        <v>5167</v>
      </c>
      <c r="L1644" s="2" t="s">
        <v>266</v>
      </c>
      <c r="M1644" s="2" t="s">
        <v>5041</v>
      </c>
      <c r="N1644" s="16">
        <v>1.7999999999999999E-2</v>
      </c>
      <c r="O1644" s="17">
        <f>N1644*'Financial Inputs'!$B$3</f>
        <v>1799999.9999999998</v>
      </c>
      <c r="P1644" s="18">
        <f>IF(I1644="L",'Financial Inputs'!$B$4,IF(I1644="M",'Financial Inputs'!$B$5,'Financial Inputs'!$B$6))</f>
        <v>0.4</v>
      </c>
      <c r="Q1644" s="17">
        <f>O1644*P1644</f>
        <v>720000</v>
      </c>
      <c r="R1644" s="16">
        <f>'Financial Inputs'!$B$7</f>
        <v>0.35</v>
      </c>
      <c r="S1644" s="17">
        <f>Q1644*(1-R1644)</f>
        <v>468000</v>
      </c>
      <c r="T1644" s="18">
        <f>S1644/'Financial Inputs'!$B$3</f>
        <v>4.6800000000000001E-3</v>
      </c>
      <c r="U1644" s="9" t="s">
        <v>52</v>
      </c>
      <c r="V1644" s="3" t="s">
        <v>53</v>
      </c>
    </row>
    <row r="1645" spans="1:22">
      <c r="A1645" s="2" t="s">
        <v>5168</v>
      </c>
      <c r="B1645" s="2" t="s">
        <v>5169</v>
      </c>
      <c r="C1645" s="2" t="s">
        <v>5039</v>
      </c>
      <c r="D1645" s="2" t="s">
        <v>102</v>
      </c>
      <c r="E1645" s="2" t="s">
        <v>220</v>
      </c>
      <c r="F1645" s="2" t="s">
        <v>66</v>
      </c>
      <c r="G1645" s="2" t="s">
        <v>162</v>
      </c>
      <c r="H1645" s="2" t="s">
        <v>498</v>
      </c>
      <c r="I1645" s="2" t="s">
        <v>47</v>
      </c>
      <c r="J1645" s="2" t="s">
        <v>3529</v>
      </c>
      <c r="K1645" s="2" t="s">
        <v>5170</v>
      </c>
      <c r="L1645" s="2" t="s">
        <v>270</v>
      </c>
      <c r="M1645" s="2" t="s">
        <v>5041</v>
      </c>
      <c r="N1645" s="16">
        <v>1.9800000000000002E-2</v>
      </c>
      <c r="O1645" s="17">
        <f>N1645*'Financial Inputs'!$B$3</f>
        <v>1980000.0000000002</v>
      </c>
      <c r="P1645" s="18">
        <f>IF(I1645="L",'Financial Inputs'!$B$4,IF(I1645="M",'Financial Inputs'!$B$5,'Financial Inputs'!$B$6))</f>
        <v>0.4</v>
      </c>
      <c r="Q1645" s="17">
        <f>O1645*P1645</f>
        <v>792000.00000000012</v>
      </c>
      <c r="R1645" s="16">
        <f>'Financial Inputs'!$B$7</f>
        <v>0.35</v>
      </c>
      <c r="S1645" s="17">
        <f>Q1645*(1-R1645)</f>
        <v>514800.00000000012</v>
      </c>
      <c r="T1645" s="18">
        <f>S1645/'Financial Inputs'!$B$3</f>
        <v>5.1480000000000015E-3</v>
      </c>
      <c r="U1645" s="9" t="s">
        <v>52</v>
      </c>
      <c r="V1645" s="3" t="s">
        <v>53</v>
      </c>
    </row>
    <row r="1646" spans="1:22">
      <c r="A1646" s="2" t="s">
        <v>5171</v>
      </c>
      <c r="B1646" s="2" t="s">
        <v>5172</v>
      </c>
      <c r="C1646" s="2" t="s">
        <v>5039</v>
      </c>
      <c r="D1646" s="2" t="s">
        <v>42</v>
      </c>
      <c r="E1646" s="2" t="s">
        <v>171</v>
      </c>
      <c r="F1646" s="2" t="s">
        <v>74</v>
      </c>
      <c r="G1646" s="2" t="s">
        <v>45</v>
      </c>
      <c r="H1646" s="2" t="s">
        <v>498</v>
      </c>
      <c r="I1646" s="2" t="s">
        <v>47</v>
      </c>
      <c r="J1646" s="2" t="s">
        <v>3529</v>
      </c>
      <c r="K1646" s="2" t="s">
        <v>5173</v>
      </c>
      <c r="L1646" s="2" t="s">
        <v>274</v>
      </c>
      <c r="M1646" s="2" t="s">
        <v>5041</v>
      </c>
      <c r="N1646" s="16">
        <v>2.1600000000000001E-2</v>
      </c>
      <c r="O1646" s="17">
        <f>N1646*'Financial Inputs'!$B$3</f>
        <v>2160000</v>
      </c>
      <c r="P1646" s="18">
        <f>IF(I1646="L",'Financial Inputs'!$B$4,IF(I1646="M",'Financial Inputs'!$B$5,'Financial Inputs'!$B$6))</f>
        <v>0.4</v>
      </c>
      <c r="Q1646" s="17">
        <f>O1646*P1646</f>
        <v>864000</v>
      </c>
      <c r="R1646" s="16">
        <f>'Financial Inputs'!$B$7</f>
        <v>0.35</v>
      </c>
      <c r="S1646" s="17">
        <f>Q1646*(1-R1646)</f>
        <v>561600</v>
      </c>
      <c r="T1646" s="18">
        <f>S1646/'Financial Inputs'!$B$3</f>
        <v>5.6160000000000003E-3</v>
      </c>
      <c r="U1646" s="9" t="s">
        <v>52</v>
      </c>
      <c r="V1646" s="3" t="s">
        <v>53</v>
      </c>
    </row>
    <row r="1647" spans="1:22">
      <c r="A1647" s="2" t="s">
        <v>5174</v>
      </c>
      <c r="B1647" s="2" t="s">
        <v>5175</v>
      </c>
      <c r="C1647" s="2" t="s">
        <v>5039</v>
      </c>
      <c r="D1647" s="2" t="s">
        <v>72</v>
      </c>
      <c r="E1647" s="2" t="s">
        <v>57</v>
      </c>
      <c r="F1647" s="2" t="s">
        <v>117</v>
      </c>
      <c r="G1647" s="2" t="s">
        <v>143</v>
      </c>
      <c r="H1647" s="2" t="s">
        <v>498</v>
      </c>
      <c r="I1647" s="2" t="s">
        <v>47</v>
      </c>
      <c r="J1647" s="2" t="s">
        <v>3529</v>
      </c>
      <c r="K1647" s="2" t="s">
        <v>5176</v>
      </c>
      <c r="L1647" s="2" t="s">
        <v>278</v>
      </c>
      <c r="M1647" s="2" t="s">
        <v>5041</v>
      </c>
      <c r="N1647" s="16">
        <v>1.44E-2</v>
      </c>
      <c r="O1647" s="17">
        <f>N1647*'Financial Inputs'!$B$3</f>
        <v>1440000</v>
      </c>
      <c r="P1647" s="18">
        <f>IF(I1647="L",'Financial Inputs'!$B$4,IF(I1647="M",'Financial Inputs'!$B$5,'Financial Inputs'!$B$6))</f>
        <v>0.4</v>
      </c>
      <c r="Q1647" s="17">
        <f>O1647*P1647</f>
        <v>576000</v>
      </c>
      <c r="R1647" s="16">
        <f>'Financial Inputs'!$B$7</f>
        <v>0.35</v>
      </c>
      <c r="S1647" s="17">
        <f>Q1647*(1-R1647)</f>
        <v>374400</v>
      </c>
      <c r="T1647" s="18">
        <f>S1647/'Financial Inputs'!$B$3</f>
        <v>3.7439999999999999E-3</v>
      </c>
      <c r="U1647" s="9" t="s">
        <v>52</v>
      </c>
      <c r="V1647" s="3" t="s">
        <v>53</v>
      </c>
    </row>
    <row r="1648" spans="1:22">
      <c r="A1648" s="2" t="s">
        <v>5177</v>
      </c>
      <c r="B1648" s="2" t="s">
        <v>5178</v>
      </c>
      <c r="C1648" s="2" t="s">
        <v>5039</v>
      </c>
      <c r="D1648" s="2" t="s">
        <v>80</v>
      </c>
      <c r="E1648" s="2" t="s">
        <v>65</v>
      </c>
      <c r="F1648" s="2" t="s">
        <v>90</v>
      </c>
      <c r="G1648" s="2" t="s">
        <v>162</v>
      </c>
      <c r="H1648" s="2" t="s">
        <v>498</v>
      </c>
      <c r="I1648" s="2" t="s">
        <v>47</v>
      </c>
      <c r="J1648" s="2" t="s">
        <v>3529</v>
      </c>
      <c r="K1648" s="2" t="s">
        <v>5179</v>
      </c>
      <c r="L1648" s="2" t="s">
        <v>282</v>
      </c>
      <c r="M1648" s="2" t="s">
        <v>5041</v>
      </c>
      <c r="N1648" s="16">
        <v>1.6199999999999999E-2</v>
      </c>
      <c r="O1648" s="17">
        <f>N1648*'Financial Inputs'!$B$3</f>
        <v>1620000</v>
      </c>
      <c r="P1648" s="18">
        <f>IF(I1648="L",'Financial Inputs'!$B$4,IF(I1648="M",'Financial Inputs'!$B$5,'Financial Inputs'!$B$6))</f>
        <v>0.4</v>
      </c>
      <c r="Q1648" s="17">
        <f>O1648*P1648</f>
        <v>648000</v>
      </c>
      <c r="R1648" s="16">
        <f>'Financial Inputs'!$B$7</f>
        <v>0.35</v>
      </c>
      <c r="S1648" s="17">
        <f>Q1648*(1-R1648)</f>
        <v>421200</v>
      </c>
      <c r="T1648" s="18">
        <f>S1648/'Financial Inputs'!$B$3</f>
        <v>4.2119999999999996E-3</v>
      </c>
      <c r="U1648" s="9" t="s">
        <v>52</v>
      </c>
      <c r="V1648" s="3" t="s">
        <v>53</v>
      </c>
    </row>
    <row r="1649" spans="1:22">
      <c r="A1649" s="2" t="s">
        <v>5180</v>
      </c>
      <c r="B1649" s="2" t="s">
        <v>5181</v>
      </c>
      <c r="C1649" s="2" t="s">
        <v>5039</v>
      </c>
      <c r="D1649" s="2" t="s">
        <v>127</v>
      </c>
      <c r="E1649" s="2" t="s">
        <v>73</v>
      </c>
      <c r="F1649" s="2" t="s">
        <v>97</v>
      </c>
      <c r="G1649" s="2" t="s">
        <v>45</v>
      </c>
      <c r="H1649" s="2" t="s">
        <v>498</v>
      </c>
      <c r="I1649" s="2" t="s">
        <v>47</v>
      </c>
      <c r="J1649" s="2" t="s">
        <v>3529</v>
      </c>
      <c r="K1649" s="2" t="s">
        <v>5182</v>
      </c>
      <c r="L1649" s="2" t="s">
        <v>286</v>
      </c>
      <c r="M1649" s="2" t="s">
        <v>5041</v>
      </c>
      <c r="N1649" s="16">
        <v>1.7999999999999999E-2</v>
      </c>
      <c r="O1649" s="17">
        <f>N1649*'Financial Inputs'!$B$3</f>
        <v>1799999.9999999998</v>
      </c>
      <c r="P1649" s="18">
        <f>IF(I1649="L",'Financial Inputs'!$B$4,IF(I1649="M",'Financial Inputs'!$B$5,'Financial Inputs'!$B$6))</f>
        <v>0.4</v>
      </c>
      <c r="Q1649" s="17">
        <f>O1649*P1649</f>
        <v>720000</v>
      </c>
      <c r="R1649" s="16">
        <f>'Financial Inputs'!$B$7</f>
        <v>0.35</v>
      </c>
      <c r="S1649" s="17">
        <f>Q1649*(1-R1649)</f>
        <v>468000</v>
      </c>
      <c r="T1649" s="18">
        <f>S1649/'Financial Inputs'!$B$3</f>
        <v>4.6800000000000001E-3</v>
      </c>
      <c r="U1649" s="9" t="s">
        <v>52</v>
      </c>
      <c r="V1649" s="3" t="s">
        <v>53</v>
      </c>
    </row>
    <row r="1650" spans="1:22">
      <c r="A1650" s="2" t="s">
        <v>5183</v>
      </c>
      <c r="B1650" s="2" t="s">
        <v>5184</v>
      </c>
      <c r="C1650" s="2" t="s">
        <v>5039</v>
      </c>
      <c r="D1650" s="2" t="s">
        <v>133</v>
      </c>
      <c r="E1650" s="2" t="s">
        <v>81</v>
      </c>
      <c r="F1650" s="2" t="s">
        <v>104</v>
      </c>
      <c r="G1650" s="2" t="s">
        <v>59</v>
      </c>
      <c r="H1650" s="2" t="s">
        <v>498</v>
      </c>
      <c r="I1650" s="2" t="s">
        <v>47</v>
      </c>
      <c r="J1650" s="2" t="s">
        <v>3529</v>
      </c>
      <c r="K1650" s="2" t="s">
        <v>5185</v>
      </c>
      <c r="L1650" s="2" t="s">
        <v>290</v>
      </c>
      <c r="M1650" s="2" t="s">
        <v>5041</v>
      </c>
      <c r="N1650" s="16">
        <v>1.9800000000000002E-2</v>
      </c>
      <c r="O1650" s="17">
        <f>N1650*'Financial Inputs'!$B$3</f>
        <v>1980000.0000000002</v>
      </c>
      <c r="P1650" s="18">
        <f>IF(I1650="L",'Financial Inputs'!$B$4,IF(I1650="M",'Financial Inputs'!$B$5,'Financial Inputs'!$B$6))</f>
        <v>0.4</v>
      </c>
      <c r="Q1650" s="17">
        <f>O1650*P1650</f>
        <v>792000.00000000012</v>
      </c>
      <c r="R1650" s="16">
        <f>'Financial Inputs'!$B$7</f>
        <v>0.35</v>
      </c>
      <c r="S1650" s="17">
        <f>Q1650*(1-R1650)</f>
        <v>514800.00000000012</v>
      </c>
      <c r="T1650" s="18">
        <f>S1650/'Financial Inputs'!$B$3</f>
        <v>5.1480000000000015E-3</v>
      </c>
      <c r="U1650" s="9" t="s">
        <v>52</v>
      </c>
      <c r="V1650" s="3" t="s">
        <v>53</v>
      </c>
    </row>
    <row r="1651" spans="1:22">
      <c r="A1651" s="2" t="s">
        <v>5186</v>
      </c>
      <c r="B1651" s="2" t="s">
        <v>5187</v>
      </c>
      <c r="C1651" s="2" t="s">
        <v>5039</v>
      </c>
      <c r="D1651" s="2" t="s">
        <v>88</v>
      </c>
      <c r="E1651" s="2" t="s">
        <v>193</v>
      </c>
      <c r="F1651" s="2" t="s">
        <v>110</v>
      </c>
      <c r="G1651" s="2" t="s">
        <v>67</v>
      </c>
      <c r="H1651" s="2" t="s">
        <v>498</v>
      </c>
      <c r="I1651" s="2" t="s">
        <v>47</v>
      </c>
      <c r="J1651" s="2" t="s">
        <v>3529</v>
      </c>
      <c r="K1651" s="2" t="s">
        <v>5188</v>
      </c>
      <c r="L1651" s="2" t="s">
        <v>294</v>
      </c>
      <c r="M1651" s="2" t="s">
        <v>5041</v>
      </c>
      <c r="N1651" s="16">
        <v>2.1600000000000001E-2</v>
      </c>
      <c r="O1651" s="17">
        <f>N1651*'Financial Inputs'!$B$3</f>
        <v>2160000</v>
      </c>
      <c r="P1651" s="18">
        <f>IF(I1651="L",'Financial Inputs'!$B$4,IF(I1651="M",'Financial Inputs'!$B$5,'Financial Inputs'!$B$6))</f>
        <v>0.4</v>
      </c>
      <c r="Q1651" s="17">
        <f>O1651*P1651</f>
        <v>864000</v>
      </c>
      <c r="R1651" s="16">
        <f>'Financial Inputs'!$B$7</f>
        <v>0.35</v>
      </c>
      <c r="S1651" s="17">
        <f>Q1651*(1-R1651)</f>
        <v>561600</v>
      </c>
      <c r="T1651" s="18">
        <f>S1651/'Financial Inputs'!$B$3</f>
        <v>5.6160000000000003E-3</v>
      </c>
      <c r="U1651" s="9" t="s">
        <v>52</v>
      </c>
      <c r="V1651" s="3" t="s">
        <v>53</v>
      </c>
    </row>
    <row r="1652" spans="1:22">
      <c r="A1652" s="2" t="s">
        <v>5189</v>
      </c>
      <c r="B1652" s="2" t="s">
        <v>5190</v>
      </c>
      <c r="C1652" s="2" t="s">
        <v>5039</v>
      </c>
      <c r="D1652" s="2" t="s">
        <v>42</v>
      </c>
      <c r="E1652" s="2" t="s">
        <v>96</v>
      </c>
      <c r="F1652" s="2" t="s">
        <v>44</v>
      </c>
      <c r="G1652" s="2" t="s">
        <v>45</v>
      </c>
      <c r="H1652" s="2" t="s">
        <v>498</v>
      </c>
      <c r="I1652" s="2" t="s">
        <v>47</v>
      </c>
      <c r="J1652" s="2" t="s">
        <v>3529</v>
      </c>
      <c r="K1652" s="2" t="s">
        <v>5191</v>
      </c>
      <c r="L1652" s="2" t="s">
        <v>298</v>
      </c>
      <c r="M1652" s="2" t="s">
        <v>5041</v>
      </c>
      <c r="N1652" s="16">
        <v>1.44E-2</v>
      </c>
      <c r="O1652" s="17">
        <f>N1652*'Financial Inputs'!$B$3</f>
        <v>1440000</v>
      </c>
      <c r="P1652" s="18">
        <f>IF(I1652="L",'Financial Inputs'!$B$4,IF(I1652="M",'Financial Inputs'!$B$5,'Financial Inputs'!$B$6))</f>
        <v>0.4</v>
      </c>
      <c r="Q1652" s="17">
        <f>O1652*P1652</f>
        <v>576000</v>
      </c>
      <c r="R1652" s="16">
        <f>'Financial Inputs'!$B$7</f>
        <v>0.35</v>
      </c>
      <c r="S1652" s="17">
        <f>Q1652*(1-R1652)</f>
        <v>374400</v>
      </c>
      <c r="T1652" s="18">
        <f>S1652/'Financial Inputs'!$B$3</f>
        <v>3.7439999999999999E-3</v>
      </c>
      <c r="U1652" s="9" t="s">
        <v>52</v>
      </c>
      <c r="V1652" s="3" t="s">
        <v>53</v>
      </c>
    </row>
    <row r="1653" spans="1:22">
      <c r="A1653" s="2" t="s">
        <v>5192</v>
      </c>
      <c r="B1653" s="2" t="s">
        <v>5193</v>
      </c>
      <c r="C1653" s="2" t="s">
        <v>5039</v>
      </c>
      <c r="D1653" s="2" t="s">
        <v>56</v>
      </c>
      <c r="E1653" s="2" t="s">
        <v>103</v>
      </c>
      <c r="F1653" s="2" t="s">
        <v>58</v>
      </c>
      <c r="G1653" s="2" t="s">
        <v>59</v>
      </c>
      <c r="H1653" s="2" t="s">
        <v>498</v>
      </c>
      <c r="I1653" s="2" t="s">
        <v>47</v>
      </c>
      <c r="J1653" s="2" t="s">
        <v>3529</v>
      </c>
      <c r="K1653" s="2" t="s">
        <v>5194</v>
      </c>
      <c r="L1653" s="2" t="s">
        <v>302</v>
      </c>
      <c r="M1653" s="2" t="s">
        <v>5041</v>
      </c>
      <c r="N1653" s="16">
        <v>1.6199999999999999E-2</v>
      </c>
      <c r="O1653" s="17">
        <f>N1653*'Financial Inputs'!$B$3</f>
        <v>1620000</v>
      </c>
      <c r="P1653" s="18">
        <f>IF(I1653="L",'Financial Inputs'!$B$4,IF(I1653="M",'Financial Inputs'!$B$5,'Financial Inputs'!$B$6))</f>
        <v>0.4</v>
      </c>
      <c r="Q1653" s="17">
        <f>O1653*P1653</f>
        <v>648000</v>
      </c>
      <c r="R1653" s="16">
        <f>'Financial Inputs'!$B$7</f>
        <v>0.35</v>
      </c>
      <c r="S1653" s="17">
        <f>Q1653*(1-R1653)</f>
        <v>421200</v>
      </c>
      <c r="T1653" s="18">
        <f>S1653/'Financial Inputs'!$B$3</f>
        <v>4.2119999999999996E-3</v>
      </c>
      <c r="U1653" s="9" t="s">
        <v>52</v>
      </c>
      <c r="V1653" s="3" t="s">
        <v>53</v>
      </c>
    </row>
    <row r="1654" spans="1:22">
      <c r="A1654" s="2" t="s">
        <v>5195</v>
      </c>
      <c r="B1654" s="2" t="s">
        <v>5196</v>
      </c>
      <c r="C1654" s="2" t="s">
        <v>5039</v>
      </c>
      <c r="D1654" s="2" t="s">
        <v>64</v>
      </c>
      <c r="E1654" s="2" t="s">
        <v>109</v>
      </c>
      <c r="F1654" s="2" t="s">
        <v>66</v>
      </c>
      <c r="G1654" s="2" t="s">
        <v>67</v>
      </c>
      <c r="H1654" s="2" t="s">
        <v>498</v>
      </c>
      <c r="I1654" s="2" t="s">
        <v>47</v>
      </c>
      <c r="J1654" s="2" t="s">
        <v>3529</v>
      </c>
      <c r="K1654" s="2" t="s">
        <v>5197</v>
      </c>
      <c r="L1654" s="2" t="s">
        <v>306</v>
      </c>
      <c r="M1654" s="2" t="s">
        <v>5041</v>
      </c>
      <c r="N1654" s="16">
        <v>1.7999999999999999E-2</v>
      </c>
      <c r="O1654" s="17">
        <f>N1654*'Financial Inputs'!$B$3</f>
        <v>1799999.9999999998</v>
      </c>
      <c r="P1654" s="18">
        <f>IF(I1654="L",'Financial Inputs'!$B$4,IF(I1654="M",'Financial Inputs'!$B$5,'Financial Inputs'!$B$6))</f>
        <v>0.4</v>
      </c>
      <c r="Q1654" s="17">
        <f>O1654*P1654</f>
        <v>720000</v>
      </c>
      <c r="R1654" s="16">
        <f>'Financial Inputs'!$B$7</f>
        <v>0.35</v>
      </c>
      <c r="S1654" s="17">
        <f>Q1654*(1-R1654)</f>
        <v>468000</v>
      </c>
      <c r="T1654" s="18">
        <f>S1654/'Financial Inputs'!$B$3</f>
        <v>4.6800000000000001E-3</v>
      </c>
      <c r="U1654" s="9" t="s">
        <v>52</v>
      </c>
      <c r="V1654" s="3" t="s">
        <v>53</v>
      </c>
    </row>
    <row r="1655" spans="1:22">
      <c r="A1655" s="2" t="s">
        <v>5198</v>
      </c>
      <c r="B1655" s="2" t="s">
        <v>5199</v>
      </c>
      <c r="C1655" s="2" t="s">
        <v>5039</v>
      </c>
      <c r="D1655" s="2" t="s">
        <v>72</v>
      </c>
      <c r="E1655" s="2" t="s">
        <v>116</v>
      </c>
      <c r="F1655" s="2" t="s">
        <v>74</v>
      </c>
      <c r="G1655" s="2" t="s">
        <v>75</v>
      </c>
      <c r="H1655" s="2" t="s">
        <v>498</v>
      </c>
      <c r="I1655" s="2" t="s">
        <v>47</v>
      </c>
      <c r="J1655" s="2" t="s">
        <v>3529</v>
      </c>
      <c r="K1655" s="2" t="s">
        <v>5200</v>
      </c>
      <c r="L1655" s="2" t="s">
        <v>310</v>
      </c>
      <c r="M1655" s="2" t="s">
        <v>5041</v>
      </c>
      <c r="N1655" s="16">
        <v>1.9800000000000002E-2</v>
      </c>
      <c r="O1655" s="17">
        <f>N1655*'Financial Inputs'!$B$3</f>
        <v>1980000.0000000002</v>
      </c>
      <c r="P1655" s="18">
        <f>IF(I1655="L",'Financial Inputs'!$B$4,IF(I1655="M",'Financial Inputs'!$B$5,'Financial Inputs'!$B$6))</f>
        <v>0.4</v>
      </c>
      <c r="Q1655" s="17">
        <f>O1655*P1655</f>
        <v>792000.00000000012</v>
      </c>
      <c r="R1655" s="16">
        <f>'Financial Inputs'!$B$7</f>
        <v>0.35</v>
      </c>
      <c r="S1655" s="17">
        <f>Q1655*(1-R1655)</f>
        <v>514800.00000000012</v>
      </c>
      <c r="T1655" s="18">
        <f>S1655/'Financial Inputs'!$B$3</f>
        <v>5.1480000000000015E-3</v>
      </c>
      <c r="U1655" s="9" t="s">
        <v>52</v>
      </c>
      <c r="V1655" s="3" t="s">
        <v>53</v>
      </c>
    </row>
    <row r="1656" spans="1:22">
      <c r="A1656" s="2" t="s">
        <v>5201</v>
      </c>
      <c r="B1656" s="2" t="s">
        <v>5202</v>
      </c>
      <c r="C1656" s="2" t="s">
        <v>5039</v>
      </c>
      <c r="D1656" s="2" t="s">
        <v>80</v>
      </c>
      <c r="E1656" s="2" t="s">
        <v>215</v>
      </c>
      <c r="F1656" s="2" t="s">
        <v>82</v>
      </c>
      <c r="G1656" s="2" t="s">
        <v>83</v>
      </c>
      <c r="H1656" s="2" t="s">
        <v>498</v>
      </c>
      <c r="I1656" s="2" t="s">
        <v>47</v>
      </c>
      <c r="J1656" s="2" t="s">
        <v>3529</v>
      </c>
      <c r="K1656" s="2" t="s">
        <v>5203</v>
      </c>
      <c r="L1656" s="2" t="s">
        <v>314</v>
      </c>
      <c r="M1656" s="2" t="s">
        <v>5041</v>
      </c>
      <c r="N1656" s="16">
        <v>2.1600000000000001E-2</v>
      </c>
      <c r="O1656" s="17">
        <f>N1656*'Financial Inputs'!$B$3</f>
        <v>2160000</v>
      </c>
      <c r="P1656" s="18">
        <f>IF(I1656="L",'Financial Inputs'!$B$4,IF(I1656="M",'Financial Inputs'!$B$5,'Financial Inputs'!$B$6))</f>
        <v>0.4</v>
      </c>
      <c r="Q1656" s="17">
        <f>O1656*P1656</f>
        <v>864000</v>
      </c>
      <c r="R1656" s="16">
        <f>'Financial Inputs'!$B$7</f>
        <v>0.35</v>
      </c>
      <c r="S1656" s="17">
        <f>Q1656*(1-R1656)</f>
        <v>561600</v>
      </c>
      <c r="T1656" s="18">
        <f>S1656/'Financial Inputs'!$B$3</f>
        <v>5.6160000000000003E-3</v>
      </c>
      <c r="U1656" s="9" t="s">
        <v>52</v>
      </c>
      <c r="V1656" s="3" t="s">
        <v>53</v>
      </c>
    </row>
    <row r="1657" spans="1:22">
      <c r="A1657" s="2" t="s">
        <v>5204</v>
      </c>
      <c r="B1657" s="2" t="s">
        <v>5205</v>
      </c>
      <c r="C1657" s="2" t="s">
        <v>5039</v>
      </c>
      <c r="D1657" s="2" t="s">
        <v>88</v>
      </c>
      <c r="E1657" s="2" t="s">
        <v>128</v>
      </c>
      <c r="F1657" s="2" t="s">
        <v>90</v>
      </c>
      <c r="G1657" s="2" t="s">
        <v>67</v>
      </c>
      <c r="H1657" s="2" t="s">
        <v>498</v>
      </c>
      <c r="I1657" s="2" t="s">
        <v>47</v>
      </c>
      <c r="J1657" s="2" t="s">
        <v>3529</v>
      </c>
      <c r="K1657" s="2" t="s">
        <v>5206</v>
      </c>
      <c r="L1657" s="2" t="s">
        <v>318</v>
      </c>
      <c r="M1657" s="2" t="s">
        <v>5041</v>
      </c>
      <c r="N1657" s="16">
        <v>1.44E-2</v>
      </c>
      <c r="O1657" s="17">
        <f>N1657*'Financial Inputs'!$B$3</f>
        <v>1440000</v>
      </c>
      <c r="P1657" s="18">
        <f>IF(I1657="L",'Financial Inputs'!$B$4,IF(I1657="M",'Financial Inputs'!$B$5,'Financial Inputs'!$B$6))</f>
        <v>0.4</v>
      </c>
      <c r="Q1657" s="17">
        <f>O1657*P1657</f>
        <v>576000</v>
      </c>
      <c r="R1657" s="16">
        <f>'Financial Inputs'!$B$7</f>
        <v>0.35</v>
      </c>
      <c r="S1657" s="17">
        <f>Q1657*(1-R1657)</f>
        <v>374400</v>
      </c>
      <c r="T1657" s="18">
        <f>S1657/'Financial Inputs'!$B$3</f>
        <v>3.7439999999999999E-3</v>
      </c>
      <c r="U1657" s="9" t="s">
        <v>52</v>
      </c>
      <c r="V1657" s="3" t="s">
        <v>53</v>
      </c>
    </row>
    <row r="1658" spans="1:22">
      <c r="A1658" s="2" t="s">
        <v>5207</v>
      </c>
      <c r="B1658" s="2" t="s">
        <v>5208</v>
      </c>
      <c r="C1658" s="2" t="s">
        <v>5039</v>
      </c>
      <c r="D1658" s="2" t="s">
        <v>95</v>
      </c>
      <c r="E1658" s="2" t="s">
        <v>43</v>
      </c>
      <c r="F1658" s="2" t="s">
        <v>97</v>
      </c>
      <c r="G1658" s="2" t="s">
        <v>75</v>
      </c>
      <c r="H1658" s="2" t="s">
        <v>498</v>
      </c>
      <c r="I1658" s="2" t="s">
        <v>47</v>
      </c>
      <c r="J1658" s="2" t="s">
        <v>3529</v>
      </c>
      <c r="K1658" s="2" t="s">
        <v>5209</v>
      </c>
      <c r="L1658" s="2" t="s">
        <v>322</v>
      </c>
      <c r="M1658" s="2" t="s">
        <v>5041</v>
      </c>
      <c r="N1658" s="16">
        <v>1.6199999999999999E-2</v>
      </c>
      <c r="O1658" s="17">
        <f>N1658*'Financial Inputs'!$B$3</f>
        <v>1620000</v>
      </c>
      <c r="P1658" s="18">
        <f>IF(I1658="L",'Financial Inputs'!$B$4,IF(I1658="M",'Financial Inputs'!$B$5,'Financial Inputs'!$B$6))</f>
        <v>0.4</v>
      </c>
      <c r="Q1658" s="17">
        <f>O1658*P1658</f>
        <v>648000</v>
      </c>
      <c r="R1658" s="16">
        <f>'Financial Inputs'!$B$7</f>
        <v>0.35</v>
      </c>
      <c r="S1658" s="17">
        <f>Q1658*(1-R1658)</f>
        <v>421200</v>
      </c>
      <c r="T1658" s="18">
        <f>S1658/'Financial Inputs'!$B$3</f>
        <v>4.2119999999999996E-3</v>
      </c>
      <c r="U1658" s="9" t="s">
        <v>52</v>
      </c>
      <c r="V1658" s="3" t="s">
        <v>53</v>
      </c>
    </row>
    <row r="1659" spans="1:22">
      <c r="A1659" s="2" t="s">
        <v>5210</v>
      </c>
      <c r="B1659" s="2" t="s">
        <v>5211</v>
      </c>
      <c r="C1659" s="2" t="s">
        <v>5039</v>
      </c>
      <c r="D1659" s="2" t="s">
        <v>102</v>
      </c>
      <c r="E1659" s="2" t="s">
        <v>57</v>
      </c>
      <c r="F1659" s="2" t="s">
        <v>104</v>
      </c>
      <c r="G1659" s="2" t="s">
        <v>83</v>
      </c>
      <c r="H1659" s="2" t="s">
        <v>498</v>
      </c>
      <c r="I1659" s="2" t="s">
        <v>47</v>
      </c>
      <c r="J1659" s="2" t="s">
        <v>3529</v>
      </c>
      <c r="K1659" s="2" t="s">
        <v>5212</v>
      </c>
      <c r="L1659" s="2" t="s">
        <v>326</v>
      </c>
      <c r="M1659" s="2" t="s">
        <v>5041</v>
      </c>
      <c r="N1659" s="16">
        <v>1.7999999999999999E-2</v>
      </c>
      <c r="O1659" s="17">
        <f>N1659*'Financial Inputs'!$B$3</f>
        <v>1799999.9999999998</v>
      </c>
      <c r="P1659" s="18">
        <f>IF(I1659="L",'Financial Inputs'!$B$4,IF(I1659="M",'Financial Inputs'!$B$5,'Financial Inputs'!$B$6))</f>
        <v>0.4</v>
      </c>
      <c r="Q1659" s="17">
        <f>O1659*P1659</f>
        <v>720000</v>
      </c>
      <c r="R1659" s="16">
        <f>'Financial Inputs'!$B$7</f>
        <v>0.35</v>
      </c>
      <c r="S1659" s="17">
        <f>Q1659*(1-R1659)</f>
        <v>468000</v>
      </c>
      <c r="T1659" s="18">
        <f>S1659/'Financial Inputs'!$B$3</f>
        <v>4.6800000000000001E-3</v>
      </c>
      <c r="U1659" s="9" t="s">
        <v>52</v>
      </c>
      <c r="V1659" s="3" t="s">
        <v>53</v>
      </c>
    </row>
    <row r="1660" spans="1:22">
      <c r="A1660" s="2" t="s">
        <v>5213</v>
      </c>
      <c r="B1660" s="2" t="s">
        <v>5214</v>
      </c>
      <c r="C1660" s="2" t="s">
        <v>5039</v>
      </c>
      <c r="D1660" s="2" t="s">
        <v>42</v>
      </c>
      <c r="E1660" s="2" t="s">
        <v>65</v>
      </c>
      <c r="F1660" s="2" t="s">
        <v>110</v>
      </c>
      <c r="G1660" s="2" t="s">
        <v>111</v>
      </c>
      <c r="H1660" s="2" t="s">
        <v>498</v>
      </c>
      <c r="I1660" s="2" t="s">
        <v>47</v>
      </c>
      <c r="J1660" s="2" t="s">
        <v>3529</v>
      </c>
      <c r="K1660" s="2" t="s">
        <v>5215</v>
      </c>
      <c r="L1660" s="2" t="s">
        <v>330</v>
      </c>
      <c r="M1660" s="2" t="s">
        <v>5041</v>
      </c>
      <c r="N1660" s="16">
        <v>1.9800000000000002E-2</v>
      </c>
      <c r="O1660" s="17">
        <f>N1660*'Financial Inputs'!$B$3</f>
        <v>1980000.0000000002</v>
      </c>
      <c r="P1660" s="18">
        <f>IF(I1660="L",'Financial Inputs'!$B$4,IF(I1660="M",'Financial Inputs'!$B$5,'Financial Inputs'!$B$6))</f>
        <v>0.4</v>
      </c>
      <c r="Q1660" s="17">
        <f>O1660*P1660</f>
        <v>792000.00000000012</v>
      </c>
      <c r="R1660" s="16">
        <f>'Financial Inputs'!$B$7</f>
        <v>0.35</v>
      </c>
      <c r="S1660" s="17">
        <f>Q1660*(1-R1660)</f>
        <v>514800.00000000012</v>
      </c>
      <c r="T1660" s="18">
        <f>S1660/'Financial Inputs'!$B$3</f>
        <v>5.1480000000000015E-3</v>
      </c>
      <c r="U1660" s="9" t="s">
        <v>52</v>
      </c>
      <c r="V1660" s="3" t="s">
        <v>53</v>
      </c>
    </row>
    <row r="1661" spans="1:22">
      <c r="A1661" s="2" t="s">
        <v>5216</v>
      </c>
      <c r="B1661" s="2" t="s">
        <v>5217</v>
      </c>
      <c r="C1661" s="2" t="s">
        <v>5039</v>
      </c>
      <c r="D1661" s="2" t="s">
        <v>56</v>
      </c>
      <c r="E1661" s="2" t="s">
        <v>73</v>
      </c>
      <c r="F1661" s="2" t="s">
        <v>117</v>
      </c>
      <c r="G1661" s="2" t="s">
        <v>56</v>
      </c>
      <c r="H1661" s="2" t="s">
        <v>498</v>
      </c>
      <c r="I1661" s="2" t="s">
        <v>47</v>
      </c>
      <c r="J1661" s="2" t="s">
        <v>3529</v>
      </c>
      <c r="K1661" s="2" t="s">
        <v>5218</v>
      </c>
      <c r="L1661" s="2" t="s">
        <v>334</v>
      </c>
      <c r="M1661" s="2" t="s">
        <v>5041</v>
      </c>
      <c r="N1661" s="16">
        <v>2.1600000000000001E-2</v>
      </c>
      <c r="O1661" s="17">
        <f>N1661*'Financial Inputs'!$B$3</f>
        <v>2160000</v>
      </c>
      <c r="P1661" s="18">
        <f>IF(I1661="L",'Financial Inputs'!$B$4,IF(I1661="M",'Financial Inputs'!$B$5,'Financial Inputs'!$B$6))</f>
        <v>0.4</v>
      </c>
      <c r="Q1661" s="17">
        <f>O1661*P1661</f>
        <v>864000</v>
      </c>
      <c r="R1661" s="16">
        <f>'Financial Inputs'!$B$7</f>
        <v>0.35</v>
      </c>
      <c r="S1661" s="17">
        <f>Q1661*(1-R1661)</f>
        <v>561600</v>
      </c>
      <c r="T1661" s="18">
        <f>S1661/'Financial Inputs'!$B$3</f>
        <v>5.6160000000000003E-3</v>
      </c>
      <c r="U1661" s="9" t="s">
        <v>52</v>
      </c>
      <c r="V1661" s="3" t="s">
        <v>53</v>
      </c>
    </row>
    <row r="1662" spans="1:22">
      <c r="A1662" s="2" t="s">
        <v>5219</v>
      </c>
      <c r="B1662" s="2" t="s">
        <v>5220</v>
      </c>
      <c r="C1662" s="2" t="s">
        <v>5039</v>
      </c>
      <c r="D1662" s="2" t="s">
        <v>80</v>
      </c>
      <c r="E1662" s="2" t="s">
        <v>153</v>
      </c>
      <c r="F1662" s="2" t="s">
        <v>58</v>
      </c>
      <c r="G1662" s="2" t="s">
        <v>83</v>
      </c>
      <c r="H1662" s="2" t="s">
        <v>498</v>
      </c>
      <c r="I1662" s="2" t="s">
        <v>47</v>
      </c>
      <c r="J1662" s="2" t="s">
        <v>3529</v>
      </c>
      <c r="K1662" s="2" t="s">
        <v>5221</v>
      </c>
      <c r="L1662" s="2" t="s">
        <v>338</v>
      </c>
      <c r="M1662" s="2" t="s">
        <v>5041</v>
      </c>
      <c r="N1662" s="16">
        <v>1.44E-2</v>
      </c>
      <c r="O1662" s="17">
        <f>N1662*'Financial Inputs'!$B$3</f>
        <v>1440000</v>
      </c>
      <c r="P1662" s="18">
        <f>IF(I1662="L",'Financial Inputs'!$B$4,IF(I1662="M",'Financial Inputs'!$B$5,'Financial Inputs'!$B$6))</f>
        <v>0.4</v>
      </c>
      <c r="Q1662" s="17">
        <f>O1662*P1662</f>
        <v>576000</v>
      </c>
      <c r="R1662" s="16">
        <f>'Financial Inputs'!$B$7</f>
        <v>0.35</v>
      </c>
      <c r="S1662" s="17">
        <f>Q1662*(1-R1662)</f>
        <v>374400</v>
      </c>
      <c r="T1662" s="18">
        <f>S1662/'Financial Inputs'!$B$3</f>
        <v>3.7439999999999999E-3</v>
      </c>
      <c r="U1662" s="9" t="s">
        <v>52</v>
      </c>
      <c r="V1662" s="3" t="s">
        <v>53</v>
      </c>
    </row>
    <row r="1663" spans="1:22">
      <c r="A1663" s="2" t="s">
        <v>5222</v>
      </c>
      <c r="B1663" s="2" t="s">
        <v>5223</v>
      </c>
      <c r="C1663" s="2" t="s">
        <v>5039</v>
      </c>
      <c r="D1663" s="2" t="s">
        <v>127</v>
      </c>
      <c r="E1663" s="2" t="s">
        <v>89</v>
      </c>
      <c r="F1663" s="2" t="s">
        <v>66</v>
      </c>
      <c r="G1663" s="2" t="s">
        <v>111</v>
      </c>
      <c r="H1663" s="2" t="s">
        <v>498</v>
      </c>
      <c r="I1663" s="2" t="s">
        <v>47</v>
      </c>
      <c r="J1663" s="2" t="s">
        <v>3529</v>
      </c>
      <c r="K1663" s="2" t="s">
        <v>5224</v>
      </c>
      <c r="L1663" s="2" t="s">
        <v>342</v>
      </c>
      <c r="M1663" s="2" t="s">
        <v>5041</v>
      </c>
      <c r="N1663" s="16">
        <v>1.6199999999999999E-2</v>
      </c>
      <c r="O1663" s="17">
        <f>N1663*'Financial Inputs'!$B$3</f>
        <v>1620000</v>
      </c>
      <c r="P1663" s="18">
        <f>IF(I1663="L",'Financial Inputs'!$B$4,IF(I1663="M",'Financial Inputs'!$B$5,'Financial Inputs'!$B$6))</f>
        <v>0.4</v>
      </c>
      <c r="Q1663" s="17">
        <f>O1663*P1663</f>
        <v>648000</v>
      </c>
      <c r="R1663" s="16">
        <f>'Financial Inputs'!$B$7</f>
        <v>0.35</v>
      </c>
      <c r="S1663" s="17">
        <f>Q1663*(1-R1663)</f>
        <v>421200</v>
      </c>
      <c r="T1663" s="18">
        <f>S1663/'Financial Inputs'!$B$3</f>
        <v>4.2119999999999996E-3</v>
      </c>
      <c r="U1663" s="9" t="s">
        <v>52</v>
      </c>
      <c r="V1663" s="3" t="s">
        <v>53</v>
      </c>
    </row>
    <row r="1664" spans="1:22">
      <c r="A1664" s="2" t="s">
        <v>5225</v>
      </c>
      <c r="B1664" s="2" t="s">
        <v>5226</v>
      </c>
      <c r="C1664" s="2" t="s">
        <v>5039</v>
      </c>
      <c r="D1664" s="2" t="s">
        <v>133</v>
      </c>
      <c r="E1664" s="2" t="s">
        <v>96</v>
      </c>
      <c r="F1664" s="2" t="s">
        <v>74</v>
      </c>
      <c r="G1664" s="2" t="s">
        <v>56</v>
      </c>
      <c r="H1664" s="2" t="s">
        <v>498</v>
      </c>
      <c r="I1664" s="2" t="s">
        <v>47</v>
      </c>
      <c r="J1664" s="2" t="s">
        <v>3529</v>
      </c>
      <c r="K1664" s="2" t="s">
        <v>5227</v>
      </c>
      <c r="L1664" s="2" t="s">
        <v>346</v>
      </c>
      <c r="M1664" s="2" t="s">
        <v>5041</v>
      </c>
      <c r="N1664" s="16">
        <v>1.7999999999999999E-2</v>
      </c>
      <c r="O1664" s="17">
        <f>N1664*'Financial Inputs'!$B$3</f>
        <v>1799999.9999999998</v>
      </c>
      <c r="P1664" s="18">
        <f>IF(I1664="L",'Financial Inputs'!$B$4,IF(I1664="M",'Financial Inputs'!$B$5,'Financial Inputs'!$B$6))</f>
        <v>0.4</v>
      </c>
      <c r="Q1664" s="17">
        <f>O1664*P1664</f>
        <v>720000</v>
      </c>
      <c r="R1664" s="16">
        <f>'Financial Inputs'!$B$7</f>
        <v>0.35</v>
      </c>
      <c r="S1664" s="17">
        <f>Q1664*(1-R1664)</f>
        <v>468000</v>
      </c>
      <c r="T1664" s="18">
        <f>S1664/'Financial Inputs'!$B$3</f>
        <v>4.6800000000000001E-3</v>
      </c>
      <c r="U1664" s="9" t="s">
        <v>52</v>
      </c>
      <c r="V1664" s="3" t="s">
        <v>53</v>
      </c>
    </row>
    <row r="1665" spans="1:22">
      <c r="A1665" s="2" t="s">
        <v>5228</v>
      </c>
      <c r="B1665" s="2" t="s">
        <v>5229</v>
      </c>
      <c r="C1665" s="2" t="s">
        <v>5039</v>
      </c>
      <c r="D1665" s="2" t="s">
        <v>88</v>
      </c>
      <c r="E1665" s="2" t="s">
        <v>103</v>
      </c>
      <c r="F1665" s="2" t="s">
        <v>82</v>
      </c>
      <c r="G1665" s="2" t="s">
        <v>138</v>
      </c>
      <c r="H1665" s="2" t="s">
        <v>498</v>
      </c>
      <c r="I1665" s="2" t="s">
        <v>47</v>
      </c>
      <c r="J1665" s="2" t="s">
        <v>3529</v>
      </c>
      <c r="K1665" s="2" t="s">
        <v>5230</v>
      </c>
      <c r="L1665" s="2" t="s">
        <v>350</v>
      </c>
      <c r="M1665" s="2" t="s">
        <v>5041</v>
      </c>
      <c r="N1665" s="16">
        <v>1.9800000000000002E-2</v>
      </c>
      <c r="O1665" s="17">
        <f>N1665*'Financial Inputs'!$B$3</f>
        <v>1980000.0000000002</v>
      </c>
      <c r="P1665" s="18">
        <f>IF(I1665="L",'Financial Inputs'!$B$4,IF(I1665="M",'Financial Inputs'!$B$5,'Financial Inputs'!$B$6))</f>
        <v>0.4</v>
      </c>
      <c r="Q1665" s="17">
        <f>O1665*P1665</f>
        <v>792000.00000000012</v>
      </c>
      <c r="R1665" s="16">
        <f>'Financial Inputs'!$B$7</f>
        <v>0.35</v>
      </c>
      <c r="S1665" s="17">
        <f>Q1665*(1-R1665)</f>
        <v>514800.00000000012</v>
      </c>
      <c r="T1665" s="18">
        <f>S1665/'Financial Inputs'!$B$3</f>
        <v>5.1480000000000015E-3</v>
      </c>
      <c r="U1665" s="9" t="s">
        <v>52</v>
      </c>
      <c r="V1665" s="3" t="s">
        <v>53</v>
      </c>
    </row>
    <row r="1666" spans="1:22">
      <c r="A1666" s="2" t="s">
        <v>5231</v>
      </c>
      <c r="B1666" s="2" t="s">
        <v>5232</v>
      </c>
      <c r="C1666" s="2" t="s">
        <v>5039</v>
      </c>
      <c r="D1666" s="2" t="s">
        <v>95</v>
      </c>
      <c r="E1666" s="2" t="s">
        <v>109</v>
      </c>
      <c r="F1666" s="2" t="s">
        <v>44</v>
      </c>
      <c r="G1666" s="2" t="s">
        <v>143</v>
      </c>
      <c r="H1666" s="2" t="s">
        <v>498</v>
      </c>
      <c r="I1666" s="2" t="s">
        <v>47</v>
      </c>
      <c r="J1666" s="2" t="s">
        <v>3529</v>
      </c>
      <c r="K1666" s="2" t="s">
        <v>5233</v>
      </c>
      <c r="L1666" s="2" t="s">
        <v>354</v>
      </c>
      <c r="M1666" s="2" t="s">
        <v>5041</v>
      </c>
      <c r="N1666" s="16">
        <v>2.1600000000000001E-2</v>
      </c>
      <c r="O1666" s="17">
        <f>N1666*'Financial Inputs'!$B$3</f>
        <v>2160000</v>
      </c>
      <c r="P1666" s="18">
        <f>IF(I1666="L",'Financial Inputs'!$B$4,IF(I1666="M",'Financial Inputs'!$B$5,'Financial Inputs'!$B$6))</f>
        <v>0.4</v>
      </c>
      <c r="Q1666" s="17">
        <f>O1666*P1666</f>
        <v>864000</v>
      </c>
      <c r="R1666" s="16">
        <f>'Financial Inputs'!$B$7</f>
        <v>0.35</v>
      </c>
      <c r="S1666" s="17">
        <f>Q1666*(1-R1666)</f>
        <v>561600</v>
      </c>
      <c r="T1666" s="18">
        <f>S1666/'Financial Inputs'!$B$3</f>
        <v>5.6160000000000003E-3</v>
      </c>
      <c r="U1666" s="9" t="s">
        <v>52</v>
      </c>
      <c r="V1666" s="3" t="s">
        <v>53</v>
      </c>
    </row>
    <row r="1667" spans="1:22">
      <c r="A1667" s="2" t="s">
        <v>5234</v>
      </c>
      <c r="B1667" s="2" t="s">
        <v>5235</v>
      </c>
      <c r="C1667" s="2" t="s">
        <v>5039</v>
      </c>
      <c r="D1667" s="2" t="s">
        <v>56</v>
      </c>
      <c r="E1667" s="2" t="s">
        <v>176</v>
      </c>
      <c r="F1667" s="2" t="s">
        <v>97</v>
      </c>
      <c r="G1667" s="2" t="s">
        <v>56</v>
      </c>
      <c r="H1667" s="2" t="s">
        <v>498</v>
      </c>
      <c r="I1667" s="2" t="s">
        <v>47</v>
      </c>
      <c r="J1667" s="2" t="s">
        <v>3529</v>
      </c>
      <c r="K1667" s="2" t="s">
        <v>5236</v>
      </c>
      <c r="L1667" s="2" t="s">
        <v>358</v>
      </c>
      <c r="M1667" s="2" t="s">
        <v>5041</v>
      </c>
      <c r="N1667" s="16">
        <v>1.44E-2</v>
      </c>
      <c r="O1667" s="17">
        <f>N1667*'Financial Inputs'!$B$3</f>
        <v>1440000</v>
      </c>
      <c r="P1667" s="18">
        <f>IF(I1667="L",'Financial Inputs'!$B$4,IF(I1667="M",'Financial Inputs'!$B$5,'Financial Inputs'!$B$6))</f>
        <v>0.4</v>
      </c>
      <c r="Q1667" s="17">
        <f>O1667*P1667</f>
        <v>576000</v>
      </c>
      <c r="R1667" s="16">
        <f>'Financial Inputs'!$B$7</f>
        <v>0.35</v>
      </c>
      <c r="S1667" s="17">
        <f>Q1667*(1-R1667)</f>
        <v>374400</v>
      </c>
      <c r="T1667" s="18">
        <f>S1667/'Financial Inputs'!$B$3</f>
        <v>3.7439999999999999E-3</v>
      </c>
      <c r="U1667" s="9" t="s">
        <v>52</v>
      </c>
      <c r="V1667" s="3" t="s">
        <v>53</v>
      </c>
    </row>
    <row r="1668" spans="1:22">
      <c r="A1668" s="2" t="s">
        <v>5237</v>
      </c>
      <c r="B1668" s="2" t="s">
        <v>5238</v>
      </c>
      <c r="C1668" s="2" t="s">
        <v>5039</v>
      </c>
      <c r="D1668" s="2" t="s">
        <v>64</v>
      </c>
      <c r="E1668" s="2" t="s">
        <v>122</v>
      </c>
      <c r="F1668" s="2" t="s">
        <v>104</v>
      </c>
      <c r="G1668" s="2" t="s">
        <v>138</v>
      </c>
      <c r="H1668" s="2" t="s">
        <v>498</v>
      </c>
      <c r="I1668" s="2" t="s">
        <v>47</v>
      </c>
      <c r="J1668" s="2" t="s">
        <v>3529</v>
      </c>
      <c r="K1668" s="2" t="s">
        <v>5239</v>
      </c>
      <c r="L1668" s="2" t="s">
        <v>362</v>
      </c>
      <c r="M1668" s="2" t="s">
        <v>5041</v>
      </c>
      <c r="N1668" s="16">
        <v>1.6199999999999999E-2</v>
      </c>
      <c r="O1668" s="17">
        <f>N1668*'Financial Inputs'!$B$3</f>
        <v>1620000</v>
      </c>
      <c r="P1668" s="18">
        <f>IF(I1668="L",'Financial Inputs'!$B$4,IF(I1668="M",'Financial Inputs'!$B$5,'Financial Inputs'!$B$6))</f>
        <v>0.4</v>
      </c>
      <c r="Q1668" s="17">
        <f>O1668*P1668</f>
        <v>648000</v>
      </c>
      <c r="R1668" s="16">
        <f>'Financial Inputs'!$B$7</f>
        <v>0.35</v>
      </c>
      <c r="S1668" s="17">
        <f>Q1668*(1-R1668)</f>
        <v>421200</v>
      </c>
      <c r="T1668" s="18">
        <f>S1668/'Financial Inputs'!$B$3</f>
        <v>4.2119999999999996E-3</v>
      </c>
      <c r="U1668" s="9" t="s">
        <v>52</v>
      </c>
      <c r="V1668" s="3" t="s">
        <v>53</v>
      </c>
    </row>
    <row r="1669" spans="1:22">
      <c r="A1669" s="2" t="s">
        <v>5240</v>
      </c>
      <c r="B1669" s="2" t="s">
        <v>5241</v>
      </c>
      <c r="C1669" s="2" t="s">
        <v>5039</v>
      </c>
      <c r="D1669" s="2" t="s">
        <v>72</v>
      </c>
      <c r="E1669" s="2" t="s">
        <v>128</v>
      </c>
      <c r="F1669" s="2" t="s">
        <v>110</v>
      </c>
      <c r="G1669" s="2" t="s">
        <v>143</v>
      </c>
      <c r="H1669" s="2" t="s">
        <v>498</v>
      </c>
      <c r="I1669" s="2" t="s">
        <v>47</v>
      </c>
      <c r="J1669" s="2" t="s">
        <v>3529</v>
      </c>
      <c r="K1669" s="2" t="s">
        <v>5242</v>
      </c>
      <c r="L1669" s="2" t="s">
        <v>366</v>
      </c>
      <c r="M1669" s="2" t="s">
        <v>5041</v>
      </c>
      <c r="N1669" s="16">
        <v>1.7999999999999999E-2</v>
      </c>
      <c r="O1669" s="17">
        <f>N1669*'Financial Inputs'!$B$3</f>
        <v>1799999.9999999998</v>
      </c>
      <c r="P1669" s="18">
        <f>IF(I1669="L",'Financial Inputs'!$B$4,IF(I1669="M",'Financial Inputs'!$B$5,'Financial Inputs'!$B$6))</f>
        <v>0.4</v>
      </c>
      <c r="Q1669" s="17">
        <f>O1669*P1669</f>
        <v>720000</v>
      </c>
      <c r="R1669" s="16">
        <f>'Financial Inputs'!$B$7</f>
        <v>0.35</v>
      </c>
      <c r="S1669" s="17">
        <f>Q1669*(1-R1669)</f>
        <v>468000</v>
      </c>
      <c r="T1669" s="18">
        <f>S1669/'Financial Inputs'!$B$3</f>
        <v>4.6800000000000001E-3</v>
      </c>
      <c r="U1669" s="9" t="s">
        <v>52</v>
      </c>
      <c r="V1669" s="3" t="s">
        <v>53</v>
      </c>
    </row>
    <row r="1670" spans="1:22">
      <c r="A1670" s="2" t="s">
        <v>5243</v>
      </c>
      <c r="B1670" s="2" t="s">
        <v>5244</v>
      </c>
      <c r="C1670" s="2" t="s">
        <v>5039</v>
      </c>
      <c r="D1670" s="2" t="s">
        <v>80</v>
      </c>
      <c r="E1670" s="2" t="s">
        <v>43</v>
      </c>
      <c r="F1670" s="2" t="s">
        <v>117</v>
      </c>
      <c r="G1670" s="2" t="s">
        <v>162</v>
      </c>
      <c r="H1670" s="2" t="s">
        <v>498</v>
      </c>
      <c r="I1670" s="2" t="s">
        <v>47</v>
      </c>
      <c r="J1670" s="2" t="s">
        <v>3529</v>
      </c>
      <c r="K1670" s="2" t="s">
        <v>5245</v>
      </c>
      <c r="L1670" s="2" t="s">
        <v>370</v>
      </c>
      <c r="M1670" s="2" t="s">
        <v>5041</v>
      </c>
      <c r="N1670" s="16">
        <v>1.9800000000000002E-2</v>
      </c>
      <c r="O1670" s="17">
        <f>N1670*'Financial Inputs'!$B$3</f>
        <v>1980000.0000000002</v>
      </c>
      <c r="P1670" s="18">
        <f>IF(I1670="L",'Financial Inputs'!$B$4,IF(I1670="M",'Financial Inputs'!$B$5,'Financial Inputs'!$B$6))</f>
        <v>0.4</v>
      </c>
      <c r="Q1670" s="17">
        <f>O1670*P1670</f>
        <v>792000.00000000012</v>
      </c>
      <c r="R1670" s="16">
        <f>'Financial Inputs'!$B$7</f>
        <v>0.35</v>
      </c>
      <c r="S1670" s="17">
        <f>Q1670*(1-R1670)</f>
        <v>514800.00000000012</v>
      </c>
      <c r="T1670" s="18">
        <f>S1670/'Financial Inputs'!$B$3</f>
        <v>5.1480000000000015E-3</v>
      </c>
      <c r="U1670" s="9" t="s">
        <v>52</v>
      </c>
      <c r="V1670" s="3" t="s">
        <v>53</v>
      </c>
    </row>
    <row r="1671" spans="1:22">
      <c r="A1671" s="2" t="s">
        <v>5246</v>
      </c>
      <c r="B1671" s="2" t="s">
        <v>5247</v>
      </c>
      <c r="C1671" s="2" t="s">
        <v>5039</v>
      </c>
      <c r="D1671" s="2" t="s">
        <v>127</v>
      </c>
      <c r="E1671" s="2" t="s">
        <v>57</v>
      </c>
      <c r="F1671" s="2" t="s">
        <v>90</v>
      </c>
      <c r="G1671" s="2" t="s">
        <v>45</v>
      </c>
      <c r="H1671" s="2" t="s">
        <v>498</v>
      </c>
      <c r="I1671" s="2" t="s">
        <v>47</v>
      </c>
      <c r="J1671" s="2" t="s">
        <v>3529</v>
      </c>
      <c r="K1671" s="2" t="s">
        <v>5248</v>
      </c>
      <c r="L1671" s="2" t="s">
        <v>374</v>
      </c>
      <c r="M1671" s="2" t="s">
        <v>5041</v>
      </c>
      <c r="N1671" s="16">
        <v>2.1600000000000001E-2</v>
      </c>
      <c r="O1671" s="17">
        <f>N1671*'Financial Inputs'!$B$3</f>
        <v>2160000</v>
      </c>
      <c r="P1671" s="18">
        <f>IF(I1671="L",'Financial Inputs'!$B$4,IF(I1671="M",'Financial Inputs'!$B$5,'Financial Inputs'!$B$6))</f>
        <v>0.4</v>
      </c>
      <c r="Q1671" s="17">
        <f>O1671*P1671</f>
        <v>864000</v>
      </c>
      <c r="R1671" s="16">
        <f>'Financial Inputs'!$B$7</f>
        <v>0.35</v>
      </c>
      <c r="S1671" s="17">
        <f>Q1671*(1-R1671)</f>
        <v>561600</v>
      </c>
      <c r="T1671" s="18">
        <f>S1671/'Financial Inputs'!$B$3</f>
        <v>5.6160000000000003E-3</v>
      </c>
      <c r="U1671" s="9" t="s">
        <v>52</v>
      </c>
      <c r="V1671" s="3" t="s">
        <v>53</v>
      </c>
    </row>
    <row r="1672" spans="1:22">
      <c r="A1672" s="2" t="s">
        <v>5249</v>
      </c>
      <c r="B1672" s="2" t="s">
        <v>5250</v>
      </c>
      <c r="C1672" s="2" t="s">
        <v>5039</v>
      </c>
      <c r="D1672" s="2" t="s">
        <v>95</v>
      </c>
      <c r="E1672" s="2" t="s">
        <v>198</v>
      </c>
      <c r="F1672" s="2" t="s">
        <v>66</v>
      </c>
      <c r="G1672" s="2" t="s">
        <v>143</v>
      </c>
      <c r="H1672" s="2" t="s">
        <v>498</v>
      </c>
      <c r="I1672" s="2" t="s">
        <v>47</v>
      </c>
      <c r="J1672" s="2" t="s">
        <v>3529</v>
      </c>
      <c r="K1672" s="2" t="s">
        <v>5251</v>
      </c>
      <c r="L1672" s="2" t="s">
        <v>378</v>
      </c>
      <c r="M1672" s="2" t="s">
        <v>5041</v>
      </c>
      <c r="N1672" s="16">
        <v>1.44E-2</v>
      </c>
      <c r="O1672" s="17">
        <f>N1672*'Financial Inputs'!$B$3</f>
        <v>1440000</v>
      </c>
      <c r="P1672" s="18">
        <f>IF(I1672="L",'Financial Inputs'!$B$4,IF(I1672="M",'Financial Inputs'!$B$5,'Financial Inputs'!$B$6))</f>
        <v>0.4</v>
      </c>
      <c r="Q1672" s="17">
        <f>O1672*P1672</f>
        <v>576000</v>
      </c>
      <c r="R1672" s="16">
        <f>'Financial Inputs'!$B$7</f>
        <v>0.35</v>
      </c>
      <c r="S1672" s="17">
        <f>Q1672*(1-R1672)</f>
        <v>374400</v>
      </c>
      <c r="T1672" s="18">
        <f>S1672/'Financial Inputs'!$B$3</f>
        <v>3.7439999999999999E-3</v>
      </c>
      <c r="U1672" s="9" t="s">
        <v>52</v>
      </c>
      <c r="V1672" s="3" t="s">
        <v>53</v>
      </c>
    </row>
    <row r="1673" spans="1:22">
      <c r="A1673" s="2" t="s">
        <v>5252</v>
      </c>
      <c r="B1673" s="2" t="s">
        <v>5253</v>
      </c>
      <c r="C1673" s="2" t="s">
        <v>5039</v>
      </c>
      <c r="D1673" s="2" t="s">
        <v>102</v>
      </c>
      <c r="E1673" s="2" t="s">
        <v>148</v>
      </c>
      <c r="F1673" s="2" t="s">
        <v>74</v>
      </c>
      <c r="G1673" s="2" t="s">
        <v>162</v>
      </c>
      <c r="H1673" s="2" t="s">
        <v>498</v>
      </c>
      <c r="I1673" s="2" t="s">
        <v>47</v>
      </c>
      <c r="J1673" s="2" t="s">
        <v>3529</v>
      </c>
      <c r="K1673" s="2" t="s">
        <v>5254</v>
      </c>
      <c r="L1673" s="2" t="s">
        <v>382</v>
      </c>
      <c r="M1673" s="2" t="s">
        <v>5041</v>
      </c>
      <c r="N1673" s="16">
        <v>1.6199999999999999E-2</v>
      </c>
      <c r="O1673" s="17">
        <f>N1673*'Financial Inputs'!$B$3</f>
        <v>1620000</v>
      </c>
      <c r="P1673" s="18">
        <f>IF(I1673="L",'Financial Inputs'!$B$4,IF(I1673="M",'Financial Inputs'!$B$5,'Financial Inputs'!$B$6))</f>
        <v>0.4</v>
      </c>
      <c r="Q1673" s="17">
        <f>O1673*P1673</f>
        <v>648000</v>
      </c>
      <c r="R1673" s="16">
        <f>'Financial Inputs'!$B$7</f>
        <v>0.35</v>
      </c>
      <c r="S1673" s="17">
        <f>Q1673*(1-R1673)</f>
        <v>421200</v>
      </c>
      <c r="T1673" s="18">
        <f>S1673/'Financial Inputs'!$B$3</f>
        <v>4.2119999999999996E-3</v>
      </c>
      <c r="U1673" s="9" t="s">
        <v>52</v>
      </c>
      <c r="V1673" s="3" t="s">
        <v>53</v>
      </c>
    </row>
    <row r="1674" spans="1:22">
      <c r="A1674" s="2" t="s">
        <v>5255</v>
      </c>
      <c r="B1674" s="2" t="s">
        <v>5256</v>
      </c>
      <c r="C1674" s="2" t="s">
        <v>5039</v>
      </c>
      <c r="D1674" s="2" t="s">
        <v>42</v>
      </c>
      <c r="E1674" s="2" t="s">
        <v>153</v>
      </c>
      <c r="F1674" s="2" t="s">
        <v>82</v>
      </c>
      <c r="G1674" s="2" t="s">
        <v>45</v>
      </c>
      <c r="H1674" s="2" t="s">
        <v>498</v>
      </c>
      <c r="I1674" s="2" t="s">
        <v>47</v>
      </c>
      <c r="J1674" s="2" t="s">
        <v>3529</v>
      </c>
      <c r="K1674" s="2" t="s">
        <v>5257</v>
      </c>
      <c r="L1674" s="2" t="s">
        <v>386</v>
      </c>
      <c r="M1674" s="2" t="s">
        <v>5041</v>
      </c>
      <c r="N1674" s="16">
        <v>1.7999999999999999E-2</v>
      </c>
      <c r="O1674" s="17">
        <f>N1674*'Financial Inputs'!$B$3</f>
        <v>1799999.9999999998</v>
      </c>
      <c r="P1674" s="18">
        <f>IF(I1674="L",'Financial Inputs'!$B$4,IF(I1674="M",'Financial Inputs'!$B$5,'Financial Inputs'!$B$6))</f>
        <v>0.4</v>
      </c>
      <c r="Q1674" s="17">
        <f>O1674*P1674</f>
        <v>720000</v>
      </c>
      <c r="R1674" s="16">
        <f>'Financial Inputs'!$B$7</f>
        <v>0.35</v>
      </c>
      <c r="S1674" s="17">
        <f>Q1674*(1-R1674)</f>
        <v>468000</v>
      </c>
      <c r="T1674" s="18">
        <f>S1674/'Financial Inputs'!$B$3</f>
        <v>4.6800000000000001E-3</v>
      </c>
      <c r="U1674" s="9" t="s">
        <v>52</v>
      </c>
      <c r="V1674" s="3" t="s">
        <v>53</v>
      </c>
    </row>
    <row r="1675" spans="1:22">
      <c r="A1675" s="2" t="s">
        <v>5258</v>
      </c>
      <c r="B1675" s="2" t="s">
        <v>5259</v>
      </c>
      <c r="C1675" s="2" t="s">
        <v>5039</v>
      </c>
      <c r="D1675" s="2" t="s">
        <v>56</v>
      </c>
      <c r="E1675" s="2" t="s">
        <v>89</v>
      </c>
      <c r="F1675" s="2" t="s">
        <v>44</v>
      </c>
      <c r="G1675" s="2" t="s">
        <v>59</v>
      </c>
      <c r="H1675" s="2" t="s">
        <v>498</v>
      </c>
      <c r="I1675" s="2" t="s">
        <v>47</v>
      </c>
      <c r="J1675" s="2" t="s">
        <v>3529</v>
      </c>
      <c r="K1675" s="2" t="s">
        <v>5260</v>
      </c>
      <c r="L1675" s="2" t="s">
        <v>390</v>
      </c>
      <c r="M1675" s="2" t="s">
        <v>5041</v>
      </c>
      <c r="N1675" s="16">
        <v>1.9800000000000002E-2</v>
      </c>
      <c r="O1675" s="17">
        <f>N1675*'Financial Inputs'!$B$3</f>
        <v>1980000.0000000002</v>
      </c>
      <c r="P1675" s="18">
        <f>IF(I1675="L",'Financial Inputs'!$B$4,IF(I1675="M",'Financial Inputs'!$B$5,'Financial Inputs'!$B$6))</f>
        <v>0.4</v>
      </c>
      <c r="Q1675" s="17">
        <f>O1675*P1675</f>
        <v>792000.00000000012</v>
      </c>
      <c r="R1675" s="16">
        <f>'Financial Inputs'!$B$7</f>
        <v>0.35</v>
      </c>
      <c r="S1675" s="17">
        <f>Q1675*(1-R1675)</f>
        <v>514800.00000000012</v>
      </c>
      <c r="T1675" s="18">
        <f>S1675/'Financial Inputs'!$B$3</f>
        <v>5.1480000000000015E-3</v>
      </c>
      <c r="U1675" s="9" t="s">
        <v>52</v>
      </c>
      <c r="V1675" s="3" t="s">
        <v>53</v>
      </c>
    </row>
    <row r="1676" spans="1:22">
      <c r="A1676" s="2" t="s">
        <v>5261</v>
      </c>
      <c r="B1676" s="2" t="s">
        <v>5262</v>
      </c>
      <c r="C1676" s="2" t="s">
        <v>5039</v>
      </c>
      <c r="D1676" s="2" t="s">
        <v>64</v>
      </c>
      <c r="E1676" s="2" t="s">
        <v>96</v>
      </c>
      <c r="F1676" s="2" t="s">
        <v>58</v>
      </c>
      <c r="G1676" s="2" t="s">
        <v>67</v>
      </c>
      <c r="H1676" s="2" t="s">
        <v>498</v>
      </c>
      <c r="I1676" s="2" t="s">
        <v>47</v>
      </c>
      <c r="J1676" s="2" t="s">
        <v>3529</v>
      </c>
      <c r="K1676" s="2" t="s">
        <v>5263</v>
      </c>
      <c r="L1676" s="2" t="s">
        <v>394</v>
      </c>
      <c r="M1676" s="2" t="s">
        <v>5041</v>
      </c>
      <c r="N1676" s="16">
        <v>2.1600000000000001E-2</v>
      </c>
      <c r="O1676" s="17">
        <f>N1676*'Financial Inputs'!$B$3</f>
        <v>2160000</v>
      </c>
      <c r="P1676" s="18">
        <f>IF(I1676="L",'Financial Inputs'!$B$4,IF(I1676="M",'Financial Inputs'!$B$5,'Financial Inputs'!$B$6))</f>
        <v>0.4</v>
      </c>
      <c r="Q1676" s="17">
        <f>O1676*P1676</f>
        <v>864000</v>
      </c>
      <c r="R1676" s="16">
        <f>'Financial Inputs'!$B$7</f>
        <v>0.35</v>
      </c>
      <c r="S1676" s="17">
        <f>Q1676*(1-R1676)</f>
        <v>561600</v>
      </c>
      <c r="T1676" s="18">
        <f>S1676/'Financial Inputs'!$B$3</f>
        <v>5.6160000000000003E-3</v>
      </c>
      <c r="U1676" s="9" t="s">
        <v>52</v>
      </c>
      <c r="V1676" s="3" t="s">
        <v>53</v>
      </c>
    </row>
    <row r="1677" spans="1:22">
      <c r="A1677" s="2" t="s">
        <v>5264</v>
      </c>
      <c r="B1677" s="2" t="s">
        <v>5265</v>
      </c>
      <c r="C1677" s="2" t="s">
        <v>5039</v>
      </c>
      <c r="D1677" s="2" t="s">
        <v>127</v>
      </c>
      <c r="E1677" s="2" t="s">
        <v>220</v>
      </c>
      <c r="F1677" s="2" t="s">
        <v>104</v>
      </c>
      <c r="G1677" s="2" t="s">
        <v>45</v>
      </c>
      <c r="H1677" s="2" t="s">
        <v>498</v>
      </c>
      <c r="I1677" s="2" t="s">
        <v>47</v>
      </c>
      <c r="J1677" s="2" t="s">
        <v>3529</v>
      </c>
      <c r="K1677" s="2" t="s">
        <v>5266</v>
      </c>
      <c r="L1677" s="2" t="s">
        <v>398</v>
      </c>
      <c r="M1677" s="2" t="s">
        <v>5041</v>
      </c>
      <c r="N1677" s="16">
        <v>1.44E-2</v>
      </c>
      <c r="O1677" s="17">
        <f>N1677*'Financial Inputs'!$B$3</f>
        <v>1440000</v>
      </c>
      <c r="P1677" s="18">
        <f>IF(I1677="L",'Financial Inputs'!$B$4,IF(I1677="M",'Financial Inputs'!$B$5,'Financial Inputs'!$B$6))</f>
        <v>0.4</v>
      </c>
      <c r="Q1677" s="17">
        <f>O1677*P1677</f>
        <v>576000</v>
      </c>
      <c r="R1677" s="16">
        <f>'Financial Inputs'!$B$7</f>
        <v>0.35</v>
      </c>
      <c r="S1677" s="17">
        <f>Q1677*(1-R1677)</f>
        <v>374400</v>
      </c>
      <c r="T1677" s="18">
        <f>S1677/'Financial Inputs'!$B$3</f>
        <v>3.7439999999999999E-3</v>
      </c>
      <c r="U1677" s="9" t="s">
        <v>52</v>
      </c>
      <c r="V1677" s="3" t="s">
        <v>53</v>
      </c>
    </row>
    <row r="1678" spans="1:22">
      <c r="A1678" s="2" t="s">
        <v>5267</v>
      </c>
      <c r="B1678" s="2" t="s">
        <v>5268</v>
      </c>
      <c r="C1678" s="2" t="s">
        <v>5039</v>
      </c>
      <c r="D1678" s="2" t="s">
        <v>133</v>
      </c>
      <c r="E1678" s="2" t="s">
        <v>171</v>
      </c>
      <c r="F1678" s="2" t="s">
        <v>110</v>
      </c>
      <c r="G1678" s="2" t="s">
        <v>59</v>
      </c>
      <c r="H1678" s="2" t="s">
        <v>498</v>
      </c>
      <c r="I1678" s="2" t="s">
        <v>47</v>
      </c>
      <c r="J1678" s="2" t="s">
        <v>3529</v>
      </c>
      <c r="K1678" s="2" t="s">
        <v>5269</v>
      </c>
      <c r="L1678" s="2" t="s">
        <v>402</v>
      </c>
      <c r="M1678" s="2" t="s">
        <v>5041</v>
      </c>
      <c r="N1678" s="16">
        <v>1.6199999999999999E-2</v>
      </c>
      <c r="O1678" s="17">
        <f>N1678*'Financial Inputs'!$B$3</f>
        <v>1620000</v>
      </c>
      <c r="P1678" s="18">
        <f>IF(I1678="L",'Financial Inputs'!$B$4,IF(I1678="M",'Financial Inputs'!$B$5,'Financial Inputs'!$B$6))</f>
        <v>0.4</v>
      </c>
      <c r="Q1678" s="17">
        <f>O1678*P1678</f>
        <v>648000</v>
      </c>
      <c r="R1678" s="16">
        <f>'Financial Inputs'!$B$7</f>
        <v>0.35</v>
      </c>
      <c r="S1678" s="17">
        <f>Q1678*(1-R1678)</f>
        <v>421200</v>
      </c>
      <c r="T1678" s="18">
        <f>S1678/'Financial Inputs'!$B$3</f>
        <v>4.2119999999999996E-3</v>
      </c>
      <c r="U1678" s="9" t="s">
        <v>52</v>
      </c>
      <c r="V1678" s="3" t="s">
        <v>53</v>
      </c>
    </row>
    <row r="1679" spans="1:22">
      <c r="A1679" s="2" t="s">
        <v>5270</v>
      </c>
      <c r="B1679" s="2" t="s">
        <v>5271</v>
      </c>
      <c r="C1679" s="2" t="s">
        <v>5039</v>
      </c>
      <c r="D1679" s="2" t="s">
        <v>88</v>
      </c>
      <c r="E1679" s="2" t="s">
        <v>176</v>
      </c>
      <c r="F1679" s="2" t="s">
        <v>117</v>
      </c>
      <c r="G1679" s="2" t="s">
        <v>67</v>
      </c>
      <c r="H1679" s="2" t="s">
        <v>498</v>
      </c>
      <c r="I1679" s="2" t="s">
        <v>47</v>
      </c>
      <c r="J1679" s="2" t="s">
        <v>3529</v>
      </c>
      <c r="K1679" s="2" t="s">
        <v>5272</v>
      </c>
      <c r="L1679" s="2" t="s">
        <v>406</v>
      </c>
      <c r="M1679" s="2" t="s">
        <v>5041</v>
      </c>
      <c r="N1679" s="16">
        <v>1.7999999999999999E-2</v>
      </c>
      <c r="O1679" s="17">
        <f>N1679*'Financial Inputs'!$B$3</f>
        <v>1799999.9999999998</v>
      </c>
      <c r="P1679" s="18">
        <f>IF(I1679="L",'Financial Inputs'!$B$4,IF(I1679="M",'Financial Inputs'!$B$5,'Financial Inputs'!$B$6))</f>
        <v>0.4</v>
      </c>
      <c r="Q1679" s="17">
        <f>O1679*P1679</f>
        <v>720000</v>
      </c>
      <c r="R1679" s="16">
        <f>'Financial Inputs'!$B$7</f>
        <v>0.35</v>
      </c>
      <c r="S1679" s="17">
        <f>Q1679*(1-R1679)</f>
        <v>468000</v>
      </c>
      <c r="T1679" s="18">
        <f>S1679/'Financial Inputs'!$B$3</f>
        <v>4.6800000000000001E-3</v>
      </c>
      <c r="U1679" s="9" t="s">
        <v>52</v>
      </c>
      <c r="V1679" s="3" t="s">
        <v>53</v>
      </c>
    </row>
    <row r="1680" spans="1:22">
      <c r="A1680" s="2" t="s">
        <v>5273</v>
      </c>
      <c r="B1680" s="2" t="s">
        <v>5274</v>
      </c>
      <c r="C1680" s="2" t="s">
        <v>5039</v>
      </c>
      <c r="D1680" s="2" t="s">
        <v>95</v>
      </c>
      <c r="E1680" s="2" t="s">
        <v>122</v>
      </c>
      <c r="F1680" s="2" t="s">
        <v>90</v>
      </c>
      <c r="G1680" s="2" t="s">
        <v>75</v>
      </c>
      <c r="H1680" s="2" t="s">
        <v>498</v>
      </c>
      <c r="I1680" s="2" t="s">
        <v>47</v>
      </c>
      <c r="J1680" s="2" t="s">
        <v>3529</v>
      </c>
      <c r="K1680" s="2" t="s">
        <v>5275</v>
      </c>
      <c r="L1680" s="2" t="s">
        <v>410</v>
      </c>
      <c r="M1680" s="2" t="s">
        <v>5041</v>
      </c>
      <c r="N1680" s="16">
        <v>1.9800000000000002E-2</v>
      </c>
      <c r="O1680" s="17">
        <f>N1680*'Financial Inputs'!$B$3</f>
        <v>1980000.0000000002</v>
      </c>
      <c r="P1680" s="18">
        <f>IF(I1680="L",'Financial Inputs'!$B$4,IF(I1680="M",'Financial Inputs'!$B$5,'Financial Inputs'!$B$6))</f>
        <v>0.4</v>
      </c>
      <c r="Q1680" s="17">
        <f>O1680*P1680</f>
        <v>792000.00000000012</v>
      </c>
      <c r="R1680" s="16">
        <f>'Financial Inputs'!$B$7</f>
        <v>0.35</v>
      </c>
      <c r="S1680" s="17">
        <f>Q1680*(1-R1680)</f>
        <v>514800.00000000012</v>
      </c>
      <c r="T1680" s="18">
        <f>S1680/'Financial Inputs'!$B$3</f>
        <v>5.1480000000000015E-3</v>
      </c>
      <c r="U1680" s="9" t="s">
        <v>52</v>
      </c>
      <c r="V1680" s="3" t="s">
        <v>53</v>
      </c>
    </row>
    <row r="1681" spans="1:22">
      <c r="A1681" s="2" t="s">
        <v>5276</v>
      </c>
      <c r="B1681" s="2" t="s">
        <v>5277</v>
      </c>
      <c r="C1681" s="2" t="s">
        <v>5039</v>
      </c>
      <c r="D1681" s="2" t="s">
        <v>102</v>
      </c>
      <c r="E1681" s="2" t="s">
        <v>128</v>
      </c>
      <c r="F1681" s="2" t="s">
        <v>97</v>
      </c>
      <c r="G1681" s="2" t="s">
        <v>83</v>
      </c>
      <c r="H1681" s="2" t="s">
        <v>498</v>
      </c>
      <c r="I1681" s="2" t="s">
        <v>47</v>
      </c>
      <c r="J1681" s="2" t="s">
        <v>3529</v>
      </c>
      <c r="K1681" s="2" t="s">
        <v>5278</v>
      </c>
      <c r="L1681" s="2" t="s">
        <v>414</v>
      </c>
      <c r="M1681" s="2" t="s">
        <v>5041</v>
      </c>
      <c r="N1681" s="16">
        <v>2.1600000000000001E-2</v>
      </c>
      <c r="O1681" s="17">
        <f>N1681*'Financial Inputs'!$B$3</f>
        <v>2160000</v>
      </c>
      <c r="P1681" s="18">
        <f>IF(I1681="L",'Financial Inputs'!$B$4,IF(I1681="M",'Financial Inputs'!$B$5,'Financial Inputs'!$B$6))</f>
        <v>0.4</v>
      </c>
      <c r="Q1681" s="17">
        <f>O1681*P1681</f>
        <v>864000</v>
      </c>
      <c r="R1681" s="16">
        <f>'Financial Inputs'!$B$7</f>
        <v>0.35</v>
      </c>
      <c r="S1681" s="17">
        <f>Q1681*(1-R1681)</f>
        <v>561600</v>
      </c>
      <c r="T1681" s="18">
        <f>S1681/'Financial Inputs'!$B$3</f>
        <v>5.6160000000000003E-3</v>
      </c>
      <c r="U1681" s="9" t="s">
        <v>52</v>
      </c>
      <c r="V1681" s="3" t="s">
        <v>53</v>
      </c>
    </row>
    <row r="1682" spans="1:22">
      <c r="A1682" s="2" t="s">
        <v>5279</v>
      </c>
      <c r="B1682" s="2" t="s">
        <v>5280</v>
      </c>
      <c r="C1682" s="2" t="s">
        <v>5039</v>
      </c>
      <c r="D1682" s="2" t="s">
        <v>64</v>
      </c>
      <c r="E1682" s="2" t="s">
        <v>81</v>
      </c>
      <c r="F1682" s="2" t="s">
        <v>74</v>
      </c>
      <c r="G1682" s="2" t="s">
        <v>67</v>
      </c>
      <c r="H1682" s="2" t="s">
        <v>498</v>
      </c>
      <c r="I1682" s="2" t="s">
        <v>47</v>
      </c>
      <c r="J1682" s="2" t="s">
        <v>3529</v>
      </c>
      <c r="K1682" s="2" t="s">
        <v>5281</v>
      </c>
      <c r="L1682" s="2" t="s">
        <v>418</v>
      </c>
      <c r="M1682" s="2" t="s">
        <v>5041</v>
      </c>
      <c r="N1682" s="16">
        <v>1.44E-2</v>
      </c>
      <c r="O1682" s="17">
        <f>N1682*'Financial Inputs'!$B$3</f>
        <v>1440000</v>
      </c>
      <c r="P1682" s="18">
        <f>IF(I1682="L",'Financial Inputs'!$B$4,IF(I1682="M",'Financial Inputs'!$B$5,'Financial Inputs'!$B$6))</f>
        <v>0.4</v>
      </c>
      <c r="Q1682" s="17">
        <f>O1682*P1682</f>
        <v>576000</v>
      </c>
      <c r="R1682" s="16">
        <f>'Financial Inputs'!$B$7</f>
        <v>0.35</v>
      </c>
      <c r="S1682" s="17">
        <f>Q1682*(1-R1682)</f>
        <v>374400</v>
      </c>
      <c r="T1682" s="18">
        <f>S1682/'Financial Inputs'!$B$3</f>
        <v>3.7439999999999999E-3</v>
      </c>
      <c r="U1682" s="9" t="s">
        <v>52</v>
      </c>
      <c r="V1682" s="3" t="s">
        <v>53</v>
      </c>
    </row>
    <row r="1683" spans="1:22">
      <c r="A1683" s="2" t="s">
        <v>5282</v>
      </c>
      <c r="B1683" s="2" t="s">
        <v>5283</v>
      </c>
      <c r="C1683" s="2" t="s">
        <v>5039</v>
      </c>
      <c r="D1683" s="2" t="s">
        <v>72</v>
      </c>
      <c r="E1683" s="2" t="s">
        <v>193</v>
      </c>
      <c r="F1683" s="2" t="s">
        <v>82</v>
      </c>
      <c r="G1683" s="2" t="s">
        <v>75</v>
      </c>
      <c r="H1683" s="2" t="s">
        <v>498</v>
      </c>
      <c r="I1683" s="2" t="s">
        <v>47</v>
      </c>
      <c r="J1683" s="2" t="s">
        <v>3529</v>
      </c>
      <c r="K1683" s="2" t="s">
        <v>5284</v>
      </c>
      <c r="L1683" s="2" t="s">
        <v>422</v>
      </c>
      <c r="M1683" s="2" t="s">
        <v>5041</v>
      </c>
      <c r="N1683" s="16">
        <v>1.6199999999999999E-2</v>
      </c>
      <c r="O1683" s="17">
        <f>N1683*'Financial Inputs'!$B$3</f>
        <v>1620000</v>
      </c>
      <c r="P1683" s="18">
        <f>IF(I1683="L",'Financial Inputs'!$B$4,IF(I1683="M",'Financial Inputs'!$B$5,'Financial Inputs'!$B$6))</f>
        <v>0.4</v>
      </c>
      <c r="Q1683" s="17">
        <f>O1683*P1683</f>
        <v>648000</v>
      </c>
      <c r="R1683" s="16">
        <f>'Financial Inputs'!$B$7</f>
        <v>0.35</v>
      </c>
      <c r="S1683" s="17">
        <f>Q1683*(1-R1683)</f>
        <v>421200</v>
      </c>
      <c r="T1683" s="18">
        <f>S1683/'Financial Inputs'!$B$3</f>
        <v>4.2119999999999996E-3</v>
      </c>
      <c r="U1683" s="9" t="s">
        <v>52</v>
      </c>
      <c r="V1683" s="3" t="s">
        <v>53</v>
      </c>
    </row>
    <row r="1684" spans="1:22">
      <c r="A1684" s="2" t="s">
        <v>5285</v>
      </c>
      <c r="B1684" s="2" t="s">
        <v>5286</v>
      </c>
      <c r="C1684" s="2" t="s">
        <v>5039</v>
      </c>
      <c r="D1684" s="2" t="s">
        <v>80</v>
      </c>
      <c r="E1684" s="2" t="s">
        <v>198</v>
      </c>
      <c r="F1684" s="2" t="s">
        <v>44</v>
      </c>
      <c r="G1684" s="2" t="s">
        <v>83</v>
      </c>
      <c r="H1684" s="2" t="s">
        <v>498</v>
      </c>
      <c r="I1684" s="2" t="s">
        <v>47</v>
      </c>
      <c r="J1684" s="2" t="s">
        <v>3529</v>
      </c>
      <c r="K1684" s="2" t="s">
        <v>5287</v>
      </c>
      <c r="L1684" s="2" t="s">
        <v>426</v>
      </c>
      <c r="M1684" s="2" t="s">
        <v>5041</v>
      </c>
      <c r="N1684" s="16">
        <v>1.7999999999999999E-2</v>
      </c>
      <c r="O1684" s="17">
        <f>N1684*'Financial Inputs'!$B$3</f>
        <v>1799999.9999999998</v>
      </c>
      <c r="P1684" s="18">
        <f>IF(I1684="L",'Financial Inputs'!$B$4,IF(I1684="M",'Financial Inputs'!$B$5,'Financial Inputs'!$B$6))</f>
        <v>0.4</v>
      </c>
      <c r="Q1684" s="17">
        <f>O1684*P1684</f>
        <v>720000</v>
      </c>
      <c r="R1684" s="16">
        <f>'Financial Inputs'!$B$7</f>
        <v>0.35</v>
      </c>
      <c r="S1684" s="17">
        <f>Q1684*(1-R1684)</f>
        <v>468000</v>
      </c>
      <c r="T1684" s="18">
        <f>S1684/'Financial Inputs'!$B$3</f>
        <v>4.6800000000000001E-3</v>
      </c>
      <c r="U1684" s="9" t="s">
        <v>52</v>
      </c>
      <c r="V1684" s="3" t="s">
        <v>53</v>
      </c>
    </row>
    <row r="1685" spans="1:22">
      <c r="A1685" s="2" t="s">
        <v>5288</v>
      </c>
      <c r="B1685" s="2" t="s">
        <v>5289</v>
      </c>
      <c r="C1685" s="2" t="s">
        <v>5039</v>
      </c>
      <c r="D1685" s="2" t="s">
        <v>127</v>
      </c>
      <c r="E1685" s="2" t="s">
        <v>148</v>
      </c>
      <c r="F1685" s="2" t="s">
        <v>58</v>
      </c>
      <c r="G1685" s="2" t="s">
        <v>111</v>
      </c>
      <c r="H1685" s="2" t="s">
        <v>498</v>
      </c>
      <c r="I1685" s="2" t="s">
        <v>47</v>
      </c>
      <c r="J1685" s="2" t="s">
        <v>3529</v>
      </c>
      <c r="K1685" s="2" t="s">
        <v>5290</v>
      </c>
      <c r="L1685" s="2" t="s">
        <v>430</v>
      </c>
      <c r="M1685" s="2" t="s">
        <v>5041</v>
      </c>
      <c r="N1685" s="16">
        <v>1.9800000000000002E-2</v>
      </c>
      <c r="O1685" s="17">
        <f>N1685*'Financial Inputs'!$B$3</f>
        <v>1980000.0000000002</v>
      </c>
      <c r="P1685" s="18">
        <f>IF(I1685="L",'Financial Inputs'!$B$4,IF(I1685="M",'Financial Inputs'!$B$5,'Financial Inputs'!$B$6))</f>
        <v>0.4</v>
      </c>
      <c r="Q1685" s="17">
        <f>O1685*P1685</f>
        <v>792000.00000000012</v>
      </c>
      <c r="R1685" s="16">
        <f>'Financial Inputs'!$B$7</f>
        <v>0.35</v>
      </c>
      <c r="S1685" s="17">
        <f>Q1685*(1-R1685)</f>
        <v>514800.00000000012</v>
      </c>
      <c r="T1685" s="18">
        <f>S1685/'Financial Inputs'!$B$3</f>
        <v>5.1480000000000015E-3</v>
      </c>
      <c r="U1685" s="9" t="s">
        <v>52</v>
      </c>
      <c r="V1685" s="3" t="s">
        <v>53</v>
      </c>
    </row>
    <row r="1686" spans="1:22">
      <c r="A1686" s="2" t="s">
        <v>5291</v>
      </c>
      <c r="B1686" s="2" t="s">
        <v>5292</v>
      </c>
      <c r="C1686" s="2" t="s">
        <v>5039</v>
      </c>
      <c r="D1686" s="2" t="s">
        <v>133</v>
      </c>
      <c r="E1686" s="2" t="s">
        <v>153</v>
      </c>
      <c r="F1686" s="2" t="s">
        <v>66</v>
      </c>
      <c r="G1686" s="2" t="s">
        <v>56</v>
      </c>
      <c r="H1686" s="2" t="s">
        <v>498</v>
      </c>
      <c r="I1686" s="2" t="s">
        <v>47</v>
      </c>
      <c r="J1686" s="2" t="s">
        <v>3529</v>
      </c>
      <c r="K1686" s="2" t="s">
        <v>5293</v>
      </c>
      <c r="L1686" s="2" t="s">
        <v>434</v>
      </c>
      <c r="M1686" s="2" t="s">
        <v>5041</v>
      </c>
      <c r="N1686" s="16">
        <v>2.1600000000000001E-2</v>
      </c>
      <c r="O1686" s="17">
        <f>N1686*'Financial Inputs'!$B$3</f>
        <v>2160000</v>
      </c>
      <c r="P1686" s="18">
        <f>IF(I1686="L",'Financial Inputs'!$B$4,IF(I1686="M",'Financial Inputs'!$B$5,'Financial Inputs'!$B$6))</f>
        <v>0.4</v>
      </c>
      <c r="Q1686" s="17">
        <f>O1686*P1686</f>
        <v>864000</v>
      </c>
      <c r="R1686" s="16">
        <f>'Financial Inputs'!$B$7</f>
        <v>0.35</v>
      </c>
      <c r="S1686" s="17">
        <f>Q1686*(1-R1686)</f>
        <v>561600</v>
      </c>
      <c r="T1686" s="18">
        <f>S1686/'Financial Inputs'!$B$3</f>
        <v>5.6160000000000003E-3</v>
      </c>
      <c r="U1686" s="9" t="s">
        <v>52</v>
      </c>
      <c r="V1686" s="3" t="s">
        <v>53</v>
      </c>
    </row>
    <row r="1687" spans="1:22">
      <c r="A1687" s="2" t="s">
        <v>5294</v>
      </c>
      <c r="B1687" s="2" t="s">
        <v>5295</v>
      </c>
      <c r="C1687" s="2" t="s">
        <v>5039</v>
      </c>
      <c r="D1687" s="2" t="s">
        <v>102</v>
      </c>
      <c r="E1687" s="2" t="s">
        <v>116</v>
      </c>
      <c r="F1687" s="2" t="s">
        <v>110</v>
      </c>
      <c r="G1687" s="2" t="s">
        <v>83</v>
      </c>
      <c r="H1687" s="2" t="s">
        <v>498</v>
      </c>
      <c r="I1687" s="2" t="s">
        <v>47</v>
      </c>
      <c r="J1687" s="2" t="s">
        <v>3529</v>
      </c>
      <c r="K1687" s="2" t="s">
        <v>5296</v>
      </c>
      <c r="L1687" s="2" t="s">
        <v>438</v>
      </c>
      <c r="M1687" s="2" t="s">
        <v>5041</v>
      </c>
      <c r="N1687" s="16">
        <v>1.44E-2</v>
      </c>
      <c r="O1687" s="17">
        <f>N1687*'Financial Inputs'!$B$3</f>
        <v>1440000</v>
      </c>
      <c r="P1687" s="18">
        <f>IF(I1687="L",'Financial Inputs'!$B$4,IF(I1687="M",'Financial Inputs'!$B$5,'Financial Inputs'!$B$6))</f>
        <v>0.4</v>
      </c>
      <c r="Q1687" s="17">
        <f>O1687*P1687</f>
        <v>576000</v>
      </c>
      <c r="R1687" s="16">
        <f>'Financial Inputs'!$B$7</f>
        <v>0.35</v>
      </c>
      <c r="S1687" s="17">
        <f>Q1687*(1-R1687)</f>
        <v>374400</v>
      </c>
      <c r="T1687" s="18">
        <f>S1687/'Financial Inputs'!$B$3</f>
        <v>3.7439999999999999E-3</v>
      </c>
      <c r="U1687" s="9" t="s">
        <v>52</v>
      </c>
      <c r="V1687" s="3" t="s">
        <v>53</v>
      </c>
    </row>
    <row r="1688" spans="1:22">
      <c r="A1688" s="2" t="s">
        <v>5297</v>
      </c>
      <c r="B1688" s="2" t="s">
        <v>5298</v>
      </c>
      <c r="C1688" s="2" t="s">
        <v>5039</v>
      </c>
      <c r="D1688" s="2" t="s">
        <v>42</v>
      </c>
      <c r="E1688" s="2" t="s">
        <v>215</v>
      </c>
      <c r="F1688" s="2" t="s">
        <v>117</v>
      </c>
      <c r="G1688" s="2" t="s">
        <v>111</v>
      </c>
      <c r="H1688" s="2" t="s">
        <v>498</v>
      </c>
      <c r="I1688" s="2" t="s">
        <v>47</v>
      </c>
      <c r="J1688" s="2" t="s">
        <v>3529</v>
      </c>
      <c r="K1688" s="2" t="s">
        <v>5299</v>
      </c>
      <c r="L1688" s="2" t="s">
        <v>442</v>
      </c>
      <c r="M1688" s="2" t="s">
        <v>5041</v>
      </c>
      <c r="N1688" s="16">
        <v>1.6199999999999999E-2</v>
      </c>
      <c r="O1688" s="17">
        <f>N1688*'Financial Inputs'!$B$3</f>
        <v>1620000</v>
      </c>
      <c r="P1688" s="18">
        <f>IF(I1688="L",'Financial Inputs'!$B$4,IF(I1688="M",'Financial Inputs'!$B$5,'Financial Inputs'!$B$6))</f>
        <v>0.4</v>
      </c>
      <c r="Q1688" s="17">
        <f>O1688*P1688</f>
        <v>648000</v>
      </c>
      <c r="R1688" s="16">
        <f>'Financial Inputs'!$B$7</f>
        <v>0.35</v>
      </c>
      <c r="S1688" s="17">
        <f>Q1688*(1-R1688)</f>
        <v>421200</v>
      </c>
      <c r="T1688" s="18">
        <f>S1688/'Financial Inputs'!$B$3</f>
        <v>4.2119999999999996E-3</v>
      </c>
      <c r="U1688" s="9" t="s">
        <v>52</v>
      </c>
      <c r="V1688" s="3" t="s">
        <v>53</v>
      </c>
    </row>
    <row r="1689" spans="1:22">
      <c r="A1689" s="2" t="s">
        <v>5300</v>
      </c>
      <c r="B1689" s="2" t="s">
        <v>5301</v>
      </c>
      <c r="C1689" s="2" t="s">
        <v>5039</v>
      </c>
      <c r="D1689" s="2" t="s">
        <v>56</v>
      </c>
      <c r="E1689" s="2" t="s">
        <v>220</v>
      </c>
      <c r="F1689" s="2" t="s">
        <v>90</v>
      </c>
      <c r="G1689" s="2" t="s">
        <v>56</v>
      </c>
      <c r="H1689" s="2" t="s">
        <v>498</v>
      </c>
      <c r="I1689" s="2" t="s">
        <v>47</v>
      </c>
      <c r="J1689" s="2" t="s">
        <v>3529</v>
      </c>
      <c r="K1689" s="2" t="s">
        <v>5302</v>
      </c>
      <c r="L1689" s="2" t="s">
        <v>446</v>
      </c>
      <c r="M1689" s="2" t="s">
        <v>5041</v>
      </c>
      <c r="N1689" s="16">
        <v>1.7999999999999999E-2</v>
      </c>
      <c r="O1689" s="17">
        <f>N1689*'Financial Inputs'!$B$3</f>
        <v>1799999.9999999998</v>
      </c>
      <c r="P1689" s="18">
        <f>IF(I1689="L",'Financial Inputs'!$B$4,IF(I1689="M",'Financial Inputs'!$B$5,'Financial Inputs'!$B$6))</f>
        <v>0.4</v>
      </c>
      <c r="Q1689" s="17">
        <f>O1689*P1689</f>
        <v>720000</v>
      </c>
      <c r="R1689" s="16">
        <f>'Financial Inputs'!$B$7</f>
        <v>0.35</v>
      </c>
      <c r="S1689" s="17">
        <f>Q1689*(1-R1689)</f>
        <v>468000</v>
      </c>
      <c r="T1689" s="18">
        <f>S1689/'Financial Inputs'!$B$3</f>
        <v>4.6800000000000001E-3</v>
      </c>
      <c r="U1689" s="9" t="s">
        <v>52</v>
      </c>
      <c r="V1689" s="3" t="s">
        <v>53</v>
      </c>
    </row>
    <row r="1690" spans="1:22">
      <c r="A1690" s="2" t="s">
        <v>5303</v>
      </c>
      <c r="B1690" s="2" t="s">
        <v>5304</v>
      </c>
      <c r="C1690" s="2" t="s">
        <v>5039</v>
      </c>
      <c r="D1690" s="2" t="s">
        <v>64</v>
      </c>
      <c r="E1690" s="2" t="s">
        <v>171</v>
      </c>
      <c r="F1690" s="2" t="s">
        <v>97</v>
      </c>
      <c r="G1690" s="2" t="s">
        <v>138</v>
      </c>
      <c r="H1690" s="2" t="s">
        <v>498</v>
      </c>
      <c r="I1690" s="2" t="s">
        <v>47</v>
      </c>
      <c r="J1690" s="2" t="s">
        <v>3529</v>
      </c>
      <c r="K1690" s="2" t="s">
        <v>5305</v>
      </c>
      <c r="L1690" s="2" t="s">
        <v>450</v>
      </c>
      <c r="M1690" s="2" t="s">
        <v>5041</v>
      </c>
      <c r="N1690" s="16">
        <v>1.9800000000000002E-2</v>
      </c>
      <c r="O1690" s="17">
        <f>N1690*'Financial Inputs'!$B$3</f>
        <v>1980000.0000000002</v>
      </c>
      <c r="P1690" s="18">
        <f>IF(I1690="L",'Financial Inputs'!$B$4,IF(I1690="M",'Financial Inputs'!$B$5,'Financial Inputs'!$B$6))</f>
        <v>0.4</v>
      </c>
      <c r="Q1690" s="17">
        <f>O1690*P1690</f>
        <v>792000.00000000012</v>
      </c>
      <c r="R1690" s="16">
        <f>'Financial Inputs'!$B$7</f>
        <v>0.35</v>
      </c>
      <c r="S1690" s="17">
        <f>Q1690*(1-R1690)</f>
        <v>514800.00000000012</v>
      </c>
      <c r="T1690" s="18">
        <f>S1690/'Financial Inputs'!$B$3</f>
        <v>5.1480000000000015E-3</v>
      </c>
      <c r="U1690" s="9" t="s">
        <v>52</v>
      </c>
      <c r="V1690" s="3" t="s">
        <v>53</v>
      </c>
    </row>
    <row r="1691" spans="1:22">
      <c r="A1691" s="2" t="s">
        <v>5306</v>
      </c>
      <c r="B1691" s="2" t="s">
        <v>5307</v>
      </c>
      <c r="C1691" s="2" t="s">
        <v>5039</v>
      </c>
      <c r="D1691" s="2" t="s">
        <v>72</v>
      </c>
      <c r="E1691" s="2" t="s">
        <v>176</v>
      </c>
      <c r="F1691" s="2" t="s">
        <v>104</v>
      </c>
      <c r="G1691" s="2" t="s">
        <v>143</v>
      </c>
      <c r="H1691" s="2" t="s">
        <v>498</v>
      </c>
      <c r="I1691" s="2" t="s">
        <v>47</v>
      </c>
      <c r="J1691" s="2" t="s">
        <v>3529</v>
      </c>
      <c r="K1691" s="2" t="s">
        <v>5308</v>
      </c>
      <c r="L1691" s="2" t="s">
        <v>454</v>
      </c>
      <c r="M1691" s="2" t="s">
        <v>5041</v>
      </c>
      <c r="N1691" s="16">
        <v>2.1600000000000001E-2</v>
      </c>
      <c r="O1691" s="17">
        <f>N1691*'Financial Inputs'!$B$3</f>
        <v>2160000</v>
      </c>
      <c r="P1691" s="18">
        <f>IF(I1691="L",'Financial Inputs'!$B$4,IF(I1691="M",'Financial Inputs'!$B$5,'Financial Inputs'!$B$6))</f>
        <v>0.4</v>
      </c>
      <c r="Q1691" s="17">
        <f>O1691*P1691</f>
        <v>864000</v>
      </c>
      <c r="R1691" s="16">
        <f>'Financial Inputs'!$B$7</f>
        <v>0.35</v>
      </c>
      <c r="S1691" s="17">
        <f>Q1691*(1-R1691)</f>
        <v>561600</v>
      </c>
      <c r="T1691" s="18">
        <f>S1691/'Financial Inputs'!$B$3</f>
        <v>5.6160000000000003E-3</v>
      </c>
      <c r="U1691" s="9" t="s">
        <v>52</v>
      </c>
      <c r="V1691" s="3" t="s">
        <v>53</v>
      </c>
    </row>
    <row r="1692" spans="1:22">
      <c r="A1692" s="2" t="s">
        <v>5309</v>
      </c>
      <c r="B1692" s="2" t="s">
        <v>5310</v>
      </c>
      <c r="C1692" s="2" t="s">
        <v>5039</v>
      </c>
      <c r="D1692" s="2" t="s">
        <v>133</v>
      </c>
      <c r="E1692" s="2" t="s">
        <v>65</v>
      </c>
      <c r="F1692" s="2" t="s">
        <v>82</v>
      </c>
      <c r="G1692" s="2" t="s">
        <v>56</v>
      </c>
      <c r="H1692" s="2" t="s">
        <v>498</v>
      </c>
      <c r="I1692" s="2" t="s">
        <v>47</v>
      </c>
      <c r="J1692" s="2" t="s">
        <v>3529</v>
      </c>
      <c r="K1692" s="2" t="s">
        <v>5311</v>
      </c>
      <c r="L1692" s="2" t="s">
        <v>458</v>
      </c>
      <c r="M1692" s="2" t="s">
        <v>5041</v>
      </c>
      <c r="N1692" s="16">
        <v>1.44E-2</v>
      </c>
      <c r="O1692" s="17">
        <f>N1692*'Financial Inputs'!$B$3</f>
        <v>1440000</v>
      </c>
      <c r="P1692" s="18">
        <f>IF(I1692="L",'Financial Inputs'!$B$4,IF(I1692="M",'Financial Inputs'!$B$5,'Financial Inputs'!$B$6))</f>
        <v>0.4</v>
      </c>
      <c r="Q1692" s="17">
        <f>O1692*P1692</f>
        <v>576000</v>
      </c>
      <c r="R1692" s="16">
        <f>'Financial Inputs'!$B$7</f>
        <v>0.35</v>
      </c>
      <c r="S1692" s="17">
        <f>Q1692*(1-R1692)</f>
        <v>374400</v>
      </c>
      <c r="T1692" s="18">
        <f>S1692/'Financial Inputs'!$B$3</f>
        <v>3.7439999999999999E-3</v>
      </c>
      <c r="U1692" s="9" t="s">
        <v>52</v>
      </c>
      <c r="V1692" s="3" t="s">
        <v>53</v>
      </c>
    </row>
    <row r="1693" spans="1:22">
      <c r="A1693" s="2" t="s">
        <v>5312</v>
      </c>
      <c r="B1693" s="2" t="s">
        <v>5313</v>
      </c>
      <c r="C1693" s="2" t="s">
        <v>5039</v>
      </c>
      <c r="D1693" s="2" t="s">
        <v>88</v>
      </c>
      <c r="E1693" s="2" t="s">
        <v>73</v>
      </c>
      <c r="F1693" s="2" t="s">
        <v>44</v>
      </c>
      <c r="G1693" s="2" t="s">
        <v>138</v>
      </c>
      <c r="H1693" s="2" t="s">
        <v>498</v>
      </c>
      <c r="I1693" s="2" t="s">
        <v>47</v>
      </c>
      <c r="J1693" s="2" t="s">
        <v>3529</v>
      </c>
      <c r="K1693" s="2" t="s">
        <v>5314</v>
      </c>
      <c r="L1693" s="2" t="s">
        <v>462</v>
      </c>
      <c r="M1693" s="2" t="s">
        <v>5041</v>
      </c>
      <c r="N1693" s="16">
        <v>1.6199999999999999E-2</v>
      </c>
      <c r="O1693" s="17">
        <f>N1693*'Financial Inputs'!$B$3</f>
        <v>1620000</v>
      </c>
      <c r="P1693" s="18">
        <f>IF(I1693="L",'Financial Inputs'!$B$4,IF(I1693="M",'Financial Inputs'!$B$5,'Financial Inputs'!$B$6))</f>
        <v>0.4</v>
      </c>
      <c r="Q1693" s="17">
        <f>O1693*P1693</f>
        <v>648000</v>
      </c>
      <c r="R1693" s="16">
        <f>'Financial Inputs'!$B$7</f>
        <v>0.35</v>
      </c>
      <c r="S1693" s="17">
        <f>Q1693*(1-R1693)</f>
        <v>421200</v>
      </c>
      <c r="T1693" s="18">
        <f>S1693/'Financial Inputs'!$B$3</f>
        <v>4.2119999999999996E-3</v>
      </c>
      <c r="U1693" s="9" t="s">
        <v>52</v>
      </c>
      <c r="V1693" s="3" t="s">
        <v>53</v>
      </c>
    </row>
    <row r="1694" spans="1:22">
      <c r="A1694" s="2" t="s">
        <v>5315</v>
      </c>
      <c r="B1694" s="2" t="s">
        <v>5316</v>
      </c>
      <c r="C1694" s="2" t="s">
        <v>5039</v>
      </c>
      <c r="D1694" s="2" t="s">
        <v>95</v>
      </c>
      <c r="E1694" s="2" t="s">
        <v>81</v>
      </c>
      <c r="F1694" s="2" t="s">
        <v>58</v>
      </c>
      <c r="G1694" s="2" t="s">
        <v>143</v>
      </c>
      <c r="H1694" s="2" t="s">
        <v>498</v>
      </c>
      <c r="I1694" s="2" t="s">
        <v>47</v>
      </c>
      <c r="J1694" s="2" t="s">
        <v>3529</v>
      </c>
      <c r="K1694" s="2" t="s">
        <v>5317</v>
      </c>
      <c r="L1694" s="2" t="s">
        <v>466</v>
      </c>
      <c r="M1694" s="2" t="s">
        <v>5041</v>
      </c>
      <c r="N1694" s="16">
        <v>1.7999999999999999E-2</v>
      </c>
      <c r="O1694" s="17">
        <f>N1694*'Financial Inputs'!$B$3</f>
        <v>1799999.9999999998</v>
      </c>
      <c r="P1694" s="18">
        <f>IF(I1694="L",'Financial Inputs'!$B$4,IF(I1694="M",'Financial Inputs'!$B$5,'Financial Inputs'!$B$6))</f>
        <v>0.4</v>
      </c>
      <c r="Q1694" s="17">
        <f>O1694*P1694</f>
        <v>720000</v>
      </c>
      <c r="R1694" s="16">
        <f>'Financial Inputs'!$B$7</f>
        <v>0.35</v>
      </c>
      <c r="S1694" s="17">
        <f>Q1694*(1-R1694)</f>
        <v>468000</v>
      </c>
      <c r="T1694" s="18">
        <f>S1694/'Financial Inputs'!$B$3</f>
        <v>4.6800000000000001E-3</v>
      </c>
      <c r="U1694" s="9" t="s">
        <v>52</v>
      </c>
      <c r="V1694" s="3" t="s">
        <v>53</v>
      </c>
    </row>
    <row r="1695" spans="1:22">
      <c r="A1695" s="2" t="s">
        <v>5318</v>
      </c>
      <c r="B1695" s="2" t="s">
        <v>5319</v>
      </c>
      <c r="C1695" s="2" t="s">
        <v>5039</v>
      </c>
      <c r="D1695" s="2" t="s">
        <v>102</v>
      </c>
      <c r="E1695" s="2" t="s">
        <v>193</v>
      </c>
      <c r="F1695" s="2" t="s">
        <v>66</v>
      </c>
      <c r="G1695" s="2" t="s">
        <v>162</v>
      </c>
      <c r="H1695" s="2" t="s">
        <v>498</v>
      </c>
      <c r="I1695" s="2" t="s">
        <v>47</v>
      </c>
      <c r="J1695" s="2" t="s">
        <v>3529</v>
      </c>
      <c r="K1695" s="2" t="s">
        <v>5320</v>
      </c>
      <c r="L1695" s="2" t="s">
        <v>470</v>
      </c>
      <c r="M1695" s="2" t="s">
        <v>5041</v>
      </c>
      <c r="N1695" s="16">
        <v>1.9800000000000002E-2</v>
      </c>
      <c r="O1695" s="17">
        <f>N1695*'Financial Inputs'!$B$3</f>
        <v>1980000.0000000002</v>
      </c>
      <c r="P1695" s="18">
        <f>IF(I1695="L",'Financial Inputs'!$B$4,IF(I1695="M",'Financial Inputs'!$B$5,'Financial Inputs'!$B$6))</f>
        <v>0.4</v>
      </c>
      <c r="Q1695" s="17">
        <f>O1695*P1695</f>
        <v>792000.00000000012</v>
      </c>
      <c r="R1695" s="16">
        <f>'Financial Inputs'!$B$7</f>
        <v>0.35</v>
      </c>
      <c r="S1695" s="17">
        <f>Q1695*(1-R1695)</f>
        <v>514800.00000000012</v>
      </c>
      <c r="T1695" s="18">
        <f>S1695/'Financial Inputs'!$B$3</f>
        <v>5.1480000000000015E-3</v>
      </c>
      <c r="U1695" s="9" t="s">
        <v>52</v>
      </c>
      <c r="V1695" s="3" t="s">
        <v>53</v>
      </c>
    </row>
    <row r="1696" spans="1:22">
      <c r="A1696" s="2" t="s">
        <v>5321</v>
      </c>
      <c r="B1696" s="2" t="s">
        <v>5322</v>
      </c>
      <c r="C1696" s="2" t="s">
        <v>5039</v>
      </c>
      <c r="D1696" s="2" t="s">
        <v>42</v>
      </c>
      <c r="E1696" s="2" t="s">
        <v>198</v>
      </c>
      <c r="F1696" s="2" t="s">
        <v>74</v>
      </c>
      <c r="G1696" s="2" t="s">
        <v>45</v>
      </c>
      <c r="H1696" s="2" t="s">
        <v>498</v>
      </c>
      <c r="I1696" s="2" t="s">
        <v>47</v>
      </c>
      <c r="J1696" s="2" t="s">
        <v>3529</v>
      </c>
      <c r="K1696" s="2" t="s">
        <v>5323</v>
      </c>
      <c r="L1696" s="2" t="s">
        <v>474</v>
      </c>
      <c r="M1696" s="2" t="s">
        <v>5041</v>
      </c>
      <c r="N1696" s="16">
        <v>2.1600000000000001E-2</v>
      </c>
      <c r="O1696" s="17">
        <f>N1696*'Financial Inputs'!$B$3</f>
        <v>2160000</v>
      </c>
      <c r="P1696" s="18">
        <f>IF(I1696="L",'Financial Inputs'!$B$4,IF(I1696="M",'Financial Inputs'!$B$5,'Financial Inputs'!$B$6))</f>
        <v>0.4</v>
      </c>
      <c r="Q1696" s="17">
        <f>O1696*P1696</f>
        <v>864000</v>
      </c>
      <c r="R1696" s="16">
        <f>'Financial Inputs'!$B$7</f>
        <v>0.35</v>
      </c>
      <c r="S1696" s="17">
        <f>Q1696*(1-R1696)</f>
        <v>561600</v>
      </c>
      <c r="T1696" s="18">
        <f>S1696/'Financial Inputs'!$B$3</f>
        <v>5.6160000000000003E-3</v>
      </c>
      <c r="U1696" s="9" t="s">
        <v>52</v>
      </c>
      <c r="V1696" s="3" t="s">
        <v>53</v>
      </c>
    </row>
    <row r="1697" spans="1:22">
      <c r="A1697" s="2" t="s">
        <v>5324</v>
      </c>
      <c r="B1697" s="2" t="s">
        <v>5325</v>
      </c>
      <c r="C1697" s="2" t="s">
        <v>5039</v>
      </c>
      <c r="D1697" s="2" t="s">
        <v>72</v>
      </c>
      <c r="E1697" s="2" t="s">
        <v>103</v>
      </c>
      <c r="F1697" s="2" t="s">
        <v>117</v>
      </c>
      <c r="G1697" s="2" t="s">
        <v>143</v>
      </c>
      <c r="H1697" s="2" t="s">
        <v>498</v>
      </c>
      <c r="I1697" s="2" t="s">
        <v>47</v>
      </c>
      <c r="J1697" s="2" t="s">
        <v>3529</v>
      </c>
      <c r="K1697" s="2" t="s">
        <v>5326</v>
      </c>
      <c r="L1697" s="2" t="s">
        <v>478</v>
      </c>
      <c r="M1697" s="2" t="s">
        <v>5041</v>
      </c>
      <c r="N1697" s="16">
        <v>1.44E-2</v>
      </c>
      <c r="O1697" s="17">
        <f>N1697*'Financial Inputs'!$B$3</f>
        <v>1440000</v>
      </c>
      <c r="P1697" s="18">
        <f>IF(I1697="L",'Financial Inputs'!$B$4,IF(I1697="M",'Financial Inputs'!$B$5,'Financial Inputs'!$B$6))</f>
        <v>0.4</v>
      </c>
      <c r="Q1697" s="17">
        <f>O1697*P1697</f>
        <v>576000</v>
      </c>
      <c r="R1697" s="16">
        <f>'Financial Inputs'!$B$7</f>
        <v>0.35</v>
      </c>
      <c r="S1697" s="17">
        <f>Q1697*(1-R1697)</f>
        <v>374400</v>
      </c>
      <c r="T1697" s="18">
        <f>S1697/'Financial Inputs'!$B$3</f>
        <v>3.7439999999999999E-3</v>
      </c>
      <c r="U1697" s="9" t="s">
        <v>52</v>
      </c>
      <c r="V1697" s="3" t="s">
        <v>53</v>
      </c>
    </row>
    <row r="1698" spans="1:22">
      <c r="A1698" s="2" t="s">
        <v>5327</v>
      </c>
      <c r="B1698" s="2" t="s">
        <v>5328</v>
      </c>
      <c r="C1698" s="2" t="s">
        <v>5039</v>
      </c>
      <c r="D1698" s="2" t="s">
        <v>80</v>
      </c>
      <c r="E1698" s="2" t="s">
        <v>109</v>
      </c>
      <c r="F1698" s="2" t="s">
        <v>90</v>
      </c>
      <c r="G1698" s="2" t="s">
        <v>162</v>
      </c>
      <c r="H1698" s="2" t="s">
        <v>498</v>
      </c>
      <c r="I1698" s="2" t="s">
        <v>47</v>
      </c>
      <c r="J1698" s="2" t="s">
        <v>3529</v>
      </c>
      <c r="K1698" s="2" t="s">
        <v>5329</v>
      </c>
      <c r="L1698" s="2" t="s">
        <v>482</v>
      </c>
      <c r="M1698" s="2" t="s">
        <v>5041</v>
      </c>
      <c r="N1698" s="16">
        <v>1.6199999999999999E-2</v>
      </c>
      <c r="O1698" s="17">
        <f>N1698*'Financial Inputs'!$B$3</f>
        <v>1620000</v>
      </c>
      <c r="P1698" s="18">
        <f>IF(I1698="L",'Financial Inputs'!$B$4,IF(I1698="M",'Financial Inputs'!$B$5,'Financial Inputs'!$B$6))</f>
        <v>0.4</v>
      </c>
      <c r="Q1698" s="17">
        <f>O1698*P1698</f>
        <v>648000</v>
      </c>
      <c r="R1698" s="16">
        <f>'Financial Inputs'!$B$7</f>
        <v>0.35</v>
      </c>
      <c r="S1698" s="17">
        <f>Q1698*(1-R1698)</f>
        <v>421200</v>
      </c>
      <c r="T1698" s="18">
        <f>S1698/'Financial Inputs'!$B$3</f>
        <v>4.2119999999999996E-3</v>
      </c>
      <c r="U1698" s="9" t="s">
        <v>52</v>
      </c>
      <c r="V1698" s="3" t="s">
        <v>53</v>
      </c>
    </row>
    <row r="1699" spans="1:22">
      <c r="A1699" s="2" t="s">
        <v>5330</v>
      </c>
      <c r="B1699" s="2" t="s">
        <v>5331</v>
      </c>
      <c r="C1699" s="2" t="s">
        <v>5039</v>
      </c>
      <c r="D1699" s="2" t="s">
        <v>127</v>
      </c>
      <c r="E1699" s="2" t="s">
        <v>116</v>
      </c>
      <c r="F1699" s="2" t="s">
        <v>97</v>
      </c>
      <c r="G1699" s="2" t="s">
        <v>45</v>
      </c>
      <c r="H1699" s="2" t="s">
        <v>498</v>
      </c>
      <c r="I1699" s="2" t="s">
        <v>47</v>
      </c>
      <c r="J1699" s="2" t="s">
        <v>3529</v>
      </c>
      <c r="K1699" s="2" t="s">
        <v>5332</v>
      </c>
      <c r="L1699" s="2" t="s">
        <v>486</v>
      </c>
      <c r="M1699" s="2" t="s">
        <v>5041</v>
      </c>
      <c r="N1699" s="16">
        <v>1.7999999999999999E-2</v>
      </c>
      <c r="O1699" s="17">
        <f>N1699*'Financial Inputs'!$B$3</f>
        <v>1799999.9999999998</v>
      </c>
      <c r="P1699" s="18">
        <f>IF(I1699="L",'Financial Inputs'!$B$4,IF(I1699="M",'Financial Inputs'!$B$5,'Financial Inputs'!$B$6))</f>
        <v>0.4</v>
      </c>
      <c r="Q1699" s="17">
        <f>O1699*P1699</f>
        <v>720000</v>
      </c>
      <c r="R1699" s="16">
        <f>'Financial Inputs'!$B$7</f>
        <v>0.35</v>
      </c>
      <c r="S1699" s="17">
        <f>Q1699*(1-R1699)</f>
        <v>468000</v>
      </c>
      <c r="T1699" s="18">
        <f>S1699/'Financial Inputs'!$B$3</f>
        <v>4.6800000000000001E-3</v>
      </c>
      <c r="U1699" s="9" t="s">
        <v>52</v>
      </c>
      <c r="V1699" s="3" t="s">
        <v>53</v>
      </c>
    </row>
    <row r="1700" spans="1:22">
      <c r="A1700" s="2" t="s">
        <v>5333</v>
      </c>
      <c r="B1700" s="2" t="s">
        <v>5334</v>
      </c>
      <c r="C1700" s="2" t="s">
        <v>5039</v>
      </c>
      <c r="D1700" s="2" t="s">
        <v>133</v>
      </c>
      <c r="E1700" s="2" t="s">
        <v>215</v>
      </c>
      <c r="F1700" s="2" t="s">
        <v>104</v>
      </c>
      <c r="G1700" s="2" t="s">
        <v>59</v>
      </c>
      <c r="H1700" s="2" t="s">
        <v>498</v>
      </c>
      <c r="I1700" s="2" t="s">
        <v>47</v>
      </c>
      <c r="J1700" s="2" t="s">
        <v>3529</v>
      </c>
      <c r="K1700" s="2" t="s">
        <v>5335</v>
      </c>
      <c r="L1700" s="2" t="s">
        <v>490</v>
      </c>
      <c r="M1700" s="2" t="s">
        <v>5041</v>
      </c>
      <c r="N1700" s="16">
        <v>1.9800000000000002E-2</v>
      </c>
      <c r="O1700" s="17">
        <f>N1700*'Financial Inputs'!$B$3</f>
        <v>1980000.0000000002</v>
      </c>
      <c r="P1700" s="18">
        <f>IF(I1700="L",'Financial Inputs'!$B$4,IF(I1700="M",'Financial Inputs'!$B$5,'Financial Inputs'!$B$6))</f>
        <v>0.4</v>
      </c>
      <c r="Q1700" s="17">
        <f>O1700*P1700</f>
        <v>792000.00000000012</v>
      </c>
      <c r="R1700" s="16">
        <f>'Financial Inputs'!$B$7</f>
        <v>0.35</v>
      </c>
      <c r="S1700" s="17">
        <f>Q1700*(1-R1700)</f>
        <v>514800.00000000012</v>
      </c>
      <c r="T1700" s="18">
        <f>S1700/'Financial Inputs'!$B$3</f>
        <v>5.1480000000000015E-3</v>
      </c>
      <c r="U1700" s="9" t="s">
        <v>52</v>
      </c>
      <c r="V1700" s="3" t="s">
        <v>53</v>
      </c>
    </row>
    <row r="1701" spans="1:22">
      <c r="A1701" s="2" t="s">
        <v>5336</v>
      </c>
      <c r="B1701" s="2" t="s">
        <v>5337</v>
      </c>
      <c r="C1701" s="2" t="s">
        <v>5039</v>
      </c>
      <c r="D1701" s="2" t="s">
        <v>88</v>
      </c>
      <c r="E1701" s="2" t="s">
        <v>220</v>
      </c>
      <c r="F1701" s="2" t="s">
        <v>110</v>
      </c>
      <c r="G1701" s="2" t="s">
        <v>67</v>
      </c>
      <c r="H1701" s="2" t="s">
        <v>498</v>
      </c>
      <c r="I1701" s="2" t="s">
        <v>47</v>
      </c>
      <c r="J1701" s="2" t="s">
        <v>3529</v>
      </c>
      <c r="K1701" s="2" t="s">
        <v>5338</v>
      </c>
      <c r="L1701" s="2" t="s">
        <v>494</v>
      </c>
      <c r="M1701" s="2" t="s">
        <v>5041</v>
      </c>
      <c r="N1701" s="16">
        <v>2.1600000000000001E-2</v>
      </c>
      <c r="O1701" s="17">
        <f>N1701*'Financial Inputs'!$B$3</f>
        <v>2160000</v>
      </c>
      <c r="P1701" s="18">
        <f>IF(I1701="L",'Financial Inputs'!$B$4,IF(I1701="M",'Financial Inputs'!$B$5,'Financial Inputs'!$B$6))</f>
        <v>0.4</v>
      </c>
      <c r="Q1701" s="17">
        <f>O1701*P1701</f>
        <v>864000</v>
      </c>
      <c r="R1701" s="16">
        <f>'Financial Inputs'!$B$7</f>
        <v>0.35</v>
      </c>
      <c r="S1701" s="17">
        <f>Q1701*(1-R1701)</f>
        <v>561600</v>
      </c>
      <c r="T1701" s="18">
        <f>S1701/'Financial Inputs'!$B$3</f>
        <v>5.6160000000000003E-3</v>
      </c>
      <c r="U1701" s="9" t="s">
        <v>52</v>
      </c>
      <c r="V1701" s="3" t="s">
        <v>53</v>
      </c>
    </row>
    <row r="1702" spans="1:22">
      <c r="A1702" s="2" t="s">
        <v>5339</v>
      </c>
      <c r="B1702" s="2" t="s">
        <v>5340</v>
      </c>
      <c r="C1702" s="2" t="s">
        <v>5341</v>
      </c>
      <c r="D1702" s="2" t="s">
        <v>42</v>
      </c>
      <c r="E1702" s="2" t="s">
        <v>43</v>
      </c>
      <c r="F1702" s="2" t="s">
        <v>44</v>
      </c>
      <c r="G1702" s="2" t="s">
        <v>45</v>
      </c>
      <c r="H1702" s="2" t="s">
        <v>46</v>
      </c>
      <c r="I1702" s="2" t="s">
        <v>499</v>
      </c>
      <c r="J1702" s="2" t="s">
        <v>4133</v>
      </c>
      <c r="K1702" s="2" t="s">
        <v>5342</v>
      </c>
      <c r="L1702" s="2" t="s">
        <v>50</v>
      </c>
      <c r="M1702" s="2" t="s">
        <v>5343</v>
      </c>
      <c r="N1702" s="16">
        <v>0.02</v>
      </c>
      <c r="O1702" s="17">
        <f>N1702*'Financial Inputs'!$B$3</f>
        <v>2000000</v>
      </c>
      <c r="P1702" s="18">
        <f>IF(I1702="L",'Financial Inputs'!$B$4,IF(I1702="M",'Financial Inputs'!$B$5,'Financial Inputs'!$B$6))</f>
        <v>0.7</v>
      </c>
      <c r="Q1702" s="17">
        <f>O1702*P1702</f>
        <v>1400000</v>
      </c>
      <c r="R1702" s="16">
        <f>'Financial Inputs'!$B$7</f>
        <v>0.35</v>
      </c>
      <c r="S1702" s="17">
        <f>Q1702*(1-R1702)</f>
        <v>910000</v>
      </c>
      <c r="T1702" s="18">
        <f>S1702/'Financial Inputs'!$B$3</f>
        <v>9.1000000000000004E-3</v>
      </c>
      <c r="U1702" s="9" t="s">
        <v>52</v>
      </c>
      <c r="V1702" s="3" t="s">
        <v>53</v>
      </c>
    </row>
    <row r="1703" spans="1:22">
      <c r="A1703" s="2" t="s">
        <v>5344</v>
      </c>
      <c r="B1703" s="2" t="s">
        <v>5345</v>
      </c>
      <c r="C1703" s="2" t="s">
        <v>5341</v>
      </c>
      <c r="D1703" s="2" t="s">
        <v>56</v>
      </c>
      <c r="E1703" s="2" t="s">
        <v>57</v>
      </c>
      <c r="F1703" s="2" t="s">
        <v>58</v>
      </c>
      <c r="G1703" s="2" t="s">
        <v>59</v>
      </c>
      <c r="H1703" s="2" t="s">
        <v>46</v>
      </c>
      <c r="I1703" s="2" t="s">
        <v>499</v>
      </c>
      <c r="J1703" s="2" t="s">
        <v>4133</v>
      </c>
      <c r="K1703" s="2" t="s">
        <v>5346</v>
      </c>
      <c r="L1703" s="2" t="s">
        <v>61</v>
      </c>
      <c r="M1703" s="2" t="s">
        <v>5343</v>
      </c>
      <c r="N1703" s="16">
        <v>2.2499999999999999E-2</v>
      </c>
      <c r="O1703" s="17">
        <f>N1703*'Financial Inputs'!$B$3</f>
        <v>2250000</v>
      </c>
      <c r="P1703" s="18">
        <f>IF(I1703="L",'Financial Inputs'!$B$4,IF(I1703="M",'Financial Inputs'!$B$5,'Financial Inputs'!$B$6))</f>
        <v>0.7</v>
      </c>
      <c r="Q1703" s="17">
        <f>O1703*P1703</f>
        <v>1575000</v>
      </c>
      <c r="R1703" s="16">
        <f>'Financial Inputs'!$B$7</f>
        <v>0.35</v>
      </c>
      <c r="S1703" s="17">
        <f>Q1703*(1-R1703)</f>
        <v>1023750</v>
      </c>
      <c r="T1703" s="18">
        <f>S1703/'Financial Inputs'!$B$3</f>
        <v>1.02375E-2</v>
      </c>
      <c r="U1703" s="9" t="s">
        <v>52</v>
      </c>
      <c r="V1703" s="3" t="s">
        <v>53</v>
      </c>
    </row>
    <row r="1704" spans="1:22">
      <c r="A1704" s="2" t="s">
        <v>5347</v>
      </c>
      <c r="B1704" s="2" t="s">
        <v>5348</v>
      </c>
      <c r="C1704" s="2" t="s">
        <v>5341</v>
      </c>
      <c r="D1704" s="2" t="s">
        <v>64</v>
      </c>
      <c r="E1704" s="2" t="s">
        <v>65</v>
      </c>
      <c r="F1704" s="2" t="s">
        <v>66</v>
      </c>
      <c r="G1704" s="2" t="s">
        <v>67</v>
      </c>
      <c r="H1704" s="2" t="s">
        <v>46</v>
      </c>
      <c r="I1704" s="2" t="s">
        <v>499</v>
      </c>
      <c r="J1704" s="2" t="s">
        <v>4133</v>
      </c>
      <c r="K1704" s="2" t="s">
        <v>5349</v>
      </c>
      <c r="L1704" s="2" t="s">
        <v>69</v>
      </c>
      <c r="M1704" s="2" t="s">
        <v>5343</v>
      </c>
      <c r="N1704" s="16">
        <v>2.5000000000000001E-2</v>
      </c>
      <c r="O1704" s="17">
        <f>N1704*'Financial Inputs'!$B$3</f>
        <v>2500000</v>
      </c>
      <c r="P1704" s="18">
        <f>IF(I1704="L",'Financial Inputs'!$B$4,IF(I1704="M",'Financial Inputs'!$B$5,'Financial Inputs'!$B$6))</f>
        <v>0.7</v>
      </c>
      <c r="Q1704" s="17">
        <f>O1704*P1704</f>
        <v>1750000</v>
      </c>
      <c r="R1704" s="16">
        <f>'Financial Inputs'!$B$7</f>
        <v>0.35</v>
      </c>
      <c r="S1704" s="17">
        <f>Q1704*(1-R1704)</f>
        <v>1137500</v>
      </c>
      <c r="T1704" s="18">
        <f>S1704/'Financial Inputs'!$B$3</f>
        <v>1.1375E-2</v>
      </c>
      <c r="U1704" s="9" t="s">
        <v>52</v>
      </c>
      <c r="V1704" s="3" t="s">
        <v>53</v>
      </c>
    </row>
    <row r="1705" spans="1:22">
      <c r="A1705" s="2" t="s">
        <v>5350</v>
      </c>
      <c r="B1705" s="2" t="s">
        <v>5351</v>
      </c>
      <c r="C1705" s="2" t="s">
        <v>5341</v>
      </c>
      <c r="D1705" s="2" t="s">
        <v>72</v>
      </c>
      <c r="E1705" s="2" t="s">
        <v>73</v>
      </c>
      <c r="F1705" s="2" t="s">
        <v>74</v>
      </c>
      <c r="G1705" s="2" t="s">
        <v>75</v>
      </c>
      <c r="H1705" s="2" t="s">
        <v>46</v>
      </c>
      <c r="I1705" s="2" t="s">
        <v>499</v>
      </c>
      <c r="J1705" s="2" t="s">
        <v>4133</v>
      </c>
      <c r="K1705" s="2" t="s">
        <v>5352</v>
      </c>
      <c r="L1705" s="2" t="s">
        <v>77</v>
      </c>
      <c r="M1705" s="2" t="s">
        <v>5343</v>
      </c>
      <c r="N1705" s="16">
        <v>2.75E-2</v>
      </c>
      <c r="O1705" s="17">
        <f>N1705*'Financial Inputs'!$B$3</f>
        <v>2750000</v>
      </c>
      <c r="P1705" s="18">
        <f>IF(I1705="L",'Financial Inputs'!$B$4,IF(I1705="M",'Financial Inputs'!$B$5,'Financial Inputs'!$B$6))</f>
        <v>0.7</v>
      </c>
      <c r="Q1705" s="17">
        <f>O1705*P1705</f>
        <v>1924999.9999999998</v>
      </c>
      <c r="R1705" s="16">
        <f>'Financial Inputs'!$B$7</f>
        <v>0.35</v>
      </c>
      <c r="S1705" s="17">
        <f>Q1705*(1-R1705)</f>
        <v>1251250</v>
      </c>
      <c r="T1705" s="18">
        <f>S1705/'Financial Inputs'!$B$3</f>
        <v>1.2512499999999999E-2</v>
      </c>
      <c r="U1705" s="9" t="s">
        <v>52</v>
      </c>
      <c r="V1705" s="3" t="s">
        <v>53</v>
      </c>
    </row>
    <row r="1706" spans="1:22">
      <c r="A1706" s="2" t="s">
        <v>5353</v>
      </c>
      <c r="B1706" s="2" t="s">
        <v>5354</v>
      </c>
      <c r="C1706" s="2" t="s">
        <v>5341</v>
      </c>
      <c r="D1706" s="2" t="s">
        <v>80</v>
      </c>
      <c r="E1706" s="2" t="s">
        <v>81</v>
      </c>
      <c r="F1706" s="2" t="s">
        <v>82</v>
      </c>
      <c r="G1706" s="2" t="s">
        <v>83</v>
      </c>
      <c r="H1706" s="2" t="s">
        <v>46</v>
      </c>
      <c r="I1706" s="2" t="s">
        <v>499</v>
      </c>
      <c r="J1706" s="2" t="s">
        <v>4133</v>
      </c>
      <c r="K1706" s="2" t="s">
        <v>5355</v>
      </c>
      <c r="L1706" s="2" t="s">
        <v>85</v>
      </c>
      <c r="M1706" s="2" t="s">
        <v>5343</v>
      </c>
      <c r="N1706" s="16">
        <v>3.0000000000000009E-2</v>
      </c>
      <c r="O1706" s="17">
        <f>N1706*'Financial Inputs'!$B$3</f>
        <v>3000000.0000000009</v>
      </c>
      <c r="P1706" s="18">
        <f>IF(I1706="L",'Financial Inputs'!$B$4,IF(I1706="M",'Financial Inputs'!$B$5,'Financial Inputs'!$B$6))</f>
        <v>0.7</v>
      </c>
      <c r="Q1706" s="17">
        <f>O1706*P1706</f>
        <v>2100000.0000000005</v>
      </c>
      <c r="R1706" s="16">
        <f>'Financial Inputs'!$B$7</f>
        <v>0.35</v>
      </c>
      <c r="S1706" s="17">
        <f>Q1706*(1-R1706)</f>
        <v>1365000.0000000005</v>
      </c>
      <c r="T1706" s="18">
        <f>S1706/'Financial Inputs'!$B$3</f>
        <v>1.3650000000000004E-2</v>
      </c>
      <c r="U1706" s="9" t="s">
        <v>52</v>
      </c>
      <c r="V1706" s="3" t="s">
        <v>53</v>
      </c>
    </row>
    <row r="1707" spans="1:22">
      <c r="A1707" s="2" t="s">
        <v>5356</v>
      </c>
      <c r="B1707" s="2" t="s">
        <v>5357</v>
      </c>
      <c r="C1707" s="2" t="s">
        <v>5341</v>
      </c>
      <c r="D1707" s="2" t="s">
        <v>88</v>
      </c>
      <c r="E1707" s="2" t="s">
        <v>89</v>
      </c>
      <c r="F1707" s="2" t="s">
        <v>90</v>
      </c>
      <c r="G1707" s="2" t="s">
        <v>67</v>
      </c>
      <c r="H1707" s="2" t="s">
        <v>46</v>
      </c>
      <c r="I1707" s="2" t="s">
        <v>499</v>
      </c>
      <c r="J1707" s="2" t="s">
        <v>4133</v>
      </c>
      <c r="K1707" s="2" t="s">
        <v>5358</v>
      </c>
      <c r="L1707" s="2" t="s">
        <v>92</v>
      </c>
      <c r="M1707" s="2" t="s">
        <v>5343</v>
      </c>
      <c r="N1707" s="16">
        <v>0.02</v>
      </c>
      <c r="O1707" s="17">
        <f>N1707*'Financial Inputs'!$B$3</f>
        <v>2000000</v>
      </c>
      <c r="P1707" s="18">
        <f>IF(I1707="L",'Financial Inputs'!$B$4,IF(I1707="M",'Financial Inputs'!$B$5,'Financial Inputs'!$B$6))</f>
        <v>0.7</v>
      </c>
      <c r="Q1707" s="17">
        <f>O1707*P1707</f>
        <v>1400000</v>
      </c>
      <c r="R1707" s="16">
        <f>'Financial Inputs'!$B$7</f>
        <v>0.35</v>
      </c>
      <c r="S1707" s="17">
        <f>Q1707*(1-R1707)</f>
        <v>910000</v>
      </c>
      <c r="T1707" s="18">
        <f>S1707/'Financial Inputs'!$B$3</f>
        <v>9.1000000000000004E-3</v>
      </c>
      <c r="U1707" s="9" t="s">
        <v>52</v>
      </c>
      <c r="V1707" s="3" t="s">
        <v>53</v>
      </c>
    </row>
    <row r="1708" spans="1:22">
      <c r="A1708" s="2" t="s">
        <v>5359</v>
      </c>
      <c r="B1708" s="2" t="s">
        <v>5360</v>
      </c>
      <c r="C1708" s="2" t="s">
        <v>5341</v>
      </c>
      <c r="D1708" s="2" t="s">
        <v>95</v>
      </c>
      <c r="E1708" s="2" t="s">
        <v>96</v>
      </c>
      <c r="F1708" s="2" t="s">
        <v>97</v>
      </c>
      <c r="G1708" s="2" t="s">
        <v>75</v>
      </c>
      <c r="H1708" s="2" t="s">
        <v>46</v>
      </c>
      <c r="I1708" s="2" t="s">
        <v>499</v>
      </c>
      <c r="J1708" s="2" t="s">
        <v>4133</v>
      </c>
      <c r="K1708" s="2" t="s">
        <v>5361</v>
      </c>
      <c r="L1708" s="2" t="s">
        <v>99</v>
      </c>
      <c r="M1708" s="2" t="s">
        <v>5343</v>
      </c>
      <c r="N1708" s="16">
        <v>2.2499999999999999E-2</v>
      </c>
      <c r="O1708" s="17">
        <f>N1708*'Financial Inputs'!$B$3</f>
        <v>2250000</v>
      </c>
      <c r="P1708" s="18">
        <f>IF(I1708="L",'Financial Inputs'!$B$4,IF(I1708="M",'Financial Inputs'!$B$5,'Financial Inputs'!$B$6))</f>
        <v>0.7</v>
      </c>
      <c r="Q1708" s="17">
        <f>O1708*P1708</f>
        <v>1575000</v>
      </c>
      <c r="R1708" s="16">
        <f>'Financial Inputs'!$B$7</f>
        <v>0.35</v>
      </c>
      <c r="S1708" s="17">
        <f>Q1708*(1-R1708)</f>
        <v>1023750</v>
      </c>
      <c r="T1708" s="18">
        <f>S1708/'Financial Inputs'!$B$3</f>
        <v>1.02375E-2</v>
      </c>
      <c r="U1708" s="9" t="s">
        <v>52</v>
      </c>
      <c r="V1708" s="3" t="s">
        <v>53</v>
      </c>
    </row>
    <row r="1709" spans="1:22">
      <c r="A1709" s="2" t="s">
        <v>5362</v>
      </c>
      <c r="B1709" s="2" t="s">
        <v>5363</v>
      </c>
      <c r="C1709" s="2" t="s">
        <v>5341</v>
      </c>
      <c r="D1709" s="2" t="s">
        <v>102</v>
      </c>
      <c r="E1709" s="2" t="s">
        <v>103</v>
      </c>
      <c r="F1709" s="2" t="s">
        <v>104</v>
      </c>
      <c r="G1709" s="2" t="s">
        <v>83</v>
      </c>
      <c r="H1709" s="2" t="s">
        <v>46</v>
      </c>
      <c r="I1709" s="2" t="s">
        <v>499</v>
      </c>
      <c r="J1709" s="2" t="s">
        <v>4133</v>
      </c>
      <c r="K1709" s="2" t="s">
        <v>5364</v>
      </c>
      <c r="L1709" s="2" t="s">
        <v>106</v>
      </c>
      <c r="M1709" s="2" t="s">
        <v>5343</v>
      </c>
      <c r="N1709" s="16">
        <v>2.5000000000000001E-2</v>
      </c>
      <c r="O1709" s="17">
        <f>N1709*'Financial Inputs'!$B$3</f>
        <v>2500000</v>
      </c>
      <c r="P1709" s="18">
        <f>IF(I1709="L",'Financial Inputs'!$B$4,IF(I1709="M",'Financial Inputs'!$B$5,'Financial Inputs'!$B$6))</f>
        <v>0.7</v>
      </c>
      <c r="Q1709" s="17">
        <f>O1709*P1709</f>
        <v>1750000</v>
      </c>
      <c r="R1709" s="16">
        <f>'Financial Inputs'!$B$7</f>
        <v>0.35</v>
      </c>
      <c r="S1709" s="17">
        <f>Q1709*(1-R1709)</f>
        <v>1137500</v>
      </c>
      <c r="T1709" s="18">
        <f>S1709/'Financial Inputs'!$B$3</f>
        <v>1.1375E-2</v>
      </c>
      <c r="U1709" s="9" t="s">
        <v>52</v>
      </c>
      <c r="V1709" s="3" t="s">
        <v>53</v>
      </c>
    </row>
    <row r="1710" spans="1:22">
      <c r="A1710" s="2" t="s">
        <v>5365</v>
      </c>
      <c r="B1710" s="2" t="s">
        <v>5366</v>
      </c>
      <c r="C1710" s="2" t="s">
        <v>5341</v>
      </c>
      <c r="D1710" s="2" t="s">
        <v>42</v>
      </c>
      <c r="E1710" s="2" t="s">
        <v>109</v>
      </c>
      <c r="F1710" s="2" t="s">
        <v>110</v>
      </c>
      <c r="G1710" s="2" t="s">
        <v>111</v>
      </c>
      <c r="H1710" s="2" t="s">
        <v>46</v>
      </c>
      <c r="I1710" s="2" t="s">
        <v>499</v>
      </c>
      <c r="J1710" s="2" t="s">
        <v>4133</v>
      </c>
      <c r="K1710" s="2" t="s">
        <v>5367</v>
      </c>
      <c r="L1710" s="2" t="s">
        <v>113</v>
      </c>
      <c r="M1710" s="2" t="s">
        <v>5343</v>
      </c>
      <c r="N1710" s="16">
        <v>2.75E-2</v>
      </c>
      <c r="O1710" s="17">
        <f>N1710*'Financial Inputs'!$B$3</f>
        <v>2750000</v>
      </c>
      <c r="P1710" s="18">
        <f>IF(I1710="L",'Financial Inputs'!$B$4,IF(I1710="M",'Financial Inputs'!$B$5,'Financial Inputs'!$B$6))</f>
        <v>0.7</v>
      </c>
      <c r="Q1710" s="17">
        <f>O1710*P1710</f>
        <v>1924999.9999999998</v>
      </c>
      <c r="R1710" s="16">
        <f>'Financial Inputs'!$B$7</f>
        <v>0.35</v>
      </c>
      <c r="S1710" s="17">
        <f>Q1710*(1-R1710)</f>
        <v>1251250</v>
      </c>
      <c r="T1710" s="18">
        <f>S1710/'Financial Inputs'!$B$3</f>
        <v>1.2512499999999999E-2</v>
      </c>
      <c r="U1710" s="9" t="s">
        <v>52</v>
      </c>
      <c r="V1710" s="3" t="s">
        <v>53</v>
      </c>
    </row>
    <row r="1711" spans="1:22">
      <c r="A1711" s="2" t="s">
        <v>5368</v>
      </c>
      <c r="B1711" s="2" t="s">
        <v>5369</v>
      </c>
      <c r="C1711" s="2" t="s">
        <v>5341</v>
      </c>
      <c r="D1711" s="2" t="s">
        <v>56</v>
      </c>
      <c r="E1711" s="2" t="s">
        <v>116</v>
      </c>
      <c r="F1711" s="2" t="s">
        <v>117</v>
      </c>
      <c r="G1711" s="2" t="s">
        <v>56</v>
      </c>
      <c r="H1711" s="2" t="s">
        <v>46</v>
      </c>
      <c r="I1711" s="2" t="s">
        <v>499</v>
      </c>
      <c r="J1711" s="2" t="s">
        <v>4133</v>
      </c>
      <c r="K1711" s="2" t="s">
        <v>5370</v>
      </c>
      <c r="L1711" s="2" t="s">
        <v>119</v>
      </c>
      <c r="M1711" s="2" t="s">
        <v>5343</v>
      </c>
      <c r="N1711" s="16">
        <v>3.0000000000000009E-2</v>
      </c>
      <c r="O1711" s="17">
        <f>N1711*'Financial Inputs'!$B$3</f>
        <v>3000000.0000000009</v>
      </c>
      <c r="P1711" s="18">
        <f>IF(I1711="L",'Financial Inputs'!$B$4,IF(I1711="M",'Financial Inputs'!$B$5,'Financial Inputs'!$B$6))</f>
        <v>0.7</v>
      </c>
      <c r="Q1711" s="17">
        <f>O1711*P1711</f>
        <v>2100000.0000000005</v>
      </c>
      <c r="R1711" s="16">
        <f>'Financial Inputs'!$B$7</f>
        <v>0.35</v>
      </c>
      <c r="S1711" s="17">
        <f>Q1711*(1-R1711)</f>
        <v>1365000.0000000005</v>
      </c>
      <c r="T1711" s="18">
        <f>S1711/'Financial Inputs'!$B$3</f>
        <v>1.3650000000000004E-2</v>
      </c>
      <c r="U1711" s="9" t="s">
        <v>52</v>
      </c>
      <c r="V1711" s="3" t="s">
        <v>53</v>
      </c>
    </row>
    <row r="1712" spans="1:22">
      <c r="A1712" s="2" t="s">
        <v>5371</v>
      </c>
      <c r="B1712" s="2" t="s">
        <v>5372</v>
      </c>
      <c r="C1712" s="2" t="s">
        <v>5341</v>
      </c>
      <c r="D1712" s="2" t="s">
        <v>80</v>
      </c>
      <c r="E1712" s="2" t="s">
        <v>122</v>
      </c>
      <c r="F1712" s="2" t="s">
        <v>58</v>
      </c>
      <c r="G1712" s="2" t="s">
        <v>83</v>
      </c>
      <c r="H1712" s="2" t="s">
        <v>46</v>
      </c>
      <c r="I1712" s="2" t="s">
        <v>499</v>
      </c>
      <c r="J1712" s="2" t="s">
        <v>4133</v>
      </c>
      <c r="K1712" s="2" t="s">
        <v>5373</v>
      </c>
      <c r="L1712" s="2" t="s">
        <v>124</v>
      </c>
      <c r="M1712" s="2" t="s">
        <v>5343</v>
      </c>
      <c r="N1712" s="16">
        <v>0.02</v>
      </c>
      <c r="O1712" s="17">
        <f>N1712*'Financial Inputs'!$B$3</f>
        <v>2000000</v>
      </c>
      <c r="P1712" s="18">
        <f>IF(I1712="L",'Financial Inputs'!$B$4,IF(I1712="M",'Financial Inputs'!$B$5,'Financial Inputs'!$B$6))</f>
        <v>0.7</v>
      </c>
      <c r="Q1712" s="17">
        <f>O1712*P1712</f>
        <v>1400000</v>
      </c>
      <c r="R1712" s="16">
        <f>'Financial Inputs'!$B$7</f>
        <v>0.35</v>
      </c>
      <c r="S1712" s="17">
        <f>Q1712*(1-R1712)</f>
        <v>910000</v>
      </c>
      <c r="T1712" s="18">
        <f>S1712/'Financial Inputs'!$B$3</f>
        <v>9.1000000000000004E-3</v>
      </c>
      <c r="U1712" s="9" t="s">
        <v>52</v>
      </c>
      <c r="V1712" s="3" t="s">
        <v>53</v>
      </c>
    </row>
    <row r="1713" spans="1:22">
      <c r="A1713" s="2" t="s">
        <v>5374</v>
      </c>
      <c r="B1713" s="2" t="s">
        <v>5375</v>
      </c>
      <c r="C1713" s="2" t="s">
        <v>5341</v>
      </c>
      <c r="D1713" s="2" t="s">
        <v>127</v>
      </c>
      <c r="E1713" s="2" t="s">
        <v>128</v>
      </c>
      <c r="F1713" s="2" t="s">
        <v>66</v>
      </c>
      <c r="G1713" s="2" t="s">
        <v>111</v>
      </c>
      <c r="H1713" s="2" t="s">
        <v>46</v>
      </c>
      <c r="I1713" s="2" t="s">
        <v>499</v>
      </c>
      <c r="J1713" s="2" t="s">
        <v>4133</v>
      </c>
      <c r="K1713" s="2" t="s">
        <v>5376</v>
      </c>
      <c r="L1713" s="2" t="s">
        <v>130</v>
      </c>
      <c r="M1713" s="2" t="s">
        <v>5343</v>
      </c>
      <c r="N1713" s="16">
        <v>2.2499999999999999E-2</v>
      </c>
      <c r="O1713" s="17">
        <f>N1713*'Financial Inputs'!$B$3</f>
        <v>2250000</v>
      </c>
      <c r="P1713" s="18">
        <f>IF(I1713="L",'Financial Inputs'!$B$4,IF(I1713="M",'Financial Inputs'!$B$5,'Financial Inputs'!$B$6))</f>
        <v>0.7</v>
      </c>
      <c r="Q1713" s="17">
        <f>O1713*P1713</f>
        <v>1575000</v>
      </c>
      <c r="R1713" s="16">
        <f>'Financial Inputs'!$B$7</f>
        <v>0.35</v>
      </c>
      <c r="S1713" s="17">
        <f>Q1713*(1-R1713)</f>
        <v>1023750</v>
      </c>
      <c r="T1713" s="18">
        <f>S1713/'Financial Inputs'!$B$3</f>
        <v>1.02375E-2</v>
      </c>
      <c r="U1713" s="9" t="s">
        <v>52</v>
      </c>
      <c r="V1713" s="3" t="s">
        <v>53</v>
      </c>
    </row>
    <row r="1714" spans="1:22">
      <c r="A1714" s="2" t="s">
        <v>5377</v>
      </c>
      <c r="B1714" s="2" t="s">
        <v>5378</v>
      </c>
      <c r="C1714" s="2" t="s">
        <v>5341</v>
      </c>
      <c r="D1714" s="2" t="s">
        <v>133</v>
      </c>
      <c r="E1714" s="2" t="s">
        <v>43</v>
      </c>
      <c r="F1714" s="2" t="s">
        <v>74</v>
      </c>
      <c r="G1714" s="2" t="s">
        <v>56</v>
      </c>
      <c r="H1714" s="2" t="s">
        <v>46</v>
      </c>
      <c r="I1714" s="2" t="s">
        <v>499</v>
      </c>
      <c r="J1714" s="2" t="s">
        <v>4133</v>
      </c>
      <c r="K1714" s="2" t="s">
        <v>5379</v>
      </c>
      <c r="L1714" s="2" t="s">
        <v>135</v>
      </c>
      <c r="M1714" s="2" t="s">
        <v>5343</v>
      </c>
      <c r="N1714" s="16">
        <v>2.5000000000000001E-2</v>
      </c>
      <c r="O1714" s="17">
        <f>N1714*'Financial Inputs'!$B$3</f>
        <v>2500000</v>
      </c>
      <c r="P1714" s="18">
        <f>IF(I1714="L",'Financial Inputs'!$B$4,IF(I1714="M",'Financial Inputs'!$B$5,'Financial Inputs'!$B$6))</f>
        <v>0.7</v>
      </c>
      <c r="Q1714" s="17">
        <f>O1714*P1714</f>
        <v>1750000</v>
      </c>
      <c r="R1714" s="16">
        <f>'Financial Inputs'!$B$7</f>
        <v>0.35</v>
      </c>
      <c r="S1714" s="17">
        <f>Q1714*(1-R1714)</f>
        <v>1137500</v>
      </c>
      <c r="T1714" s="18">
        <f>S1714/'Financial Inputs'!$B$3</f>
        <v>1.1375E-2</v>
      </c>
      <c r="U1714" s="9" t="s">
        <v>52</v>
      </c>
      <c r="V1714" s="3" t="s">
        <v>53</v>
      </c>
    </row>
    <row r="1715" spans="1:22">
      <c r="A1715" s="2" t="s">
        <v>5380</v>
      </c>
      <c r="B1715" s="2" t="s">
        <v>5381</v>
      </c>
      <c r="C1715" s="2" t="s">
        <v>5341</v>
      </c>
      <c r="D1715" s="2" t="s">
        <v>88</v>
      </c>
      <c r="E1715" s="2" t="s">
        <v>57</v>
      </c>
      <c r="F1715" s="2" t="s">
        <v>82</v>
      </c>
      <c r="G1715" s="2" t="s">
        <v>138</v>
      </c>
      <c r="H1715" s="2" t="s">
        <v>46</v>
      </c>
      <c r="I1715" s="2" t="s">
        <v>499</v>
      </c>
      <c r="J1715" s="2" t="s">
        <v>4133</v>
      </c>
      <c r="K1715" s="2" t="s">
        <v>5382</v>
      </c>
      <c r="L1715" s="2" t="s">
        <v>140</v>
      </c>
      <c r="M1715" s="2" t="s">
        <v>5343</v>
      </c>
      <c r="N1715" s="16">
        <v>2.75E-2</v>
      </c>
      <c r="O1715" s="17">
        <f>N1715*'Financial Inputs'!$B$3</f>
        <v>2750000</v>
      </c>
      <c r="P1715" s="18">
        <f>IF(I1715="L",'Financial Inputs'!$B$4,IF(I1715="M",'Financial Inputs'!$B$5,'Financial Inputs'!$B$6))</f>
        <v>0.7</v>
      </c>
      <c r="Q1715" s="17">
        <f>O1715*P1715</f>
        <v>1924999.9999999998</v>
      </c>
      <c r="R1715" s="16">
        <f>'Financial Inputs'!$B$7</f>
        <v>0.35</v>
      </c>
      <c r="S1715" s="17">
        <f>Q1715*(1-R1715)</f>
        <v>1251250</v>
      </c>
      <c r="T1715" s="18">
        <f>S1715/'Financial Inputs'!$B$3</f>
        <v>1.2512499999999999E-2</v>
      </c>
      <c r="U1715" s="9" t="s">
        <v>52</v>
      </c>
      <c r="V1715" s="3" t="s">
        <v>53</v>
      </c>
    </row>
    <row r="1716" spans="1:22">
      <c r="A1716" s="2" t="s">
        <v>5383</v>
      </c>
      <c r="B1716" s="2" t="s">
        <v>5384</v>
      </c>
      <c r="C1716" s="2" t="s">
        <v>5341</v>
      </c>
      <c r="D1716" s="2" t="s">
        <v>95</v>
      </c>
      <c r="E1716" s="2" t="s">
        <v>65</v>
      </c>
      <c r="F1716" s="2" t="s">
        <v>44</v>
      </c>
      <c r="G1716" s="2" t="s">
        <v>143</v>
      </c>
      <c r="H1716" s="2" t="s">
        <v>46</v>
      </c>
      <c r="I1716" s="2" t="s">
        <v>499</v>
      </c>
      <c r="J1716" s="2" t="s">
        <v>4133</v>
      </c>
      <c r="K1716" s="2" t="s">
        <v>5385</v>
      </c>
      <c r="L1716" s="2" t="s">
        <v>145</v>
      </c>
      <c r="M1716" s="2" t="s">
        <v>5343</v>
      </c>
      <c r="N1716" s="16">
        <v>3.0000000000000009E-2</v>
      </c>
      <c r="O1716" s="17">
        <f>N1716*'Financial Inputs'!$B$3</f>
        <v>3000000.0000000009</v>
      </c>
      <c r="P1716" s="18">
        <f>IF(I1716="L",'Financial Inputs'!$B$4,IF(I1716="M",'Financial Inputs'!$B$5,'Financial Inputs'!$B$6))</f>
        <v>0.7</v>
      </c>
      <c r="Q1716" s="17">
        <f>O1716*P1716</f>
        <v>2100000.0000000005</v>
      </c>
      <c r="R1716" s="16">
        <f>'Financial Inputs'!$B$7</f>
        <v>0.35</v>
      </c>
      <c r="S1716" s="17">
        <f>Q1716*(1-R1716)</f>
        <v>1365000.0000000005</v>
      </c>
      <c r="T1716" s="18">
        <f>S1716/'Financial Inputs'!$B$3</f>
        <v>1.3650000000000004E-2</v>
      </c>
      <c r="U1716" s="9" t="s">
        <v>52</v>
      </c>
      <c r="V1716" s="3" t="s">
        <v>53</v>
      </c>
    </row>
    <row r="1717" spans="1:22">
      <c r="A1717" s="2" t="s">
        <v>5386</v>
      </c>
      <c r="B1717" s="2" t="s">
        <v>5387</v>
      </c>
      <c r="C1717" s="2" t="s">
        <v>5341</v>
      </c>
      <c r="D1717" s="2" t="s">
        <v>56</v>
      </c>
      <c r="E1717" s="2" t="s">
        <v>148</v>
      </c>
      <c r="F1717" s="2" t="s">
        <v>97</v>
      </c>
      <c r="G1717" s="2" t="s">
        <v>56</v>
      </c>
      <c r="H1717" s="2" t="s">
        <v>46</v>
      </c>
      <c r="I1717" s="2" t="s">
        <v>499</v>
      </c>
      <c r="J1717" s="2" t="s">
        <v>4133</v>
      </c>
      <c r="K1717" s="2" t="s">
        <v>5388</v>
      </c>
      <c r="L1717" s="2" t="s">
        <v>150</v>
      </c>
      <c r="M1717" s="2" t="s">
        <v>5343</v>
      </c>
      <c r="N1717" s="16">
        <v>0.02</v>
      </c>
      <c r="O1717" s="17">
        <f>N1717*'Financial Inputs'!$B$3</f>
        <v>2000000</v>
      </c>
      <c r="P1717" s="18">
        <f>IF(I1717="L",'Financial Inputs'!$B$4,IF(I1717="M",'Financial Inputs'!$B$5,'Financial Inputs'!$B$6))</f>
        <v>0.7</v>
      </c>
      <c r="Q1717" s="17">
        <f>O1717*P1717</f>
        <v>1400000</v>
      </c>
      <c r="R1717" s="16">
        <f>'Financial Inputs'!$B$7</f>
        <v>0.35</v>
      </c>
      <c r="S1717" s="17">
        <f>Q1717*(1-R1717)</f>
        <v>910000</v>
      </c>
      <c r="T1717" s="18">
        <f>S1717/'Financial Inputs'!$B$3</f>
        <v>9.1000000000000004E-3</v>
      </c>
      <c r="U1717" s="9" t="s">
        <v>52</v>
      </c>
      <c r="V1717" s="3" t="s">
        <v>53</v>
      </c>
    </row>
    <row r="1718" spans="1:22">
      <c r="A1718" s="2" t="s">
        <v>5389</v>
      </c>
      <c r="B1718" s="2" t="s">
        <v>5390</v>
      </c>
      <c r="C1718" s="2" t="s">
        <v>5341</v>
      </c>
      <c r="D1718" s="2" t="s">
        <v>64</v>
      </c>
      <c r="E1718" s="2" t="s">
        <v>153</v>
      </c>
      <c r="F1718" s="2" t="s">
        <v>104</v>
      </c>
      <c r="G1718" s="2" t="s">
        <v>138</v>
      </c>
      <c r="H1718" s="2" t="s">
        <v>46</v>
      </c>
      <c r="I1718" s="2" t="s">
        <v>499</v>
      </c>
      <c r="J1718" s="2" t="s">
        <v>4133</v>
      </c>
      <c r="K1718" s="2" t="s">
        <v>5391</v>
      </c>
      <c r="L1718" s="2" t="s">
        <v>155</v>
      </c>
      <c r="M1718" s="2" t="s">
        <v>5343</v>
      </c>
      <c r="N1718" s="16">
        <v>2.2499999999999999E-2</v>
      </c>
      <c r="O1718" s="17">
        <f>N1718*'Financial Inputs'!$B$3</f>
        <v>2250000</v>
      </c>
      <c r="P1718" s="18">
        <f>IF(I1718="L",'Financial Inputs'!$B$4,IF(I1718="M",'Financial Inputs'!$B$5,'Financial Inputs'!$B$6))</f>
        <v>0.7</v>
      </c>
      <c r="Q1718" s="17">
        <f>O1718*P1718</f>
        <v>1575000</v>
      </c>
      <c r="R1718" s="16">
        <f>'Financial Inputs'!$B$7</f>
        <v>0.35</v>
      </c>
      <c r="S1718" s="17">
        <f>Q1718*(1-R1718)</f>
        <v>1023750</v>
      </c>
      <c r="T1718" s="18">
        <f>S1718/'Financial Inputs'!$B$3</f>
        <v>1.02375E-2</v>
      </c>
      <c r="U1718" s="9" t="s">
        <v>52</v>
      </c>
      <c r="V1718" s="3" t="s">
        <v>53</v>
      </c>
    </row>
    <row r="1719" spans="1:22">
      <c r="A1719" s="2" t="s">
        <v>5392</v>
      </c>
      <c r="B1719" s="2" t="s">
        <v>5393</v>
      </c>
      <c r="C1719" s="2" t="s">
        <v>5341</v>
      </c>
      <c r="D1719" s="2" t="s">
        <v>72</v>
      </c>
      <c r="E1719" s="2" t="s">
        <v>89</v>
      </c>
      <c r="F1719" s="2" t="s">
        <v>110</v>
      </c>
      <c r="G1719" s="2" t="s">
        <v>143</v>
      </c>
      <c r="H1719" s="2" t="s">
        <v>46</v>
      </c>
      <c r="I1719" s="2" t="s">
        <v>499</v>
      </c>
      <c r="J1719" s="2" t="s">
        <v>4133</v>
      </c>
      <c r="K1719" s="2" t="s">
        <v>5394</v>
      </c>
      <c r="L1719" s="2" t="s">
        <v>159</v>
      </c>
      <c r="M1719" s="2" t="s">
        <v>5343</v>
      </c>
      <c r="N1719" s="16">
        <v>2.5000000000000001E-2</v>
      </c>
      <c r="O1719" s="17">
        <f>N1719*'Financial Inputs'!$B$3</f>
        <v>2500000</v>
      </c>
      <c r="P1719" s="18">
        <f>IF(I1719="L",'Financial Inputs'!$B$4,IF(I1719="M",'Financial Inputs'!$B$5,'Financial Inputs'!$B$6))</f>
        <v>0.7</v>
      </c>
      <c r="Q1719" s="17">
        <f>O1719*P1719</f>
        <v>1750000</v>
      </c>
      <c r="R1719" s="16">
        <f>'Financial Inputs'!$B$7</f>
        <v>0.35</v>
      </c>
      <c r="S1719" s="17">
        <f>Q1719*(1-R1719)</f>
        <v>1137500</v>
      </c>
      <c r="T1719" s="18">
        <f>S1719/'Financial Inputs'!$B$3</f>
        <v>1.1375E-2</v>
      </c>
      <c r="U1719" s="9" t="s">
        <v>52</v>
      </c>
      <c r="V1719" s="3" t="s">
        <v>53</v>
      </c>
    </row>
    <row r="1720" spans="1:22">
      <c r="A1720" s="2" t="s">
        <v>5395</v>
      </c>
      <c r="B1720" s="2" t="s">
        <v>5396</v>
      </c>
      <c r="C1720" s="2" t="s">
        <v>5341</v>
      </c>
      <c r="D1720" s="2" t="s">
        <v>80</v>
      </c>
      <c r="E1720" s="2" t="s">
        <v>96</v>
      </c>
      <c r="F1720" s="2" t="s">
        <v>117</v>
      </c>
      <c r="G1720" s="2" t="s">
        <v>162</v>
      </c>
      <c r="H1720" s="2" t="s">
        <v>46</v>
      </c>
      <c r="I1720" s="2" t="s">
        <v>499</v>
      </c>
      <c r="J1720" s="2" t="s">
        <v>4133</v>
      </c>
      <c r="K1720" s="2" t="s">
        <v>5397</v>
      </c>
      <c r="L1720" s="2" t="s">
        <v>164</v>
      </c>
      <c r="M1720" s="2" t="s">
        <v>5343</v>
      </c>
      <c r="N1720" s="16">
        <v>2.75E-2</v>
      </c>
      <c r="O1720" s="17">
        <f>N1720*'Financial Inputs'!$B$3</f>
        <v>2750000</v>
      </c>
      <c r="P1720" s="18">
        <f>IF(I1720="L",'Financial Inputs'!$B$4,IF(I1720="M",'Financial Inputs'!$B$5,'Financial Inputs'!$B$6))</f>
        <v>0.7</v>
      </c>
      <c r="Q1720" s="17">
        <f>O1720*P1720</f>
        <v>1924999.9999999998</v>
      </c>
      <c r="R1720" s="16">
        <f>'Financial Inputs'!$B$7</f>
        <v>0.35</v>
      </c>
      <c r="S1720" s="17">
        <f>Q1720*(1-R1720)</f>
        <v>1251250</v>
      </c>
      <c r="T1720" s="18">
        <f>S1720/'Financial Inputs'!$B$3</f>
        <v>1.2512499999999999E-2</v>
      </c>
      <c r="U1720" s="9" t="s">
        <v>52</v>
      </c>
      <c r="V1720" s="3" t="s">
        <v>53</v>
      </c>
    </row>
    <row r="1721" spans="1:22">
      <c r="A1721" s="2" t="s">
        <v>5398</v>
      </c>
      <c r="B1721" s="2" t="s">
        <v>5399</v>
      </c>
      <c r="C1721" s="2" t="s">
        <v>5341</v>
      </c>
      <c r="D1721" s="2" t="s">
        <v>127</v>
      </c>
      <c r="E1721" s="2" t="s">
        <v>103</v>
      </c>
      <c r="F1721" s="2" t="s">
        <v>90</v>
      </c>
      <c r="G1721" s="2" t="s">
        <v>45</v>
      </c>
      <c r="H1721" s="2" t="s">
        <v>46</v>
      </c>
      <c r="I1721" s="2" t="s">
        <v>499</v>
      </c>
      <c r="J1721" s="2" t="s">
        <v>4133</v>
      </c>
      <c r="K1721" s="2" t="s">
        <v>5400</v>
      </c>
      <c r="L1721" s="2" t="s">
        <v>168</v>
      </c>
      <c r="M1721" s="2" t="s">
        <v>5343</v>
      </c>
      <c r="N1721" s="16">
        <v>3.0000000000000009E-2</v>
      </c>
      <c r="O1721" s="17">
        <f>N1721*'Financial Inputs'!$B$3</f>
        <v>3000000.0000000009</v>
      </c>
      <c r="P1721" s="18">
        <f>IF(I1721="L",'Financial Inputs'!$B$4,IF(I1721="M",'Financial Inputs'!$B$5,'Financial Inputs'!$B$6))</f>
        <v>0.7</v>
      </c>
      <c r="Q1721" s="17">
        <f>O1721*P1721</f>
        <v>2100000.0000000005</v>
      </c>
      <c r="R1721" s="16">
        <f>'Financial Inputs'!$B$7</f>
        <v>0.35</v>
      </c>
      <c r="S1721" s="17">
        <f>Q1721*(1-R1721)</f>
        <v>1365000.0000000005</v>
      </c>
      <c r="T1721" s="18">
        <f>S1721/'Financial Inputs'!$B$3</f>
        <v>1.3650000000000004E-2</v>
      </c>
      <c r="U1721" s="9" t="s">
        <v>52</v>
      </c>
      <c r="V1721" s="3" t="s">
        <v>53</v>
      </c>
    </row>
    <row r="1722" spans="1:22">
      <c r="A1722" s="2" t="s">
        <v>5401</v>
      </c>
      <c r="B1722" s="2" t="s">
        <v>5402</v>
      </c>
      <c r="C1722" s="2" t="s">
        <v>5341</v>
      </c>
      <c r="D1722" s="2" t="s">
        <v>95</v>
      </c>
      <c r="E1722" s="2" t="s">
        <v>171</v>
      </c>
      <c r="F1722" s="2" t="s">
        <v>66</v>
      </c>
      <c r="G1722" s="2" t="s">
        <v>143</v>
      </c>
      <c r="H1722" s="2" t="s">
        <v>46</v>
      </c>
      <c r="I1722" s="2" t="s">
        <v>499</v>
      </c>
      <c r="J1722" s="2" t="s">
        <v>4133</v>
      </c>
      <c r="K1722" s="2" t="s">
        <v>5403</v>
      </c>
      <c r="L1722" s="2" t="s">
        <v>173</v>
      </c>
      <c r="M1722" s="2" t="s">
        <v>5343</v>
      </c>
      <c r="N1722" s="16">
        <v>0.02</v>
      </c>
      <c r="O1722" s="17">
        <f>N1722*'Financial Inputs'!$B$3</f>
        <v>2000000</v>
      </c>
      <c r="P1722" s="18">
        <f>IF(I1722="L",'Financial Inputs'!$B$4,IF(I1722="M",'Financial Inputs'!$B$5,'Financial Inputs'!$B$6))</f>
        <v>0.7</v>
      </c>
      <c r="Q1722" s="17">
        <f>O1722*P1722</f>
        <v>1400000</v>
      </c>
      <c r="R1722" s="16">
        <f>'Financial Inputs'!$B$7</f>
        <v>0.35</v>
      </c>
      <c r="S1722" s="17">
        <f>Q1722*(1-R1722)</f>
        <v>910000</v>
      </c>
      <c r="T1722" s="18">
        <f>S1722/'Financial Inputs'!$B$3</f>
        <v>9.1000000000000004E-3</v>
      </c>
      <c r="U1722" s="9" t="s">
        <v>52</v>
      </c>
      <c r="V1722" s="3" t="s">
        <v>53</v>
      </c>
    </row>
    <row r="1723" spans="1:22">
      <c r="A1723" s="2" t="s">
        <v>5404</v>
      </c>
      <c r="B1723" s="2" t="s">
        <v>5405</v>
      </c>
      <c r="C1723" s="2" t="s">
        <v>5341</v>
      </c>
      <c r="D1723" s="2" t="s">
        <v>102</v>
      </c>
      <c r="E1723" s="2" t="s">
        <v>176</v>
      </c>
      <c r="F1723" s="2" t="s">
        <v>74</v>
      </c>
      <c r="G1723" s="2" t="s">
        <v>162</v>
      </c>
      <c r="H1723" s="2" t="s">
        <v>46</v>
      </c>
      <c r="I1723" s="2" t="s">
        <v>499</v>
      </c>
      <c r="J1723" s="2" t="s">
        <v>4133</v>
      </c>
      <c r="K1723" s="2" t="s">
        <v>5406</v>
      </c>
      <c r="L1723" s="2" t="s">
        <v>178</v>
      </c>
      <c r="M1723" s="2" t="s">
        <v>5343</v>
      </c>
      <c r="N1723" s="16">
        <v>2.2499999999999999E-2</v>
      </c>
      <c r="O1723" s="17">
        <f>N1723*'Financial Inputs'!$B$3</f>
        <v>2250000</v>
      </c>
      <c r="P1723" s="18">
        <f>IF(I1723="L",'Financial Inputs'!$B$4,IF(I1723="M",'Financial Inputs'!$B$5,'Financial Inputs'!$B$6))</f>
        <v>0.7</v>
      </c>
      <c r="Q1723" s="17">
        <f>O1723*P1723</f>
        <v>1575000</v>
      </c>
      <c r="R1723" s="16">
        <f>'Financial Inputs'!$B$7</f>
        <v>0.35</v>
      </c>
      <c r="S1723" s="17">
        <f>Q1723*(1-R1723)</f>
        <v>1023750</v>
      </c>
      <c r="T1723" s="18">
        <f>S1723/'Financial Inputs'!$B$3</f>
        <v>1.02375E-2</v>
      </c>
      <c r="U1723" s="9" t="s">
        <v>52</v>
      </c>
      <c r="V1723" s="3" t="s">
        <v>53</v>
      </c>
    </row>
    <row r="1724" spans="1:22">
      <c r="A1724" s="2" t="s">
        <v>5407</v>
      </c>
      <c r="B1724" s="2" t="s">
        <v>5408</v>
      </c>
      <c r="C1724" s="2" t="s">
        <v>5341</v>
      </c>
      <c r="D1724" s="2" t="s">
        <v>42</v>
      </c>
      <c r="E1724" s="2" t="s">
        <v>122</v>
      </c>
      <c r="F1724" s="2" t="s">
        <v>82</v>
      </c>
      <c r="G1724" s="2" t="s">
        <v>45</v>
      </c>
      <c r="H1724" s="2" t="s">
        <v>46</v>
      </c>
      <c r="I1724" s="2" t="s">
        <v>499</v>
      </c>
      <c r="J1724" s="2" t="s">
        <v>4133</v>
      </c>
      <c r="K1724" s="2" t="s">
        <v>5409</v>
      </c>
      <c r="L1724" s="2" t="s">
        <v>182</v>
      </c>
      <c r="M1724" s="2" t="s">
        <v>5343</v>
      </c>
      <c r="N1724" s="16">
        <v>2.5000000000000001E-2</v>
      </c>
      <c r="O1724" s="17">
        <f>N1724*'Financial Inputs'!$B$3</f>
        <v>2500000</v>
      </c>
      <c r="P1724" s="18">
        <f>IF(I1724="L",'Financial Inputs'!$B$4,IF(I1724="M",'Financial Inputs'!$B$5,'Financial Inputs'!$B$6))</f>
        <v>0.7</v>
      </c>
      <c r="Q1724" s="17">
        <f>O1724*P1724</f>
        <v>1750000</v>
      </c>
      <c r="R1724" s="16">
        <f>'Financial Inputs'!$B$7</f>
        <v>0.35</v>
      </c>
      <c r="S1724" s="17">
        <f>Q1724*(1-R1724)</f>
        <v>1137500</v>
      </c>
      <c r="T1724" s="18">
        <f>S1724/'Financial Inputs'!$B$3</f>
        <v>1.1375E-2</v>
      </c>
      <c r="U1724" s="9" t="s">
        <v>52</v>
      </c>
      <c r="V1724" s="3" t="s">
        <v>53</v>
      </c>
    </row>
    <row r="1725" spans="1:22">
      <c r="A1725" s="2" t="s">
        <v>5410</v>
      </c>
      <c r="B1725" s="2" t="s">
        <v>5411</v>
      </c>
      <c r="C1725" s="2" t="s">
        <v>5341</v>
      </c>
      <c r="D1725" s="2" t="s">
        <v>56</v>
      </c>
      <c r="E1725" s="2" t="s">
        <v>128</v>
      </c>
      <c r="F1725" s="2" t="s">
        <v>44</v>
      </c>
      <c r="G1725" s="2" t="s">
        <v>59</v>
      </c>
      <c r="H1725" s="2" t="s">
        <v>46</v>
      </c>
      <c r="I1725" s="2" t="s">
        <v>499</v>
      </c>
      <c r="J1725" s="2" t="s">
        <v>4133</v>
      </c>
      <c r="K1725" s="2" t="s">
        <v>5412</v>
      </c>
      <c r="L1725" s="2" t="s">
        <v>186</v>
      </c>
      <c r="M1725" s="2" t="s">
        <v>5343</v>
      </c>
      <c r="N1725" s="16">
        <v>2.75E-2</v>
      </c>
      <c r="O1725" s="17">
        <f>N1725*'Financial Inputs'!$B$3</f>
        <v>2750000</v>
      </c>
      <c r="P1725" s="18">
        <f>IF(I1725="L",'Financial Inputs'!$B$4,IF(I1725="M",'Financial Inputs'!$B$5,'Financial Inputs'!$B$6))</f>
        <v>0.7</v>
      </c>
      <c r="Q1725" s="17">
        <f>O1725*P1725</f>
        <v>1924999.9999999998</v>
      </c>
      <c r="R1725" s="16">
        <f>'Financial Inputs'!$B$7</f>
        <v>0.35</v>
      </c>
      <c r="S1725" s="17">
        <f>Q1725*(1-R1725)</f>
        <v>1251250</v>
      </c>
      <c r="T1725" s="18">
        <f>S1725/'Financial Inputs'!$B$3</f>
        <v>1.2512499999999999E-2</v>
      </c>
      <c r="U1725" s="9" t="s">
        <v>52</v>
      </c>
      <c r="V1725" s="3" t="s">
        <v>53</v>
      </c>
    </row>
    <row r="1726" spans="1:22">
      <c r="A1726" s="2" t="s">
        <v>5413</v>
      </c>
      <c r="B1726" s="2" t="s">
        <v>5414</v>
      </c>
      <c r="C1726" s="2" t="s">
        <v>5341</v>
      </c>
      <c r="D1726" s="2" t="s">
        <v>64</v>
      </c>
      <c r="E1726" s="2" t="s">
        <v>43</v>
      </c>
      <c r="F1726" s="2" t="s">
        <v>58</v>
      </c>
      <c r="G1726" s="2" t="s">
        <v>67</v>
      </c>
      <c r="H1726" s="2" t="s">
        <v>46</v>
      </c>
      <c r="I1726" s="2" t="s">
        <v>499</v>
      </c>
      <c r="J1726" s="2" t="s">
        <v>4133</v>
      </c>
      <c r="K1726" s="2" t="s">
        <v>5415</v>
      </c>
      <c r="L1726" s="2" t="s">
        <v>190</v>
      </c>
      <c r="M1726" s="2" t="s">
        <v>5343</v>
      </c>
      <c r="N1726" s="16">
        <v>3.0000000000000009E-2</v>
      </c>
      <c r="O1726" s="17">
        <f>N1726*'Financial Inputs'!$B$3</f>
        <v>3000000.0000000009</v>
      </c>
      <c r="P1726" s="18">
        <f>IF(I1726="L",'Financial Inputs'!$B$4,IF(I1726="M",'Financial Inputs'!$B$5,'Financial Inputs'!$B$6))</f>
        <v>0.7</v>
      </c>
      <c r="Q1726" s="17">
        <f>O1726*P1726</f>
        <v>2100000.0000000005</v>
      </c>
      <c r="R1726" s="16">
        <f>'Financial Inputs'!$B$7</f>
        <v>0.35</v>
      </c>
      <c r="S1726" s="17">
        <f>Q1726*(1-R1726)</f>
        <v>1365000.0000000005</v>
      </c>
      <c r="T1726" s="18">
        <f>S1726/'Financial Inputs'!$B$3</f>
        <v>1.3650000000000004E-2</v>
      </c>
      <c r="U1726" s="9" t="s">
        <v>52</v>
      </c>
      <c r="V1726" s="3" t="s">
        <v>53</v>
      </c>
    </row>
    <row r="1727" spans="1:22">
      <c r="A1727" s="2" t="s">
        <v>5416</v>
      </c>
      <c r="B1727" s="2" t="s">
        <v>5417</v>
      </c>
      <c r="C1727" s="2" t="s">
        <v>5341</v>
      </c>
      <c r="D1727" s="2" t="s">
        <v>127</v>
      </c>
      <c r="E1727" s="2" t="s">
        <v>193</v>
      </c>
      <c r="F1727" s="2" t="s">
        <v>104</v>
      </c>
      <c r="G1727" s="2" t="s">
        <v>45</v>
      </c>
      <c r="H1727" s="2" t="s">
        <v>46</v>
      </c>
      <c r="I1727" s="2" t="s">
        <v>499</v>
      </c>
      <c r="J1727" s="2" t="s">
        <v>4133</v>
      </c>
      <c r="K1727" s="2" t="s">
        <v>5418</v>
      </c>
      <c r="L1727" s="2" t="s">
        <v>195</v>
      </c>
      <c r="M1727" s="2" t="s">
        <v>5343</v>
      </c>
      <c r="N1727" s="16">
        <v>0.02</v>
      </c>
      <c r="O1727" s="17">
        <f>N1727*'Financial Inputs'!$B$3</f>
        <v>2000000</v>
      </c>
      <c r="P1727" s="18">
        <f>IF(I1727="L",'Financial Inputs'!$B$4,IF(I1727="M",'Financial Inputs'!$B$5,'Financial Inputs'!$B$6))</f>
        <v>0.7</v>
      </c>
      <c r="Q1727" s="17">
        <f>O1727*P1727</f>
        <v>1400000</v>
      </c>
      <c r="R1727" s="16">
        <f>'Financial Inputs'!$B$7</f>
        <v>0.35</v>
      </c>
      <c r="S1727" s="17">
        <f>Q1727*(1-R1727)</f>
        <v>910000</v>
      </c>
      <c r="T1727" s="18">
        <f>S1727/'Financial Inputs'!$B$3</f>
        <v>9.1000000000000004E-3</v>
      </c>
      <c r="U1727" s="9" t="s">
        <v>52</v>
      </c>
      <c r="V1727" s="3" t="s">
        <v>53</v>
      </c>
    </row>
    <row r="1728" spans="1:22">
      <c r="A1728" s="2" t="s">
        <v>5419</v>
      </c>
      <c r="B1728" s="2" t="s">
        <v>5420</v>
      </c>
      <c r="C1728" s="2" t="s">
        <v>5341</v>
      </c>
      <c r="D1728" s="2" t="s">
        <v>133</v>
      </c>
      <c r="E1728" s="2" t="s">
        <v>198</v>
      </c>
      <c r="F1728" s="2" t="s">
        <v>110</v>
      </c>
      <c r="G1728" s="2" t="s">
        <v>59</v>
      </c>
      <c r="H1728" s="2" t="s">
        <v>46</v>
      </c>
      <c r="I1728" s="2" t="s">
        <v>499</v>
      </c>
      <c r="J1728" s="2" t="s">
        <v>4133</v>
      </c>
      <c r="K1728" s="2" t="s">
        <v>5421</v>
      </c>
      <c r="L1728" s="2" t="s">
        <v>200</v>
      </c>
      <c r="M1728" s="2" t="s">
        <v>5343</v>
      </c>
      <c r="N1728" s="16">
        <v>2.2499999999999999E-2</v>
      </c>
      <c r="O1728" s="17">
        <f>N1728*'Financial Inputs'!$B$3</f>
        <v>2250000</v>
      </c>
      <c r="P1728" s="18">
        <f>IF(I1728="L",'Financial Inputs'!$B$4,IF(I1728="M",'Financial Inputs'!$B$5,'Financial Inputs'!$B$6))</f>
        <v>0.7</v>
      </c>
      <c r="Q1728" s="17">
        <f>O1728*P1728</f>
        <v>1575000</v>
      </c>
      <c r="R1728" s="16">
        <f>'Financial Inputs'!$B$7</f>
        <v>0.35</v>
      </c>
      <c r="S1728" s="17">
        <f>Q1728*(1-R1728)</f>
        <v>1023750</v>
      </c>
      <c r="T1728" s="18">
        <f>S1728/'Financial Inputs'!$B$3</f>
        <v>1.02375E-2</v>
      </c>
      <c r="U1728" s="9" t="s">
        <v>52</v>
      </c>
      <c r="V1728" s="3" t="s">
        <v>53</v>
      </c>
    </row>
    <row r="1729" spans="1:22">
      <c r="A1729" s="2" t="s">
        <v>5422</v>
      </c>
      <c r="B1729" s="2" t="s">
        <v>5423</v>
      </c>
      <c r="C1729" s="2" t="s">
        <v>5341</v>
      </c>
      <c r="D1729" s="2" t="s">
        <v>88</v>
      </c>
      <c r="E1729" s="2" t="s">
        <v>148</v>
      </c>
      <c r="F1729" s="2" t="s">
        <v>117</v>
      </c>
      <c r="G1729" s="2" t="s">
        <v>67</v>
      </c>
      <c r="H1729" s="2" t="s">
        <v>46</v>
      </c>
      <c r="I1729" s="2" t="s">
        <v>499</v>
      </c>
      <c r="J1729" s="2" t="s">
        <v>4133</v>
      </c>
      <c r="K1729" s="2" t="s">
        <v>5424</v>
      </c>
      <c r="L1729" s="2" t="s">
        <v>204</v>
      </c>
      <c r="M1729" s="2" t="s">
        <v>5343</v>
      </c>
      <c r="N1729" s="16">
        <v>2.5000000000000001E-2</v>
      </c>
      <c r="O1729" s="17">
        <f>N1729*'Financial Inputs'!$B$3</f>
        <v>2500000</v>
      </c>
      <c r="P1729" s="18">
        <f>IF(I1729="L",'Financial Inputs'!$B$4,IF(I1729="M",'Financial Inputs'!$B$5,'Financial Inputs'!$B$6))</f>
        <v>0.7</v>
      </c>
      <c r="Q1729" s="17">
        <f>O1729*P1729</f>
        <v>1750000</v>
      </c>
      <c r="R1729" s="16">
        <f>'Financial Inputs'!$B$7</f>
        <v>0.35</v>
      </c>
      <c r="S1729" s="17">
        <f>Q1729*(1-R1729)</f>
        <v>1137500</v>
      </c>
      <c r="T1729" s="18">
        <f>S1729/'Financial Inputs'!$B$3</f>
        <v>1.1375E-2</v>
      </c>
      <c r="U1729" s="9" t="s">
        <v>52</v>
      </c>
      <c r="V1729" s="3" t="s">
        <v>53</v>
      </c>
    </row>
    <row r="1730" spans="1:22">
      <c r="A1730" s="2" t="s">
        <v>5425</v>
      </c>
      <c r="B1730" s="2" t="s">
        <v>5426</v>
      </c>
      <c r="C1730" s="2" t="s">
        <v>5341</v>
      </c>
      <c r="D1730" s="2" t="s">
        <v>95</v>
      </c>
      <c r="E1730" s="2" t="s">
        <v>153</v>
      </c>
      <c r="F1730" s="2" t="s">
        <v>90</v>
      </c>
      <c r="G1730" s="2" t="s">
        <v>75</v>
      </c>
      <c r="H1730" s="2" t="s">
        <v>46</v>
      </c>
      <c r="I1730" s="2" t="s">
        <v>499</v>
      </c>
      <c r="J1730" s="2" t="s">
        <v>4133</v>
      </c>
      <c r="K1730" s="2" t="s">
        <v>5427</v>
      </c>
      <c r="L1730" s="2" t="s">
        <v>208</v>
      </c>
      <c r="M1730" s="2" t="s">
        <v>5343</v>
      </c>
      <c r="N1730" s="16">
        <v>2.75E-2</v>
      </c>
      <c r="O1730" s="17">
        <f>N1730*'Financial Inputs'!$B$3</f>
        <v>2750000</v>
      </c>
      <c r="P1730" s="18">
        <f>IF(I1730="L",'Financial Inputs'!$B$4,IF(I1730="M",'Financial Inputs'!$B$5,'Financial Inputs'!$B$6))</f>
        <v>0.7</v>
      </c>
      <c r="Q1730" s="17">
        <f>O1730*P1730</f>
        <v>1924999.9999999998</v>
      </c>
      <c r="R1730" s="16">
        <f>'Financial Inputs'!$B$7</f>
        <v>0.35</v>
      </c>
      <c r="S1730" s="17">
        <f>Q1730*(1-R1730)</f>
        <v>1251250</v>
      </c>
      <c r="T1730" s="18">
        <f>S1730/'Financial Inputs'!$B$3</f>
        <v>1.2512499999999999E-2</v>
      </c>
      <c r="U1730" s="9" t="s">
        <v>52</v>
      </c>
      <c r="V1730" s="3" t="s">
        <v>53</v>
      </c>
    </row>
    <row r="1731" spans="1:22">
      <c r="A1731" s="2" t="s">
        <v>5428</v>
      </c>
      <c r="B1731" s="2" t="s">
        <v>5429</v>
      </c>
      <c r="C1731" s="2" t="s">
        <v>5341</v>
      </c>
      <c r="D1731" s="2" t="s">
        <v>102</v>
      </c>
      <c r="E1731" s="2" t="s">
        <v>89</v>
      </c>
      <c r="F1731" s="2" t="s">
        <v>97</v>
      </c>
      <c r="G1731" s="2" t="s">
        <v>83</v>
      </c>
      <c r="H1731" s="2" t="s">
        <v>46</v>
      </c>
      <c r="I1731" s="2" t="s">
        <v>499</v>
      </c>
      <c r="J1731" s="2" t="s">
        <v>4133</v>
      </c>
      <c r="K1731" s="2" t="s">
        <v>5430</v>
      </c>
      <c r="L1731" s="2" t="s">
        <v>212</v>
      </c>
      <c r="M1731" s="2" t="s">
        <v>5343</v>
      </c>
      <c r="N1731" s="16">
        <v>3.0000000000000009E-2</v>
      </c>
      <c r="O1731" s="17">
        <f>N1731*'Financial Inputs'!$B$3</f>
        <v>3000000.0000000009</v>
      </c>
      <c r="P1731" s="18">
        <f>IF(I1731="L",'Financial Inputs'!$B$4,IF(I1731="M",'Financial Inputs'!$B$5,'Financial Inputs'!$B$6))</f>
        <v>0.7</v>
      </c>
      <c r="Q1731" s="17">
        <f>O1731*P1731</f>
        <v>2100000.0000000005</v>
      </c>
      <c r="R1731" s="16">
        <f>'Financial Inputs'!$B$7</f>
        <v>0.35</v>
      </c>
      <c r="S1731" s="17">
        <f>Q1731*(1-R1731)</f>
        <v>1365000.0000000005</v>
      </c>
      <c r="T1731" s="18">
        <f>S1731/'Financial Inputs'!$B$3</f>
        <v>1.3650000000000004E-2</v>
      </c>
      <c r="U1731" s="9" t="s">
        <v>52</v>
      </c>
      <c r="V1731" s="3" t="s">
        <v>53</v>
      </c>
    </row>
    <row r="1732" spans="1:22">
      <c r="A1732" s="2" t="s">
        <v>5431</v>
      </c>
      <c r="B1732" s="2" t="s">
        <v>5432</v>
      </c>
      <c r="C1732" s="2" t="s">
        <v>5341</v>
      </c>
      <c r="D1732" s="2" t="s">
        <v>64</v>
      </c>
      <c r="E1732" s="2" t="s">
        <v>215</v>
      </c>
      <c r="F1732" s="2" t="s">
        <v>74</v>
      </c>
      <c r="G1732" s="2" t="s">
        <v>67</v>
      </c>
      <c r="H1732" s="2" t="s">
        <v>46</v>
      </c>
      <c r="I1732" s="2" t="s">
        <v>499</v>
      </c>
      <c r="J1732" s="2" t="s">
        <v>4133</v>
      </c>
      <c r="K1732" s="2" t="s">
        <v>5433</v>
      </c>
      <c r="L1732" s="2" t="s">
        <v>217</v>
      </c>
      <c r="M1732" s="2" t="s">
        <v>5343</v>
      </c>
      <c r="N1732" s="16">
        <v>0.02</v>
      </c>
      <c r="O1732" s="17">
        <f>N1732*'Financial Inputs'!$B$3</f>
        <v>2000000</v>
      </c>
      <c r="P1732" s="18">
        <f>IF(I1732="L",'Financial Inputs'!$B$4,IF(I1732="M",'Financial Inputs'!$B$5,'Financial Inputs'!$B$6))</f>
        <v>0.7</v>
      </c>
      <c r="Q1732" s="17">
        <f>O1732*P1732</f>
        <v>1400000</v>
      </c>
      <c r="R1732" s="16">
        <f>'Financial Inputs'!$B$7</f>
        <v>0.35</v>
      </c>
      <c r="S1732" s="17">
        <f>Q1732*(1-R1732)</f>
        <v>910000</v>
      </c>
      <c r="T1732" s="18">
        <f>S1732/'Financial Inputs'!$B$3</f>
        <v>9.1000000000000004E-3</v>
      </c>
      <c r="U1732" s="9" t="s">
        <v>52</v>
      </c>
      <c r="V1732" s="3" t="s">
        <v>53</v>
      </c>
    </row>
    <row r="1733" spans="1:22">
      <c r="A1733" s="2" t="s">
        <v>5434</v>
      </c>
      <c r="B1733" s="2" t="s">
        <v>5435</v>
      </c>
      <c r="C1733" s="2" t="s">
        <v>5341</v>
      </c>
      <c r="D1733" s="2" t="s">
        <v>72</v>
      </c>
      <c r="E1733" s="2" t="s">
        <v>220</v>
      </c>
      <c r="F1733" s="2" t="s">
        <v>82</v>
      </c>
      <c r="G1733" s="2" t="s">
        <v>75</v>
      </c>
      <c r="H1733" s="2" t="s">
        <v>46</v>
      </c>
      <c r="I1733" s="2" t="s">
        <v>499</v>
      </c>
      <c r="J1733" s="2" t="s">
        <v>4133</v>
      </c>
      <c r="K1733" s="2" t="s">
        <v>5436</v>
      </c>
      <c r="L1733" s="2" t="s">
        <v>222</v>
      </c>
      <c r="M1733" s="2" t="s">
        <v>5343</v>
      </c>
      <c r="N1733" s="16">
        <v>2.2499999999999999E-2</v>
      </c>
      <c r="O1733" s="17">
        <f>N1733*'Financial Inputs'!$B$3</f>
        <v>2250000</v>
      </c>
      <c r="P1733" s="18">
        <f>IF(I1733="L",'Financial Inputs'!$B$4,IF(I1733="M",'Financial Inputs'!$B$5,'Financial Inputs'!$B$6))</f>
        <v>0.7</v>
      </c>
      <c r="Q1733" s="17">
        <f>O1733*P1733</f>
        <v>1575000</v>
      </c>
      <c r="R1733" s="16">
        <f>'Financial Inputs'!$B$7</f>
        <v>0.35</v>
      </c>
      <c r="S1733" s="17">
        <f>Q1733*(1-R1733)</f>
        <v>1023750</v>
      </c>
      <c r="T1733" s="18">
        <f>S1733/'Financial Inputs'!$B$3</f>
        <v>1.02375E-2</v>
      </c>
      <c r="U1733" s="9" t="s">
        <v>52</v>
      </c>
      <c r="V1733" s="3" t="s">
        <v>53</v>
      </c>
    </row>
    <row r="1734" spans="1:22">
      <c r="A1734" s="2" t="s">
        <v>5437</v>
      </c>
      <c r="B1734" s="2" t="s">
        <v>5438</v>
      </c>
      <c r="C1734" s="2" t="s">
        <v>5341</v>
      </c>
      <c r="D1734" s="2" t="s">
        <v>80</v>
      </c>
      <c r="E1734" s="2" t="s">
        <v>171</v>
      </c>
      <c r="F1734" s="2" t="s">
        <v>44</v>
      </c>
      <c r="G1734" s="2" t="s">
        <v>83</v>
      </c>
      <c r="H1734" s="2" t="s">
        <v>46</v>
      </c>
      <c r="I1734" s="2" t="s">
        <v>499</v>
      </c>
      <c r="J1734" s="2" t="s">
        <v>4133</v>
      </c>
      <c r="K1734" s="2" t="s">
        <v>5439</v>
      </c>
      <c r="L1734" s="2" t="s">
        <v>226</v>
      </c>
      <c r="M1734" s="2" t="s">
        <v>5343</v>
      </c>
      <c r="N1734" s="16">
        <v>2.5000000000000001E-2</v>
      </c>
      <c r="O1734" s="17">
        <f>N1734*'Financial Inputs'!$B$3</f>
        <v>2500000</v>
      </c>
      <c r="P1734" s="18">
        <f>IF(I1734="L",'Financial Inputs'!$B$4,IF(I1734="M",'Financial Inputs'!$B$5,'Financial Inputs'!$B$6))</f>
        <v>0.7</v>
      </c>
      <c r="Q1734" s="17">
        <f>O1734*P1734</f>
        <v>1750000</v>
      </c>
      <c r="R1734" s="16">
        <f>'Financial Inputs'!$B$7</f>
        <v>0.35</v>
      </c>
      <c r="S1734" s="17">
        <f>Q1734*(1-R1734)</f>
        <v>1137500</v>
      </c>
      <c r="T1734" s="18">
        <f>S1734/'Financial Inputs'!$B$3</f>
        <v>1.1375E-2</v>
      </c>
      <c r="U1734" s="9" t="s">
        <v>52</v>
      </c>
      <c r="V1734" s="3" t="s">
        <v>53</v>
      </c>
    </row>
    <row r="1735" spans="1:22">
      <c r="A1735" s="2" t="s">
        <v>5440</v>
      </c>
      <c r="B1735" s="2" t="s">
        <v>5441</v>
      </c>
      <c r="C1735" s="2" t="s">
        <v>5341</v>
      </c>
      <c r="D1735" s="2" t="s">
        <v>127</v>
      </c>
      <c r="E1735" s="2" t="s">
        <v>176</v>
      </c>
      <c r="F1735" s="2" t="s">
        <v>58</v>
      </c>
      <c r="G1735" s="2" t="s">
        <v>111</v>
      </c>
      <c r="H1735" s="2" t="s">
        <v>46</v>
      </c>
      <c r="I1735" s="2" t="s">
        <v>499</v>
      </c>
      <c r="J1735" s="2" t="s">
        <v>4133</v>
      </c>
      <c r="K1735" s="2" t="s">
        <v>5442</v>
      </c>
      <c r="L1735" s="2" t="s">
        <v>230</v>
      </c>
      <c r="M1735" s="2" t="s">
        <v>5343</v>
      </c>
      <c r="N1735" s="16">
        <v>2.75E-2</v>
      </c>
      <c r="O1735" s="17">
        <f>N1735*'Financial Inputs'!$B$3</f>
        <v>2750000</v>
      </c>
      <c r="P1735" s="18">
        <f>IF(I1735="L",'Financial Inputs'!$B$4,IF(I1735="M",'Financial Inputs'!$B$5,'Financial Inputs'!$B$6))</f>
        <v>0.7</v>
      </c>
      <c r="Q1735" s="17">
        <f>O1735*P1735</f>
        <v>1924999.9999999998</v>
      </c>
      <c r="R1735" s="16">
        <f>'Financial Inputs'!$B$7</f>
        <v>0.35</v>
      </c>
      <c r="S1735" s="17">
        <f>Q1735*(1-R1735)</f>
        <v>1251250</v>
      </c>
      <c r="T1735" s="18">
        <f>S1735/'Financial Inputs'!$B$3</f>
        <v>1.2512499999999999E-2</v>
      </c>
      <c r="U1735" s="9" t="s">
        <v>52</v>
      </c>
      <c r="V1735" s="3" t="s">
        <v>53</v>
      </c>
    </row>
    <row r="1736" spans="1:22">
      <c r="A1736" s="2" t="s">
        <v>5443</v>
      </c>
      <c r="B1736" s="2" t="s">
        <v>5444</v>
      </c>
      <c r="C1736" s="2" t="s">
        <v>5341</v>
      </c>
      <c r="D1736" s="2" t="s">
        <v>133</v>
      </c>
      <c r="E1736" s="2" t="s">
        <v>122</v>
      </c>
      <c r="F1736" s="2" t="s">
        <v>66</v>
      </c>
      <c r="G1736" s="2" t="s">
        <v>56</v>
      </c>
      <c r="H1736" s="2" t="s">
        <v>46</v>
      </c>
      <c r="I1736" s="2" t="s">
        <v>499</v>
      </c>
      <c r="J1736" s="2" t="s">
        <v>4133</v>
      </c>
      <c r="K1736" s="2" t="s">
        <v>5445</v>
      </c>
      <c r="L1736" s="2" t="s">
        <v>234</v>
      </c>
      <c r="M1736" s="2" t="s">
        <v>5343</v>
      </c>
      <c r="N1736" s="16">
        <v>3.0000000000000009E-2</v>
      </c>
      <c r="O1736" s="17">
        <f>N1736*'Financial Inputs'!$B$3</f>
        <v>3000000.0000000009</v>
      </c>
      <c r="P1736" s="18">
        <f>IF(I1736="L",'Financial Inputs'!$B$4,IF(I1736="M",'Financial Inputs'!$B$5,'Financial Inputs'!$B$6))</f>
        <v>0.7</v>
      </c>
      <c r="Q1736" s="17">
        <f>O1736*P1736</f>
        <v>2100000.0000000005</v>
      </c>
      <c r="R1736" s="16">
        <f>'Financial Inputs'!$B$7</f>
        <v>0.35</v>
      </c>
      <c r="S1736" s="17">
        <f>Q1736*(1-R1736)</f>
        <v>1365000.0000000005</v>
      </c>
      <c r="T1736" s="18">
        <f>S1736/'Financial Inputs'!$B$3</f>
        <v>1.3650000000000004E-2</v>
      </c>
      <c r="U1736" s="9" t="s">
        <v>52</v>
      </c>
      <c r="V1736" s="3" t="s">
        <v>53</v>
      </c>
    </row>
    <row r="1737" spans="1:22">
      <c r="A1737" s="2" t="s">
        <v>5446</v>
      </c>
      <c r="B1737" s="2" t="s">
        <v>5447</v>
      </c>
      <c r="C1737" s="2" t="s">
        <v>5341</v>
      </c>
      <c r="D1737" s="2" t="s">
        <v>102</v>
      </c>
      <c r="E1737" s="2" t="s">
        <v>73</v>
      </c>
      <c r="F1737" s="2" t="s">
        <v>110</v>
      </c>
      <c r="G1737" s="2" t="s">
        <v>83</v>
      </c>
      <c r="H1737" s="2" t="s">
        <v>46</v>
      </c>
      <c r="I1737" s="2" t="s">
        <v>499</v>
      </c>
      <c r="J1737" s="2" t="s">
        <v>4133</v>
      </c>
      <c r="K1737" s="2" t="s">
        <v>5448</v>
      </c>
      <c r="L1737" s="2" t="s">
        <v>238</v>
      </c>
      <c r="M1737" s="2" t="s">
        <v>5343</v>
      </c>
      <c r="N1737" s="16">
        <v>0.02</v>
      </c>
      <c r="O1737" s="17">
        <f>N1737*'Financial Inputs'!$B$3</f>
        <v>2000000</v>
      </c>
      <c r="P1737" s="18">
        <f>IF(I1737="L",'Financial Inputs'!$B$4,IF(I1737="M",'Financial Inputs'!$B$5,'Financial Inputs'!$B$6))</f>
        <v>0.7</v>
      </c>
      <c r="Q1737" s="17">
        <f>O1737*P1737</f>
        <v>1400000</v>
      </c>
      <c r="R1737" s="16">
        <f>'Financial Inputs'!$B$7</f>
        <v>0.35</v>
      </c>
      <c r="S1737" s="17">
        <f>Q1737*(1-R1737)</f>
        <v>910000</v>
      </c>
      <c r="T1737" s="18">
        <f>S1737/'Financial Inputs'!$B$3</f>
        <v>9.1000000000000004E-3</v>
      </c>
      <c r="U1737" s="9" t="s">
        <v>52</v>
      </c>
      <c r="V1737" s="3" t="s">
        <v>53</v>
      </c>
    </row>
    <row r="1738" spans="1:22">
      <c r="A1738" s="2" t="s">
        <v>5449</v>
      </c>
      <c r="B1738" s="2" t="s">
        <v>5450</v>
      </c>
      <c r="C1738" s="2" t="s">
        <v>5341</v>
      </c>
      <c r="D1738" s="2" t="s">
        <v>42</v>
      </c>
      <c r="E1738" s="2" t="s">
        <v>81</v>
      </c>
      <c r="F1738" s="2" t="s">
        <v>117</v>
      </c>
      <c r="G1738" s="2" t="s">
        <v>111</v>
      </c>
      <c r="H1738" s="2" t="s">
        <v>46</v>
      </c>
      <c r="I1738" s="2" t="s">
        <v>499</v>
      </c>
      <c r="J1738" s="2" t="s">
        <v>4133</v>
      </c>
      <c r="K1738" s="2" t="s">
        <v>5451</v>
      </c>
      <c r="L1738" s="2" t="s">
        <v>242</v>
      </c>
      <c r="M1738" s="2" t="s">
        <v>5343</v>
      </c>
      <c r="N1738" s="16">
        <v>2.2499999999999999E-2</v>
      </c>
      <c r="O1738" s="17">
        <f>N1738*'Financial Inputs'!$B$3</f>
        <v>2250000</v>
      </c>
      <c r="P1738" s="18">
        <f>IF(I1738="L",'Financial Inputs'!$B$4,IF(I1738="M",'Financial Inputs'!$B$5,'Financial Inputs'!$B$6))</f>
        <v>0.7</v>
      </c>
      <c r="Q1738" s="17">
        <f>O1738*P1738</f>
        <v>1575000</v>
      </c>
      <c r="R1738" s="16">
        <f>'Financial Inputs'!$B$7</f>
        <v>0.35</v>
      </c>
      <c r="S1738" s="17">
        <f>Q1738*(1-R1738)</f>
        <v>1023750</v>
      </c>
      <c r="T1738" s="18">
        <f>S1738/'Financial Inputs'!$B$3</f>
        <v>1.02375E-2</v>
      </c>
      <c r="U1738" s="9" t="s">
        <v>52</v>
      </c>
      <c r="V1738" s="3" t="s">
        <v>53</v>
      </c>
    </row>
    <row r="1739" spans="1:22">
      <c r="A1739" s="2" t="s">
        <v>5452</v>
      </c>
      <c r="B1739" s="2" t="s">
        <v>5453</v>
      </c>
      <c r="C1739" s="2" t="s">
        <v>5341</v>
      </c>
      <c r="D1739" s="2" t="s">
        <v>56</v>
      </c>
      <c r="E1739" s="2" t="s">
        <v>193</v>
      </c>
      <c r="F1739" s="2" t="s">
        <v>90</v>
      </c>
      <c r="G1739" s="2" t="s">
        <v>56</v>
      </c>
      <c r="H1739" s="2" t="s">
        <v>46</v>
      </c>
      <c r="I1739" s="2" t="s">
        <v>499</v>
      </c>
      <c r="J1739" s="2" t="s">
        <v>4133</v>
      </c>
      <c r="K1739" s="2" t="s">
        <v>5454</v>
      </c>
      <c r="L1739" s="2" t="s">
        <v>246</v>
      </c>
      <c r="M1739" s="2" t="s">
        <v>5343</v>
      </c>
      <c r="N1739" s="16">
        <v>2.5000000000000001E-2</v>
      </c>
      <c r="O1739" s="17">
        <f>N1739*'Financial Inputs'!$B$3</f>
        <v>2500000</v>
      </c>
      <c r="P1739" s="18">
        <f>IF(I1739="L",'Financial Inputs'!$B$4,IF(I1739="M",'Financial Inputs'!$B$5,'Financial Inputs'!$B$6))</f>
        <v>0.7</v>
      </c>
      <c r="Q1739" s="17">
        <f>O1739*P1739</f>
        <v>1750000</v>
      </c>
      <c r="R1739" s="16">
        <f>'Financial Inputs'!$B$7</f>
        <v>0.35</v>
      </c>
      <c r="S1739" s="17">
        <f>Q1739*(1-R1739)</f>
        <v>1137500</v>
      </c>
      <c r="T1739" s="18">
        <f>S1739/'Financial Inputs'!$B$3</f>
        <v>1.1375E-2</v>
      </c>
      <c r="U1739" s="9" t="s">
        <v>52</v>
      </c>
      <c r="V1739" s="3" t="s">
        <v>53</v>
      </c>
    </row>
    <row r="1740" spans="1:22">
      <c r="A1740" s="2" t="s">
        <v>5455</v>
      </c>
      <c r="B1740" s="2" t="s">
        <v>5456</v>
      </c>
      <c r="C1740" s="2" t="s">
        <v>5341</v>
      </c>
      <c r="D1740" s="2" t="s">
        <v>64</v>
      </c>
      <c r="E1740" s="2" t="s">
        <v>198</v>
      </c>
      <c r="F1740" s="2" t="s">
        <v>97</v>
      </c>
      <c r="G1740" s="2" t="s">
        <v>138</v>
      </c>
      <c r="H1740" s="2" t="s">
        <v>46</v>
      </c>
      <c r="I1740" s="2" t="s">
        <v>499</v>
      </c>
      <c r="J1740" s="2" t="s">
        <v>4133</v>
      </c>
      <c r="K1740" s="2" t="s">
        <v>5457</v>
      </c>
      <c r="L1740" s="2" t="s">
        <v>250</v>
      </c>
      <c r="M1740" s="2" t="s">
        <v>5343</v>
      </c>
      <c r="N1740" s="16">
        <v>2.75E-2</v>
      </c>
      <c r="O1740" s="17">
        <f>N1740*'Financial Inputs'!$B$3</f>
        <v>2750000</v>
      </c>
      <c r="P1740" s="18">
        <f>IF(I1740="L",'Financial Inputs'!$B$4,IF(I1740="M",'Financial Inputs'!$B$5,'Financial Inputs'!$B$6))</f>
        <v>0.7</v>
      </c>
      <c r="Q1740" s="17">
        <f>O1740*P1740</f>
        <v>1924999.9999999998</v>
      </c>
      <c r="R1740" s="16">
        <f>'Financial Inputs'!$B$7</f>
        <v>0.35</v>
      </c>
      <c r="S1740" s="17">
        <f>Q1740*(1-R1740)</f>
        <v>1251250</v>
      </c>
      <c r="T1740" s="18">
        <f>S1740/'Financial Inputs'!$B$3</f>
        <v>1.2512499999999999E-2</v>
      </c>
      <c r="U1740" s="9" t="s">
        <v>52</v>
      </c>
      <c r="V1740" s="3" t="s">
        <v>53</v>
      </c>
    </row>
    <row r="1741" spans="1:22">
      <c r="A1741" s="2" t="s">
        <v>5458</v>
      </c>
      <c r="B1741" s="2" t="s">
        <v>5459</v>
      </c>
      <c r="C1741" s="2" t="s">
        <v>5341</v>
      </c>
      <c r="D1741" s="2" t="s">
        <v>72</v>
      </c>
      <c r="E1741" s="2" t="s">
        <v>148</v>
      </c>
      <c r="F1741" s="2" t="s">
        <v>104</v>
      </c>
      <c r="G1741" s="2" t="s">
        <v>143</v>
      </c>
      <c r="H1741" s="2" t="s">
        <v>46</v>
      </c>
      <c r="I1741" s="2" t="s">
        <v>499</v>
      </c>
      <c r="J1741" s="2" t="s">
        <v>4133</v>
      </c>
      <c r="K1741" s="2" t="s">
        <v>5460</v>
      </c>
      <c r="L1741" s="2" t="s">
        <v>254</v>
      </c>
      <c r="M1741" s="2" t="s">
        <v>5343</v>
      </c>
      <c r="N1741" s="16">
        <v>3.0000000000000009E-2</v>
      </c>
      <c r="O1741" s="17">
        <f>N1741*'Financial Inputs'!$B$3</f>
        <v>3000000.0000000009</v>
      </c>
      <c r="P1741" s="18">
        <f>IF(I1741="L",'Financial Inputs'!$B$4,IF(I1741="M",'Financial Inputs'!$B$5,'Financial Inputs'!$B$6))</f>
        <v>0.7</v>
      </c>
      <c r="Q1741" s="17">
        <f>O1741*P1741</f>
        <v>2100000.0000000005</v>
      </c>
      <c r="R1741" s="16">
        <f>'Financial Inputs'!$B$7</f>
        <v>0.35</v>
      </c>
      <c r="S1741" s="17">
        <f>Q1741*(1-R1741)</f>
        <v>1365000.0000000005</v>
      </c>
      <c r="T1741" s="18">
        <f>S1741/'Financial Inputs'!$B$3</f>
        <v>1.3650000000000004E-2</v>
      </c>
      <c r="U1741" s="9" t="s">
        <v>52</v>
      </c>
      <c r="V1741" s="3" t="s">
        <v>53</v>
      </c>
    </row>
    <row r="1742" spans="1:22">
      <c r="A1742" s="2" t="s">
        <v>5461</v>
      </c>
      <c r="B1742" s="2" t="s">
        <v>5462</v>
      </c>
      <c r="C1742" s="2" t="s">
        <v>5341</v>
      </c>
      <c r="D1742" s="2" t="s">
        <v>133</v>
      </c>
      <c r="E1742" s="2" t="s">
        <v>109</v>
      </c>
      <c r="F1742" s="2" t="s">
        <v>82</v>
      </c>
      <c r="G1742" s="2" t="s">
        <v>56</v>
      </c>
      <c r="H1742" s="2" t="s">
        <v>46</v>
      </c>
      <c r="I1742" s="2" t="s">
        <v>499</v>
      </c>
      <c r="J1742" s="2" t="s">
        <v>4133</v>
      </c>
      <c r="K1742" s="2" t="s">
        <v>5463</v>
      </c>
      <c r="L1742" s="2" t="s">
        <v>258</v>
      </c>
      <c r="M1742" s="2" t="s">
        <v>5343</v>
      </c>
      <c r="N1742" s="16">
        <v>0.02</v>
      </c>
      <c r="O1742" s="17">
        <f>N1742*'Financial Inputs'!$B$3</f>
        <v>2000000</v>
      </c>
      <c r="P1742" s="18">
        <f>IF(I1742="L",'Financial Inputs'!$B$4,IF(I1742="M",'Financial Inputs'!$B$5,'Financial Inputs'!$B$6))</f>
        <v>0.7</v>
      </c>
      <c r="Q1742" s="17">
        <f>O1742*P1742</f>
        <v>1400000</v>
      </c>
      <c r="R1742" s="16">
        <f>'Financial Inputs'!$B$7</f>
        <v>0.35</v>
      </c>
      <c r="S1742" s="17">
        <f>Q1742*(1-R1742)</f>
        <v>910000</v>
      </c>
      <c r="T1742" s="18">
        <f>S1742/'Financial Inputs'!$B$3</f>
        <v>9.1000000000000004E-3</v>
      </c>
      <c r="U1742" s="9" t="s">
        <v>52</v>
      </c>
      <c r="V1742" s="3" t="s">
        <v>53</v>
      </c>
    </row>
    <row r="1743" spans="1:22">
      <c r="A1743" s="2" t="s">
        <v>5464</v>
      </c>
      <c r="B1743" s="2" t="s">
        <v>5465</v>
      </c>
      <c r="C1743" s="2" t="s">
        <v>5341</v>
      </c>
      <c r="D1743" s="2" t="s">
        <v>88</v>
      </c>
      <c r="E1743" s="2" t="s">
        <v>116</v>
      </c>
      <c r="F1743" s="2" t="s">
        <v>44</v>
      </c>
      <c r="G1743" s="2" t="s">
        <v>138</v>
      </c>
      <c r="H1743" s="2" t="s">
        <v>46</v>
      </c>
      <c r="I1743" s="2" t="s">
        <v>499</v>
      </c>
      <c r="J1743" s="2" t="s">
        <v>4133</v>
      </c>
      <c r="K1743" s="2" t="s">
        <v>5466</v>
      </c>
      <c r="L1743" s="2" t="s">
        <v>262</v>
      </c>
      <c r="M1743" s="2" t="s">
        <v>5343</v>
      </c>
      <c r="N1743" s="16">
        <v>2.2499999999999999E-2</v>
      </c>
      <c r="O1743" s="17">
        <f>N1743*'Financial Inputs'!$B$3</f>
        <v>2250000</v>
      </c>
      <c r="P1743" s="18">
        <f>IF(I1743="L",'Financial Inputs'!$B$4,IF(I1743="M",'Financial Inputs'!$B$5,'Financial Inputs'!$B$6))</f>
        <v>0.7</v>
      </c>
      <c r="Q1743" s="17">
        <f>O1743*P1743</f>
        <v>1575000</v>
      </c>
      <c r="R1743" s="16">
        <f>'Financial Inputs'!$B$7</f>
        <v>0.35</v>
      </c>
      <c r="S1743" s="17">
        <f>Q1743*(1-R1743)</f>
        <v>1023750</v>
      </c>
      <c r="T1743" s="18">
        <f>S1743/'Financial Inputs'!$B$3</f>
        <v>1.02375E-2</v>
      </c>
      <c r="U1743" s="9" t="s">
        <v>52</v>
      </c>
      <c r="V1743" s="3" t="s">
        <v>53</v>
      </c>
    </row>
    <row r="1744" spans="1:22">
      <c r="A1744" s="2" t="s">
        <v>5467</v>
      </c>
      <c r="B1744" s="2" t="s">
        <v>5468</v>
      </c>
      <c r="C1744" s="2" t="s">
        <v>5341</v>
      </c>
      <c r="D1744" s="2" t="s">
        <v>95</v>
      </c>
      <c r="E1744" s="2" t="s">
        <v>215</v>
      </c>
      <c r="F1744" s="2" t="s">
        <v>58</v>
      </c>
      <c r="G1744" s="2" t="s">
        <v>143</v>
      </c>
      <c r="H1744" s="2" t="s">
        <v>46</v>
      </c>
      <c r="I1744" s="2" t="s">
        <v>499</v>
      </c>
      <c r="J1744" s="2" t="s">
        <v>4133</v>
      </c>
      <c r="K1744" s="2" t="s">
        <v>5469</v>
      </c>
      <c r="L1744" s="2" t="s">
        <v>266</v>
      </c>
      <c r="M1744" s="2" t="s">
        <v>5343</v>
      </c>
      <c r="N1744" s="16">
        <v>2.5000000000000001E-2</v>
      </c>
      <c r="O1744" s="17">
        <f>N1744*'Financial Inputs'!$B$3</f>
        <v>2500000</v>
      </c>
      <c r="P1744" s="18">
        <f>IF(I1744="L",'Financial Inputs'!$B$4,IF(I1744="M",'Financial Inputs'!$B$5,'Financial Inputs'!$B$6))</f>
        <v>0.7</v>
      </c>
      <c r="Q1744" s="17">
        <f>O1744*P1744</f>
        <v>1750000</v>
      </c>
      <c r="R1744" s="16">
        <f>'Financial Inputs'!$B$7</f>
        <v>0.35</v>
      </c>
      <c r="S1744" s="17">
        <f>Q1744*(1-R1744)</f>
        <v>1137500</v>
      </c>
      <c r="T1744" s="18">
        <f>S1744/'Financial Inputs'!$B$3</f>
        <v>1.1375E-2</v>
      </c>
      <c r="U1744" s="9" t="s">
        <v>52</v>
      </c>
      <c r="V1744" s="3" t="s">
        <v>53</v>
      </c>
    </row>
    <row r="1745" spans="1:22">
      <c r="A1745" s="2" t="s">
        <v>5470</v>
      </c>
      <c r="B1745" s="2" t="s">
        <v>5471</v>
      </c>
      <c r="C1745" s="2" t="s">
        <v>5341</v>
      </c>
      <c r="D1745" s="2" t="s">
        <v>102</v>
      </c>
      <c r="E1745" s="2" t="s">
        <v>220</v>
      </c>
      <c r="F1745" s="2" t="s">
        <v>66</v>
      </c>
      <c r="G1745" s="2" t="s">
        <v>162</v>
      </c>
      <c r="H1745" s="2" t="s">
        <v>46</v>
      </c>
      <c r="I1745" s="2" t="s">
        <v>499</v>
      </c>
      <c r="J1745" s="2" t="s">
        <v>4133</v>
      </c>
      <c r="K1745" s="2" t="s">
        <v>5472</v>
      </c>
      <c r="L1745" s="2" t="s">
        <v>270</v>
      </c>
      <c r="M1745" s="2" t="s">
        <v>5343</v>
      </c>
      <c r="N1745" s="16">
        <v>2.75E-2</v>
      </c>
      <c r="O1745" s="17">
        <f>N1745*'Financial Inputs'!$B$3</f>
        <v>2750000</v>
      </c>
      <c r="P1745" s="18">
        <f>IF(I1745="L",'Financial Inputs'!$B$4,IF(I1745="M",'Financial Inputs'!$B$5,'Financial Inputs'!$B$6))</f>
        <v>0.7</v>
      </c>
      <c r="Q1745" s="17">
        <f>O1745*P1745</f>
        <v>1924999.9999999998</v>
      </c>
      <c r="R1745" s="16">
        <f>'Financial Inputs'!$B$7</f>
        <v>0.35</v>
      </c>
      <c r="S1745" s="17">
        <f>Q1745*(1-R1745)</f>
        <v>1251250</v>
      </c>
      <c r="T1745" s="18">
        <f>S1745/'Financial Inputs'!$B$3</f>
        <v>1.2512499999999999E-2</v>
      </c>
      <c r="U1745" s="9" t="s">
        <v>52</v>
      </c>
      <c r="V1745" s="3" t="s">
        <v>53</v>
      </c>
    </row>
    <row r="1746" spans="1:22">
      <c r="A1746" s="2" t="s">
        <v>5473</v>
      </c>
      <c r="B1746" s="2" t="s">
        <v>5474</v>
      </c>
      <c r="C1746" s="2" t="s">
        <v>5341</v>
      </c>
      <c r="D1746" s="2" t="s">
        <v>42</v>
      </c>
      <c r="E1746" s="2" t="s">
        <v>171</v>
      </c>
      <c r="F1746" s="2" t="s">
        <v>74</v>
      </c>
      <c r="G1746" s="2" t="s">
        <v>45</v>
      </c>
      <c r="H1746" s="2" t="s">
        <v>46</v>
      </c>
      <c r="I1746" s="2" t="s">
        <v>499</v>
      </c>
      <c r="J1746" s="2" t="s">
        <v>4133</v>
      </c>
      <c r="K1746" s="2" t="s">
        <v>5475</v>
      </c>
      <c r="L1746" s="2" t="s">
        <v>274</v>
      </c>
      <c r="M1746" s="2" t="s">
        <v>5343</v>
      </c>
      <c r="N1746" s="16">
        <v>3.0000000000000009E-2</v>
      </c>
      <c r="O1746" s="17">
        <f>N1746*'Financial Inputs'!$B$3</f>
        <v>3000000.0000000009</v>
      </c>
      <c r="P1746" s="18">
        <f>IF(I1746="L",'Financial Inputs'!$B$4,IF(I1746="M",'Financial Inputs'!$B$5,'Financial Inputs'!$B$6))</f>
        <v>0.7</v>
      </c>
      <c r="Q1746" s="17">
        <f>O1746*P1746</f>
        <v>2100000.0000000005</v>
      </c>
      <c r="R1746" s="16">
        <f>'Financial Inputs'!$B$7</f>
        <v>0.35</v>
      </c>
      <c r="S1746" s="17">
        <f>Q1746*(1-R1746)</f>
        <v>1365000.0000000005</v>
      </c>
      <c r="T1746" s="18">
        <f>S1746/'Financial Inputs'!$B$3</f>
        <v>1.3650000000000004E-2</v>
      </c>
      <c r="U1746" s="9" t="s">
        <v>52</v>
      </c>
      <c r="V1746" s="3" t="s">
        <v>53</v>
      </c>
    </row>
    <row r="1747" spans="1:22">
      <c r="A1747" s="2" t="s">
        <v>5476</v>
      </c>
      <c r="B1747" s="2" t="s">
        <v>5477</v>
      </c>
      <c r="C1747" s="2" t="s">
        <v>5341</v>
      </c>
      <c r="D1747" s="2" t="s">
        <v>72</v>
      </c>
      <c r="E1747" s="2" t="s">
        <v>57</v>
      </c>
      <c r="F1747" s="2" t="s">
        <v>117</v>
      </c>
      <c r="G1747" s="2" t="s">
        <v>143</v>
      </c>
      <c r="H1747" s="2" t="s">
        <v>46</v>
      </c>
      <c r="I1747" s="2" t="s">
        <v>499</v>
      </c>
      <c r="J1747" s="2" t="s">
        <v>4133</v>
      </c>
      <c r="K1747" s="2" t="s">
        <v>5478</v>
      </c>
      <c r="L1747" s="2" t="s">
        <v>278</v>
      </c>
      <c r="M1747" s="2" t="s">
        <v>5343</v>
      </c>
      <c r="N1747" s="16">
        <v>0.02</v>
      </c>
      <c r="O1747" s="17">
        <f>N1747*'Financial Inputs'!$B$3</f>
        <v>2000000</v>
      </c>
      <c r="P1747" s="18">
        <f>IF(I1747="L",'Financial Inputs'!$B$4,IF(I1747="M",'Financial Inputs'!$B$5,'Financial Inputs'!$B$6))</f>
        <v>0.7</v>
      </c>
      <c r="Q1747" s="17">
        <f>O1747*P1747</f>
        <v>1400000</v>
      </c>
      <c r="R1747" s="16">
        <f>'Financial Inputs'!$B$7</f>
        <v>0.35</v>
      </c>
      <c r="S1747" s="17">
        <f>Q1747*(1-R1747)</f>
        <v>910000</v>
      </c>
      <c r="T1747" s="18">
        <f>S1747/'Financial Inputs'!$B$3</f>
        <v>9.1000000000000004E-3</v>
      </c>
      <c r="U1747" s="9" t="s">
        <v>52</v>
      </c>
      <c r="V1747" s="3" t="s">
        <v>53</v>
      </c>
    </row>
    <row r="1748" spans="1:22">
      <c r="A1748" s="2" t="s">
        <v>5479</v>
      </c>
      <c r="B1748" s="2" t="s">
        <v>5480</v>
      </c>
      <c r="C1748" s="2" t="s">
        <v>5341</v>
      </c>
      <c r="D1748" s="2" t="s">
        <v>80</v>
      </c>
      <c r="E1748" s="2" t="s">
        <v>65</v>
      </c>
      <c r="F1748" s="2" t="s">
        <v>90</v>
      </c>
      <c r="G1748" s="2" t="s">
        <v>162</v>
      </c>
      <c r="H1748" s="2" t="s">
        <v>46</v>
      </c>
      <c r="I1748" s="2" t="s">
        <v>499</v>
      </c>
      <c r="J1748" s="2" t="s">
        <v>4133</v>
      </c>
      <c r="K1748" s="2" t="s">
        <v>5481</v>
      </c>
      <c r="L1748" s="2" t="s">
        <v>282</v>
      </c>
      <c r="M1748" s="2" t="s">
        <v>5343</v>
      </c>
      <c r="N1748" s="16">
        <v>2.2499999999999999E-2</v>
      </c>
      <c r="O1748" s="17">
        <f>N1748*'Financial Inputs'!$B$3</f>
        <v>2250000</v>
      </c>
      <c r="P1748" s="18">
        <f>IF(I1748="L",'Financial Inputs'!$B$4,IF(I1748="M",'Financial Inputs'!$B$5,'Financial Inputs'!$B$6))</f>
        <v>0.7</v>
      </c>
      <c r="Q1748" s="17">
        <f>O1748*P1748</f>
        <v>1575000</v>
      </c>
      <c r="R1748" s="16">
        <f>'Financial Inputs'!$B$7</f>
        <v>0.35</v>
      </c>
      <c r="S1748" s="17">
        <f>Q1748*(1-R1748)</f>
        <v>1023750</v>
      </c>
      <c r="T1748" s="18">
        <f>S1748/'Financial Inputs'!$B$3</f>
        <v>1.02375E-2</v>
      </c>
      <c r="U1748" s="9" t="s">
        <v>52</v>
      </c>
      <c r="V1748" s="3" t="s">
        <v>53</v>
      </c>
    </row>
    <row r="1749" spans="1:22">
      <c r="A1749" s="2" t="s">
        <v>5482</v>
      </c>
      <c r="B1749" s="2" t="s">
        <v>5483</v>
      </c>
      <c r="C1749" s="2" t="s">
        <v>5341</v>
      </c>
      <c r="D1749" s="2" t="s">
        <v>127</v>
      </c>
      <c r="E1749" s="2" t="s">
        <v>73</v>
      </c>
      <c r="F1749" s="2" t="s">
        <v>97</v>
      </c>
      <c r="G1749" s="2" t="s">
        <v>45</v>
      </c>
      <c r="H1749" s="2" t="s">
        <v>46</v>
      </c>
      <c r="I1749" s="2" t="s">
        <v>499</v>
      </c>
      <c r="J1749" s="2" t="s">
        <v>4133</v>
      </c>
      <c r="K1749" s="2" t="s">
        <v>5484</v>
      </c>
      <c r="L1749" s="2" t="s">
        <v>286</v>
      </c>
      <c r="M1749" s="2" t="s">
        <v>5343</v>
      </c>
      <c r="N1749" s="16">
        <v>2.5000000000000001E-2</v>
      </c>
      <c r="O1749" s="17">
        <f>N1749*'Financial Inputs'!$B$3</f>
        <v>2500000</v>
      </c>
      <c r="P1749" s="18">
        <f>IF(I1749="L",'Financial Inputs'!$B$4,IF(I1749="M",'Financial Inputs'!$B$5,'Financial Inputs'!$B$6))</f>
        <v>0.7</v>
      </c>
      <c r="Q1749" s="17">
        <f>O1749*P1749</f>
        <v>1750000</v>
      </c>
      <c r="R1749" s="16">
        <f>'Financial Inputs'!$B$7</f>
        <v>0.35</v>
      </c>
      <c r="S1749" s="17">
        <f>Q1749*(1-R1749)</f>
        <v>1137500</v>
      </c>
      <c r="T1749" s="18">
        <f>S1749/'Financial Inputs'!$B$3</f>
        <v>1.1375E-2</v>
      </c>
      <c r="U1749" s="9" t="s">
        <v>52</v>
      </c>
      <c r="V1749" s="3" t="s">
        <v>53</v>
      </c>
    </row>
    <row r="1750" spans="1:22">
      <c r="A1750" s="2" t="s">
        <v>5485</v>
      </c>
      <c r="B1750" s="2" t="s">
        <v>5486</v>
      </c>
      <c r="C1750" s="2" t="s">
        <v>5341</v>
      </c>
      <c r="D1750" s="2" t="s">
        <v>133</v>
      </c>
      <c r="E1750" s="2" t="s">
        <v>81</v>
      </c>
      <c r="F1750" s="2" t="s">
        <v>104</v>
      </c>
      <c r="G1750" s="2" t="s">
        <v>59</v>
      </c>
      <c r="H1750" s="2" t="s">
        <v>46</v>
      </c>
      <c r="I1750" s="2" t="s">
        <v>499</v>
      </c>
      <c r="J1750" s="2" t="s">
        <v>4133</v>
      </c>
      <c r="K1750" s="2" t="s">
        <v>5487</v>
      </c>
      <c r="L1750" s="2" t="s">
        <v>290</v>
      </c>
      <c r="M1750" s="2" t="s">
        <v>5343</v>
      </c>
      <c r="N1750" s="16">
        <v>2.75E-2</v>
      </c>
      <c r="O1750" s="17">
        <f>N1750*'Financial Inputs'!$B$3</f>
        <v>2750000</v>
      </c>
      <c r="P1750" s="18">
        <f>IF(I1750="L",'Financial Inputs'!$B$4,IF(I1750="M",'Financial Inputs'!$B$5,'Financial Inputs'!$B$6))</f>
        <v>0.7</v>
      </c>
      <c r="Q1750" s="17">
        <f>O1750*P1750</f>
        <v>1924999.9999999998</v>
      </c>
      <c r="R1750" s="16">
        <f>'Financial Inputs'!$B$7</f>
        <v>0.35</v>
      </c>
      <c r="S1750" s="17">
        <f>Q1750*(1-R1750)</f>
        <v>1251250</v>
      </c>
      <c r="T1750" s="18">
        <f>S1750/'Financial Inputs'!$B$3</f>
        <v>1.2512499999999999E-2</v>
      </c>
      <c r="U1750" s="9" t="s">
        <v>52</v>
      </c>
      <c r="V1750" s="3" t="s">
        <v>53</v>
      </c>
    </row>
    <row r="1751" spans="1:22">
      <c r="A1751" s="2" t="s">
        <v>5488</v>
      </c>
      <c r="B1751" s="2" t="s">
        <v>5489</v>
      </c>
      <c r="C1751" s="2" t="s">
        <v>5341</v>
      </c>
      <c r="D1751" s="2" t="s">
        <v>88</v>
      </c>
      <c r="E1751" s="2" t="s">
        <v>193</v>
      </c>
      <c r="F1751" s="2" t="s">
        <v>110</v>
      </c>
      <c r="G1751" s="2" t="s">
        <v>67</v>
      </c>
      <c r="H1751" s="2" t="s">
        <v>46</v>
      </c>
      <c r="I1751" s="2" t="s">
        <v>499</v>
      </c>
      <c r="J1751" s="2" t="s">
        <v>4133</v>
      </c>
      <c r="K1751" s="2" t="s">
        <v>5490</v>
      </c>
      <c r="L1751" s="2" t="s">
        <v>294</v>
      </c>
      <c r="M1751" s="2" t="s">
        <v>5343</v>
      </c>
      <c r="N1751" s="16">
        <v>3.0000000000000009E-2</v>
      </c>
      <c r="O1751" s="17">
        <f>N1751*'Financial Inputs'!$B$3</f>
        <v>3000000.0000000009</v>
      </c>
      <c r="P1751" s="18">
        <f>IF(I1751="L",'Financial Inputs'!$B$4,IF(I1751="M",'Financial Inputs'!$B$5,'Financial Inputs'!$B$6))</f>
        <v>0.7</v>
      </c>
      <c r="Q1751" s="17">
        <f>O1751*P1751</f>
        <v>2100000.0000000005</v>
      </c>
      <c r="R1751" s="16">
        <f>'Financial Inputs'!$B$7</f>
        <v>0.35</v>
      </c>
      <c r="S1751" s="17">
        <f>Q1751*(1-R1751)</f>
        <v>1365000.0000000005</v>
      </c>
      <c r="T1751" s="18">
        <f>S1751/'Financial Inputs'!$B$3</f>
        <v>1.3650000000000004E-2</v>
      </c>
      <c r="U1751" s="9" t="s">
        <v>52</v>
      </c>
      <c r="V1751" s="3" t="s">
        <v>53</v>
      </c>
    </row>
    <row r="1752" spans="1:22">
      <c r="A1752" s="2" t="s">
        <v>5491</v>
      </c>
      <c r="B1752" s="2" t="s">
        <v>5492</v>
      </c>
      <c r="C1752" s="2" t="s">
        <v>5341</v>
      </c>
      <c r="D1752" s="2" t="s">
        <v>42</v>
      </c>
      <c r="E1752" s="2" t="s">
        <v>96</v>
      </c>
      <c r="F1752" s="2" t="s">
        <v>44</v>
      </c>
      <c r="G1752" s="2" t="s">
        <v>45</v>
      </c>
      <c r="H1752" s="2" t="s">
        <v>46</v>
      </c>
      <c r="I1752" s="2" t="s">
        <v>499</v>
      </c>
      <c r="J1752" s="2" t="s">
        <v>4133</v>
      </c>
      <c r="K1752" s="2" t="s">
        <v>5493</v>
      </c>
      <c r="L1752" s="2" t="s">
        <v>298</v>
      </c>
      <c r="M1752" s="2" t="s">
        <v>5343</v>
      </c>
      <c r="N1752" s="16">
        <v>0.02</v>
      </c>
      <c r="O1752" s="17">
        <f>N1752*'Financial Inputs'!$B$3</f>
        <v>2000000</v>
      </c>
      <c r="P1752" s="18">
        <f>IF(I1752="L",'Financial Inputs'!$B$4,IF(I1752="M",'Financial Inputs'!$B$5,'Financial Inputs'!$B$6))</f>
        <v>0.7</v>
      </c>
      <c r="Q1752" s="17">
        <f>O1752*P1752</f>
        <v>1400000</v>
      </c>
      <c r="R1752" s="16">
        <f>'Financial Inputs'!$B$7</f>
        <v>0.35</v>
      </c>
      <c r="S1752" s="17">
        <f>Q1752*(1-R1752)</f>
        <v>910000</v>
      </c>
      <c r="T1752" s="18">
        <f>S1752/'Financial Inputs'!$B$3</f>
        <v>9.1000000000000004E-3</v>
      </c>
      <c r="U1752" s="9" t="s">
        <v>52</v>
      </c>
      <c r="V1752" s="3" t="s">
        <v>53</v>
      </c>
    </row>
    <row r="1753" spans="1:22">
      <c r="A1753" s="2" t="s">
        <v>5494</v>
      </c>
      <c r="B1753" s="2" t="s">
        <v>5495</v>
      </c>
      <c r="C1753" s="2" t="s">
        <v>5341</v>
      </c>
      <c r="D1753" s="2" t="s">
        <v>56</v>
      </c>
      <c r="E1753" s="2" t="s">
        <v>103</v>
      </c>
      <c r="F1753" s="2" t="s">
        <v>58</v>
      </c>
      <c r="G1753" s="2" t="s">
        <v>59</v>
      </c>
      <c r="H1753" s="2" t="s">
        <v>46</v>
      </c>
      <c r="I1753" s="2" t="s">
        <v>499</v>
      </c>
      <c r="J1753" s="2" t="s">
        <v>4133</v>
      </c>
      <c r="K1753" s="2" t="s">
        <v>5496</v>
      </c>
      <c r="L1753" s="2" t="s">
        <v>302</v>
      </c>
      <c r="M1753" s="2" t="s">
        <v>5343</v>
      </c>
      <c r="N1753" s="16">
        <v>2.2499999999999999E-2</v>
      </c>
      <c r="O1753" s="17">
        <f>N1753*'Financial Inputs'!$B$3</f>
        <v>2250000</v>
      </c>
      <c r="P1753" s="18">
        <f>IF(I1753="L",'Financial Inputs'!$B$4,IF(I1753="M",'Financial Inputs'!$B$5,'Financial Inputs'!$B$6))</f>
        <v>0.7</v>
      </c>
      <c r="Q1753" s="17">
        <f>O1753*P1753</f>
        <v>1575000</v>
      </c>
      <c r="R1753" s="16">
        <f>'Financial Inputs'!$B$7</f>
        <v>0.35</v>
      </c>
      <c r="S1753" s="17">
        <f>Q1753*(1-R1753)</f>
        <v>1023750</v>
      </c>
      <c r="T1753" s="18">
        <f>S1753/'Financial Inputs'!$B$3</f>
        <v>1.02375E-2</v>
      </c>
      <c r="U1753" s="9" t="s">
        <v>52</v>
      </c>
      <c r="V1753" s="3" t="s">
        <v>53</v>
      </c>
    </row>
    <row r="1754" spans="1:22">
      <c r="A1754" s="2" t="s">
        <v>5497</v>
      </c>
      <c r="B1754" s="2" t="s">
        <v>5498</v>
      </c>
      <c r="C1754" s="2" t="s">
        <v>5341</v>
      </c>
      <c r="D1754" s="2" t="s">
        <v>64</v>
      </c>
      <c r="E1754" s="2" t="s">
        <v>109</v>
      </c>
      <c r="F1754" s="2" t="s">
        <v>66</v>
      </c>
      <c r="G1754" s="2" t="s">
        <v>67</v>
      </c>
      <c r="H1754" s="2" t="s">
        <v>46</v>
      </c>
      <c r="I1754" s="2" t="s">
        <v>499</v>
      </c>
      <c r="J1754" s="2" t="s">
        <v>4133</v>
      </c>
      <c r="K1754" s="2" t="s">
        <v>5499</v>
      </c>
      <c r="L1754" s="2" t="s">
        <v>306</v>
      </c>
      <c r="M1754" s="2" t="s">
        <v>5343</v>
      </c>
      <c r="N1754" s="16">
        <v>2.5000000000000001E-2</v>
      </c>
      <c r="O1754" s="17">
        <f>N1754*'Financial Inputs'!$B$3</f>
        <v>2500000</v>
      </c>
      <c r="P1754" s="18">
        <f>IF(I1754="L",'Financial Inputs'!$B$4,IF(I1754="M",'Financial Inputs'!$B$5,'Financial Inputs'!$B$6))</f>
        <v>0.7</v>
      </c>
      <c r="Q1754" s="17">
        <f>O1754*P1754</f>
        <v>1750000</v>
      </c>
      <c r="R1754" s="16">
        <f>'Financial Inputs'!$B$7</f>
        <v>0.35</v>
      </c>
      <c r="S1754" s="17">
        <f>Q1754*(1-R1754)</f>
        <v>1137500</v>
      </c>
      <c r="T1754" s="18">
        <f>S1754/'Financial Inputs'!$B$3</f>
        <v>1.1375E-2</v>
      </c>
      <c r="U1754" s="9" t="s">
        <v>52</v>
      </c>
      <c r="V1754" s="3" t="s">
        <v>53</v>
      </c>
    </row>
    <row r="1755" spans="1:22">
      <c r="A1755" s="2" t="s">
        <v>5500</v>
      </c>
      <c r="B1755" s="2" t="s">
        <v>5501</v>
      </c>
      <c r="C1755" s="2" t="s">
        <v>5341</v>
      </c>
      <c r="D1755" s="2" t="s">
        <v>72</v>
      </c>
      <c r="E1755" s="2" t="s">
        <v>116</v>
      </c>
      <c r="F1755" s="2" t="s">
        <v>74</v>
      </c>
      <c r="G1755" s="2" t="s">
        <v>75</v>
      </c>
      <c r="H1755" s="2" t="s">
        <v>46</v>
      </c>
      <c r="I1755" s="2" t="s">
        <v>499</v>
      </c>
      <c r="J1755" s="2" t="s">
        <v>4133</v>
      </c>
      <c r="K1755" s="2" t="s">
        <v>5502</v>
      </c>
      <c r="L1755" s="2" t="s">
        <v>310</v>
      </c>
      <c r="M1755" s="2" t="s">
        <v>5343</v>
      </c>
      <c r="N1755" s="16">
        <v>2.75E-2</v>
      </c>
      <c r="O1755" s="17">
        <f>N1755*'Financial Inputs'!$B$3</f>
        <v>2750000</v>
      </c>
      <c r="P1755" s="18">
        <f>IF(I1755="L",'Financial Inputs'!$B$4,IF(I1755="M",'Financial Inputs'!$B$5,'Financial Inputs'!$B$6))</f>
        <v>0.7</v>
      </c>
      <c r="Q1755" s="17">
        <f>O1755*P1755</f>
        <v>1924999.9999999998</v>
      </c>
      <c r="R1755" s="16">
        <f>'Financial Inputs'!$B$7</f>
        <v>0.35</v>
      </c>
      <c r="S1755" s="17">
        <f>Q1755*(1-R1755)</f>
        <v>1251250</v>
      </c>
      <c r="T1755" s="18">
        <f>S1755/'Financial Inputs'!$B$3</f>
        <v>1.2512499999999999E-2</v>
      </c>
      <c r="U1755" s="9" t="s">
        <v>52</v>
      </c>
      <c r="V1755" s="3" t="s">
        <v>53</v>
      </c>
    </row>
    <row r="1756" spans="1:22">
      <c r="A1756" s="2" t="s">
        <v>5503</v>
      </c>
      <c r="B1756" s="2" t="s">
        <v>5504</v>
      </c>
      <c r="C1756" s="2" t="s">
        <v>5341</v>
      </c>
      <c r="D1756" s="2" t="s">
        <v>80</v>
      </c>
      <c r="E1756" s="2" t="s">
        <v>215</v>
      </c>
      <c r="F1756" s="2" t="s">
        <v>82</v>
      </c>
      <c r="G1756" s="2" t="s">
        <v>83</v>
      </c>
      <c r="H1756" s="2" t="s">
        <v>46</v>
      </c>
      <c r="I1756" s="2" t="s">
        <v>499</v>
      </c>
      <c r="J1756" s="2" t="s">
        <v>4133</v>
      </c>
      <c r="K1756" s="2" t="s">
        <v>5505</v>
      </c>
      <c r="L1756" s="2" t="s">
        <v>314</v>
      </c>
      <c r="M1756" s="2" t="s">
        <v>5343</v>
      </c>
      <c r="N1756" s="16">
        <v>3.0000000000000009E-2</v>
      </c>
      <c r="O1756" s="17">
        <f>N1756*'Financial Inputs'!$B$3</f>
        <v>3000000.0000000009</v>
      </c>
      <c r="P1756" s="18">
        <f>IF(I1756="L",'Financial Inputs'!$B$4,IF(I1756="M",'Financial Inputs'!$B$5,'Financial Inputs'!$B$6))</f>
        <v>0.7</v>
      </c>
      <c r="Q1756" s="17">
        <f>O1756*P1756</f>
        <v>2100000.0000000005</v>
      </c>
      <c r="R1756" s="16">
        <f>'Financial Inputs'!$B$7</f>
        <v>0.35</v>
      </c>
      <c r="S1756" s="17">
        <f>Q1756*(1-R1756)</f>
        <v>1365000.0000000005</v>
      </c>
      <c r="T1756" s="18">
        <f>S1756/'Financial Inputs'!$B$3</f>
        <v>1.3650000000000004E-2</v>
      </c>
      <c r="U1756" s="9" t="s">
        <v>52</v>
      </c>
      <c r="V1756" s="3" t="s">
        <v>53</v>
      </c>
    </row>
    <row r="1757" spans="1:22">
      <c r="A1757" s="2" t="s">
        <v>5506</v>
      </c>
      <c r="B1757" s="2" t="s">
        <v>5507</v>
      </c>
      <c r="C1757" s="2" t="s">
        <v>5341</v>
      </c>
      <c r="D1757" s="2" t="s">
        <v>88</v>
      </c>
      <c r="E1757" s="2" t="s">
        <v>128</v>
      </c>
      <c r="F1757" s="2" t="s">
        <v>90</v>
      </c>
      <c r="G1757" s="2" t="s">
        <v>67</v>
      </c>
      <c r="H1757" s="2" t="s">
        <v>46</v>
      </c>
      <c r="I1757" s="2" t="s">
        <v>499</v>
      </c>
      <c r="J1757" s="2" t="s">
        <v>4133</v>
      </c>
      <c r="K1757" s="2" t="s">
        <v>5508</v>
      </c>
      <c r="L1757" s="2" t="s">
        <v>318</v>
      </c>
      <c r="M1757" s="2" t="s">
        <v>5343</v>
      </c>
      <c r="N1757" s="16">
        <v>0.02</v>
      </c>
      <c r="O1757" s="17">
        <f>N1757*'Financial Inputs'!$B$3</f>
        <v>2000000</v>
      </c>
      <c r="P1757" s="18">
        <f>IF(I1757="L",'Financial Inputs'!$B$4,IF(I1757="M",'Financial Inputs'!$B$5,'Financial Inputs'!$B$6))</f>
        <v>0.7</v>
      </c>
      <c r="Q1757" s="17">
        <f>O1757*P1757</f>
        <v>1400000</v>
      </c>
      <c r="R1757" s="16">
        <f>'Financial Inputs'!$B$7</f>
        <v>0.35</v>
      </c>
      <c r="S1757" s="17">
        <f>Q1757*(1-R1757)</f>
        <v>910000</v>
      </c>
      <c r="T1757" s="18">
        <f>S1757/'Financial Inputs'!$B$3</f>
        <v>9.1000000000000004E-3</v>
      </c>
      <c r="U1757" s="9" t="s">
        <v>52</v>
      </c>
      <c r="V1757" s="3" t="s">
        <v>53</v>
      </c>
    </row>
    <row r="1758" spans="1:22">
      <c r="A1758" s="2" t="s">
        <v>5509</v>
      </c>
      <c r="B1758" s="2" t="s">
        <v>5510</v>
      </c>
      <c r="C1758" s="2" t="s">
        <v>5341</v>
      </c>
      <c r="D1758" s="2" t="s">
        <v>95</v>
      </c>
      <c r="E1758" s="2" t="s">
        <v>43</v>
      </c>
      <c r="F1758" s="2" t="s">
        <v>97</v>
      </c>
      <c r="G1758" s="2" t="s">
        <v>75</v>
      </c>
      <c r="H1758" s="2" t="s">
        <v>46</v>
      </c>
      <c r="I1758" s="2" t="s">
        <v>499</v>
      </c>
      <c r="J1758" s="2" t="s">
        <v>4133</v>
      </c>
      <c r="K1758" s="2" t="s">
        <v>5511</v>
      </c>
      <c r="L1758" s="2" t="s">
        <v>322</v>
      </c>
      <c r="M1758" s="2" t="s">
        <v>5343</v>
      </c>
      <c r="N1758" s="16">
        <v>2.2499999999999999E-2</v>
      </c>
      <c r="O1758" s="17">
        <f>N1758*'Financial Inputs'!$B$3</f>
        <v>2250000</v>
      </c>
      <c r="P1758" s="18">
        <f>IF(I1758="L",'Financial Inputs'!$B$4,IF(I1758="M",'Financial Inputs'!$B$5,'Financial Inputs'!$B$6))</f>
        <v>0.7</v>
      </c>
      <c r="Q1758" s="17">
        <f>O1758*P1758</f>
        <v>1575000</v>
      </c>
      <c r="R1758" s="16">
        <f>'Financial Inputs'!$B$7</f>
        <v>0.35</v>
      </c>
      <c r="S1758" s="17">
        <f>Q1758*(1-R1758)</f>
        <v>1023750</v>
      </c>
      <c r="T1758" s="18">
        <f>S1758/'Financial Inputs'!$B$3</f>
        <v>1.02375E-2</v>
      </c>
      <c r="U1758" s="9" t="s">
        <v>52</v>
      </c>
      <c r="V1758" s="3" t="s">
        <v>53</v>
      </c>
    </row>
    <row r="1759" spans="1:22">
      <c r="A1759" s="2" t="s">
        <v>5512</v>
      </c>
      <c r="B1759" s="2" t="s">
        <v>5513</v>
      </c>
      <c r="C1759" s="2" t="s">
        <v>5341</v>
      </c>
      <c r="D1759" s="2" t="s">
        <v>102</v>
      </c>
      <c r="E1759" s="2" t="s">
        <v>57</v>
      </c>
      <c r="F1759" s="2" t="s">
        <v>104</v>
      </c>
      <c r="G1759" s="2" t="s">
        <v>83</v>
      </c>
      <c r="H1759" s="2" t="s">
        <v>46</v>
      </c>
      <c r="I1759" s="2" t="s">
        <v>499</v>
      </c>
      <c r="J1759" s="2" t="s">
        <v>4133</v>
      </c>
      <c r="K1759" s="2" t="s">
        <v>5514</v>
      </c>
      <c r="L1759" s="2" t="s">
        <v>326</v>
      </c>
      <c r="M1759" s="2" t="s">
        <v>5343</v>
      </c>
      <c r="N1759" s="16">
        <v>2.5000000000000001E-2</v>
      </c>
      <c r="O1759" s="17">
        <f>N1759*'Financial Inputs'!$B$3</f>
        <v>2500000</v>
      </c>
      <c r="P1759" s="18">
        <f>IF(I1759="L",'Financial Inputs'!$B$4,IF(I1759="M",'Financial Inputs'!$B$5,'Financial Inputs'!$B$6))</f>
        <v>0.7</v>
      </c>
      <c r="Q1759" s="17">
        <f>O1759*P1759</f>
        <v>1750000</v>
      </c>
      <c r="R1759" s="16">
        <f>'Financial Inputs'!$B$7</f>
        <v>0.35</v>
      </c>
      <c r="S1759" s="17">
        <f>Q1759*(1-R1759)</f>
        <v>1137500</v>
      </c>
      <c r="T1759" s="18">
        <f>S1759/'Financial Inputs'!$B$3</f>
        <v>1.1375E-2</v>
      </c>
      <c r="U1759" s="9" t="s">
        <v>52</v>
      </c>
      <c r="V1759" s="3" t="s">
        <v>53</v>
      </c>
    </row>
    <row r="1760" spans="1:22">
      <c r="A1760" s="2" t="s">
        <v>5515</v>
      </c>
      <c r="B1760" s="2" t="s">
        <v>5516</v>
      </c>
      <c r="C1760" s="2" t="s">
        <v>5341</v>
      </c>
      <c r="D1760" s="2" t="s">
        <v>42</v>
      </c>
      <c r="E1760" s="2" t="s">
        <v>65</v>
      </c>
      <c r="F1760" s="2" t="s">
        <v>110</v>
      </c>
      <c r="G1760" s="2" t="s">
        <v>111</v>
      </c>
      <c r="H1760" s="2" t="s">
        <v>46</v>
      </c>
      <c r="I1760" s="2" t="s">
        <v>499</v>
      </c>
      <c r="J1760" s="2" t="s">
        <v>4133</v>
      </c>
      <c r="K1760" s="2" t="s">
        <v>5517</v>
      </c>
      <c r="L1760" s="2" t="s">
        <v>330</v>
      </c>
      <c r="M1760" s="2" t="s">
        <v>5343</v>
      </c>
      <c r="N1760" s="16">
        <v>2.75E-2</v>
      </c>
      <c r="O1760" s="17">
        <f>N1760*'Financial Inputs'!$B$3</f>
        <v>2750000</v>
      </c>
      <c r="P1760" s="18">
        <f>IF(I1760="L",'Financial Inputs'!$B$4,IF(I1760="M",'Financial Inputs'!$B$5,'Financial Inputs'!$B$6))</f>
        <v>0.7</v>
      </c>
      <c r="Q1760" s="17">
        <f>O1760*P1760</f>
        <v>1924999.9999999998</v>
      </c>
      <c r="R1760" s="16">
        <f>'Financial Inputs'!$B$7</f>
        <v>0.35</v>
      </c>
      <c r="S1760" s="17">
        <f>Q1760*(1-R1760)</f>
        <v>1251250</v>
      </c>
      <c r="T1760" s="18">
        <f>S1760/'Financial Inputs'!$B$3</f>
        <v>1.2512499999999999E-2</v>
      </c>
      <c r="U1760" s="9" t="s">
        <v>52</v>
      </c>
      <c r="V1760" s="3" t="s">
        <v>53</v>
      </c>
    </row>
    <row r="1761" spans="1:22">
      <c r="A1761" s="2" t="s">
        <v>5518</v>
      </c>
      <c r="B1761" s="2" t="s">
        <v>5519</v>
      </c>
      <c r="C1761" s="2" t="s">
        <v>5341</v>
      </c>
      <c r="D1761" s="2" t="s">
        <v>56</v>
      </c>
      <c r="E1761" s="2" t="s">
        <v>73</v>
      </c>
      <c r="F1761" s="2" t="s">
        <v>117</v>
      </c>
      <c r="G1761" s="2" t="s">
        <v>56</v>
      </c>
      <c r="H1761" s="2" t="s">
        <v>46</v>
      </c>
      <c r="I1761" s="2" t="s">
        <v>499</v>
      </c>
      <c r="J1761" s="2" t="s">
        <v>4133</v>
      </c>
      <c r="K1761" s="2" t="s">
        <v>5520</v>
      </c>
      <c r="L1761" s="2" t="s">
        <v>334</v>
      </c>
      <c r="M1761" s="2" t="s">
        <v>5343</v>
      </c>
      <c r="N1761" s="16">
        <v>3.0000000000000009E-2</v>
      </c>
      <c r="O1761" s="17">
        <f>N1761*'Financial Inputs'!$B$3</f>
        <v>3000000.0000000009</v>
      </c>
      <c r="P1761" s="18">
        <f>IF(I1761="L",'Financial Inputs'!$B$4,IF(I1761="M",'Financial Inputs'!$B$5,'Financial Inputs'!$B$6))</f>
        <v>0.7</v>
      </c>
      <c r="Q1761" s="17">
        <f>O1761*P1761</f>
        <v>2100000.0000000005</v>
      </c>
      <c r="R1761" s="16">
        <f>'Financial Inputs'!$B$7</f>
        <v>0.35</v>
      </c>
      <c r="S1761" s="17">
        <f>Q1761*(1-R1761)</f>
        <v>1365000.0000000005</v>
      </c>
      <c r="T1761" s="18">
        <f>S1761/'Financial Inputs'!$B$3</f>
        <v>1.3650000000000004E-2</v>
      </c>
      <c r="U1761" s="9" t="s">
        <v>52</v>
      </c>
      <c r="V1761" s="3" t="s">
        <v>53</v>
      </c>
    </row>
    <row r="1762" spans="1:22">
      <c r="A1762" s="2" t="s">
        <v>5521</v>
      </c>
      <c r="B1762" s="2" t="s">
        <v>5522</v>
      </c>
      <c r="C1762" s="2" t="s">
        <v>5341</v>
      </c>
      <c r="D1762" s="2" t="s">
        <v>80</v>
      </c>
      <c r="E1762" s="2" t="s">
        <v>153</v>
      </c>
      <c r="F1762" s="2" t="s">
        <v>58</v>
      </c>
      <c r="G1762" s="2" t="s">
        <v>83</v>
      </c>
      <c r="H1762" s="2" t="s">
        <v>46</v>
      </c>
      <c r="I1762" s="2" t="s">
        <v>499</v>
      </c>
      <c r="J1762" s="2" t="s">
        <v>4133</v>
      </c>
      <c r="K1762" s="2" t="s">
        <v>5523</v>
      </c>
      <c r="L1762" s="2" t="s">
        <v>338</v>
      </c>
      <c r="M1762" s="2" t="s">
        <v>5343</v>
      </c>
      <c r="N1762" s="16">
        <v>0.02</v>
      </c>
      <c r="O1762" s="17">
        <f>N1762*'Financial Inputs'!$B$3</f>
        <v>2000000</v>
      </c>
      <c r="P1762" s="18">
        <f>IF(I1762="L",'Financial Inputs'!$B$4,IF(I1762="M",'Financial Inputs'!$B$5,'Financial Inputs'!$B$6))</f>
        <v>0.7</v>
      </c>
      <c r="Q1762" s="17">
        <f>O1762*P1762</f>
        <v>1400000</v>
      </c>
      <c r="R1762" s="16">
        <f>'Financial Inputs'!$B$7</f>
        <v>0.35</v>
      </c>
      <c r="S1762" s="17">
        <f>Q1762*(1-R1762)</f>
        <v>910000</v>
      </c>
      <c r="T1762" s="18">
        <f>S1762/'Financial Inputs'!$B$3</f>
        <v>9.1000000000000004E-3</v>
      </c>
      <c r="U1762" s="9" t="s">
        <v>52</v>
      </c>
      <c r="V1762" s="3" t="s">
        <v>53</v>
      </c>
    </row>
    <row r="1763" spans="1:22">
      <c r="A1763" s="2" t="s">
        <v>5524</v>
      </c>
      <c r="B1763" s="2" t="s">
        <v>5525</v>
      </c>
      <c r="C1763" s="2" t="s">
        <v>5341</v>
      </c>
      <c r="D1763" s="2" t="s">
        <v>127</v>
      </c>
      <c r="E1763" s="2" t="s">
        <v>89</v>
      </c>
      <c r="F1763" s="2" t="s">
        <v>66</v>
      </c>
      <c r="G1763" s="2" t="s">
        <v>111</v>
      </c>
      <c r="H1763" s="2" t="s">
        <v>46</v>
      </c>
      <c r="I1763" s="2" t="s">
        <v>499</v>
      </c>
      <c r="J1763" s="2" t="s">
        <v>4133</v>
      </c>
      <c r="K1763" s="2" t="s">
        <v>5526</v>
      </c>
      <c r="L1763" s="2" t="s">
        <v>342</v>
      </c>
      <c r="M1763" s="2" t="s">
        <v>5343</v>
      </c>
      <c r="N1763" s="16">
        <v>2.2499999999999999E-2</v>
      </c>
      <c r="O1763" s="17">
        <f>N1763*'Financial Inputs'!$B$3</f>
        <v>2250000</v>
      </c>
      <c r="P1763" s="18">
        <f>IF(I1763="L",'Financial Inputs'!$B$4,IF(I1763="M",'Financial Inputs'!$B$5,'Financial Inputs'!$B$6))</f>
        <v>0.7</v>
      </c>
      <c r="Q1763" s="17">
        <f>O1763*P1763</f>
        <v>1575000</v>
      </c>
      <c r="R1763" s="16">
        <f>'Financial Inputs'!$B$7</f>
        <v>0.35</v>
      </c>
      <c r="S1763" s="17">
        <f>Q1763*(1-R1763)</f>
        <v>1023750</v>
      </c>
      <c r="T1763" s="18">
        <f>S1763/'Financial Inputs'!$B$3</f>
        <v>1.02375E-2</v>
      </c>
      <c r="U1763" s="9" t="s">
        <v>52</v>
      </c>
      <c r="V1763" s="3" t="s">
        <v>53</v>
      </c>
    </row>
    <row r="1764" spans="1:22">
      <c r="A1764" s="2" t="s">
        <v>5527</v>
      </c>
      <c r="B1764" s="2" t="s">
        <v>5528</v>
      </c>
      <c r="C1764" s="2" t="s">
        <v>5341</v>
      </c>
      <c r="D1764" s="2" t="s">
        <v>133</v>
      </c>
      <c r="E1764" s="2" t="s">
        <v>96</v>
      </c>
      <c r="F1764" s="2" t="s">
        <v>74</v>
      </c>
      <c r="G1764" s="2" t="s">
        <v>56</v>
      </c>
      <c r="H1764" s="2" t="s">
        <v>46</v>
      </c>
      <c r="I1764" s="2" t="s">
        <v>499</v>
      </c>
      <c r="J1764" s="2" t="s">
        <v>4133</v>
      </c>
      <c r="K1764" s="2" t="s">
        <v>5529</v>
      </c>
      <c r="L1764" s="2" t="s">
        <v>346</v>
      </c>
      <c r="M1764" s="2" t="s">
        <v>5343</v>
      </c>
      <c r="N1764" s="16">
        <v>2.5000000000000001E-2</v>
      </c>
      <c r="O1764" s="17">
        <f>N1764*'Financial Inputs'!$B$3</f>
        <v>2500000</v>
      </c>
      <c r="P1764" s="18">
        <f>IF(I1764="L",'Financial Inputs'!$B$4,IF(I1764="M",'Financial Inputs'!$B$5,'Financial Inputs'!$B$6))</f>
        <v>0.7</v>
      </c>
      <c r="Q1764" s="17">
        <f>O1764*P1764</f>
        <v>1750000</v>
      </c>
      <c r="R1764" s="16">
        <f>'Financial Inputs'!$B$7</f>
        <v>0.35</v>
      </c>
      <c r="S1764" s="17">
        <f>Q1764*(1-R1764)</f>
        <v>1137500</v>
      </c>
      <c r="T1764" s="18">
        <f>S1764/'Financial Inputs'!$B$3</f>
        <v>1.1375E-2</v>
      </c>
      <c r="U1764" s="9" t="s">
        <v>52</v>
      </c>
      <c r="V1764" s="3" t="s">
        <v>53</v>
      </c>
    </row>
    <row r="1765" spans="1:22">
      <c r="A1765" s="2" t="s">
        <v>5530</v>
      </c>
      <c r="B1765" s="2" t="s">
        <v>5531</v>
      </c>
      <c r="C1765" s="2" t="s">
        <v>5341</v>
      </c>
      <c r="D1765" s="2" t="s">
        <v>88</v>
      </c>
      <c r="E1765" s="2" t="s">
        <v>103</v>
      </c>
      <c r="F1765" s="2" t="s">
        <v>82</v>
      </c>
      <c r="G1765" s="2" t="s">
        <v>138</v>
      </c>
      <c r="H1765" s="2" t="s">
        <v>46</v>
      </c>
      <c r="I1765" s="2" t="s">
        <v>499</v>
      </c>
      <c r="J1765" s="2" t="s">
        <v>4133</v>
      </c>
      <c r="K1765" s="2" t="s">
        <v>5532</v>
      </c>
      <c r="L1765" s="2" t="s">
        <v>350</v>
      </c>
      <c r="M1765" s="2" t="s">
        <v>5343</v>
      </c>
      <c r="N1765" s="16">
        <v>2.75E-2</v>
      </c>
      <c r="O1765" s="17">
        <f>N1765*'Financial Inputs'!$B$3</f>
        <v>2750000</v>
      </c>
      <c r="P1765" s="18">
        <f>IF(I1765="L",'Financial Inputs'!$B$4,IF(I1765="M",'Financial Inputs'!$B$5,'Financial Inputs'!$B$6))</f>
        <v>0.7</v>
      </c>
      <c r="Q1765" s="17">
        <f>O1765*P1765</f>
        <v>1924999.9999999998</v>
      </c>
      <c r="R1765" s="16">
        <f>'Financial Inputs'!$B$7</f>
        <v>0.35</v>
      </c>
      <c r="S1765" s="17">
        <f>Q1765*(1-R1765)</f>
        <v>1251250</v>
      </c>
      <c r="T1765" s="18">
        <f>S1765/'Financial Inputs'!$B$3</f>
        <v>1.2512499999999999E-2</v>
      </c>
      <c r="U1765" s="9" t="s">
        <v>52</v>
      </c>
      <c r="V1765" s="3" t="s">
        <v>53</v>
      </c>
    </row>
    <row r="1766" spans="1:22">
      <c r="A1766" s="2" t="s">
        <v>5533</v>
      </c>
      <c r="B1766" s="2" t="s">
        <v>5534</v>
      </c>
      <c r="C1766" s="2" t="s">
        <v>5341</v>
      </c>
      <c r="D1766" s="2" t="s">
        <v>95</v>
      </c>
      <c r="E1766" s="2" t="s">
        <v>109</v>
      </c>
      <c r="F1766" s="2" t="s">
        <v>44</v>
      </c>
      <c r="G1766" s="2" t="s">
        <v>143</v>
      </c>
      <c r="H1766" s="2" t="s">
        <v>46</v>
      </c>
      <c r="I1766" s="2" t="s">
        <v>499</v>
      </c>
      <c r="J1766" s="2" t="s">
        <v>4133</v>
      </c>
      <c r="K1766" s="2" t="s">
        <v>5535</v>
      </c>
      <c r="L1766" s="2" t="s">
        <v>354</v>
      </c>
      <c r="M1766" s="2" t="s">
        <v>5343</v>
      </c>
      <c r="N1766" s="16">
        <v>3.0000000000000009E-2</v>
      </c>
      <c r="O1766" s="17">
        <f>N1766*'Financial Inputs'!$B$3</f>
        <v>3000000.0000000009</v>
      </c>
      <c r="P1766" s="18">
        <f>IF(I1766="L",'Financial Inputs'!$B$4,IF(I1766="M",'Financial Inputs'!$B$5,'Financial Inputs'!$B$6))</f>
        <v>0.7</v>
      </c>
      <c r="Q1766" s="17">
        <f>O1766*P1766</f>
        <v>2100000.0000000005</v>
      </c>
      <c r="R1766" s="16">
        <f>'Financial Inputs'!$B$7</f>
        <v>0.35</v>
      </c>
      <c r="S1766" s="17">
        <f>Q1766*(1-R1766)</f>
        <v>1365000.0000000005</v>
      </c>
      <c r="T1766" s="18">
        <f>S1766/'Financial Inputs'!$B$3</f>
        <v>1.3650000000000004E-2</v>
      </c>
      <c r="U1766" s="9" t="s">
        <v>52</v>
      </c>
      <c r="V1766" s="3" t="s">
        <v>53</v>
      </c>
    </row>
    <row r="1767" spans="1:22">
      <c r="A1767" s="2" t="s">
        <v>5536</v>
      </c>
      <c r="B1767" s="2" t="s">
        <v>5537</v>
      </c>
      <c r="C1767" s="2" t="s">
        <v>5341</v>
      </c>
      <c r="D1767" s="2" t="s">
        <v>56</v>
      </c>
      <c r="E1767" s="2" t="s">
        <v>176</v>
      </c>
      <c r="F1767" s="2" t="s">
        <v>97</v>
      </c>
      <c r="G1767" s="2" t="s">
        <v>56</v>
      </c>
      <c r="H1767" s="2" t="s">
        <v>46</v>
      </c>
      <c r="I1767" s="2" t="s">
        <v>499</v>
      </c>
      <c r="J1767" s="2" t="s">
        <v>4133</v>
      </c>
      <c r="K1767" s="2" t="s">
        <v>5538</v>
      </c>
      <c r="L1767" s="2" t="s">
        <v>358</v>
      </c>
      <c r="M1767" s="2" t="s">
        <v>5343</v>
      </c>
      <c r="N1767" s="16">
        <v>0.02</v>
      </c>
      <c r="O1767" s="17">
        <f>N1767*'Financial Inputs'!$B$3</f>
        <v>2000000</v>
      </c>
      <c r="P1767" s="18">
        <f>IF(I1767="L",'Financial Inputs'!$B$4,IF(I1767="M",'Financial Inputs'!$B$5,'Financial Inputs'!$B$6))</f>
        <v>0.7</v>
      </c>
      <c r="Q1767" s="17">
        <f>O1767*P1767</f>
        <v>1400000</v>
      </c>
      <c r="R1767" s="16">
        <f>'Financial Inputs'!$B$7</f>
        <v>0.35</v>
      </c>
      <c r="S1767" s="17">
        <f>Q1767*(1-R1767)</f>
        <v>910000</v>
      </c>
      <c r="T1767" s="18">
        <f>S1767/'Financial Inputs'!$B$3</f>
        <v>9.1000000000000004E-3</v>
      </c>
      <c r="U1767" s="9" t="s">
        <v>52</v>
      </c>
      <c r="V1767" s="3" t="s">
        <v>53</v>
      </c>
    </row>
    <row r="1768" spans="1:22">
      <c r="A1768" s="2" t="s">
        <v>5539</v>
      </c>
      <c r="B1768" s="2" t="s">
        <v>5540</v>
      </c>
      <c r="C1768" s="2" t="s">
        <v>5341</v>
      </c>
      <c r="D1768" s="2" t="s">
        <v>64</v>
      </c>
      <c r="E1768" s="2" t="s">
        <v>122</v>
      </c>
      <c r="F1768" s="2" t="s">
        <v>104</v>
      </c>
      <c r="G1768" s="2" t="s">
        <v>138</v>
      </c>
      <c r="H1768" s="2" t="s">
        <v>46</v>
      </c>
      <c r="I1768" s="2" t="s">
        <v>499</v>
      </c>
      <c r="J1768" s="2" t="s">
        <v>4133</v>
      </c>
      <c r="K1768" s="2" t="s">
        <v>5541</v>
      </c>
      <c r="L1768" s="2" t="s">
        <v>362</v>
      </c>
      <c r="M1768" s="2" t="s">
        <v>5343</v>
      </c>
      <c r="N1768" s="16">
        <v>2.2499999999999999E-2</v>
      </c>
      <c r="O1768" s="17">
        <f>N1768*'Financial Inputs'!$B$3</f>
        <v>2250000</v>
      </c>
      <c r="P1768" s="18">
        <f>IF(I1768="L",'Financial Inputs'!$B$4,IF(I1768="M",'Financial Inputs'!$B$5,'Financial Inputs'!$B$6))</f>
        <v>0.7</v>
      </c>
      <c r="Q1768" s="17">
        <f>O1768*P1768</f>
        <v>1575000</v>
      </c>
      <c r="R1768" s="16">
        <f>'Financial Inputs'!$B$7</f>
        <v>0.35</v>
      </c>
      <c r="S1768" s="17">
        <f>Q1768*(1-R1768)</f>
        <v>1023750</v>
      </c>
      <c r="T1768" s="18">
        <f>S1768/'Financial Inputs'!$B$3</f>
        <v>1.02375E-2</v>
      </c>
      <c r="U1768" s="9" t="s">
        <v>52</v>
      </c>
      <c r="V1768" s="3" t="s">
        <v>53</v>
      </c>
    </row>
    <row r="1769" spans="1:22">
      <c r="A1769" s="2" t="s">
        <v>5542</v>
      </c>
      <c r="B1769" s="2" t="s">
        <v>5543</v>
      </c>
      <c r="C1769" s="2" t="s">
        <v>5341</v>
      </c>
      <c r="D1769" s="2" t="s">
        <v>72</v>
      </c>
      <c r="E1769" s="2" t="s">
        <v>128</v>
      </c>
      <c r="F1769" s="2" t="s">
        <v>110</v>
      </c>
      <c r="G1769" s="2" t="s">
        <v>143</v>
      </c>
      <c r="H1769" s="2" t="s">
        <v>46</v>
      </c>
      <c r="I1769" s="2" t="s">
        <v>499</v>
      </c>
      <c r="J1769" s="2" t="s">
        <v>4133</v>
      </c>
      <c r="K1769" s="2" t="s">
        <v>5544</v>
      </c>
      <c r="L1769" s="2" t="s">
        <v>366</v>
      </c>
      <c r="M1769" s="2" t="s">
        <v>5343</v>
      </c>
      <c r="N1769" s="16">
        <v>2.5000000000000001E-2</v>
      </c>
      <c r="O1769" s="17">
        <f>N1769*'Financial Inputs'!$B$3</f>
        <v>2500000</v>
      </c>
      <c r="P1769" s="18">
        <f>IF(I1769="L",'Financial Inputs'!$B$4,IF(I1769="M",'Financial Inputs'!$B$5,'Financial Inputs'!$B$6))</f>
        <v>0.7</v>
      </c>
      <c r="Q1769" s="17">
        <f>O1769*P1769</f>
        <v>1750000</v>
      </c>
      <c r="R1769" s="16">
        <f>'Financial Inputs'!$B$7</f>
        <v>0.35</v>
      </c>
      <c r="S1769" s="17">
        <f>Q1769*(1-R1769)</f>
        <v>1137500</v>
      </c>
      <c r="T1769" s="18">
        <f>S1769/'Financial Inputs'!$B$3</f>
        <v>1.1375E-2</v>
      </c>
      <c r="U1769" s="9" t="s">
        <v>52</v>
      </c>
      <c r="V1769" s="3" t="s">
        <v>53</v>
      </c>
    </row>
    <row r="1770" spans="1:22">
      <c r="A1770" s="2" t="s">
        <v>5545</v>
      </c>
      <c r="B1770" s="2" t="s">
        <v>5546</v>
      </c>
      <c r="C1770" s="2" t="s">
        <v>5341</v>
      </c>
      <c r="D1770" s="2" t="s">
        <v>80</v>
      </c>
      <c r="E1770" s="2" t="s">
        <v>43</v>
      </c>
      <c r="F1770" s="2" t="s">
        <v>117</v>
      </c>
      <c r="G1770" s="2" t="s">
        <v>162</v>
      </c>
      <c r="H1770" s="2" t="s">
        <v>46</v>
      </c>
      <c r="I1770" s="2" t="s">
        <v>499</v>
      </c>
      <c r="J1770" s="2" t="s">
        <v>4133</v>
      </c>
      <c r="K1770" s="2" t="s">
        <v>5547</v>
      </c>
      <c r="L1770" s="2" t="s">
        <v>370</v>
      </c>
      <c r="M1770" s="2" t="s">
        <v>5343</v>
      </c>
      <c r="N1770" s="16">
        <v>2.75E-2</v>
      </c>
      <c r="O1770" s="17">
        <f>N1770*'Financial Inputs'!$B$3</f>
        <v>2750000</v>
      </c>
      <c r="P1770" s="18">
        <f>IF(I1770="L",'Financial Inputs'!$B$4,IF(I1770="M",'Financial Inputs'!$B$5,'Financial Inputs'!$B$6))</f>
        <v>0.7</v>
      </c>
      <c r="Q1770" s="17">
        <f>O1770*P1770</f>
        <v>1924999.9999999998</v>
      </c>
      <c r="R1770" s="16">
        <f>'Financial Inputs'!$B$7</f>
        <v>0.35</v>
      </c>
      <c r="S1770" s="17">
        <f>Q1770*(1-R1770)</f>
        <v>1251250</v>
      </c>
      <c r="T1770" s="18">
        <f>S1770/'Financial Inputs'!$B$3</f>
        <v>1.2512499999999999E-2</v>
      </c>
      <c r="U1770" s="9" t="s">
        <v>52</v>
      </c>
      <c r="V1770" s="3" t="s">
        <v>53</v>
      </c>
    </row>
    <row r="1771" spans="1:22">
      <c r="A1771" s="2" t="s">
        <v>5548</v>
      </c>
      <c r="B1771" s="2" t="s">
        <v>5549</v>
      </c>
      <c r="C1771" s="2" t="s">
        <v>5341</v>
      </c>
      <c r="D1771" s="2" t="s">
        <v>127</v>
      </c>
      <c r="E1771" s="2" t="s">
        <v>57</v>
      </c>
      <c r="F1771" s="2" t="s">
        <v>90</v>
      </c>
      <c r="G1771" s="2" t="s">
        <v>45</v>
      </c>
      <c r="H1771" s="2" t="s">
        <v>46</v>
      </c>
      <c r="I1771" s="2" t="s">
        <v>499</v>
      </c>
      <c r="J1771" s="2" t="s">
        <v>4133</v>
      </c>
      <c r="K1771" s="2" t="s">
        <v>5550</v>
      </c>
      <c r="L1771" s="2" t="s">
        <v>374</v>
      </c>
      <c r="M1771" s="2" t="s">
        <v>5343</v>
      </c>
      <c r="N1771" s="16">
        <v>3.0000000000000009E-2</v>
      </c>
      <c r="O1771" s="17">
        <f>N1771*'Financial Inputs'!$B$3</f>
        <v>3000000.0000000009</v>
      </c>
      <c r="P1771" s="18">
        <f>IF(I1771="L",'Financial Inputs'!$B$4,IF(I1771="M",'Financial Inputs'!$B$5,'Financial Inputs'!$B$6))</f>
        <v>0.7</v>
      </c>
      <c r="Q1771" s="17">
        <f>O1771*P1771</f>
        <v>2100000.0000000005</v>
      </c>
      <c r="R1771" s="16">
        <f>'Financial Inputs'!$B$7</f>
        <v>0.35</v>
      </c>
      <c r="S1771" s="17">
        <f>Q1771*(1-R1771)</f>
        <v>1365000.0000000005</v>
      </c>
      <c r="T1771" s="18">
        <f>S1771/'Financial Inputs'!$B$3</f>
        <v>1.3650000000000004E-2</v>
      </c>
      <c r="U1771" s="9" t="s">
        <v>52</v>
      </c>
      <c r="V1771" s="3" t="s">
        <v>53</v>
      </c>
    </row>
    <row r="1772" spans="1:22">
      <c r="A1772" s="2" t="s">
        <v>5551</v>
      </c>
      <c r="B1772" s="2" t="s">
        <v>5552</v>
      </c>
      <c r="C1772" s="2" t="s">
        <v>5341</v>
      </c>
      <c r="D1772" s="2" t="s">
        <v>95</v>
      </c>
      <c r="E1772" s="2" t="s">
        <v>198</v>
      </c>
      <c r="F1772" s="2" t="s">
        <v>66</v>
      </c>
      <c r="G1772" s="2" t="s">
        <v>143</v>
      </c>
      <c r="H1772" s="2" t="s">
        <v>46</v>
      </c>
      <c r="I1772" s="2" t="s">
        <v>499</v>
      </c>
      <c r="J1772" s="2" t="s">
        <v>4133</v>
      </c>
      <c r="K1772" s="2" t="s">
        <v>5553</v>
      </c>
      <c r="L1772" s="2" t="s">
        <v>378</v>
      </c>
      <c r="M1772" s="2" t="s">
        <v>5343</v>
      </c>
      <c r="N1772" s="16">
        <v>0.02</v>
      </c>
      <c r="O1772" s="17">
        <f>N1772*'Financial Inputs'!$B$3</f>
        <v>2000000</v>
      </c>
      <c r="P1772" s="18">
        <f>IF(I1772="L",'Financial Inputs'!$B$4,IF(I1772="M",'Financial Inputs'!$B$5,'Financial Inputs'!$B$6))</f>
        <v>0.7</v>
      </c>
      <c r="Q1772" s="17">
        <f>O1772*P1772</f>
        <v>1400000</v>
      </c>
      <c r="R1772" s="16">
        <f>'Financial Inputs'!$B$7</f>
        <v>0.35</v>
      </c>
      <c r="S1772" s="17">
        <f>Q1772*(1-R1772)</f>
        <v>910000</v>
      </c>
      <c r="T1772" s="18">
        <f>S1772/'Financial Inputs'!$B$3</f>
        <v>9.1000000000000004E-3</v>
      </c>
      <c r="U1772" s="9" t="s">
        <v>52</v>
      </c>
      <c r="V1772" s="3" t="s">
        <v>53</v>
      </c>
    </row>
    <row r="1773" spans="1:22">
      <c r="A1773" s="2" t="s">
        <v>5554</v>
      </c>
      <c r="B1773" s="2" t="s">
        <v>5555</v>
      </c>
      <c r="C1773" s="2" t="s">
        <v>5341</v>
      </c>
      <c r="D1773" s="2" t="s">
        <v>102</v>
      </c>
      <c r="E1773" s="2" t="s">
        <v>148</v>
      </c>
      <c r="F1773" s="2" t="s">
        <v>74</v>
      </c>
      <c r="G1773" s="2" t="s">
        <v>162</v>
      </c>
      <c r="H1773" s="2" t="s">
        <v>46</v>
      </c>
      <c r="I1773" s="2" t="s">
        <v>499</v>
      </c>
      <c r="J1773" s="2" t="s">
        <v>4133</v>
      </c>
      <c r="K1773" s="2" t="s">
        <v>5556</v>
      </c>
      <c r="L1773" s="2" t="s">
        <v>382</v>
      </c>
      <c r="M1773" s="2" t="s">
        <v>5343</v>
      </c>
      <c r="N1773" s="16">
        <v>2.2499999999999999E-2</v>
      </c>
      <c r="O1773" s="17">
        <f>N1773*'Financial Inputs'!$B$3</f>
        <v>2250000</v>
      </c>
      <c r="P1773" s="18">
        <f>IF(I1773="L",'Financial Inputs'!$B$4,IF(I1773="M",'Financial Inputs'!$B$5,'Financial Inputs'!$B$6))</f>
        <v>0.7</v>
      </c>
      <c r="Q1773" s="17">
        <f>O1773*P1773</f>
        <v>1575000</v>
      </c>
      <c r="R1773" s="16">
        <f>'Financial Inputs'!$B$7</f>
        <v>0.35</v>
      </c>
      <c r="S1773" s="17">
        <f>Q1773*(1-R1773)</f>
        <v>1023750</v>
      </c>
      <c r="T1773" s="18">
        <f>S1773/'Financial Inputs'!$B$3</f>
        <v>1.02375E-2</v>
      </c>
      <c r="U1773" s="9" t="s">
        <v>52</v>
      </c>
      <c r="V1773" s="3" t="s">
        <v>53</v>
      </c>
    </row>
    <row r="1774" spans="1:22">
      <c r="A1774" s="2" t="s">
        <v>5557</v>
      </c>
      <c r="B1774" s="2" t="s">
        <v>5558</v>
      </c>
      <c r="C1774" s="2" t="s">
        <v>5341</v>
      </c>
      <c r="D1774" s="2" t="s">
        <v>42</v>
      </c>
      <c r="E1774" s="2" t="s">
        <v>153</v>
      </c>
      <c r="F1774" s="2" t="s">
        <v>82</v>
      </c>
      <c r="G1774" s="2" t="s">
        <v>45</v>
      </c>
      <c r="H1774" s="2" t="s">
        <v>46</v>
      </c>
      <c r="I1774" s="2" t="s">
        <v>499</v>
      </c>
      <c r="J1774" s="2" t="s">
        <v>4133</v>
      </c>
      <c r="K1774" s="2" t="s">
        <v>5559</v>
      </c>
      <c r="L1774" s="2" t="s">
        <v>386</v>
      </c>
      <c r="M1774" s="2" t="s">
        <v>5343</v>
      </c>
      <c r="N1774" s="16">
        <v>2.5000000000000001E-2</v>
      </c>
      <c r="O1774" s="17">
        <f>N1774*'Financial Inputs'!$B$3</f>
        <v>2500000</v>
      </c>
      <c r="P1774" s="18">
        <f>IF(I1774="L",'Financial Inputs'!$B$4,IF(I1774="M",'Financial Inputs'!$B$5,'Financial Inputs'!$B$6))</f>
        <v>0.7</v>
      </c>
      <c r="Q1774" s="17">
        <f>O1774*P1774</f>
        <v>1750000</v>
      </c>
      <c r="R1774" s="16">
        <f>'Financial Inputs'!$B$7</f>
        <v>0.35</v>
      </c>
      <c r="S1774" s="17">
        <f>Q1774*(1-R1774)</f>
        <v>1137500</v>
      </c>
      <c r="T1774" s="18">
        <f>S1774/'Financial Inputs'!$B$3</f>
        <v>1.1375E-2</v>
      </c>
      <c r="U1774" s="9" t="s">
        <v>52</v>
      </c>
      <c r="V1774" s="3" t="s">
        <v>53</v>
      </c>
    </row>
    <row r="1775" spans="1:22">
      <c r="A1775" s="2" t="s">
        <v>5560</v>
      </c>
      <c r="B1775" s="2" t="s">
        <v>5561</v>
      </c>
      <c r="C1775" s="2" t="s">
        <v>5341</v>
      </c>
      <c r="D1775" s="2" t="s">
        <v>56</v>
      </c>
      <c r="E1775" s="2" t="s">
        <v>89</v>
      </c>
      <c r="F1775" s="2" t="s">
        <v>44</v>
      </c>
      <c r="G1775" s="2" t="s">
        <v>59</v>
      </c>
      <c r="H1775" s="2" t="s">
        <v>46</v>
      </c>
      <c r="I1775" s="2" t="s">
        <v>499</v>
      </c>
      <c r="J1775" s="2" t="s">
        <v>4133</v>
      </c>
      <c r="K1775" s="2" t="s">
        <v>5562</v>
      </c>
      <c r="L1775" s="2" t="s">
        <v>390</v>
      </c>
      <c r="M1775" s="2" t="s">
        <v>5343</v>
      </c>
      <c r="N1775" s="16">
        <v>2.75E-2</v>
      </c>
      <c r="O1775" s="17">
        <f>N1775*'Financial Inputs'!$B$3</f>
        <v>2750000</v>
      </c>
      <c r="P1775" s="18">
        <f>IF(I1775="L",'Financial Inputs'!$B$4,IF(I1775="M",'Financial Inputs'!$B$5,'Financial Inputs'!$B$6))</f>
        <v>0.7</v>
      </c>
      <c r="Q1775" s="17">
        <f>O1775*P1775</f>
        <v>1924999.9999999998</v>
      </c>
      <c r="R1775" s="16">
        <f>'Financial Inputs'!$B$7</f>
        <v>0.35</v>
      </c>
      <c r="S1775" s="17">
        <f>Q1775*(1-R1775)</f>
        <v>1251250</v>
      </c>
      <c r="T1775" s="18">
        <f>S1775/'Financial Inputs'!$B$3</f>
        <v>1.2512499999999999E-2</v>
      </c>
      <c r="U1775" s="9" t="s">
        <v>52</v>
      </c>
      <c r="V1775" s="3" t="s">
        <v>53</v>
      </c>
    </row>
    <row r="1776" spans="1:22">
      <c r="A1776" s="2" t="s">
        <v>5563</v>
      </c>
      <c r="B1776" s="2" t="s">
        <v>5564</v>
      </c>
      <c r="C1776" s="2" t="s">
        <v>5341</v>
      </c>
      <c r="D1776" s="2" t="s">
        <v>64</v>
      </c>
      <c r="E1776" s="2" t="s">
        <v>96</v>
      </c>
      <c r="F1776" s="2" t="s">
        <v>58</v>
      </c>
      <c r="G1776" s="2" t="s">
        <v>67</v>
      </c>
      <c r="H1776" s="2" t="s">
        <v>46</v>
      </c>
      <c r="I1776" s="2" t="s">
        <v>499</v>
      </c>
      <c r="J1776" s="2" t="s">
        <v>4133</v>
      </c>
      <c r="K1776" s="2" t="s">
        <v>5565</v>
      </c>
      <c r="L1776" s="2" t="s">
        <v>394</v>
      </c>
      <c r="M1776" s="2" t="s">
        <v>5343</v>
      </c>
      <c r="N1776" s="16">
        <v>3.0000000000000009E-2</v>
      </c>
      <c r="O1776" s="17">
        <f>N1776*'Financial Inputs'!$B$3</f>
        <v>3000000.0000000009</v>
      </c>
      <c r="P1776" s="18">
        <f>IF(I1776="L",'Financial Inputs'!$B$4,IF(I1776="M",'Financial Inputs'!$B$5,'Financial Inputs'!$B$6))</f>
        <v>0.7</v>
      </c>
      <c r="Q1776" s="17">
        <f>O1776*P1776</f>
        <v>2100000.0000000005</v>
      </c>
      <c r="R1776" s="16">
        <f>'Financial Inputs'!$B$7</f>
        <v>0.35</v>
      </c>
      <c r="S1776" s="17">
        <f>Q1776*(1-R1776)</f>
        <v>1365000.0000000005</v>
      </c>
      <c r="T1776" s="18">
        <f>S1776/'Financial Inputs'!$B$3</f>
        <v>1.3650000000000004E-2</v>
      </c>
      <c r="U1776" s="9" t="s">
        <v>52</v>
      </c>
      <c r="V1776" s="3" t="s">
        <v>53</v>
      </c>
    </row>
    <row r="1777" spans="1:22">
      <c r="A1777" s="2" t="s">
        <v>5566</v>
      </c>
      <c r="B1777" s="2" t="s">
        <v>5567</v>
      </c>
      <c r="C1777" s="2" t="s">
        <v>5341</v>
      </c>
      <c r="D1777" s="2" t="s">
        <v>127</v>
      </c>
      <c r="E1777" s="2" t="s">
        <v>220</v>
      </c>
      <c r="F1777" s="2" t="s">
        <v>104</v>
      </c>
      <c r="G1777" s="2" t="s">
        <v>45</v>
      </c>
      <c r="H1777" s="2" t="s">
        <v>46</v>
      </c>
      <c r="I1777" s="2" t="s">
        <v>499</v>
      </c>
      <c r="J1777" s="2" t="s">
        <v>4133</v>
      </c>
      <c r="K1777" s="2" t="s">
        <v>5568</v>
      </c>
      <c r="L1777" s="2" t="s">
        <v>398</v>
      </c>
      <c r="M1777" s="2" t="s">
        <v>5343</v>
      </c>
      <c r="N1777" s="16">
        <v>0.02</v>
      </c>
      <c r="O1777" s="17">
        <f>N1777*'Financial Inputs'!$B$3</f>
        <v>2000000</v>
      </c>
      <c r="P1777" s="18">
        <f>IF(I1777="L",'Financial Inputs'!$B$4,IF(I1777="M",'Financial Inputs'!$B$5,'Financial Inputs'!$B$6))</f>
        <v>0.7</v>
      </c>
      <c r="Q1777" s="17">
        <f>O1777*P1777</f>
        <v>1400000</v>
      </c>
      <c r="R1777" s="16">
        <f>'Financial Inputs'!$B$7</f>
        <v>0.35</v>
      </c>
      <c r="S1777" s="17">
        <f>Q1777*(1-R1777)</f>
        <v>910000</v>
      </c>
      <c r="T1777" s="18">
        <f>S1777/'Financial Inputs'!$B$3</f>
        <v>9.1000000000000004E-3</v>
      </c>
      <c r="U1777" s="9" t="s">
        <v>52</v>
      </c>
      <c r="V1777" s="3" t="s">
        <v>53</v>
      </c>
    </row>
    <row r="1778" spans="1:22">
      <c r="A1778" s="2" t="s">
        <v>5569</v>
      </c>
      <c r="B1778" s="2" t="s">
        <v>5570</v>
      </c>
      <c r="C1778" s="2" t="s">
        <v>5341</v>
      </c>
      <c r="D1778" s="2" t="s">
        <v>133</v>
      </c>
      <c r="E1778" s="2" t="s">
        <v>171</v>
      </c>
      <c r="F1778" s="2" t="s">
        <v>110</v>
      </c>
      <c r="G1778" s="2" t="s">
        <v>59</v>
      </c>
      <c r="H1778" s="2" t="s">
        <v>46</v>
      </c>
      <c r="I1778" s="2" t="s">
        <v>499</v>
      </c>
      <c r="J1778" s="2" t="s">
        <v>4133</v>
      </c>
      <c r="K1778" s="2" t="s">
        <v>5571</v>
      </c>
      <c r="L1778" s="2" t="s">
        <v>402</v>
      </c>
      <c r="M1778" s="2" t="s">
        <v>5343</v>
      </c>
      <c r="N1778" s="16">
        <v>2.2499999999999999E-2</v>
      </c>
      <c r="O1778" s="17">
        <f>N1778*'Financial Inputs'!$B$3</f>
        <v>2250000</v>
      </c>
      <c r="P1778" s="18">
        <f>IF(I1778="L",'Financial Inputs'!$B$4,IF(I1778="M",'Financial Inputs'!$B$5,'Financial Inputs'!$B$6))</f>
        <v>0.7</v>
      </c>
      <c r="Q1778" s="17">
        <f>O1778*P1778</f>
        <v>1575000</v>
      </c>
      <c r="R1778" s="16">
        <f>'Financial Inputs'!$B$7</f>
        <v>0.35</v>
      </c>
      <c r="S1778" s="17">
        <f>Q1778*(1-R1778)</f>
        <v>1023750</v>
      </c>
      <c r="T1778" s="18">
        <f>S1778/'Financial Inputs'!$B$3</f>
        <v>1.02375E-2</v>
      </c>
      <c r="U1778" s="9" t="s">
        <v>52</v>
      </c>
      <c r="V1778" s="3" t="s">
        <v>53</v>
      </c>
    </row>
    <row r="1779" spans="1:22">
      <c r="A1779" s="2" t="s">
        <v>5572</v>
      </c>
      <c r="B1779" s="2" t="s">
        <v>5573</v>
      </c>
      <c r="C1779" s="2" t="s">
        <v>5341</v>
      </c>
      <c r="D1779" s="2" t="s">
        <v>88</v>
      </c>
      <c r="E1779" s="2" t="s">
        <v>176</v>
      </c>
      <c r="F1779" s="2" t="s">
        <v>117</v>
      </c>
      <c r="G1779" s="2" t="s">
        <v>67</v>
      </c>
      <c r="H1779" s="2" t="s">
        <v>46</v>
      </c>
      <c r="I1779" s="2" t="s">
        <v>499</v>
      </c>
      <c r="J1779" s="2" t="s">
        <v>4133</v>
      </c>
      <c r="K1779" s="2" t="s">
        <v>5574</v>
      </c>
      <c r="L1779" s="2" t="s">
        <v>406</v>
      </c>
      <c r="M1779" s="2" t="s">
        <v>5343</v>
      </c>
      <c r="N1779" s="16">
        <v>2.5000000000000001E-2</v>
      </c>
      <c r="O1779" s="17">
        <f>N1779*'Financial Inputs'!$B$3</f>
        <v>2500000</v>
      </c>
      <c r="P1779" s="18">
        <f>IF(I1779="L",'Financial Inputs'!$B$4,IF(I1779="M",'Financial Inputs'!$B$5,'Financial Inputs'!$B$6))</f>
        <v>0.7</v>
      </c>
      <c r="Q1779" s="17">
        <f>O1779*P1779</f>
        <v>1750000</v>
      </c>
      <c r="R1779" s="16">
        <f>'Financial Inputs'!$B$7</f>
        <v>0.35</v>
      </c>
      <c r="S1779" s="17">
        <f>Q1779*(1-R1779)</f>
        <v>1137500</v>
      </c>
      <c r="T1779" s="18">
        <f>S1779/'Financial Inputs'!$B$3</f>
        <v>1.1375E-2</v>
      </c>
      <c r="U1779" s="9" t="s">
        <v>52</v>
      </c>
      <c r="V1779" s="3" t="s">
        <v>53</v>
      </c>
    </row>
    <row r="1780" spans="1:22">
      <c r="A1780" s="2" t="s">
        <v>5575</v>
      </c>
      <c r="B1780" s="2" t="s">
        <v>5576</v>
      </c>
      <c r="C1780" s="2" t="s">
        <v>5341</v>
      </c>
      <c r="D1780" s="2" t="s">
        <v>95</v>
      </c>
      <c r="E1780" s="2" t="s">
        <v>122</v>
      </c>
      <c r="F1780" s="2" t="s">
        <v>90</v>
      </c>
      <c r="G1780" s="2" t="s">
        <v>75</v>
      </c>
      <c r="H1780" s="2" t="s">
        <v>46</v>
      </c>
      <c r="I1780" s="2" t="s">
        <v>499</v>
      </c>
      <c r="J1780" s="2" t="s">
        <v>4133</v>
      </c>
      <c r="K1780" s="2" t="s">
        <v>5577</v>
      </c>
      <c r="L1780" s="2" t="s">
        <v>410</v>
      </c>
      <c r="M1780" s="2" t="s">
        <v>5343</v>
      </c>
      <c r="N1780" s="16">
        <v>2.75E-2</v>
      </c>
      <c r="O1780" s="17">
        <f>N1780*'Financial Inputs'!$B$3</f>
        <v>2750000</v>
      </c>
      <c r="P1780" s="18">
        <f>IF(I1780="L",'Financial Inputs'!$B$4,IF(I1780="M",'Financial Inputs'!$B$5,'Financial Inputs'!$B$6))</f>
        <v>0.7</v>
      </c>
      <c r="Q1780" s="17">
        <f>O1780*P1780</f>
        <v>1924999.9999999998</v>
      </c>
      <c r="R1780" s="16">
        <f>'Financial Inputs'!$B$7</f>
        <v>0.35</v>
      </c>
      <c r="S1780" s="17">
        <f>Q1780*(1-R1780)</f>
        <v>1251250</v>
      </c>
      <c r="T1780" s="18">
        <f>S1780/'Financial Inputs'!$B$3</f>
        <v>1.2512499999999999E-2</v>
      </c>
      <c r="U1780" s="9" t="s">
        <v>52</v>
      </c>
      <c r="V1780" s="3" t="s">
        <v>53</v>
      </c>
    </row>
    <row r="1781" spans="1:22">
      <c r="A1781" s="2" t="s">
        <v>5578</v>
      </c>
      <c r="B1781" s="2" t="s">
        <v>5579</v>
      </c>
      <c r="C1781" s="2" t="s">
        <v>5341</v>
      </c>
      <c r="D1781" s="2" t="s">
        <v>102</v>
      </c>
      <c r="E1781" s="2" t="s">
        <v>128</v>
      </c>
      <c r="F1781" s="2" t="s">
        <v>97</v>
      </c>
      <c r="G1781" s="2" t="s">
        <v>83</v>
      </c>
      <c r="H1781" s="2" t="s">
        <v>46</v>
      </c>
      <c r="I1781" s="2" t="s">
        <v>499</v>
      </c>
      <c r="J1781" s="2" t="s">
        <v>4133</v>
      </c>
      <c r="K1781" s="2" t="s">
        <v>5580</v>
      </c>
      <c r="L1781" s="2" t="s">
        <v>414</v>
      </c>
      <c r="M1781" s="2" t="s">
        <v>5343</v>
      </c>
      <c r="N1781" s="16">
        <v>3.0000000000000009E-2</v>
      </c>
      <c r="O1781" s="17">
        <f>N1781*'Financial Inputs'!$B$3</f>
        <v>3000000.0000000009</v>
      </c>
      <c r="P1781" s="18">
        <f>IF(I1781="L",'Financial Inputs'!$B$4,IF(I1781="M",'Financial Inputs'!$B$5,'Financial Inputs'!$B$6))</f>
        <v>0.7</v>
      </c>
      <c r="Q1781" s="17">
        <f>O1781*P1781</f>
        <v>2100000.0000000005</v>
      </c>
      <c r="R1781" s="16">
        <f>'Financial Inputs'!$B$7</f>
        <v>0.35</v>
      </c>
      <c r="S1781" s="17">
        <f>Q1781*(1-R1781)</f>
        <v>1365000.0000000005</v>
      </c>
      <c r="T1781" s="18">
        <f>S1781/'Financial Inputs'!$B$3</f>
        <v>1.3650000000000004E-2</v>
      </c>
      <c r="U1781" s="9" t="s">
        <v>52</v>
      </c>
      <c r="V1781" s="3" t="s">
        <v>53</v>
      </c>
    </row>
    <row r="1782" spans="1:22">
      <c r="A1782" s="2" t="s">
        <v>5581</v>
      </c>
      <c r="B1782" s="2" t="s">
        <v>5582</v>
      </c>
      <c r="C1782" s="2" t="s">
        <v>5341</v>
      </c>
      <c r="D1782" s="2" t="s">
        <v>64</v>
      </c>
      <c r="E1782" s="2" t="s">
        <v>81</v>
      </c>
      <c r="F1782" s="2" t="s">
        <v>74</v>
      </c>
      <c r="G1782" s="2" t="s">
        <v>67</v>
      </c>
      <c r="H1782" s="2" t="s">
        <v>46</v>
      </c>
      <c r="I1782" s="2" t="s">
        <v>499</v>
      </c>
      <c r="J1782" s="2" t="s">
        <v>4133</v>
      </c>
      <c r="K1782" s="2" t="s">
        <v>5583</v>
      </c>
      <c r="L1782" s="2" t="s">
        <v>418</v>
      </c>
      <c r="M1782" s="2" t="s">
        <v>5343</v>
      </c>
      <c r="N1782" s="16">
        <v>0.02</v>
      </c>
      <c r="O1782" s="17">
        <f>N1782*'Financial Inputs'!$B$3</f>
        <v>2000000</v>
      </c>
      <c r="P1782" s="18">
        <f>IF(I1782="L",'Financial Inputs'!$B$4,IF(I1782="M",'Financial Inputs'!$B$5,'Financial Inputs'!$B$6))</f>
        <v>0.7</v>
      </c>
      <c r="Q1782" s="17">
        <f>O1782*P1782</f>
        <v>1400000</v>
      </c>
      <c r="R1782" s="16">
        <f>'Financial Inputs'!$B$7</f>
        <v>0.35</v>
      </c>
      <c r="S1782" s="17">
        <f>Q1782*(1-R1782)</f>
        <v>910000</v>
      </c>
      <c r="T1782" s="18">
        <f>S1782/'Financial Inputs'!$B$3</f>
        <v>9.1000000000000004E-3</v>
      </c>
      <c r="U1782" s="9" t="s">
        <v>52</v>
      </c>
      <c r="V1782" s="3" t="s">
        <v>53</v>
      </c>
    </row>
    <row r="1783" spans="1:22">
      <c r="A1783" s="2" t="s">
        <v>5584</v>
      </c>
      <c r="B1783" s="2" t="s">
        <v>5585</v>
      </c>
      <c r="C1783" s="2" t="s">
        <v>5341</v>
      </c>
      <c r="D1783" s="2" t="s">
        <v>72</v>
      </c>
      <c r="E1783" s="2" t="s">
        <v>193</v>
      </c>
      <c r="F1783" s="2" t="s">
        <v>82</v>
      </c>
      <c r="G1783" s="2" t="s">
        <v>75</v>
      </c>
      <c r="H1783" s="2" t="s">
        <v>46</v>
      </c>
      <c r="I1783" s="2" t="s">
        <v>499</v>
      </c>
      <c r="J1783" s="2" t="s">
        <v>4133</v>
      </c>
      <c r="K1783" s="2" t="s">
        <v>5586</v>
      </c>
      <c r="L1783" s="2" t="s">
        <v>422</v>
      </c>
      <c r="M1783" s="2" t="s">
        <v>5343</v>
      </c>
      <c r="N1783" s="16">
        <v>2.2499999999999999E-2</v>
      </c>
      <c r="O1783" s="17">
        <f>N1783*'Financial Inputs'!$B$3</f>
        <v>2250000</v>
      </c>
      <c r="P1783" s="18">
        <f>IF(I1783="L",'Financial Inputs'!$B$4,IF(I1783="M",'Financial Inputs'!$B$5,'Financial Inputs'!$B$6))</f>
        <v>0.7</v>
      </c>
      <c r="Q1783" s="17">
        <f>O1783*P1783</f>
        <v>1575000</v>
      </c>
      <c r="R1783" s="16">
        <f>'Financial Inputs'!$B$7</f>
        <v>0.35</v>
      </c>
      <c r="S1783" s="17">
        <f>Q1783*(1-R1783)</f>
        <v>1023750</v>
      </c>
      <c r="T1783" s="18">
        <f>S1783/'Financial Inputs'!$B$3</f>
        <v>1.02375E-2</v>
      </c>
      <c r="U1783" s="9" t="s">
        <v>52</v>
      </c>
      <c r="V1783" s="3" t="s">
        <v>53</v>
      </c>
    </row>
    <row r="1784" spans="1:22">
      <c r="A1784" s="2" t="s">
        <v>5587</v>
      </c>
      <c r="B1784" s="2" t="s">
        <v>5588</v>
      </c>
      <c r="C1784" s="2" t="s">
        <v>5341</v>
      </c>
      <c r="D1784" s="2" t="s">
        <v>80</v>
      </c>
      <c r="E1784" s="2" t="s">
        <v>198</v>
      </c>
      <c r="F1784" s="2" t="s">
        <v>44</v>
      </c>
      <c r="G1784" s="2" t="s">
        <v>83</v>
      </c>
      <c r="H1784" s="2" t="s">
        <v>46</v>
      </c>
      <c r="I1784" s="2" t="s">
        <v>499</v>
      </c>
      <c r="J1784" s="2" t="s">
        <v>4133</v>
      </c>
      <c r="K1784" s="2" t="s">
        <v>5589</v>
      </c>
      <c r="L1784" s="2" t="s">
        <v>426</v>
      </c>
      <c r="M1784" s="2" t="s">
        <v>5343</v>
      </c>
      <c r="N1784" s="16">
        <v>2.5000000000000001E-2</v>
      </c>
      <c r="O1784" s="17">
        <f>N1784*'Financial Inputs'!$B$3</f>
        <v>2500000</v>
      </c>
      <c r="P1784" s="18">
        <f>IF(I1784="L",'Financial Inputs'!$B$4,IF(I1784="M",'Financial Inputs'!$B$5,'Financial Inputs'!$B$6))</f>
        <v>0.7</v>
      </c>
      <c r="Q1784" s="17">
        <f>O1784*P1784</f>
        <v>1750000</v>
      </c>
      <c r="R1784" s="16">
        <f>'Financial Inputs'!$B$7</f>
        <v>0.35</v>
      </c>
      <c r="S1784" s="17">
        <f>Q1784*(1-R1784)</f>
        <v>1137500</v>
      </c>
      <c r="T1784" s="18">
        <f>S1784/'Financial Inputs'!$B$3</f>
        <v>1.1375E-2</v>
      </c>
      <c r="U1784" s="9" t="s">
        <v>52</v>
      </c>
      <c r="V1784" s="3" t="s">
        <v>53</v>
      </c>
    </row>
    <row r="1785" spans="1:22">
      <c r="A1785" s="2" t="s">
        <v>5590</v>
      </c>
      <c r="B1785" s="2" t="s">
        <v>5591</v>
      </c>
      <c r="C1785" s="2" t="s">
        <v>5341</v>
      </c>
      <c r="D1785" s="2" t="s">
        <v>127</v>
      </c>
      <c r="E1785" s="2" t="s">
        <v>148</v>
      </c>
      <c r="F1785" s="2" t="s">
        <v>58</v>
      </c>
      <c r="G1785" s="2" t="s">
        <v>111</v>
      </c>
      <c r="H1785" s="2" t="s">
        <v>46</v>
      </c>
      <c r="I1785" s="2" t="s">
        <v>499</v>
      </c>
      <c r="J1785" s="2" t="s">
        <v>4133</v>
      </c>
      <c r="K1785" s="2" t="s">
        <v>5592</v>
      </c>
      <c r="L1785" s="2" t="s">
        <v>430</v>
      </c>
      <c r="M1785" s="2" t="s">
        <v>5343</v>
      </c>
      <c r="N1785" s="16">
        <v>2.75E-2</v>
      </c>
      <c r="O1785" s="17">
        <f>N1785*'Financial Inputs'!$B$3</f>
        <v>2750000</v>
      </c>
      <c r="P1785" s="18">
        <f>IF(I1785="L",'Financial Inputs'!$B$4,IF(I1785="M",'Financial Inputs'!$B$5,'Financial Inputs'!$B$6))</f>
        <v>0.7</v>
      </c>
      <c r="Q1785" s="17">
        <f>O1785*P1785</f>
        <v>1924999.9999999998</v>
      </c>
      <c r="R1785" s="16">
        <f>'Financial Inputs'!$B$7</f>
        <v>0.35</v>
      </c>
      <c r="S1785" s="17">
        <f>Q1785*(1-R1785)</f>
        <v>1251250</v>
      </c>
      <c r="T1785" s="18">
        <f>S1785/'Financial Inputs'!$B$3</f>
        <v>1.2512499999999999E-2</v>
      </c>
      <c r="U1785" s="9" t="s">
        <v>52</v>
      </c>
      <c r="V1785" s="3" t="s">
        <v>53</v>
      </c>
    </row>
    <row r="1786" spans="1:22">
      <c r="A1786" s="2" t="s">
        <v>5593</v>
      </c>
      <c r="B1786" s="2" t="s">
        <v>5594</v>
      </c>
      <c r="C1786" s="2" t="s">
        <v>5341</v>
      </c>
      <c r="D1786" s="2" t="s">
        <v>133</v>
      </c>
      <c r="E1786" s="2" t="s">
        <v>153</v>
      </c>
      <c r="F1786" s="2" t="s">
        <v>66</v>
      </c>
      <c r="G1786" s="2" t="s">
        <v>56</v>
      </c>
      <c r="H1786" s="2" t="s">
        <v>46</v>
      </c>
      <c r="I1786" s="2" t="s">
        <v>499</v>
      </c>
      <c r="J1786" s="2" t="s">
        <v>4133</v>
      </c>
      <c r="K1786" s="2" t="s">
        <v>5595</v>
      </c>
      <c r="L1786" s="2" t="s">
        <v>434</v>
      </c>
      <c r="M1786" s="2" t="s">
        <v>5343</v>
      </c>
      <c r="N1786" s="16">
        <v>3.0000000000000009E-2</v>
      </c>
      <c r="O1786" s="17">
        <f>N1786*'Financial Inputs'!$B$3</f>
        <v>3000000.0000000009</v>
      </c>
      <c r="P1786" s="18">
        <f>IF(I1786="L",'Financial Inputs'!$B$4,IF(I1786="M",'Financial Inputs'!$B$5,'Financial Inputs'!$B$6))</f>
        <v>0.7</v>
      </c>
      <c r="Q1786" s="17">
        <f>O1786*P1786</f>
        <v>2100000.0000000005</v>
      </c>
      <c r="R1786" s="16">
        <f>'Financial Inputs'!$B$7</f>
        <v>0.35</v>
      </c>
      <c r="S1786" s="17">
        <f>Q1786*(1-R1786)</f>
        <v>1365000.0000000005</v>
      </c>
      <c r="T1786" s="18">
        <f>S1786/'Financial Inputs'!$B$3</f>
        <v>1.3650000000000004E-2</v>
      </c>
      <c r="U1786" s="9" t="s">
        <v>52</v>
      </c>
      <c r="V1786" s="3" t="s">
        <v>53</v>
      </c>
    </row>
    <row r="1787" spans="1:22">
      <c r="A1787" s="2" t="s">
        <v>5596</v>
      </c>
      <c r="B1787" s="2" t="s">
        <v>5597</v>
      </c>
      <c r="C1787" s="2" t="s">
        <v>5341</v>
      </c>
      <c r="D1787" s="2" t="s">
        <v>102</v>
      </c>
      <c r="E1787" s="2" t="s">
        <v>116</v>
      </c>
      <c r="F1787" s="2" t="s">
        <v>110</v>
      </c>
      <c r="G1787" s="2" t="s">
        <v>83</v>
      </c>
      <c r="H1787" s="2" t="s">
        <v>46</v>
      </c>
      <c r="I1787" s="2" t="s">
        <v>499</v>
      </c>
      <c r="J1787" s="2" t="s">
        <v>4133</v>
      </c>
      <c r="K1787" s="2" t="s">
        <v>5598</v>
      </c>
      <c r="L1787" s="2" t="s">
        <v>438</v>
      </c>
      <c r="M1787" s="2" t="s">
        <v>5343</v>
      </c>
      <c r="N1787" s="16">
        <v>0.02</v>
      </c>
      <c r="O1787" s="17">
        <f>N1787*'Financial Inputs'!$B$3</f>
        <v>2000000</v>
      </c>
      <c r="P1787" s="18">
        <f>IF(I1787="L",'Financial Inputs'!$B$4,IF(I1787="M",'Financial Inputs'!$B$5,'Financial Inputs'!$B$6))</f>
        <v>0.7</v>
      </c>
      <c r="Q1787" s="17">
        <f>O1787*P1787</f>
        <v>1400000</v>
      </c>
      <c r="R1787" s="16">
        <f>'Financial Inputs'!$B$7</f>
        <v>0.35</v>
      </c>
      <c r="S1787" s="17">
        <f>Q1787*(1-R1787)</f>
        <v>910000</v>
      </c>
      <c r="T1787" s="18">
        <f>S1787/'Financial Inputs'!$B$3</f>
        <v>9.1000000000000004E-3</v>
      </c>
      <c r="U1787" s="9" t="s">
        <v>52</v>
      </c>
      <c r="V1787" s="3" t="s">
        <v>53</v>
      </c>
    </row>
    <row r="1788" spans="1:22">
      <c r="A1788" s="2" t="s">
        <v>5599</v>
      </c>
      <c r="B1788" s="2" t="s">
        <v>5600</v>
      </c>
      <c r="C1788" s="2" t="s">
        <v>5341</v>
      </c>
      <c r="D1788" s="2" t="s">
        <v>42</v>
      </c>
      <c r="E1788" s="2" t="s">
        <v>215</v>
      </c>
      <c r="F1788" s="2" t="s">
        <v>117</v>
      </c>
      <c r="G1788" s="2" t="s">
        <v>111</v>
      </c>
      <c r="H1788" s="2" t="s">
        <v>46</v>
      </c>
      <c r="I1788" s="2" t="s">
        <v>499</v>
      </c>
      <c r="J1788" s="2" t="s">
        <v>4133</v>
      </c>
      <c r="K1788" s="2" t="s">
        <v>5601</v>
      </c>
      <c r="L1788" s="2" t="s">
        <v>442</v>
      </c>
      <c r="M1788" s="2" t="s">
        <v>5343</v>
      </c>
      <c r="N1788" s="16">
        <v>2.2499999999999999E-2</v>
      </c>
      <c r="O1788" s="17">
        <f>N1788*'Financial Inputs'!$B$3</f>
        <v>2250000</v>
      </c>
      <c r="P1788" s="18">
        <f>IF(I1788="L",'Financial Inputs'!$B$4,IF(I1788="M",'Financial Inputs'!$B$5,'Financial Inputs'!$B$6))</f>
        <v>0.7</v>
      </c>
      <c r="Q1788" s="17">
        <f>O1788*P1788</f>
        <v>1575000</v>
      </c>
      <c r="R1788" s="16">
        <f>'Financial Inputs'!$B$7</f>
        <v>0.35</v>
      </c>
      <c r="S1788" s="17">
        <f>Q1788*(1-R1788)</f>
        <v>1023750</v>
      </c>
      <c r="T1788" s="18">
        <f>S1788/'Financial Inputs'!$B$3</f>
        <v>1.02375E-2</v>
      </c>
      <c r="U1788" s="9" t="s">
        <v>52</v>
      </c>
      <c r="V1788" s="3" t="s">
        <v>53</v>
      </c>
    </row>
    <row r="1789" spans="1:22">
      <c r="A1789" s="2" t="s">
        <v>5602</v>
      </c>
      <c r="B1789" s="2" t="s">
        <v>5603</v>
      </c>
      <c r="C1789" s="2" t="s">
        <v>5341</v>
      </c>
      <c r="D1789" s="2" t="s">
        <v>56</v>
      </c>
      <c r="E1789" s="2" t="s">
        <v>220</v>
      </c>
      <c r="F1789" s="2" t="s">
        <v>90</v>
      </c>
      <c r="G1789" s="2" t="s">
        <v>56</v>
      </c>
      <c r="H1789" s="2" t="s">
        <v>46</v>
      </c>
      <c r="I1789" s="2" t="s">
        <v>499</v>
      </c>
      <c r="J1789" s="2" t="s">
        <v>4133</v>
      </c>
      <c r="K1789" s="2" t="s">
        <v>5604</v>
      </c>
      <c r="L1789" s="2" t="s">
        <v>446</v>
      </c>
      <c r="M1789" s="2" t="s">
        <v>5343</v>
      </c>
      <c r="N1789" s="16">
        <v>2.5000000000000001E-2</v>
      </c>
      <c r="O1789" s="17">
        <f>N1789*'Financial Inputs'!$B$3</f>
        <v>2500000</v>
      </c>
      <c r="P1789" s="18">
        <f>IF(I1789="L",'Financial Inputs'!$B$4,IF(I1789="M",'Financial Inputs'!$B$5,'Financial Inputs'!$B$6))</f>
        <v>0.7</v>
      </c>
      <c r="Q1789" s="17">
        <f>O1789*P1789</f>
        <v>1750000</v>
      </c>
      <c r="R1789" s="16">
        <f>'Financial Inputs'!$B$7</f>
        <v>0.35</v>
      </c>
      <c r="S1789" s="17">
        <f>Q1789*(1-R1789)</f>
        <v>1137500</v>
      </c>
      <c r="T1789" s="18">
        <f>S1789/'Financial Inputs'!$B$3</f>
        <v>1.1375E-2</v>
      </c>
      <c r="U1789" s="9" t="s">
        <v>52</v>
      </c>
      <c r="V1789" s="3" t="s">
        <v>53</v>
      </c>
    </row>
    <row r="1790" spans="1:22">
      <c r="A1790" s="2" t="s">
        <v>5605</v>
      </c>
      <c r="B1790" s="2" t="s">
        <v>5606</v>
      </c>
      <c r="C1790" s="2" t="s">
        <v>5341</v>
      </c>
      <c r="D1790" s="2" t="s">
        <v>64</v>
      </c>
      <c r="E1790" s="2" t="s">
        <v>171</v>
      </c>
      <c r="F1790" s="2" t="s">
        <v>97</v>
      </c>
      <c r="G1790" s="2" t="s">
        <v>138</v>
      </c>
      <c r="H1790" s="2" t="s">
        <v>46</v>
      </c>
      <c r="I1790" s="2" t="s">
        <v>499</v>
      </c>
      <c r="J1790" s="2" t="s">
        <v>4133</v>
      </c>
      <c r="K1790" s="2" t="s">
        <v>5607</v>
      </c>
      <c r="L1790" s="2" t="s">
        <v>450</v>
      </c>
      <c r="M1790" s="2" t="s">
        <v>5343</v>
      </c>
      <c r="N1790" s="16">
        <v>2.75E-2</v>
      </c>
      <c r="O1790" s="17">
        <f>N1790*'Financial Inputs'!$B$3</f>
        <v>2750000</v>
      </c>
      <c r="P1790" s="18">
        <f>IF(I1790="L",'Financial Inputs'!$B$4,IF(I1790="M",'Financial Inputs'!$B$5,'Financial Inputs'!$B$6))</f>
        <v>0.7</v>
      </c>
      <c r="Q1790" s="17">
        <f>O1790*P1790</f>
        <v>1924999.9999999998</v>
      </c>
      <c r="R1790" s="16">
        <f>'Financial Inputs'!$B$7</f>
        <v>0.35</v>
      </c>
      <c r="S1790" s="17">
        <f>Q1790*(1-R1790)</f>
        <v>1251250</v>
      </c>
      <c r="T1790" s="18">
        <f>S1790/'Financial Inputs'!$B$3</f>
        <v>1.2512499999999999E-2</v>
      </c>
      <c r="U1790" s="9" t="s">
        <v>52</v>
      </c>
      <c r="V1790" s="3" t="s">
        <v>53</v>
      </c>
    </row>
    <row r="1791" spans="1:22">
      <c r="A1791" s="2" t="s">
        <v>5608</v>
      </c>
      <c r="B1791" s="2" t="s">
        <v>5609</v>
      </c>
      <c r="C1791" s="2" t="s">
        <v>5341</v>
      </c>
      <c r="D1791" s="2" t="s">
        <v>72</v>
      </c>
      <c r="E1791" s="2" t="s">
        <v>176</v>
      </c>
      <c r="F1791" s="2" t="s">
        <v>104</v>
      </c>
      <c r="G1791" s="2" t="s">
        <v>143</v>
      </c>
      <c r="H1791" s="2" t="s">
        <v>46</v>
      </c>
      <c r="I1791" s="2" t="s">
        <v>499</v>
      </c>
      <c r="J1791" s="2" t="s">
        <v>4133</v>
      </c>
      <c r="K1791" s="2" t="s">
        <v>5610</v>
      </c>
      <c r="L1791" s="2" t="s">
        <v>454</v>
      </c>
      <c r="M1791" s="2" t="s">
        <v>5343</v>
      </c>
      <c r="N1791" s="16">
        <v>3.0000000000000009E-2</v>
      </c>
      <c r="O1791" s="17">
        <f>N1791*'Financial Inputs'!$B$3</f>
        <v>3000000.0000000009</v>
      </c>
      <c r="P1791" s="18">
        <f>IF(I1791="L",'Financial Inputs'!$B$4,IF(I1791="M",'Financial Inputs'!$B$5,'Financial Inputs'!$B$6))</f>
        <v>0.7</v>
      </c>
      <c r="Q1791" s="17">
        <f>O1791*P1791</f>
        <v>2100000.0000000005</v>
      </c>
      <c r="R1791" s="16">
        <f>'Financial Inputs'!$B$7</f>
        <v>0.35</v>
      </c>
      <c r="S1791" s="17">
        <f>Q1791*(1-R1791)</f>
        <v>1365000.0000000005</v>
      </c>
      <c r="T1791" s="18">
        <f>S1791/'Financial Inputs'!$B$3</f>
        <v>1.3650000000000004E-2</v>
      </c>
      <c r="U1791" s="9" t="s">
        <v>52</v>
      </c>
      <c r="V1791" s="3" t="s">
        <v>53</v>
      </c>
    </row>
    <row r="1792" spans="1:22">
      <c r="A1792" s="2" t="s">
        <v>5611</v>
      </c>
      <c r="B1792" s="2" t="s">
        <v>5612</v>
      </c>
      <c r="C1792" s="2" t="s">
        <v>5341</v>
      </c>
      <c r="D1792" s="2" t="s">
        <v>133</v>
      </c>
      <c r="E1792" s="2" t="s">
        <v>65</v>
      </c>
      <c r="F1792" s="2" t="s">
        <v>82</v>
      </c>
      <c r="G1792" s="2" t="s">
        <v>56</v>
      </c>
      <c r="H1792" s="2" t="s">
        <v>46</v>
      </c>
      <c r="I1792" s="2" t="s">
        <v>499</v>
      </c>
      <c r="J1792" s="2" t="s">
        <v>4133</v>
      </c>
      <c r="K1792" s="2" t="s">
        <v>5613</v>
      </c>
      <c r="L1792" s="2" t="s">
        <v>458</v>
      </c>
      <c r="M1792" s="2" t="s">
        <v>5343</v>
      </c>
      <c r="N1792" s="16">
        <v>0.02</v>
      </c>
      <c r="O1792" s="17">
        <f>N1792*'Financial Inputs'!$B$3</f>
        <v>2000000</v>
      </c>
      <c r="P1792" s="18">
        <f>IF(I1792="L",'Financial Inputs'!$B$4,IF(I1792="M",'Financial Inputs'!$B$5,'Financial Inputs'!$B$6))</f>
        <v>0.7</v>
      </c>
      <c r="Q1792" s="17">
        <f>O1792*P1792</f>
        <v>1400000</v>
      </c>
      <c r="R1792" s="16">
        <f>'Financial Inputs'!$B$7</f>
        <v>0.35</v>
      </c>
      <c r="S1792" s="17">
        <f>Q1792*(1-R1792)</f>
        <v>910000</v>
      </c>
      <c r="T1792" s="18">
        <f>S1792/'Financial Inputs'!$B$3</f>
        <v>9.1000000000000004E-3</v>
      </c>
      <c r="U1792" s="9" t="s">
        <v>52</v>
      </c>
      <c r="V1792" s="3" t="s">
        <v>53</v>
      </c>
    </row>
    <row r="1793" spans="1:22">
      <c r="A1793" s="2" t="s">
        <v>5614</v>
      </c>
      <c r="B1793" s="2" t="s">
        <v>5615</v>
      </c>
      <c r="C1793" s="2" t="s">
        <v>5341</v>
      </c>
      <c r="D1793" s="2" t="s">
        <v>88</v>
      </c>
      <c r="E1793" s="2" t="s">
        <v>73</v>
      </c>
      <c r="F1793" s="2" t="s">
        <v>44</v>
      </c>
      <c r="G1793" s="2" t="s">
        <v>138</v>
      </c>
      <c r="H1793" s="2" t="s">
        <v>46</v>
      </c>
      <c r="I1793" s="2" t="s">
        <v>499</v>
      </c>
      <c r="J1793" s="2" t="s">
        <v>4133</v>
      </c>
      <c r="K1793" s="2" t="s">
        <v>5616</v>
      </c>
      <c r="L1793" s="2" t="s">
        <v>462</v>
      </c>
      <c r="M1793" s="2" t="s">
        <v>5343</v>
      </c>
      <c r="N1793" s="16">
        <v>2.2499999999999999E-2</v>
      </c>
      <c r="O1793" s="17">
        <f>N1793*'Financial Inputs'!$B$3</f>
        <v>2250000</v>
      </c>
      <c r="P1793" s="18">
        <f>IF(I1793="L",'Financial Inputs'!$B$4,IF(I1793="M",'Financial Inputs'!$B$5,'Financial Inputs'!$B$6))</f>
        <v>0.7</v>
      </c>
      <c r="Q1793" s="17">
        <f>O1793*P1793</f>
        <v>1575000</v>
      </c>
      <c r="R1793" s="16">
        <f>'Financial Inputs'!$B$7</f>
        <v>0.35</v>
      </c>
      <c r="S1793" s="17">
        <f>Q1793*(1-R1793)</f>
        <v>1023750</v>
      </c>
      <c r="T1793" s="18">
        <f>S1793/'Financial Inputs'!$B$3</f>
        <v>1.02375E-2</v>
      </c>
      <c r="U1793" s="9" t="s">
        <v>52</v>
      </c>
      <c r="V1793" s="3" t="s">
        <v>53</v>
      </c>
    </row>
    <row r="1794" spans="1:22">
      <c r="A1794" s="2" t="s">
        <v>5617</v>
      </c>
      <c r="B1794" s="2" t="s">
        <v>5618</v>
      </c>
      <c r="C1794" s="2" t="s">
        <v>5341</v>
      </c>
      <c r="D1794" s="2" t="s">
        <v>95</v>
      </c>
      <c r="E1794" s="2" t="s">
        <v>81</v>
      </c>
      <c r="F1794" s="2" t="s">
        <v>58</v>
      </c>
      <c r="G1794" s="2" t="s">
        <v>143</v>
      </c>
      <c r="H1794" s="2" t="s">
        <v>46</v>
      </c>
      <c r="I1794" s="2" t="s">
        <v>499</v>
      </c>
      <c r="J1794" s="2" t="s">
        <v>4133</v>
      </c>
      <c r="K1794" s="2" t="s">
        <v>5619</v>
      </c>
      <c r="L1794" s="2" t="s">
        <v>466</v>
      </c>
      <c r="M1794" s="2" t="s">
        <v>5343</v>
      </c>
      <c r="N1794" s="16">
        <v>2.5000000000000001E-2</v>
      </c>
      <c r="O1794" s="17">
        <f>N1794*'Financial Inputs'!$B$3</f>
        <v>2500000</v>
      </c>
      <c r="P1794" s="18">
        <f>IF(I1794="L",'Financial Inputs'!$B$4,IF(I1794="M",'Financial Inputs'!$B$5,'Financial Inputs'!$B$6))</f>
        <v>0.7</v>
      </c>
      <c r="Q1794" s="17">
        <f>O1794*P1794</f>
        <v>1750000</v>
      </c>
      <c r="R1794" s="16">
        <f>'Financial Inputs'!$B$7</f>
        <v>0.35</v>
      </c>
      <c r="S1794" s="17">
        <f>Q1794*(1-R1794)</f>
        <v>1137500</v>
      </c>
      <c r="T1794" s="18">
        <f>S1794/'Financial Inputs'!$B$3</f>
        <v>1.1375E-2</v>
      </c>
      <c r="U1794" s="9" t="s">
        <v>52</v>
      </c>
      <c r="V1794" s="3" t="s">
        <v>53</v>
      </c>
    </row>
    <row r="1795" spans="1:22">
      <c r="A1795" s="2" t="s">
        <v>5620</v>
      </c>
      <c r="B1795" s="2" t="s">
        <v>5621</v>
      </c>
      <c r="C1795" s="2" t="s">
        <v>5341</v>
      </c>
      <c r="D1795" s="2" t="s">
        <v>102</v>
      </c>
      <c r="E1795" s="2" t="s">
        <v>193</v>
      </c>
      <c r="F1795" s="2" t="s">
        <v>66</v>
      </c>
      <c r="G1795" s="2" t="s">
        <v>162</v>
      </c>
      <c r="H1795" s="2" t="s">
        <v>46</v>
      </c>
      <c r="I1795" s="2" t="s">
        <v>499</v>
      </c>
      <c r="J1795" s="2" t="s">
        <v>4133</v>
      </c>
      <c r="K1795" s="2" t="s">
        <v>5622</v>
      </c>
      <c r="L1795" s="2" t="s">
        <v>470</v>
      </c>
      <c r="M1795" s="2" t="s">
        <v>5343</v>
      </c>
      <c r="N1795" s="16">
        <v>2.75E-2</v>
      </c>
      <c r="O1795" s="17">
        <f>N1795*'Financial Inputs'!$B$3</f>
        <v>2750000</v>
      </c>
      <c r="P1795" s="18">
        <f>IF(I1795="L",'Financial Inputs'!$B$4,IF(I1795="M",'Financial Inputs'!$B$5,'Financial Inputs'!$B$6))</f>
        <v>0.7</v>
      </c>
      <c r="Q1795" s="17">
        <f>O1795*P1795</f>
        <v>1924999.9999999998</v>
      </c>
      <c r="R1795" s="16">
        <f>'Financial Inputs'!$B$7</f>
        <v>0.35</v>
      </c>
      <c r="S1795" s="17">
        <f>Q1795*(1-R1795)</f>
        <v>1251250</v>
      </c>
      <c r="T1795" s="18">
        <f>S1795/'Financial Inputs'!$B$3</f>
        <v>1.2512499999999999E-2</v>
      </c>
      <c r="U1795" s="9" t="s">
        <v>52</v>
      </c>
      <c r="V1795" s="3" t="s">
        <v>53</v>
      </c>
    </row>
    <row r="1796" spans="1:22">
      <c r="A1796" s="2" t="s">
        <v>5623</v>
      </c>
      <c r="B1796" s="2" t="s">
        <v>5624</v>
      </c>
      <c r="C1796" s="2" t="s">
        <v>5341</v>
      </c>
      <c r="D1796" s="2" t="s">
        <v>42</v>
      </c>
      <c r="E1796" s="2" t="s">
        <v>198</v>
      </c>
      <c r="F1796" s="2" t="s">
        <v>74</v>
      </c>
      <c r="G1796" s="2" t="s">
        <v>45</v>
      </c>
      <c r="H1796" s="2" t="s">
        <v>46</v>
      </c>
      <c r="I1796" s="2" t="s">
        <v>499</v>
      </c>
      <c r="J1796" s="2" t="s">
        <v>4133</v>
      </c>
      <c r="K1796" s="2" t="s">
        <v>5625</v>
      </c>
      <c r="L1796" s="2" t="s">
        <v>474</v>
      </c>
      <c r="M1796" s="2" t="s">
        <v>5343</v>
      </c>
      <c r="N1796" s="16">
        <v>3.0000000000000009E-2</v>
      </c>
      <c r="O1796" s="17">
        <f>N1796*'Financial Inputs'!$B$3</f>
        <v>3000000.0000000009</v>
      </c>
      <c r="P1796" s="18">
        <f>IF(I1796="L",'Financial Inputs'!$B$4,IF(I1796="M",'Financial Inputs'!$B$5,'Financial Inputs'!$B$6))</f>
        <v>0.7</v>
      </c>
      <c r="Q1796" s="17">
        <f>O1796*P1796</f>
        <v>2100000.0000000005</v>
      </c>
      <c r="R1796" s="16">
        <f>'Financial Inputs'!$B$7</f>
        <v>0.35</v>
      </c>
      <c r="S1796" s="17">
        <f>Q1796*(1-R1796)</f>
        <v>1365000.0000000005</v>
      </c>
      <c r="T1796" s="18">
        <f>S1796/'Financial Inputs'!$B$3</f>
        <v>1.3650000000000004E-2</v>
      </c>
      <c r="U1796" s="9" t="s">
        <v>52</v>
      </c>
      <c r="V1796" s="3" t="s">
        <v>53</v>
      </c>
    </row>
    <row r="1797" spans="1:22">
      <c r="A1797" s="2" t="s">
        <v>5626</v>
      </c>
      <c r="B1797" s="2" t="s">
        <v>5627</v>
      </c>
      <c r="C1797" s="2" t="s">
        <v>5341</v>
      </c>
      <c r="D1797" s="2" t="s">
        <v>72</v>
      </c>
      <c r="E1797" s="2" t="s">
        <v>103</v>
      </c>
      <c r="F1797" s="2" t="s">
        <v>117</v>
      </c>
      <c r="G1797" s="2" t="s">
        <v>143</v>
      </c>
      <c r="H1797" s="2" t="s">
        <v>46</v>
      </c>
      <c r="I1797" s="2" t="s">
        <v>499</v>
      </c>
      <c r="J1797" s="2" t="s">
        <v>4133</v>
      </c>
      <c r="K1797" s="2" t="s">
        <v>5628</v>
      </c>
      <c r="L1797" s="2" t="s">
        <v>478</v>
      </c>
      <c r="M1797" s="2" t="s">
        <v>5343</v>
      </c>
      <c r="N1797" s="16">
        <v>0.02</v>
      </c>
      <c r="O1797" s="17">
        <f>N1797*'Financial Inputs'!$B$3</f>
        <v>2000000</v>
      </c>
      <c r="P1797" s="18">
        <f>IF(I1797="L",'Financial Inputs'!$B$4,IF(I1797="M",'Financial Inputs'!$B$5,'Financial Inputs'!$B$6))</f>
        <v>0.7</v>
      </c>
      <c r="Q1797" s="17">
        <f>O1797*P1797</f>
        <v>1400000</v>
      </c>
      <c r="R1797" s="16">
        <f>'Financial Inputs'!$B$7</f>
        <v>0.35</v>
      </c>
      <c r="S1797" s="17">
        <f>Q1797*(1-R1797)</f>
        <v>910000</v>
      </c>
      <c r="T1797" s="18">
        <f>S1797/'Financial Inputs'!$B$3</f>
        <v>9.1000000000000004E-3</v>
      </c>
      <c r="U1797" s="9" t="s">
        <v>52</v>
      </c>
      <c r="V1797" s="3" t="s">
        <v>53</v>
      </c>
    </row>
    <row r="1798" spans="1:22">
      <c r="A1798" s="2" t="s">
        <v>5629</v>
      </c>
      <c r="B1798" s="2" t="s">
        <v>5630</v>
      </c>
      <c r="C1798" s="2" t="s">
        <v>5341</v>
      </c>
      <c r="D1798" s="2" t="s">
        <v>80</v>
      </c>
      <c r="E1798" s="2" t="s">
        <v>109</v>
      </c>
      <c r="F1798" s="2" t="s">
        <v>90</v>
      </c>
      <c r="G1798" s="2" t="s">
        <v>162</v>
      </c>
      <c r="H1798" s="2" t="s">
        <v>46</v>
      </c>
      <c r="I1798" s="2" t="s">
        <v>499</v>
      </c>
      <c r="J1798" s="2" t="s">
        <v>4133</v>
      </c>
      <c r="K1798" s="2" t="s">
        <v>5631</v>
      </c>
      <c r="L1798" s="2" t="s">
        <v>482</v>
      </c>
      <c r="M1798" s="2" t="s">
        <v>5343</v>
      </c>
      <c r="N1798" s="16">
        <v>2.2499999999999999E-2</v>
      </c>
      <c r="O1798" s="17">
        <f>N1798*'Financial Inputs'!$B$3</f>
        <v>2250000</v>
      </c>
      <c r="P1798" s="18">
        <f>IF(I1798="L",'Financial Inputs'!$B$4,IF(I1798="M",'Financial Inputs'!$B$5,'Financial Inputs'!$B$6))</f>
        <v>0.7</v>
      </c>
      <c r="Q1798" s="17">
        <f>O1798*P1798</f>
        <v>1575000</v>
      </c>
      <c r="R1798" s="16">
        <f>'Financial Inputs'!$B$7</f>
        <v>0.35</v>
      </c>
      <c r="S1798" s="17">
        <f>Q1798*(1-R1798)</f>
        <v>1023750</v>
      </c>
      <c r="T1798" s="18">
        <f>S1798/'Financial Inputs'!$B$3</f>
        <v>1.02375E-2</v>
      </c>
      <c r="U1798" s="9" t="s">
        <v>52</v>
      </c>
      <c r="V1798" s="3" t="s">
        <v>53</v>
      </c>
    </row>
    <row r="1799" spans="1:22">
      <c r="A1799" s="2" t="s">
        <v>5632</v>
      </c>
      <c r="B1799" s="2" t="s">
        <v>5633</v>
      </c>
      <c r="C1799" s="2" t="s">
        <v>5341</v>
      </c>
      <c r="D1799" s="2" t="s">
        <v>127</v>
      </c>
      <c r="E1799" s="2" t="s">
        <v>116</v>
      </c>
      <c r="F1799" s="2" t="s">
        <v>97</v>
      </c>
      <c r="G1799" s="2" t="s">
        <v>45</v>
      </c>
      <c r="H1799" s="2" t="s">
        <v>46</v>
      </c>
      <c r="I1799" s="2" t="s">
        <v>499</v>
      </c>
      <c r="J1799" s="2" t="s">
        <v>4133</v>
      </c>
      <c r="K1799" s="2" t="s">
        <v>5634</v>
      </c>
      <c r="L1799" s="2" t="s">
        <v>486</v>
      </c>
      <c r="M1799" s="2" t="s">
        <v>5343</v>
      </c>
      <c r="N1799" s="16">
        <v>2.5000000000000001E-2</v>
      </c>
      <c r="O1799" s="17">
        <f>N1799*'Financial Inputs'!$B$3</f>
        <v>2500000</v>
      </c>
      <c r="P1799" s="18">
        <f>IF(I1799="L",'Financial Inputs'!$B$4,IF(I1799="M",'Financial Inputs'!$B$5,'Financial Inputs'!$B$6))</f>
        <v>0.7</v>
      </c>
      <c r="Q1799" s="17">
        <f>O1799*P1799</f>
        <v>1750000</v>
      </c>
      <c r="R1799" s="16">
        <f>'Financial Inputs'!$B$7</f>
        <v>0.35</v>
      </c>
      <c r="S1799" s="17">
        <f>Q1799*(1-R1799)</f>
        <v>1137500</v>
      </c>
      <c r="T1799" s="18">
        <f>S1799/'Financial Inputs'!$B$3</f>
        <v>1.1375E-2</v>
      </c>
      <c r="U1799" s="9" t="s">
        <v>52</v>
      </c>
      <c r="V1799" s="3" t="s">
        <v>53</v>
      </c>
    </row>
    <row r="1800" spans="1:22">
      <c r="A1800" s="2" t="s">
        <v>5635</v>
      </c>
      <c r="B1800" s="2" t="s">
        <v>5636</v>
      </c>
      <c r="C1800" s="2" t="s">
        <v>5341</v>
      </c>
      <c r="D1800" s="2" t="s">
        <v>133</v>
      </c>
      <c r="E1800" s="2" t="s">
        <v>215</v>
      </c>
      <c r="F1800" s="2" t="s">
        <v>104</v>
      </c>
      <c r="G1800" s="2" t="s">
        <v>59</v>
      </c>
      <c r="H1800" s="2" t="s">
        <v>46</v>
      </c>
      <c r="I1800" s="2" t="s">
        <v>499</v>
      </c>
      <c r="J1800" s="2" t="s">
        <v>4133</v>
      </c>
      <c r="K1800" s="2" t="s">
        <v>5637</v>
      </c>
      <c r="L1800" s="2" t="s">
        <v>490</v>
      </c>
      <c r="M1800" s="2" t="s">
        <v>5343</v>
      </c>
      <c r="N1800" s="16">
        <v>2.75E-2</v>
      </c>
      <c r="O1800" s="17">
        <f>N1800*'Financial Inputs'!$B$3</f>
        <v>2750000</v>
      </c>
      <c r="P1800" s="18">
        <f>IF(I1800="L",'Financial Inputs'!$B$4,IF(I1800="M",'Financial Inputs'!$B$5,'Financial Inputs'!$B$6))</f>
        <v>0.7</v>
      </c>
      <c r="Q1800" s="17">
        <f>O1800*P1800</f>
        <v>1924999.9999999998</v>
      </c>
      <c r="R1800" s="16">
        <f>'Financial Inputs'!$B$7</f>
        <v>0.35</v>
      </c>
      <c r="S1800" s="17">
        <f>Q1800*(1-R1800)</f>
        <v>1251250</v>
      </c>
      <c r="T1800" s="18">
        <f>S1800/'Financial Inputs'!$B$3</f>
        <v>1.2512499999999999E-2</v>
      </c>
      <c r="U1800" s="9" t="s">
        <v>52</v>
      </c>
      <c r="V1800" s="3" t="s">
        <v>53</v>
      </c>
    </row>
    <row r="1801" spans="1:22">
      <c r="A1801" s="2" t="s">
        <v>5638</v>
      </c>
      <c r="B1801" s="2" t="s">
        <v>5639</v>
      </c>
      <c r="C1801" s="2" t="s">
        <v>5341</v>
      </c>
      <c r="D1801" s="2" t="s">
        <v>88</v>
      </c>
      <c r="E1801" s="2" t="s">
        <v>220</v>
      </c>
      <c r="F1801" s="2" t="s">
        <v>110</v>
      </c>
      <c r="G1801" s="2" t="s">
        <v>67</v>
      </c>
      <c r="H1801" s="2" t="s">
        <v>46</v>
      </c>
      <c r="I1801" s="2" t="s">
        <v>499</v>
      </c>
      <c r="J1801" s="2" t="s">
        <v>4133</v>
      </c>
      <c r="K1801" s="2" t="s">
        <v>5640</v>
      </c>
      <c r="L1801" s="2" t="s">
        <v>494</v>
      </c>
      <c r="M1801" s="2" t="s">
        <v>5343</v>
      </c>
      <c r="N1801" s="16">
        <v>3.0000000000000009E-2</v>
      </c>
      <c r="O1801" s="17">
        <f>N1801*'Financial Inputs'!$B$3</f>
        <v>3000000.0000000009</v>
      </c>
      <c r="P1801" s="18">
        <f>IF(I1801="L",'Financial Inputs'!$B$4,IF(I1801="M",'Financial Inputs'!$B$5,'Financial Inputs'!$B$6))</f>
        <v>0.7</v>
      </c>
      <c r="Q1801" s="17">
        <f>O1801*P1801</f>
        <v>2100000.0000000005</v>
      </c>
      <c r="R1801" s="16">
        <f>'Financial Inputs'!$B$7</f>
        <v>0.35</v>
      </c>
      <c r="S1801" s="17">
        <f>Q1801*(1-R1801)</f>
        <v>1365000.0000000005</v>
      </c>
      <c r="T1801" s="18">
        <f>S1801/'Financial Inputs'!$B$3</f>
        <v>1.3650000000000004E-2</v>
      </c>
      <c r="U1801" s="9" t="s">
        <v>52</v>
      </c>
      <c r="V1801" s="3" t="s">
        <v>53</v>
      </c>
    </row>
    <row r="1802" spans="1:22">
      <c r="A1802" s="2" t="s">
        <v>5641</v>
      </c>
      <c r="B1802" s="2" t="s">
        <v>5642</v>
      </c>
      <c r="C1802" s="2" t="s">
        <v>5643</v>
      </c>
      <c r="D1802" s="2" t="s">
        <v>42</v>
      </c>
      <c r="E1802" s="2" t="s">
        <v>43</v>
      </c>
      <c r="F1802" s="2" t="s">
        <v>44</v>
      </c>
      <c r="G1802" s="2" t="s">
        <v>45</v>
      </c>
      <c r="H1802" s="2" t="s">
        <v>2318</v>
      </c>
      <c r="I1802" s="2" t="s">
        <v>47</v>
      </c>
      <c r="J1802" s="2" t="s">
        <v>500</v>
      </c>
      <c r="K1802" s="2" t="s">
        <v>5644</v>
      </c>
      <c r="L1802" s="2" t="s">
        <v>50</v>
      </c>
      <c r="M1802" s="2" t="s">
        <v>5645</v>
      </c>
      <c r="N1802" s="16">
        <v>1.44E-2</v>
      </c>
      <c r="O1802" s="17">
        <f>N1802*'Financial Inputs'!$B$3</f>
        <v>1440000</v>
      </c>
      <c r="P1802" s="18">
        <f>IF(I1802="L",'Financial Inputs'!$B$4,IF(I1802="M",'Financial Inputs'!$B$5,'Financial Inputs'!$B$6))</f>
        <v>0.4</v>
      </c>
      <c r="Q1802" s="17">
        <f>O1802*P1802</f>
        <v>576000</v>
      </c>
      <c r="R1802" s="16">
        <f>'Financial Inputs'!$B$7</f>
        <v>0.35</v>
      </c>
      <c r="S1802" s="17">
        <f>Q1802*(1-R1802)</f>
        <v>374400</v>
      </c>
      <c r="T1802" s="18">
        <f>S1802/'Financial Inputs'!$B$3</f>
        <v>3.7439999999999999E-3</v>
      </c>
      <c r="U1802" s="9" t="s">
        <v>52</v>
      </c>
      <c r="V1802" s="3" t="s">
        <v>53</v>
      </c>
    </row>
    <row r="1803" spans="1:22">
      <c r="A1803" s="2" t="s">
        <v>5646</v>
      </c>
      <c r="B1803" s="2" t="s">
        <v>5647</v>
      </c>
      <c r="C1803" s="2" t="s">
        <v>5643</v>
      </c>
      <c r="D1803" s="2" t="s">
        <v>56</v>
      </c>
      <c r="E1803" s="2" t="s">
        <v>57</v>
      </c>
      <c r="F1803" s="2" t="s">
        <v>58</v>
      </c>
      <c r="G1803" s="2" t="s">
        <v>59</v>
      </c>
      <c r="H1803" s="2" t="s">
        <v>2318</v>
      </c>
      <c r="I1803" s="2" t="s">
        <v>47</v>
      </c>
      <c r="J1803" s="2" t="s">
        <v>500</v>
      </c>
      <c r="K1803" s="2" t="s">
        <v>5648</v>
      </c>
      <c r="L1803" s="2" t="s">
        <v>61</v>
      </c>
      <c r="M1803" s="2" t="s">
        <v>5645</v>
      </c>
      <c r="N1803" s="16">
        <v>1.6199999999999999E-2</v>
      </c>
      <c r="O1803" s="17">
        <f>N1803*'Financial Inputs'!$B$3</f>
        <v>1620000</v>
      </c>
      <c r="P1803" s="18">
        <f>IF(I1803="L",'Financial Inputs'!$B$4,IF(I1803="M",'Financial Inputs'!$B$5,'Financial Inputs'!$B$6))</f>
        <v>0.4</v>
      </c>
      <c r="Q1803" s="17">
        <f>O1803*P1803</f>
        <v>648000</v>
      </c>
      <c r="R1803" s="16">
        <f>'Financial Inputs'!$B$7</f>
        <v>0.35</v>
      </c>
      <c r="S1803" s="17">
        <f>Q1803*(1-R1803)</f>
        <v>421200</v>
      </c>
      <c r="T1803" s="18">
        <f>S1803/'Financial Inputs'!$B$3</f>
        <v>4.2119999999999996E-3</v>
      </c>
      <c r="U1803" s="9" t="s">
        <v>52</v>
      </c>
      <c r="V1803" s="3" t="s">
        <v>53</v>
      </c>
    </row>
    <row r="1804" spans="1:22">
      <c r="A1804" s="2" t="s">
        <v>5649</v>
      </c>
      <c r="B1804" s="2" t="s">
        <v>5650</v>
      </c>
      <c r="C1804" s="2" t="s">
        <v>5643</v>
      </c>
      <c r="D1804" s="2" t="s">
        <v>64</v>
      </c>
      <c r="E1804" s="2" t="s">
        <v>65</v>
      </c>
      <c r="F1804" s="2" t="s">
        <v>66</v>
      </c>
      <c r="G1804" s="2" t="s">
        <v>67</v>
      </c>
      <c r="H1804" s="2" t="s">
        <v>2318</v>
      </c>
      <c r="I1804" s="2" t="s">
        <v>47</v>
      </c>
      <c r="J1804" s="2" t="s">
        <v>500</v>
      </c>
      <c r="K1804" s="2" t="s">
        <v>5651</v>
      </c>
      <c r="L1804" s="2" t="s">
        <v>69</v>
      </c>
      <c r="M1804" s="2" t="s">
        <v>5645</v>
      </c>
      <c r="N1804" s="16">
        <v>1.7999999999999999E-2</v>
      </c>
      <c r="O1804" s="17">
        <f>N1804*'Financial Inputs'!$B$3</f>
        <v>1799999.9999999998</v>
      </c>
      <c r="P1804" s="18">
        <f>IF(I1804="L",'Financial Inputs'!$B$4,IF(I1804="M",'Financial Inputs'!$B$5,'Financial Inputs'!$B$6))</f>
        <v>0.4</v>
      </c>
      <c r="Q1804" s="17">
        <f>O1804*P1804</f>
        <v>720000</v>
      </c>
      <c r="R1804" s="16">
        <f>'Financial Inputs'!$B$7</f>
        <v>0.35</v>
      </c>
      <c r="S1804" s="17">
        <f>Q1804*(1-R1804)</f>
        <v>468000</v>
      </c>
      <c r="T1804" s="18">
        <f>S1804/'Financial Inputs'!$B$3</f>
        <v>4.6800000000000001E-3</v>
      </c>
      <c r="U1804" s="9" t="s">
        <v>52</v>
      </c>
      <c r="V1804" s="3" t="s">
        <v>53</v>
      </c>
    </row>
    <row r="1805" spans="1:22">
      <c r="A1805" s="2" t="s">
        <v>5652</v>
      </c>
      <c r="B1805" s="2" t="s">
        <v>5653</v>
      </c>
      <c r="C1805" s="2" t="s">
        <v>5643</v>
      </c>
      <c r="D1805" s="2" t="s">
        <v>72</v>
      </c>
      <c r="E1805" s="2" t="s">
        <v>73</v>
      </c>
      <c r="F1805" s="2" t="s">
        <v>74</v>
      </c>
      <c r="G1805" s="2" t="s">
        <v>75</v>
      </c>
      <c r="H1805" s="2" t="s">
        <v>2318</v>
      </c>
      <c r="I1805" s="2" t="s">
        <v>47</v>
      </c>
      <c r="J1805" s="2" t="s">
        <v>500</v>
      </c>
      <c r="K1805" s="2" t="s">
        <v>5654</v>
      </c>
      <c r="L1805" s="2" t="s">
        <v>77</v>
      </c>
      <c r="M1805" s="2" t="s">
        <v>5645</v>
      </c>
      <c r="N1805" s="16">
        <v>1.9800000000000002E-2</v>
      </c>
      <c r="O1805" s="17">
        <f>N1805*'Financial Inputs'!$B$3</f>
        <v>1980000.0000000002</v>
      </c>
      <c r="P1805" s="18">
        <f>IF(I1805="L",'Financial Inputs'!$B$4,IF(I1805="M",'Financial Inputs'!$B$5,'Financial Inputs'!$B$6))</f>
        <v>0.4</v>
      </c>
      <c r="Q1805" s="17">
        <f>O1805*P1805</f>
        <v>792000.00000000012</v>
      </c>
      <c r="R1805" s="16">
        <f>'Financial Inputs'!$B$7</f>
        <v>0.35</v>
      </c>
      <c r="S1805" s="17">
        <f>Q1805*(1-R1805)</f>
        <v>514800.00000000012</v>
      </c>
      <c r="T1805" s="18">
        <f>S1805/'Financial Inputs'!$B$3</f>
        <v>5.1480000000000015E-3</v>
      </c>
      <c r="U1805" s="9" t="s">
        <v>52</v>
      </c>
      <c r="V1805" s="3" t="s">
        <v>53</v>
      </c>
    </row>
    <row r="1806" spans="1:22">
      <c r="A1806" s="2" t="s">
        <v>5655</v>
      </c>
      <c r="B1806" s="2" t="s">
        <v>5656</v>
      </c>
      <c r="C1806" s="2" t="s">
        <v>5643</v>
      </c>
      <c r="D1806" s="2" t="s">
        <v>80</v>
      </c>
      <c r="E1806" s="2" t="s">
        <v>81</v>
      </c>
      <c r="F1806" s="2" t="s">
        <v>82</v>
      </c>
      <c r="G1806" s="2" t="s">
        <v>83</v>
      </c>
      <c r="H1806" s="2" t="s">
        <v>2318</v>
      </c>
      <c r="I1806" s="2" t="s">
        <v>47</v>
      </c>
      <c r="J1806" s="2" t="s">
        <v>500</v>
      </c>
      <c r="K1806" s="2" t="s">
        <v>5657</v>
      </c>
      <c r="L1806" s="2" t="s">
        <v>85</v>
      </c>
      <c r="M1806" s="2" t="s">
        <v>5645</v>
      </c>
      <c r="N1806" s="16">
        <v>2.1600000000000001E-2</v>
      </c>
      <c r="O1806" s="17">
        <f>N1806*'Financial Inputs'!$B$3</f>
        <v>2160000</v>
      </c>
      <c r="P1806" s="18">
        <f>IF(I1806="L",'Financial Inputs'!$B$4,IF(I1806="M",'Financial Inputs'!$B$5,'Financial Inputs'!$B$6))</f>
        <v>0.4</v>
      </c>
      <c r="Q1806" s="17">
        <f>O1806*P1806</f>
        <v>864000</v>
      </c>
      <c r="R1806" s="16">
        <f>'Financial Inputs'!$B$7</f>
        <v>0.35</v>
      </c>
      <c r="S1806" s="17">
        <f>Q1806*(1-R1806)</f>
        <v>561600</v>
      </c>
      <c r="T1806" s="18">
        <f>S1806/'Financial Inputs'!$B$3</f>
        <v>5.6160000000000003E-3</v>
      </c>
      <c r="U1806" s="9" t="s">
        <v>52</v>
      </c>
      <c r="V1806" s="3" t="s">
        <v>53</v>
      </c>
    </row>
    <row r="1807" spans="1:22">
      <c r="A1807" s="2" t="s">
        <v>5658</v>
      </c>
      <c r="B1807" s="2" t="s">
        <v>5659</v>
      </c>
      <c r="C1807" s="2" t="s">
        <v>5643</v>
      </c>
      <c r="D1807" s="2" t="s">
        <v>88</v>
      </c>
      <c r="E1807" s="2" t="s">
        <v>89</v>
      </c>
      <c r="F1807" s="2" t="s">
        <v>90</v>
      </c>
      <c r="G1807" s="2" t="s">
        <v>67</v>
      </c>
      <c r="H1807" s="2" t="s">
        <v>2318</v>
      </c>
      <c r="I1807" s="2" t="s">
        <v>47</v>
      </c>
      <c r="J1807" s="2" t="s">
        <v>500</v>
      </c>
      <c r="K1807" s="2" t="s">
        <v>5660</v>
      </c>
      <c r="L1807" s="2" t="s">
        <v>92</v>
      </c>
      <c r="M1807" s="2" t="s">
        <v>5645</v>
      </c>
      <c r="N1807" s="16">
        <v>1.44E-2</v>
      </c>
      <c r="O1807" s="17">
        <f>N1807*'Financial Inputs'!$B$3</f>
        <v>1440000</v>
      </c>
      <c r="P1807" s="18">
        <f>IF(I1807="L",'Financial Inputs'!$B$4,IF(I1807="M",'Financial Inputs'!$B$5,'Financial Inputs'!$B$6))</f>
        <v>0.4</v>
      </c>
      <c r="Q1807" s="17">
        <f>O1807*P1807</f>
        <v>576000</v>
      </c>
      <c r="R1807" s="16">
        <f>'Financial Inputs'!$B$7</f>
        <v>0.35</v>
      </c>
      <c r="S1807" s="17">
        <f>Q1807*(1-R1807)</f>
        <v>374400</v>
      </c>
      <c r="T1807" s="18">
        <f>S1807/'Financial Inputs'!$B$3</f>
        <v>3.7439999999999999E-3</v>
      </c>
      <c r="U1807" s="9" t="s">
        <v>52</v>
      </c>
      <c r="V1807" s="3" t="s">
        <v>53</v>
      </c>
    </row>
    <row r="1808" spans="1:22">
      <c r="A1808" s="2" t="s">
        <v>5661</v>
      </c>
      <c r="B1808" s="2" t="s">
        <v>5662</v>
      </c>
      <c r="C1808" s="2" t="s">
        <v>5643</v>
      </c>
      <c r="D1808" s="2" t="s">
        <v>95</v>
      </c>
      <c r="E1808" s="2" t="s">
        <v>96</v>
      </c>
      <c r="F1808" s="2" t="s">
        <v>97</v>
      </c>
      <c r="G1808" s="2" t="s">
        <v>75</v>
      </c>
      <c r="H1808" s="2" t="s">
        <v>2318</v>
      </c>
      <c r="I1808" s="2" t="s">
        <v>47</v>
      </c>
      <c r="J1808" s="2" t="s">
        <v>500</v>
      </c>
      <c r="K1808" s="2" t="s">
        <v>5663</v>
      </c>
      <c r="L1808" s="2" t="s">
        <v>99</v>
      </c>
      <c r="M1808" s="2" t="s">
        <v>5645</v>
      </c>
      <c r="N1808" s="16">
        <v>1.6199999999999999E-2</v>
      </c>
      <c r="O1808" s="17">
        <f>N1808*'Financial Inputs'!$B$3</f>
        <v>1620000</v>
      </c>
      <c r="P1808" s="18">
        <f>IF(I1808="L",'Financial Inputs'!$B$4,IF(I1808="M",'Financial Inputs'!$B$5,'Financial Inputs'!$B$6))</f>
        <v>0.4</v>
      </c>
      <c r="Q1808" s="17">
        <f>O1808*P1808</f>
        <v>648000</v>
      </c>
      <c r="R1808" s="16">
        <f>'Financial Inputs'!$B$7</f>
        <v>0.35</v>
      </c>
      <c r="S1808" s="17">
        <f>Q1808*(1-R1808)</f>
        <v>421200</v>
      </c>
      <c r="T1808" s="18">
        <f>S1808/'Financial Inputs'!$B$3</f>
        <v>4.2119999999999996E-3</v>
      </c>
      <c r="U1808" s="9" t="s">
        <v>52</v>
      </c>
      <c r="V1808" s="3" t="s">
        <v>53</v>
      </c>
    </row>
    <row r="1809" spans="1:22">
      <c r="A1809" s="2" t="s">
        <v>5664</v>
      </c>
      <c r="B1809" s="2" t="s">
        <v>5665</v>
      </c>
      <c r="C1809" s="2" t="s">
        <v>5643</v>
      </c>
      <c r="D1809" s="2" t="s">
        <v>102</v>
      </c>
      <c r="E1809" s="2" t="s">
        <v>103</v>
      </c>
      <c r="F1809" s="2" t="s">
        <v>104</v>
      </c>
      <c r="G1809" s="2" t="s">
        <v>83</v>
      </c>
      <c r="H1809" s="2" t="s">
        <v>2318</v>
      </c>
      <c r="I1809" s="2" t="s">
        <v>47</v>
      </c>
      <c r="J1809" s="2" t="s">
        <v>500</v>
      </c>
      <c r="K1809" s="2" t="s">
        <v>5666</v>
      </c>
      <c r="L1809" s="2" t="s">
        <v>106</v>
      </c>
      <c r="M1809" s="2" t="s">
        <v>5645</v>
      </c>
      <c r="N1809" s="16">
        <v>1.7999999999999999E-2</v>
      </c>
      <c r="O1809" s="17">
        <f>N1809*'Financial Inputs'!$B$3</f>
        <v>1799999.9999999998</v>
      </c>
      <c r="P1809" s="18">
        <f>IF(I1809="L",'Financial Inputs'!$B$4,IF(I1809="M",'Financial Inputs'!$B$5,'Financial Inputs'!$B$6))</f>
        <v>0.4</v>
      </c>
      <c r="Q1809" s="17">
        <f>O1809*P1809</f>
        <v>720000</v>
      </c>
      <c r="R1809" s="16">
        <f>'Financial Inputs'!$B$7</f>
        <v>0.35</v>
      </c>
      <c r="S1809" s="17">
        <f>Q1809*(1-R1809)</f>
        <v>468000</v>
      </c>
      <c r="T1809" s="18">
        <f>S1809/'Financial Inputs'!$B$3</f>
        <v>4.6800000000000001E-3</v>
      </c>
      <c r="U1809" s="9" t="s">
        <v>52</v>
      </c>
      <c r="V1809" s="3" t="s">
        <v>53</v>
      </c>
    </row>
    <row r="1810" spans="1:22">
      <c r="A1810" s="2" t="s">
        <v>5667</v>
      </c>
      <c r="B1810" s="2" t="s">
        <v>5668</v>
      </c>
      <c r="C1810" s="2" t="s">
        <v>5643</v>
      </c>
      <c r="D1810" s="2" t="s">
        <v>42</v>
      </c>
      <c r="E1810" s="2" t="s">
        <v>109</v>
      </c>
      <c r="F1810" s="2" t="s">
        <v>110</v>
      </c>
      <c r="G1810" s="2" t="s">
        <v>111</v>
      </c>
      <c r="H1810" s="2" t="s">
        <v>2318</v>
      </c>
      <c r="I1810" s="2" t="s">
        <v>47</v>
      </c>
      <c r="J1810" s="2" t="s">
        <v>500</v>
      </c>
      <c r="K1810" s="2" t="s">
        <v>5669</v>
      </c>
      <c r="L1810" s="2" t="s">
        <v>113</v>
      </c>
      <c r="M1810" s="2" t="s">
        <v>5645</v>
      </c>
      <c r="N1810" s="16">
        <v>1.9800000000000002E-2</v>
      </c>
      <c r="O1810" s="17">
        <f>N1810*'Financial Inputs'!$B$3</f>
        <v>1980000.0000000002</v>
      </c>
      <c r="P1810" s="18">
        <f>IF(I1810="L",'Financial Inputs'!$B$4,IF(I1810="M",'Financial Inputs'!$B$5,'Financial Inputs'!$B$6))</f>
        <v>0.4</v>
      </c>
      <c r="Q1810" s="17">
        <f>O1810*P1810</f>
        <v>792000.00000000012</v>
      </c>
      <c r="R1810" s="16">
        <f>'Financial Inputs'!$B$7</f>
        <v>0.35</v>
      </c>
      <c r="S1810" s="17">
        <f>Q1810*(1-R1810)</f>
        <v>514800.00000000012</v>
      </c>
      <c r="T1810" s="18">
        <f>S1810/'Financial Inputs'!$B$3</f>
        <v>5.1480000000000015E-3</v>
      </c>
      <c r="U1810" s="9" t="s">
        <v>52</v>
      </c>
      <c r="V1810" s="3" t="s">
        <v>53</v>
      </c>
    </row>
    <row r="1811" spans="1:22">
      <c r="A1811" s="2" t="s">
        <v>5670</v>
      </c>
      <c r="B1811" s="2" t="s">
        <v>5671</v>
      </c>
      <c r="C1811" s="2" t="s">
        <v>5643</v>
      </c>
      <c r="D1811" s="2" t="s">
        <v>56</v>
      </c>
      <c r="E1811" s="2" t="s">
        <v>116</v>
      </c>
      <c r="F1811" s="2" t="s">
        <v>117</v>
      </c>
      <c r="G1811" s="2" t="s">
        <v>56</v>
      </c>
      <c r="H1811" s="2" t="s">
        <v>2318</v>
      </c>
      <c r="I1811" s="2" t="s">
        <v>47</v>
      </c>
      <c r="J1811" s="2" t="s">
        <v>500</v>
      </c>
      <c r="K1811" s="2" t="s">
        <v>5672</v>
      </c>
      <c r="L1811" s="2" t="s">
        <v>119</v>
      </c>
      <c r="M1811" s="2" t="s">
        <v>5645</v>
      </c>
      <c r="N1811" s="16">
        <v>2.1600000000000001E-2</v>
      </c>
      <c r="O1811" s="17">
        <f>N1811*'Financial Inputs'!$B$3</f>
        <v>2160000</v>
      </c>
      <c r="P1811" s="18">
        <f>IF(I1811="L",'Financial Inputs'!$B$4,IF(I1811="M",'Financial Inputs'!$B$5,'Financial Inputs'!$B$6))</f>
        <v>0.4</v>
      </c>
      <c r="Q1811" s="17">
        <f>O1811*P1811</f>
        <v>864000</v>
      </c>
      <c r="R1811" s="16">
        <f>'Financial Inputs'!$B$7</f>
        <v>0.35</v>
      </c>
      <c r="S1811" s="17">
        <f>Q1811*(1-R1811)</f>
        <v>561600</v>
      </c>
      <c r="T1811" s="18">
        <f>S1811/'Financial Inputs'!$B$3</f>
        <v>5.6160000000000003E-3</v>
      </c>
      <c r="U1811" s="9" t="s">
        <v>52</v>
      </c>
      <c r="V1811" s="3" t="s">
        <v>53</v>
      </c>
    </row>
    <row r="1812" spans="1:22">
      <c r="A1812" s="2" t="s">
        <v>5673</v>
      </c>
      <c r="B1812" s="2" t="s">
        <v>5674</v>
      </c>
      <c r="C1812" s="2" t="s">
        <v>5643</v>
      </c>
      <c r="D1812" s="2" t="s">
        <v>80</v>
      </c>
      <c r="E1812" s="2" t="s">
        <v>122</v>
      </c>
      <c r="F1812" s="2" t="s">
        <v>58</v>
      </c>
      <c r="G1812" s="2" t="s">
        <v>83</v>
      </c>
      <c r="H1812" s="2" t="s">
        <v>2318</v>
      </c>
      <c r="I1812" s="2" t="s">
        <v>47</v>
      </c>
      <c r="J1812" s="2" t="s">
        <v>500</v>
      </c>
      <c r="K1812" s="2" t="s">
        <v>5675</v>
      </c>
      <c r="L1812" s="2" t="s">
        <v>124</v>
      </c>
      <c r="M1812" s="2" t="s">
        <v>5645</v>
      </c>
      <c r="N1812" s="16">
        <v>1.44E-2</v>
      </c>
      <c r="O1812" s="17">
        <f>N1812*'Financial Inputs'!$B$3</f>
        <v>1440000</v>
      </c>
      <c r="P1812" s="18">
        <f>IF(I1812="L",'Financial Inputs'!$B$4,IF(I1812="M",'Financial Inputs'!$B$5,'Financial Inputs'!$B$6))</f>
        <v>0.4</v>
      </c>
      <c r="Q1812" s="17">
        <f>O1812*P1812</f>
        <v>576000</v>
      </c>
      <c r="R1812" s="16">
        <f>'Financial Inputs'!$B$7</f>
        <v>0.35</v>
      </c>
      <c r="S1812" s="17">
        <f>Q1812*(1-R1812)</f>
        <v>374400</v>
      </c>
      <c r="T1812" s="18">
        <f>S1812/'Financial Inputs'!$B$3</f>
        <v>3.7439999999999999E-3</v>
      </c>
      <c r="U1812" s="9" t="s">
        <v>52</v>
      </c>
      <c r="V1812" s="3" t="s">
        <v>53</v>
      </c>
    </row>
    <row r="1813" spans="1:22">
      <c r="A1813" s="2" t="s">
        <v>5676</v>
      </c>
      <c r="B1813" s="2" t="s">
        <v>5677</v>
      </c>
      <c r="C1813" s="2" t="s">
        <v>5643</v>
      </c>
      <c r="D1813" s="2" t="s">
        <v>127</v>
      </c>
      <c r="E1813" s="2" t="s">
        <v>128</v>
      </c>
      <c r="F1813" s="2" t="s">
        <v>66</v>
      </c>
      <c r="G1813" s="2" t="s">
        <v>111</v>
      </c>
      <c r="H1813" s="2" t="s">
        <v>2318</v>
      </c>
      <c r="I1813" s="2" t="s">
        <v>47</v>
      </c>
      <c r="J1813" s="2" t="s">
        <v>500</v>
      </c>
      <c r="K1813" s="2" t="s">
        <v>5678</v>
      </c>
      <c r="L1813" s="2" t="s">
        <v>130</v>
      </c>
      <c r="M1813" s="2" t="s">
        <v>5645</v>
      </c>
      <c r="N1813" s="16">
        <v>1.6199999999999999E-2</v>
      </c>
      <c r="O1813" s="17">
        <f>N1813*'Financial Inputs'!$B$3</f>
        <v>1620000</v>
      </c>
      <c r="P1813" s="18">
        <f>IF(I1813="L",'Financial Inputs'!$B$4,IF(I1813="M",'Financial Inputs'!$B$5,'Financial Inputs'!$B$6))</f>
        <v>0.4</v>
      </c>
      <c r="Q1813" s="17">
        <f>O1813*P1813</f>
        <v>648000</v>
      </c>
      <c r="R1813" s="16">
        <f>'Financial Inputs'!$B$7</f>
        <v>0.35</v>
      </c>
      <c r="S1813" s="17">
        <f>Q1813*(1-R1813)</f>
        <v>421200</v>
      </c>
      <c r="T1813" s="18">
        <f>S1813/'Financial Inputs'!$B$3</f>
        <v>4.2119999999999996E-3</v>
      </c>
      <c r="U1813" s="9" t="s">
        <v>52</v>
      </c>
      <c r="V1813" s="3" t="s">
        <v>53</v>
      </c>
    </row>
    <row r="1814" spans="1:22">
      <c r="A1814" s="2" t="s">
        <v>5679</v>
      </c>
      <c r="B1814" s="2" t="s">
        <v>5680</v>
      </c>
      <c r="C1814" s="2" t="s">
        <v>5643</v>
      </c>
      <c r="D1814" s="2" t="s">
        <v>133</v>
      </c>
      <c r="E1814" s="2" t="s">
        <v>43</v>
      </c>
      <c r="F1814" s="2" t="s">
        <v>74</v>
      </c>
      <c r="G1814" s="2" t="s">
        <v>56</v>
      </c>
      <c r="H1814" s="2" t="s">
        <v>2318</v>
      </c>
      <c r="I1814" s="2" t="s">
        <v>47</v>
      </c>
      <c r="J1814" s="2" t="s">
        <v>500</v>
      </c>
      <c r="K1814" s="2" t="s">
        <v>5681</v>
      </c>
      <c r="L1814" s="2" t="s">
        <v>135</v>
      </c>
      <c r="M1814" s="2" t="s">
        <v>5645</v>
      </c>
      <c r="N1814" s="16">
        <v>1.7999999999999999E-2</v>
      </c>
      <c r="O1814" s="17">
        <f>N1814*'Financial Inputs'!$B$3</f>
        <v>1799999.9999999998</v>
      </c>
      <c r="P1814" s="18">
        <f>IF(I1814="L",'Financial Inputs'!$B$4,IF(I1814="M",'Financial Inputs'!$B$5,'Financial Inputs'!$B$6))</f>
        <v>0.4</v>
      </c>
      <c r="Q1814" s="17">
        <f>O1814*P1814</f>
        <v>720000</v>
      </c>
      <c r="R1814" s="16">
        <f>'Financial Inputs'!$B$7</f>
        <v>0.35</v>
      </c>
      <c r="S1814" s="17">
        <f>Q1814*(1-R1814)</f>
        <v>468000</v>
      </c>
      <c r="T1814" s="18">
        <f>S1814/'Financial Inputs'!$B$3</f>
        <v>4.6800000000000001E-3</v>
      </c>
      <c r="U1814" s="9" t="s">
        <v>52</v>
      </c>
      <c r="V1814" s="3" t="s">
        <v>53</v>
      </c>
    </row>
    <row r="1815" spans="1:22">
      <c r="A1815" s="2" t="s">
        <v>5682</v>
      </c>
      <c r="B1815" s="2" t="s">
        <v>5683</v>
      </c>
      <c r="C1815" s="2" t="s">
        <v>5643</v>
      </c>
      <c r="D1815" s="2" t="s">
        <v>88</v>
      </c>
      <c r="E1815" s="2" t="s">
        <v>57</v>
      </c>
      <c r="F1815" s="2" t="s">
        <v>82</v>
      </c>
      <c r="G1815" s="2" t="s">
        <v>138</v>
      </c>
      <c r="H1815" s="2" t="s">
        <v>2318</v>
      </c>
      <c r="I1815" s="2" t="s">
        <v>47</v>
      </c>
      <c r="J1815" s="2" t="s">
        <v>500</v>
      </c>
      <c r="K1815" s="2" t="s">
        <v>5684</v>
      </c>
      <c r="L1815" s="2" t="s">
        <v>140</v>
      </c>
      <c r="M1815" s="2" t="s">
        <v>5645</v>
      </c>
      <c r="N1815" s="16">
        <v>1.9800000000000002E-2</v>
      </c>
      <c r="O1815" s="17">
        <f>N1815*'Financial Inputs'!$B$3</f>
        <v>1980000.0000000002</v>
      </c>
      <c r="P1815" s="18">
        <f>IF(I1815="L",'Financial Inputs'!$B$4,IF(I1815="M",'Financial Inputs'!$B$5,'Financial Inputs'!$B$6))</f>
        <v>0.4</v>
      </c>
      <c r="Q1815" s="17">
        <f>O1815*P1815</f>
        <v>792000.00000000012</v>
      </c>
      <c r="R1815" s="16">
        <f>'Financial Inputs'!$B$7</f>
        <v>0.35</v>
      </c>
      <c r="S1815" s="17">
        <f>Q1815*(1-R1815)</f>
        <v>514800.00000000012</v>
      </c>
      <c r="T1815" s="18">
        <f>S1815/'Financial Inputs'!$B$3</f>
        <v>5.1480000000000015E-3</v>
      </c>
      <c r="U1815" s="9" t="s">
        <v>52</v>
      </c>
      <c r="V1815" s="3" t="s">
        <v>53</v>
      </c>
    </row>
    <row r="1816" spans="1:22">
      <c r="A1816" s="2" t="s">
        <v>5685</v>
      </c>
      <c r="B1816" s="2" t="s">
        <v>5686</v>
      </c>
      <c r="C1816" s="2" t="s">
        <v>5643</v>
      </c>
      <c r="D1816" s="2" t="s">
        <v>95</v>
      </c>
      <c r="E1816" s="2" t="s">
        <v>65</v>
      </c>
      <c r="F1816" s="2" t="s">
        <v>44</v>
      </c>
      <c r="G1816" s="2" t="s">
        <v>143</v>
      </c>
      <c r="H1816" s="2" t="s">
        <v>2318</v>
      </c>
      <c r="I1816" s="2" t="s">
        <v>47</v>
      </c>
      <c r="J1816" s="2" t="s">
        <v>500</v>
      </c>
      <c r="K1816" s="2" t="s">
        <v>5687</v>
      </c>
      <c r="L1816" s="2" t="s">
        <v>145</v>
      </c>
      <c r="M1816" s="2" t="s">
        <v>5645</v>
      </c>
      <c r="N1816" s="16">
        <v>2.1600000000000001E-2</v>
      </c>
      <c r="O1816" s="17">
        <f>N1816*'Financial Inputs'!$B$3</f>
        <v>2160000</v>
      </c>
      <c r="P1816" s="18">
        <f>IF(I1816="L",'Financial Inputs'!$B$4,IF(I1816="M",'Financial Inputs'!$B$5,'Financial Inputs'!$B$6))</f>
        <v>0.4</v>
      </c>
      <c r="Q1816" s="17">
        <f>O1816*P1816</f>
        <v>864000</v>
      </c>
      <c r="R1816" s="16">
        <f>'Financial Inputs'!$B$7</f>
        <v>0.35</v>
      </c>
      <c r="S1816" s="17">
        <f>Q1816*(1-R1816)</f>
        <v>561600</v>
      </c>
      <c r="T1816" s="18">
        <f>S1816/'Financial Inputs'!$B$3</f>
        <v>5.6160000000000003E-3</v>
      </c>
      <c r="U1816" s="9" t="s">
        <v>52</v>
      </c>
      <c r="V1816" s="3" t="s">
        <v>53</v>
      </c>
    </row>
    <row r="1817" spans="1:22">
      <c r="A1817" s="2" t="s">
        <v>5688</v>
      </c>
      <c r="B1817" s="2" t="s">
        <v>5689</v>
      </c>
      <c r="C1817" s="2" t="s">
        <v>5643</v>
      </c>
      <c r="D1817" s="2" t="s">
        <v>56</v>
      </c>
      <c r="E1817" s="2" t="s">
        <v>148</v>
      </c>
      <c r="F1817" s="2" t="s">
        <v>97</v>
      </c>
      <c r="G1817" s="2" t="s">
        <v>56</v>
      </c>
      <c r="H1817" s="2" t="s">
        <v>2318</v>
      </c>
      <c r="I1817" s="2" t="s">
        <v>47</v>
      </c>
      <c r="J1817" s="2" t="s">
        <v>500</v>
      </c>
      <c r="K1817" s="2" t="s">
        <v>5690</v>
      </c>
      <c r="L1817" s="2" t="s">
        <v>150</v>
      </c>
      <c r="M1817" s="2" t="s">
        <v>5645</v>
      </c>
      <c r="N1817" s="16">
        <v>1.44E-2</v>
      </c>
      <c r="O1817" s="17">
        <f>N1817*'Financial Inputs'!$B$3</f>
        <v>1440000</v>
      </c>
      <c r="P1817" s="18">
        <f>IF(I1817="L",'Financial Inputs'!$B$4,IF(I1817="M",'Financial Inputs'!$B$5,'Financial Inputs'!$B$6))</f>
        <v>0.4</v>
      </c>
      <c r="Q1817" s="17">
        <f>O1817*P1817</f>
        <v>576000</v>
      </c>
      <c r="R1817" s="16">
        <f>'Financial Inputs'!$B$7</f>
        <v>0.35</v>
      </c>
      <c r="S1817" s="17">
        <f>Q1817*(1-R1817)</f>
        <v>374400</v>
      </c>
      <c r="T1817" s="18">
        <f>S1817/'Financial Inputs'!$B$3</f>
        <v>3.7439999999999999E-3</v>
      </c>
      <c r="U1817" s="9" t="s">
        <v>52</v>
      </c>
      <c r="V1817" s="3" t="s">
        <v>53</v>
      </c>
    </row>
    <row r="1818" spans="1:22">
      <c r="A1818" s="2" t="s">
        <v>5691</v>
      </c>
      <c r="B1818" s="2" t="s">
        <v>5692</v>
      </c>
      <c r="C1818" s="2" t="s">
        <v>5643</v>
      </c>
      <c r="D1818" s="2" t="s">
        <v>64</v>
      </c>
      <c r="E1818" s="2" t="s">
        <v>153</v>
      </c>
      <c r="F1818" s="2" t="s">
        <v>104</v>
      </c>
      <c r="G1818" s="2" t="s">
        <v>138</v>
      </c>
      <c r="H1818" s="2" t="s">
        <v>2318</v>
      </c>
      <c r="I1818" s="2" t="s">
        <v>47</v>
      </c>
      <c r="J1818" s="2" t="s">
        <v>500</v>
      </c>
      <c r="K1818" s="2" t="s">
        <v>5693</v>
      </c>
      <c r="L1818" s="2" t="s">
        <v>155</v>
      </c>
      <c r="M1818" s="2" t="s">
        <v>5645</v>
      </c>
      <c r="N1818" s="16">
        <v>1.6199999999999999E-2</v>
      </c>
      <c r="O1818" s="17">
        <f>N1818*'Financial Inputs'!$B$3</f>
        <v>1620000</v>
      </c>
      <c r="P1818" s="18">
        <f>IF(I1818="L",'Financial Inputs'!$B$4,IF(I1818="M",'Financial Inputs'!$B$5,'Financial Inputs'!$B$6))</f>
        <v>0.4</v>
      </c>
      <c r="Q1818" s="17">
        <f>O1818*P1818</f>
        <v>648000</v>
      </c>
      <c r="R1818" s="16">
        <f>'Financial Inputs'!$B$7</f>
        <v>0.35</v>
      </c>
      <c r="S1818" s="17">
        <f>Q1818*(1-R1818)</f>
        <v>421200</v>
      </c>
      <c r="T1818" s="18">
        <f>S1818/'Financial Inputs'!$B$3</f>
        <v>4.2119999999999996E-3</v>
      </c>
      <c r="U1818" s="9" t="s">
        <v>52</v>
      </c>
      <c r="V1818" s="3" t="s">
        <v>53</v>
      </c>
    </row>
    <row r="1819" spans="1:22">
      <c r="A1819" s="2" t="s">
        <v>5694</v>
      </c>
      <c r="B1819" s="2" t="s">
        <v>5695</v>
      </c>
      <c r="C1819" s="2" t="s">
        <v>5643</v>
      </c>
      <c r="D1819" s="2" t="s">
        <v>72</v>
      </c>
      <c r="E1819" s="2" t="s">
        <v>89</v>
      </c>
      <c r="F1819" s="2" t="s">
        <v>110</v>
      </c>
      <c r="G1819" s="2" t="s">
        <v>143</v>
      </c>
      <c r="H1819" s="2" t="s">
        <v>2318</v>
      </c>
      <c r="I1819" s="2" t="s">
        <v>47</v>
      </c>
      <c r="J1819" s="2" t="s">
        <v>500</v>
      </c>
      <c r="K1819" s="2" t="s">
        <v>5696</v>
      </c>
      <c r="L1819" s="2" t="s">
        <v>159</v>
      </c>
      <c r="M1819" s="2" t="s">
        <v>5645</v>
      </c>
      <c r="N1819" s="16">
        <v>1.7999999999999999E-2</v>
      </c>
      <c r="O1819" s="17">
        <f>N1819*'Financial Inputs'!$B$3</f>
        <v>1799999.9999999998</v>
      </c>
      <c r="P1819" s="18">
        <f>IF(I1819="L",'Financial Inputs'!$B$4,IF(I1819="M",'Financial Inputs'!$B$5,'Financial Inputs'!$B$6))</f>
        <v>0.4</v>
      </c>
      <c r="Q1819" s="17">
        <f>O1819*P1819</f>
        <v>720000</v>
      </c>
      <c r="R1819" s="16">
        <f>'Financial Inputs'!$B$7</f>
        <v>0.35</v>
      </c>
      <c r="S1819" s="17">
        <f>Q1819*(1-R1819)</f>
        <v>468000</v>
      </c>
      <c r="T1819" s="18">
        <f>S1819/'Financial Inputs'!$B$3</f>
        <v>4.6800000000000001E-3</v>
      </c>
      <c r="U1819" s="9" t="s">
        <v>52</v>
      </c>
      <c r="V1819" s="3" t="s">
        <v>53</v>
      </c>
    </row>
    <row r="1820" spans="1:22">
      <c r="A1820" s="2" t="s">
        <v>5697</v>
      </c>
      <c r="B1820" s="2" t="s">
        <v>5698</v>
      </c>
      <c r="C1820" s="2" t="s">
        <v>5643</v>
      </c>
      <c r="D1820" s="2" t="s">
        <v>80</v>
      </c>
      <c r="E1820" s="2" t="s">
        <v>96</v>
      </c>
      <c r="F1820" s="2" t="s">
        <v>117</v>
      </c>
      <c r="G1820" s="2" t="s">
        <v>162</v>
      </c>
      <c r="H1820" s="2" t="s">
        <v>2318</v>
      </c>
      <c r="I1820" s="2" t="s">
        <v>47</v>
      </c>
      <c r="J1820" s="2" t="s">
        <v>500</v>
      </c>
      <c r="K1820" s="2" t="s">
        <v>5699</v>
      </c>
      <c r="L1820" s="2" t="s">
        <v>164</v>
      </c>
      <c r="M1820" s="2" t="s">
        <v>5645</v>
      </c>
      <c r="N1820" s="16">
        <v>1.9800000000000002E-2</v>
      </c>
      <c r="O1820" s="17">
        <f>N1820*'Financial Inputs'!$B$3</f>
        <v>1980000.0000000002</v>
      </c>
      <c r="P1820" s="18">
        <f>IF(I1820="L",'Financial Inputs'!$B$4,IF(I1820="M",'Financial Inputs'!$B$5,'Financial Inputs'!$B$6))</f>
        <v>0.4</v>
      </c>
      <c r="Q1820" s="17">
        <f>O1820*P1820</f>
        <v>792000.00000000012</v>
      </c>
      <c r="R1820" s="16">
        <f>'Financial Inputs'!$B$7</f>
        <v>0.35</v>
      </c>
      <c r="S1820" s="17">
        <f>Q1820*(1-R1820)</f>
        <v>514800.00000000012</v>
      </c>
      <c r="T1820" s="18">
        <f>S1820/'Financial Inputs'!$B$3</f>
        <v>5.1480000000000015E-3</v>
      </c>
      <c r="U1820" s="9" t="s">
        <v>52</v>
      </c>
      <c r="V1820" s="3" t="s">
        <v>53</v>
      </c>
    </row>
    <row r="1821" spans="1:22">
      <c r="A1821" s="2" t="s">
        <v>5700</v>
      </c>
      <c r="B1821" s="2" t="s">
        <v>5701</v>
      </c>
      <c r="C1821" s="2" t="s">
        <v>5643</v>
      </c>
      <c r="D1821" s="2" t="s">
        <v>127</v>
      </c>
      <c r="E1821" s="2" t="s">
        <v>103</v>
      </c>
      <c r="F1821" s="2" t="s">
        <v>90</v>
      </c>
      <c r="G1821" s="2" t="s">
        <v>45</v>
      </c>
      <c r="H1821" s="2" t="s">
        <v>2318</v>
      </c>
      <c r="I1821" s="2" t="s">
        <v>47</v>
      </c>
      <c r="J1821" s="2" t="s">
        <v>500</v>
      </c>
      <c r="K1821" s="2" t="s">
        <v>5702</v>
      </c>
      <c r="L1821" s="2" t="s">
        <v>168</v>
      </c>
      <c r="M1821" s="2" t="s">
        <v>5645</v>
      </c>
      <c r="N1821" s="16">
        <v>2.1600000000000001E-2</v>
      </c>
      <c r="O1821" s="17">
        <f>N1821*'Financial Inputs'!$B$3</f>
        <v>2160000</v>
      </c>
      <c r="P1821" s="18">
        <f>IF(I1821="L",'Financial Inputs'!$B$4,IF(I1821="M",'Financial Inputs'!$B$5,'Financial Inputs'!$B$6))</f>
        <v>0.4</v>
      </c>
      <c r="Q1821" s="17">
        <f>O1821*P1821</f>
        <v>864000</v>
      </c>
      <c r="R1821" s="16">
        <f>'Financial Inputs'!$B$7</f>
        <v>0.35</v>
      </c>
      <c r="S1821" s="17">
        <f>Q1821*(1-R1821)</f>
        <v>561600</v>
      </c>
      <c r="T1821" s="18">
        <f>S1821/'Financial Inputs'!$B$3</f>
        <v>5.6160000000000003E-3</v>
      </c>
      <c r="U1821" s="9" t="s">
        <v>52</v>
      </c>
      <c r="V1821" s="3" t="s">
        <v>53</v>
      </c>
    </row>
    <row r="1822" spans="1:22">
      <c r="A1822" s="2" t="s">
        <v>5703</v>
      </c>
      <c r="B1822" s="2" t="s">
        <v>5704</v>
      </c>
      <c r="C1822" s="2" t="s">
        <v>5643</v>
      </c>
      <c r="D1822" s="2" t="s">
        <v>95</v>
      </c>
      <c r="E1822" s="2" t="s">
        <v>171</v>
      </c>
      <c r="F1822" s="2" t="s">
        <v>66</v>
      </c>
      <c r="G1822" s="2" t="s">
        <v>143</v>
      </c>
      <c r="H1822" s="2" t="s">
        <v>2318</v>
      </c>
      <c r="I1822" s="2" t="s">
        <v>47</v>
      </c>
      <c r="J1822" s="2" t="s">
        <v>500</v>
      </c>
      <c r="K1822" s="2" t="s">
        <v>5705</v>
      </c>
      <c r="L1822" s="2" t="s">
        <v>173</v>
      </c>
      <c r="M1822" s="2" t="s">
        <v>5645</v>
      </c>
      <c r="N1822" s="16">
        <v>1.44E-2</v>
      </c>
      <c r="O1822" s="17">
        <f>N1822*'Financial Inputs'!$B$3</f>
        <v>1440000</v>
      </c>
      <c r="P1822" s="18">
        <f>IF(I1822="L",'Financial Inputs'!$B$4,IF(I1822="M",'Financial Inputs'!$B$5,'Financial Inputs'!$B$6))</f>
        <v>0.4</v>
      </c>
      <c r="Q1822" s="17">
        <f>O1822*P1822</f>
        <v>576000</v>
      </c>
      <c r="R1822" s="16">
        <f>'Financial Inputs'!$B$7</f>
        <v>0.35</v>
      </c>
      <c r="S1822" s="17">
        <f>Q1822*(1-R1822)</f>
        <v>374400</v>
      </c>
      <c r="T1822" s="18">
        <f>S1822/'Financial Inputs'!$B$3</f>
        <v>3.7439999999999999E-3</v>
      </c>
      <c r="U1822" s="9" t="s">
        <v>52</v>
      </c>
      <c r="V1822" s="3" t="s">
        <v>53</v>
      </c>
    </row>
    <row r="1823" spans="1:22">
      <c r="A1823" s="2" t="s">
        <v>5706</v>
      </c>
      <c r="B1823" s="2" t="s">
        <v>5707</v>
      </c>
      <c r="C1823" s="2" t="s">
        <v>5643</v>
      </c>
      <c r="D1823" s="2" t="s">
        <v>102</v>
      </c>
      <c r="E1823" s="2" t="s">
        <v>176</v>
      </c>
      <c r="F1823" s="2" t="s">
        <v>74</v>
      </c>
      <c r="G1823" s="2" t="s">
        <v>162</v>
      </c>
      <c r="H1823" s="2" t="s">
        <v>2318</v>
      </c>
      <c r="I1823" s="2" t="s">
        <v>47</v>
      </c>
      <c r="J1823" s="2" t="s">
        <v>500</v>
      </c>
      <c r="K1823" s="2" t="s">
        <v>5708</v>
      </c>
      <c r="L1823" s="2" t="s">
        <v>178</v>
      </c>
      <c r="M1823" s="2" t="s">
        <v>5645</v>
      </c>
      <c r="N1823" s="16">
        <v>1.6199999999999999E-2</v>
      </c>
      <c r="O1823" s="17">
        <f>N1823*'Financial Inputs'!$B$3</f>
        <v>1620000</v>
      </c>
      <c r="P1823" s="18">
        <f>IF(I1823="L",'Financial Inputs'!$B$4,IF(I1823="M",'Financial Inputs'!$B$5,'Financial Inputs'!$B$6))</f>
        <v>0.4</v>
      </c>
      <c r="Q1823" s="17">
        <f>O1823*P1823</f>
        <v>648000</v>
      </c>
      <c r="R1823" s="16">
        <f>'Financial Inputs'!$B$7</f>
        <v>0.35</v>
      </c>
      <c r="S1823" s="17">
        <f>Q1823*(1-R1823)</f>
        <v>421200</v>
      </c>
      <c r="T1823" s="18">
        <f>S1823/'Financial Inputs'!$B$3</f>
        <v>4.2119999999999996E-3</v>
      </c>
      <c r="U1823" s="9" t="s">
        <v>52</v>
      </c>
      <c r="V1823" s="3" t="s">
        <v>53</v>
      </c>
    </row>
    <row r="1824" spans="1:22">
      <c r="A1824" s="2" t="s">
        <v>5709</v>
      </c>
      <c r="B1824" s="2" t="s">
        <v>5710</v>
      </c>
      <c r="C1824" s="2" t="s">
        <v>5643</v>
      </c>
      <c r="D1824" s="2" t="s">
        <v>42</v>
      </c>
      <c r="E1824" s="2" t="s">
        <v>122</v>
      </c>
      <c r="F1824" s="2" t="s">
        <v>82</v>
      </c>
      <c r="G1824" s="2" t="s">
        <v>45</v>
      </c>
      <c r="H1824" s="2" t="s">
        <v>2318</v>
      </c>
      <c r="I1824" s="2" t="s">
        <v>47</v>
      </c>
      <c r="J1824" s="2" t="s">
        <v>500</v>
      </c>
      <c r="K1824" s="2" t="s">
        <v>5711</v>
      </c>
      <c r="L1824" s="2" t="s">
        <v>182</v>
      </c>
      <c r="M1824" s="2" t="s">
        <v>5645</v>
      </c>
      <c r="N1824" s="16">
        <v>1.7999999999999999E-2</v>
      </c>
      <c r="O1824" s="17">
        <f>N1824*'Financial Inputs'!$B$3</f>
        <v>1799999.9999999998</v>
      </c>
      <c r="P1824" s="18">
        <f>IF(I1824="L",'Financial Inputs'!$B$4,IF(I1824="M",'Financial Inputs'!$B$5,'Financial Inputs'!$B$6))</f>
        <v>0.4</v>
      </c>
      <c r="Q1824" s="17">
        <f>O1824*P1824</f>
        <v>720000</v>
      </c>
      <c r="R1824" s="16">
        <f>'Financial Inputs'!$B$7</f>
        <v>0.35</v>
      </c>
      <c r="S1824" s="17">
        <f>Q1824*(1-R1824)</f>
        <v>468000</v>
      </c>
      <c r="T1824" s="18">
        <f>S1824/'Financial Inputs'!$B$3</f>
        <v>4.6800000000000001E-3</v>
      </c>
      <c r="U1824" s="9" t="s">
        <v>52</v>
      </c>
      <c r="V1824" s="3" t="s">
        <v>53</v>
      </c>
    </row>
    <row r="1825" spans="1:22">
      <c r="A1825" s="2" t="s">
        <v>5712</v>
      </c>
      <c r="B1825" s="2" t="s">
        <v>5713</v>
      </c>
      <c r="C1825" s="2" t="s">
        <v>5643</v>
      </c>
      <c r="D1825" s="2" t="s">
        <v>56</v>
      </c>
      <c r="E1825" s="2" t="s">
        <v>128</v>
      </c>
      <c r="F1825" s="2" t="s">
        <v>44</v>
      </c>
      <c r="G1825" s="2" t="s">
        <v>59</v>
      </c>
      <c r="H1825" s="2" t="s">
        <v>2318</v>
      </c>
      <c r="I1825" s="2" t="s">
        <v>47</v>
      </c>
      <c r="J1825" s="2" t="s">
        <v>500</v>
      </c>
      <c r="K1825" s="2" t="s">
        <v>5714</v>
      </c>
      <c r="L1825" s="2" t="s">
        <v>186</v>
      </c>
      <c r="M1825" s="2" t="s">
        <v>5645</v>
      </c>
      <c r="N1825" s="16">
        <v>1.9800000000000002E-2</v>
      </c>
      <c r="O1825" s="17">
        <f>N1825*'Financial Inputs'!$B$3</f>
        <v>1980000.0000000002</v>
      </c>
      <c r="P1825" s="18">
        <f>IF(I1825="L",'Financial Inputs'!$B$4,IF(I1825="M",'Financial Inputs'!$B$5,'Financial Inputs'!$B$6))</f>
        <v>0.4</v>
      </c>
      <c r="Q1825" s="17">
        <f>O1825*P1825</f>
        <v>792000.00000000012</v>
      </c>
      <c r="R1825" s="16">
        <f>'Financial Inputs'!$B$7</f>
        <v>0.35</v>
      </c>
      <c r="S1825" s="17">
        <f>Q1825*(1-R1825)</f>
        <v>514800.00000000012</v>
      </c>
      <c r="T1825" s="18">
        <f>S1825/'Financial Inputs'!$B$3</f>
        <v>5.1480000000000015E-3</v>
      </c>
      <c r="U1825" s="9" t="s">
        <v>52</v>
      </c>
      <c r="V1825" s="3" t="s">
        <v>53</v>
      </c>
    </row>
    <row r="1826" spans="1:22">
      <c r="A1826" s="2" t="s">
        <v>5715</v>
      </c>
      <c r="B1826" s="2" t="s">
        <v>5716</v>
      </c>
      <c r="C1826" s="2" t="s">
        <v>5643</v>
      </c>
      <c r="D1826" s="2" t="s">
        <v>64</v>
      </c>
      <c r="E1826" s="2" t="s">
        <v>43</v>
      </c>
      <c r="F1826" s="2" t="s">
        <v>58</v>
      </c>
      <c r="G1826" s="2" t="s">
        <v>67</v>
      </c>
      <c r="H1826" s="2" t="s">
        <v>2318</v>
      </c>
      <c r="I1826" s="2" t="s">
        <v>47</v>
      </c>
      <c r="J1826" s="2" t="s">
        <v>500</v>
      </c>
      <c r="K1826" s="2" t="s">
        <v>5717</v>
      </c>
      <c r="L1826" s="2" t="s">
        <v>190</v>
      </c>
      <c r="M1826" s="2" t="s">
        <v>5645</v>
      </c>
      <c r="N1826" s="16">
        <v>2.1600000000000001E-2</v>
      </c>
      <c r="O1826" s="17">
        <f>N1826*'Financial Inputs'!$B$3</f>
        <v>2160000</v>
      </c>
      <c r="P1826" s="18">
        <f>IF(I1826="L",'Financial Inputs'!$B$4,IF(I1826="M",'Financial Inputs'!$B$5,'Financial Inputs'!$B$6))</f>
        <v>0.4</v>
      </c>
      <c r="Q1826" s="17">
        <f>O1826*P1826</f>
        <v>864000</v>
      </c>
      <c r="R1826" s="16">
        <f>'Financial Inputs'!$B$7</f>
        <v>0.35</v>
      </c>
      <c r="S1826" s="17">
        <f>Q1826*(1-R1826)</f>
        <v>561600</v>
      </c>
      <c r="T1826" s="18">
        <f>S1826/'Financial Inputs'!$B$3</f>
        <v>5.6160000000000003E-3</v>
      </c>
      <c r="U1826" s="9" t="s">
        <v>52</v>
      </c>
      <c r="V1826" s="3" t="s">
        <v>53</v>
      </c>
    </row>
    <row r="1827" spans="1:22">
      <c r="A1827" s="2" t="s">
        <v>5718</v>
      </c>
      <c r="B1827" s="2" t="s">
        <v>5719</v>
      </c>
      <c r="C1827" s="2" t="s">
        <v>5643</v>
      </c>
      <c r="D1827" s="2" t="s">
        <v>127</v>
      </c>
      <c r="E1827" s="2" t="s">
        <v>193</v>
      </c>
      <c r="F1827" s="2" t="s">
        <v>104</v>
      </c>
      <c r="G1827" s="2" t="s">
        <v>45</v>
      </c>
      <c r="H1827" s="2" t="s">
        <v>2318</v>
      </c>
      <c r="I1827" s="2" t="s">
        <v>47</v>
      </c>
      <c r="J1827" s="2" t="s">
        <v>500</v>
      </c>
      <c r="K1827" s="2" t="s">
        <v>5720</v>
      </c>
      <c r="L1827" s="2" t="s">
        <v>195</v>
      </c>
      <c r="M1827" s="2" t="s">
        <v>5645</v>
      </c>
      <c r="N1827" s="16">
        <v>1.44E-2</v>
      </c>
      <c r="O1827" s="17">
        <f>N1827*'Financial Inputs'!$B$3</f>
        <v>1440000</v>
      </c>
      <c r="P1827" s="18">
        <f>IF(I1827="L",'Financial Inputs'!$B$4,IF(I1827="M",'Financial Inputs'!$B$5,'Financial Inputs'!$B$6))</f>
        <v>0.4</v>
      </c>
      <c r="Q1827" s="17">
        <f>O1827*P1827</f>
        <v>576000</v>
      </c>
      <c r="R1827" s="16">
        <f>'Financial Inputs'!$B$7</f>
        <v>0.35</v>
      </c>
      <c r="S1827" s="17">
        <f>Q1827*(1-R1827)</f>
        <v>374400</v>
      </c>
      <c r="T1827" s="18">
        <f>S1827/'Financial Inputs'!$B$3</f>
        <v>3.7439999999999999E-3</v>
      </c>
      <c r="U1827" s="9" t="s">
        <v>52</v>
      </c>
      <c r="V1827" s="3" t="s">
        <v>53</v>
      </c>
    </row>
    <row r="1828" spans="1:22">
      <c r="A1828" s="2" t="s">
        <v>5721</v>
      </c>
      <c r="B1828" s="2" t="s">
        <v>5722</v>
      </c>
      <c r="C1828" s="2" t="s">
        <v>5643</v>
      </c>
      <c r="D1828" s="2" t="s">
        <v>133</v>
      </c>
      <c r="E1828" s="2" t="s">
        <v>198</v>
      </c>
      <c r="F1828" s="2" t="s">
        <v>110</v>
      </c>
      <c r="G1828" s="2" t="s">
        <v>59</v>
      </c>
      <c r="H1828" s="2" t="s">
        <v>2318</v>
      </c>
      <c r="I1828" s="2" t="s">
        <v>47</v>
      </c>
      <c r="J1828" s="2" t="s">
        <v>500</v>
      </c>
      <c r="K1828" s="2" t="s">
        <v>5723</v>
      </c>
      <c r="L1828" s="2" t="s">
        <v>200</v>
      </c>
      <c r="M1828" s="2" t="s">
        <v>5645</v>
      </c>
      <c r="N1828" s="16">
        <v>1.6199999999999999E-2</v>
      </c>
      <c r="O1828" s="17">
        <f>N1828*'Financial Inputs'!$B$3</f>
        <v>1620000</v>
      </c>
      <c r="P1828" s="18">
        <f>IF(I1828="L",'Financial Inputs'!$B$4,IF(I1828="M",'Financial Inputs'!$B$5,'Financial Inputs'!$B$6))</f>
        <v>0.4</v>
      </c>
      <c r="Q1828" s="17">
        <f>O1828*P1828</f>
        <v>648000</v>
      </c>
      <c r="R1828" s="16">
        <f>'Financial Inputs'!$B$7</f>
        <v>0.35</v>
      </c>
      <c r="S1828" s="17">
        <f>Q1828*(1-R1828)</f>
        <v>421200</v>
      </c>
      <c r="T1828" s="18">
        <f>S1828/'Financial Inputs'!$B$3</f>
        <v>4.2119999999999996E-3</v>
      </c>
      <c r="U1828" s="9" t="s">
        <v>52</v>
      </c>
      <c r="V1828" s="3" t="s">
        <v>53</v>
      </c>
    </row>
    <row r="1829" spans="1:22">
      <c r="A1829" s="2" t="s">
        <v>5724</v>
      </c>
      <c r="B1829" s="2" t="s">
        <v>5725</v>
      </c>
      <c r="C1829" s="2" t="s">
        <v>5643</v>
      </c>
      <c r="D1829" s="2" t="s">
        <v>88</v>
      </c>
      <c r="E1829" s="2" t="s">
        <v>148</v>
      </c>
      <c r="F1829" s="2" t="s">
        <v>117</v>
      </c>
      <c r="G1829" s="2" t="s">
        <v>67</v>
      </c>
      <c r="H1829" s="2" t="s">
        <v>2318</v>
      </c>
      <c r="I1829" s="2" t="s">
        <v>47</v>
      </c>
      <c r="J1829" s="2" t="s">
        <v>500</v>
      </c>
      <c r="K1829" s="2" t="s">
        <v>5726</v>
      </c>
      <c r="L1829" s="2" t="s">
        <v>204</v>
      </c>
      <c r="M1829" s="2" t="s">
        <v>5645</v>
      </c>
      <c r="N1829" s="16">
        <v>1.7999999999999999E-2</v>
      </c>
      <c r="O1829" s="17">
        <f>N1829*'Financial Inputs'!$B$3</f>
        <v>1799999.9999999998</v>
      </c>
      <c r="P1829" s="18">
        <f>IF(I1829="L",'Financial Inputs'!$B$4,IF(I1829="M",'Financial Inputs'!$B$5,'Financial Inputs'!$B$6))</f>
        <v>0.4</v>
      </c>
      <c r="Q1829" s="17">
        <f>O1829*P1829</f>
        <v>720000</v>
      </c>
      <c r="R1829" s="16">
        <f>'Financial Inputs'!$B$7</f>
        <v>0.35</v>
      </c>
      <c r="S1829" s="17">
        <f>Q1829*(1-R1829)</f>
        <v>468000</v>
      </c>
      <c r="T1829" s="18">
        <f>S1829/'Financial Inputs'!$B$3</f>
        <v>4.6800000000000001E-3</v>
      </c>
      <c r="U1829" s="9" t="s">
        <v>52</v>
      </c>
      <c r="V1829" s="3" t="s">
        <v>53</v>
      </c>
    </row>
    <row r="1830" spans="1:22">
      <c r="A1830" s="2" t="s">
        <v>5727</v>
      </c>
      <c r="B1830" s="2" t="s">
        <v>5728</v>
      </c>
      <c r="C1830" s="2" t="s">
        <v>5643</v>
      </c>
      <c r="D1830" s="2" t="s">
        <v>95</v>
      </c>
      <c r="E1830" s="2" t="s">
        <v>153</v>
      </c>
      <c r="F1830" s="2" t="s">
        <v>90</v>
      </c>
      <c r="G1830" s="2" t="s">
        <v>75</v>
      </c>
      <c r="H1830" s="2" t="s">
        <v>2318</v>
      </c>
      <c r="I1830" s="2" t="s">
        <v>47</v>
      </c>
      <c r="J1830" s="2" t="s">
        <v>500</v>
      </c>
      <c r="K1830" s="2" t="s">
        <v>5729</v>
      </c>
      <c r="L1830" s="2" t="s">
        <v>208</v>
      </c>
      <c r="M1830" s="2" t="s">
        <v>5645</v>
      </c>
      <c r="N1830" s="16">
        <v>1.9800000000000002E-2</v>
      </c>
      <c r="O1830" s="17">
        <f>N1830*'Financial Inputs'!$B$3</f>
        <v>1980000.0000000002</v>
      </c>
      <c r="P1830" s="18">
        <f>IF(I1830="L",'Financial Inputs'!$B$4,IF(I1830="M",'Financial Inputs'!$B$5,'Financial Inputs'!$B$6))</f>
        <v>0.4</v>
      </c>
      <c r="Q1830" s="17">
        <f>O1830*P1830</f>
        <v>792000.00000000012</v>
      </c>
      <c r="R1830" s="16">
        <f>'Financial Inputs'!$B$7</f>
        <v>0.35</v>
      </c>
      <c r="S1830" s="17">
        <f>Q1830*(1-R1830)</f>
        <v>514800.00000000012</v>
      </c>
      <c r="T1830" s="18">
        <f>S1830/'Financial Inputs'!$B$3</f>
        <v>5.1480000000000015E-3</v>
      </c>
      <c r="U1830" s="9" t="s">
        <v>52</v>
      </c>
      <c r="V1830" s="3" t="s">
        <v>53</v>
      </c>
    </row>
    <row r="1831" spans="1:22">
      <c r="A1831" s="2" t="s">
        <v>5730</v>
      </c>
      <c r="B1831" s="2" t="s">
        <v>5731</v>
      </c>
      <c r="C1831" s="2" t="s">
        <v>5643</v>
      </c>
      <c r="D1831" s="2" t="s">
        <v>102</v>
      </c>
      <c r="E1831" s="2" t="s">
        <v>89</v>
      </c>
      <c r="F1831" s="2" t="s">
        <v>97</v>
      </c>
      <c r="G1831" s="2" t="s">
        <v>83</v>
      </c>
      <c r="H1831" s="2" t="s">
        <v>2318</v>
      </c>
      <c r="I1831" s="2" t="s">
        <v>47</v>
      </c>
      <c r="J1831" s="2" t="s">
        <v>500</v>
      </c>
      <c r="K1831" s="2" t="s">
        <v>5732</v>
      </c>
      <c r="L1831" s="2" t="s">
        <v>212</v>
      </c>
      <c r="M1831" s="2" t="s">
        <v>5645</v>
      </c>
      <c r="N1831" s="16">
        <v>2.1600000000000001E-2</v>
      </c>
      <c r="O1831" s="17">
        <f>N1831*'Financial Inputs'!$B$3</f>
        <v>2160000</v>
      </c>
      <c r="P1831" s="18">
        <f>IF(I1831="L",'Financial Inputs'!$B$4,IF(I1831="M",'Financial Inputs'!$B$5,'Financial Inputs'!$B$6))</f>
        <v>0.4</v>
      </c>
      <c r="Q1831" s="17">
        <f>O1831*P1831</f>
        <v>864000</v>
      </c>
      <c r="R1831" s="16">
        <f>'Financial Inputs'!$B$7</f>
        <v>0.35</v>
      </c>
      <c r="S1831" s="17">
        <f>Q1831*(1-R1831)</f>
        <v>561600</v>
      </c>
      <c r="T1831" s="18">
        <f>S1831/'Financial Inputs'!$B$3</f>
        <v>5.6160000000000003E-3</v>
      </c>
      <c r="U1831" s="9" t="s">
        <v>52</v>
      </c>
      <c r="V1831" s="3" t="s">
        <v>53</v>
      </c>
    </row>
    <row r="1832" spans="1:22">
      <c r="A1832" s="2" t="s">
        <v>5733</v>
      </c>
      <c r="B1832" s="2" t="s">
        <v>5734</v>
      </c>
      <c r="C1832" s="2" t="s">
        <v>5643</v>
      </c>
      <c r="D1832" s="2" t="s">
        <v>64</v>
      </c>
      <c r="E1832" s="2" t="s">
        <v>215</v>
      </c>
      <c r="F1832" s="2" t="s">
        <v>74</v>
      </c>
      <c r="G1832" s="2" t="s">
        <v>67</v>
      </c>
      <c r="H1832" s="2" t="s">
        <v>2318</v>
      </c>
      <c r="I1832" s="2" t="s">
        <v>47</v>
      </c>
      <c r="J1832" s="2" t="s">
        <v>500</v>
      </c>
      <c r="K1832" s="2" t="s">
        <v>5735</v>
      </c>
      <c r="L1832" s="2" t="s">
        <v>217</v>
      </c>
      <c r="M1832" s="2" t="s">
        <v>5645</v>
      </c>
      <c r="N1832" s="16">
        <v>1.44E-2</v>
      </c>
      <c r="O1832" s="17">
        <f>N1832*'Financial Inputs'!$B$3</f>
        <v>1440000</v>
      </c>
      <c r="P1832" s="18">
        <f>IF(I1832="L",'Financial Inputs'!$B$4,IF(I1832="M",'Financial Inputs'!$B$5,'Financial Inputs'!$B$6))</f>
        <v>0.4</v>
      </c>
      <c r="Q1832" s="17">
        <f>O1832*P1832</f>
        <v>576000</v>
      </c>
      <c r="R1832" s="16">
        <f>'Financial Inputs'!$B$7</f>
        <v>0.35</v>
      </c>
      <c r="S1832" s="17">
        <f>Q1832*(1-R1832)</f>
        <v>374400</v>
      </c>
      <c r="T1832" s="18">
        <f>S1832/'Financial Inputs'!$B$3</f>
        <v>3.7439999999999999E-3</v>
      </c>
      <c r="U1832" s="9" t="s">
        <v>52</v>
      </c>
      <c r="V1832" s="3" t="s">
        <v>53</v>
      </c>
    </row>
    <row r="1833" spans="1:22">
      <c r="A1833" s="2" t="s">
        <v>5736</v>
      </c>
      <c r="B1833" s="2" t="s">
        <v>5737</v>
      </c>
      <c r="C1833" s="2" t="s">
        <v>5643</v>
      </c>
      <c r="D1833" s="2" t="s">
        <v>72</v>
      </c>
      <c r="E1833" s="2" t="s">
        <v>220</v>
      </c>
      <c r="F1833" s="2" t="s">
        <v>82</v>
      </c>
      <c r="G1833" s="2" t="s">
        <v>75</v>
      </c>
      <c r="H1833" s="2" t="s">
        <v>2318</v>
      </c>
      <c r="I1833" s="2" t="s">
        <v>47</v>
      </c>
      <c r="J1833" s="2" t="s">
        <v>500</v>
      </c>
      <c r="K1833" s="2" t="s">
        <v>5738</v>
      </c>
      <c r="L1833" s="2" t="s">
        <v>222</v>
      </c>
      <c r="M1833" s="2" t="s">
        <v>5645</v>
      </c>
      <c r="N1833" s="16">
        <v>1.6199999999999999E-2</v>
      </c>
      <c r="O1833" s="17">
        <f>N1833*'Financial Inputs'!$B$3</f>
        <v>1620000</v>
      </c>
      <c r="P1833" s="18">
        <f>IF(I1833="L",'Financial Inputs'!$B$4,IF(I1833="M",'Financial Inputs'!$B$5,'Financial Inputs'!$B$6))</f>
        <v>0.4</v>
      </c>
      <c r="Q1833" s="17">
        <f>O1833*P1833</f>
        <v>648000</v>
      </c>
      <c r="R1833" s="16">
        <f>'Financial Inputs'!$B$7</f>
        <v>0.35</v>
      </c>
      <c r="S1833" s="17">
        <f>Q1833*(1-R1833)</f>
        <v>421200</v>
      </c>
      <c r="T1833" s="18">
        <f>S1833/'Financial Inputs'!$B$3</f>
        <v>4.2119999999999996E-3</v>
      </c>
      <c r="U1833" s="9" t="s">
        <v>52</v>
      </c>
      <c r="V1833" s="3" t="s">
        <v>53</v>
      </c>
    </row>
    <row r="1834" spans="1:22">
      <c r="A1834" s="2" t="s">
        <v>5739</v>
      </c>
      <c r="B1834" s="2" t="s">
        <v>5740</v>
      </c>
      <c r="C1834" s="2" t="s">
        <v>5643</v>
      </c>
      <c r="D1834" s="2" t="s">
        <v>80</v>
      </c>
      <c r="E1834" s="2" t="s">
        <v>171</v>
      </c>
      <c r="F1834" s="2" t="s">
        <v>44</v>
      </c>
      <c r="G1834" s="2" t="s">
        <v>83</v>
      </c>
      <c r="H1834" s="2" t="s">
        <v>2318</v>
      </c>
      <c r="I1834" s="2" t="s">
        <v>47</v>
      </c>
      <c r="J1834" s="2" t="s">
        <v>500</v>
      </c>
      <c r="K1834" s="2" t="s">
        <v>5741</v>
      </c>
      <c r="L1834" s="2" t="s">
        <v>226</v>
      </c>
      <c r="M1834" s="2" t="s">
        <v>5645</v>
      </c>
      <c r="N1834" s="16">
        <v>1.7999999999999999E-2</v>
      </c>
      <c r="O1834" s="17">
        <f>N1834*'Financial Inputs'!$B$3</f>
        <v>1799999.9999999998</v>
      </c>
      <c r="P1834" s="18">
        <f>IF(I1834="L",'Financial Inputs'!$B$4,IF(I1834="M",'Financial Inputs'!$B$5,'Financial Inputs'!$B$6))</f>
        <v>0.4</v>
      </c>
      <c r="Q1834" s="17">
        <f>O1834*P1834</f>
        <v>720000</v>
      </c>
      <c r="R1834" s="16">
        <f>'Financial Inputs'!$B$7</f>
        <v>0.35</v>
      </c>
      <c r="S1834" s="17">
        <f>Q1834*(1-R1834)</f>
        <v>468000</v>
      </c>
      <c r="T1834" s="18">
        <f>S1834/'Financial Inputs'!$B$3</f>
        <v>4.6800000000000001E-3</v>
      </c>
      <c r="U1834" s="9" t="s">
        <v>52</v>
      </c>
      <c r="V1834" s="3" t="s">
        <v>53</v>
      </c>
    </row>
    <row r="1835" spans="1:22">
      <c r="A1835" s="2" t="s">
        <v>5742</v>
      </c>
      <c r="B1835" s="2" t="s">
        <v>5743</v>
      </c>
      <c r="C1835" s="2" t="s">
        <v>5643</v>
      </c>
      <c r="D1835" s="2" t="s">
        <v>127</v>
      </c>
      <c r="E1835" s="2" t="s">
        <v>176</v>
      </c>
      <c r="F1835" s="2" t="s">
        <v>58</v>
      </c>
      <c r="G1835" s="2" t="s">
        <v>111</v>
      </c>
      <c r="H1835" s="2" t="s">
        <v>2318</v>
      </c>
      <c r="I1835" s="2" t="s">
        <v>47</v>
      </c>
      <c r="J1835" s="2" t="s">
        <v>500</v>
      </c>
      <c r="K1835" s="2" t="s">
        <v>5744</v>
      </c>
      <c r="L1835" s="2" t="s">
        <v>230</v>
      </c>
      <c r="M1835" s="2" t="s">
        <v>5645</v>
      </c>
      <c r="N1835" s="16">
        <v>1.9800000000000002E-2</v>
      </c>
      <c r="O1835" s="17">
        <f>N1835*'Financial Inputs'!$B$3</f>
        <v>1980000.0000000002</v>
      </c>
      <c r="P1835" s="18">
        <f>IF(I1835="L",'Financial Inputs'!$B$4,IF(I1835="M",'Financial Inputs'!$B$5,'Financial Inputs'!$B$6))</f>
        <v>0.4</v>
      </c>
      <c r="Q1835" s="17">
        <f>O1835*P1835</f>
        <v>792000.00000000012</v>
      </c>
      <c r="R1835" s="16">
        <f>'Financial Inputs'!$B$7</f>
        <v>0.35</v>
      </c>
      <c r="S1835" s="17">
        <f>Q1835*(1-R1835)</f>
        <v>514800.00000000012</v>
      </c>
      <c r="T1835" s="18">
        <f>S1835/'Financial Inputs'!$B$3</f>
        <v>5.1480000000000015E-3</v>
      </c>
      <c r="U1835" s="9" t="s">
        <v>52</v>
      </c>
      <c r="V1835" s="3" t="s">
        <v>53</v>
      </c>
    </row>
    <row r="1836" spans="1:22">
      <c r="A1836" s="2" t="s">
        <v>5745</v>
      </c>
      <c r="B1836" s="2" t="s">
        <v>5746</v>
      </c>
      <c r="C1836" s="2" t="s">
        <v>5643</v>
      </c>
      <c r="D1836" s="2" t="s">
        <v>133</v>
      </c>
      <c r="E1836" s="2" t="s">
        <v>122</v>
      </c>
      <c r="F1836" s="2" t="s">
        <v>66</v>
      </c>
      <c r="G1836" s="2" t="s">
        <v>56</v>
      </c>
      <c r="H1836" s="2" t="s">
        <v>2318</v>
      </c>
      <c r="I1836" s="2" t="s">
        <v>47</v>
      </c>
      <c r="J1836" s="2" t="s">
        <v>500</v>
      </c>
      <c r="K1836" s="2" t="s">
        <v>5747</v>
      </c>
      <c r="L1836" s="2" t="s">
        <v>234</v>
      </c>
      <c r="M1836" s="2" t="s">
        <v>5645</v>
      </c>
      <c r="N1836" s="16">
        <v>2.1600000000000001E-2</v>
      </c>
      <c r="O1836" s="17">
        <f>N1836*'Financial Inputs'!$B$3</f>
        <v>2160000</v>
      </c>
      <c r="P1836" s="18">
        <f>IF(I1836="L",'Financial Inputs'!$B$4,IF(I1836="M",'Financial Inputs'!$B$5,'Financial Inputs'!$B$6))</f>
        <v>0.4</v>
      </c>
      <c r="Q1836" s="17">
        <f>O1836*P1836</f>
        <v>864000</v>
      </c>
      <c r="R1836" s="16">
        <f>'Financial Inputs'!$B$7</f>
        <v>0.35</v>
      </c>
      <c r="S1836" s="17">
        <f>Q1836*(1-R1836)</f>
        <v>561600</v>
      </c>
      <c r="T1836" s="18">
        <f>S1836/'Financial Inputs'!$B$3</f>
        <v>5.6160000000000003E-3</v>
      </c>
      <c r="U1836" s="9" t="s">
        <v>52</v>
      </c>
      <c r="V1836" s="3" t="s">
        <v>53</v>
      </c>
    </row>
    <row r="1837" spans="1:22">
      <c r="A1837" s="2" t="s">
        <v>5748</v>
      </c>
      <c r="B1837" s="2" t="s">
        <v>5749</v>
      </c>
      <c r="C1837" s="2" t="s">
        <v>5643</v>
      </c>
      <c r="D1837" s="2" t="s">
        <v>102</v>
      </c>
      <c r="E1837" s="2" t="s">
        <v>73</v>
      </c>
      <c r="F1837" s="2" t="s">
        <v>110</v>
      </c>
      <c r="G1837" s="2" t="s">
        <v>83</v>
      </c>
      <c r="H1837" s="2" t="s">
        <v>2318</v>
      </c>
      <c r="I1837" s="2" t="s">
        <v>47</v>
      </c>
      <c r="J1837" s="2" t="s">
        <v>500</v>
      </c>
      <c r="K1837" s="2" t="s">
        <v>5750</v>
      </c>
      <c r="L1837" s="2" t="s">
        <v>238</v>
      </c>
      <c r="M1837" s="2" t="s">
        <v>5645</v>
      </c>
      <c r="N1837" s="16">
        <v>1.44E-2</v>
      </c>
      <c r="O1837" s="17">
        <f>N1837*'Financial Inputs'!$B$3</f>
        <v>1440000</v>
      </c>
      <c r="P1837" s="18">
        <f>IF(I1837="L",'Financial Inputs'!$B$4,IF(I1837="M",'Financial Inputs'!$B$5,'Financial Inputs'!$B$6))</f>
        <v>0.4</v>
      </c>
      <c r="Q1837" s="17">
        <f>O1837*P1837</f>
        <v>576000</v>
      </c>
      <c r="R1837" s="16">
        <f>'Financial Inputs'!$B$7</f>
        <v>0.35</v>
      </c>
      <c r="S1837" s="17">
        <f>Q1837*(1-R1837)</f>
        <v>374400</v>
      </c>
      <c r="T1837" s="18">
        <f>S1837/'Financial Inputs'!$B$3</f>
        <v>3.7439999999999999E-3</v>
      </c>
      <c r="U1837" s="9" t="s">
        <v>52</v>
      </c>
      <c r="V1837" s="3" t="s">
        <v>53</v>
      </c>
    </row>
    <row r="1838" spans="1:22">
      <c r="A1838" s="2" t="s">
        <v>5751</v>
      </c>
      <c r="B1838" s="2" t="s">
        <v>5752</v>
      </c>
      <c r="C1838" s="2" t="s">
        <v>5643</v>
      </c>
      <c r="D1838" s="2" t="s">
        <v>42</v>
      </c>
      <c r="E1838" s="2" t="s">
        <v>81</v>
      </c>
      <c r="F1838" s="2" t="s">
        <v>117</v>
      </c>
      <c r="G1838" s="2" t="s">
        <v>111</v>
      </c>
      <c r="H1838" s="2" t="s">
        <v>2318</v>
      </c>
      <c r="I1838" s="2" t="s">
        <v>47</v>
      </c>
      <c r="J1838" s="2" t="s">
        <v>500</v>
      </c>
      <c r="K1838" s="2" t="s">
        <v>5753</v>
      </c>
      <c r="L1838" s="2" t="s">
        <v>242</v>
      </c>
      <c r="M1838" s="2" t="s">
        <v>5645</v>
      </c>
      <c r="N1838" s="16">
        <v>1.6199999999999999E-2</v>
      </c>
      <c r="O1838" s="17">
        <f>N1838*'Financial Inputs'!$B$3</f>
        <v>1620000</v>
      </c>
      <c r="P1838" s="18">
        <f>IF(I1838="L",'Financial Inputs'!$B$4,IF(I1838="M",'Financial Inputs'!$B$5,'Financial Inputs'!$B$6))</f>
        <v>0.4</v>
      </c>
      <c r="Q1838" s="17">
        <f>O1838*P1838</f>
        <v>648000</v>
      </c>
      <c r="R1838" s="16">
        <f>'Financial Inputs'!$B$7</f>
        <v>0.35</v>
      </c>
      <c r="S1838" s="17">
        <f>Q1838*(1-R1838)</f>
        <v>421200</v>
      </c>
      <c r="T1838" s="18">
        <f>S1838/'Financial Inputs'!$B$3</f>
        <v>4.2119999999999996E-3</v>
      </c>
      <c r="U1838" s="9" t="s">
        <v>52</v>
      </c>
      <c r="V1838" s="3" t="s">
        <v>53</v>
      </c>
    </row>
    <row r="1839" spans="1:22">
      <c r="A1839" s="2" t="s">
        <v>5754</v>
      </c>
      <c r="B1839" s="2" t="s">
        <v>5755</v>
      </c>
      <c r="C1839" s="2" t="s">
        <v>5643</v>
      </c>
      <c r="D1839" s="2" t="s">
        <v>56</v>
      </c>
      <c r="E1839" s="2" t="s">
        <v>193</v>
      </c>
      <c r="F1839" s="2" t="s">
        <v>90</v>
      </c>
      <c r="G1839" s="2" t="s">
        <v>56</v>
      </c>
      <c r="H1839" s="2" t="s">
        <v>2318</v>
      </c>
      <c r="I1839" s="2" t="s">
        <v>47</v>
      </c>
      <c r="J1839" s="2" t="s">
        <v>500</v>
      </c>
      <c r="K1839" s="2" t="s">
        <v>5756</v>
      </c>
      <c r="L1839" s="2" t="s">
        <v>246</v>
      </c>
      <c r="M1839" s="2" t="s">
        <v>5645</v>
      </c>
      <c r="N1839" s="16">
        <v>1.7999999999999999E-2</v>
      </c>
      <c r="O1839" s="17">
        <f>N1839*'Financial Inputs'!$B$3</f>
        <v>1799999.9999999998</v>
      </c>
      <c r="P1839" s="18">
        <f>IF(I1839="L",'Financial Inputs'!$B$4,IF(I1839="M",'Financial Inputs'!$B$5,'Financial Inputs'!$B$6))</f>
        <v>0.4</v>
      </c>
      <c r="Q1839" s="17">
        <f>O1839*P1839</f>
        <v>720000</v>
      </c>
      <c r="R1839" s="16">
        <f>'Financial Inputs'!$B$7</f>
        <v>0.35</v>
      </c>
      <c r="S1839" s="17">
        <f>Q1839*(1-R1839)</f>
        <v>468000</v>
      </c>
      <c r="T1839" s="18">
        <f>S1839/'Financial Inputs'!$B$3</f>
        <v>4.6800000000000001E-3</v>
      </c>
      <c r="U1839" s="9" t="s">
        <v>52</v>
      </c>
      <c r="V1839" s="3" t="s">
        <v>53</v>
      </c>
    </row>
    <row r="1840" spans="1:22">
      <c r="A1840" s="2" t="s">
        <v>5757</v>
      </c>
      <c r="B1840" s="2" t="s">
        <v>5758</v>
      </c>
      <c r="C1840" s="2" t="s">
        <v>5643</v>
      </c>
      <c r="D1840" s="2" t="s">
        <v>64</v>
      </c>
      <c r="E1840" s="2" t="s">
        <v>198</v>
      </c>
      <c r="F1840" s="2" t="s">
        <v>97</v>
      </c>
      <c r="G1840" s="2" t="s">
        <v>138</v>
      </c>
      <c r="H1840" s="2" t="s">
        <v>2318</v>
      </c>
      <c r="I1840" s="2" t="s">
        <v>47</v>
      </c>
      <c r="J1840" s="2" t="s">
        <v>500</v>
      </c>
      <c r="K1840" s="2" t="s">
        <v>5759</v>
      </c>
      <c r="L1840" s="2" t="s">
        <v>250</v>
      </c>
      <c r="M1840" s="2" t="s">
        <v>5645</v>
      </c>
      <c r="N1840" s="16">
        <v>1.9800000000000002E-2</v>
      </c>
      <c r="O1840" s="17">
        <f>N1840*'Financial Inputs'!$B$3</f>
        <v>1980000.0000000002</v>
      </c>
      <c r="P1840" s="18">
        <f>IF(I1840="L",'Financial Inputs'!$B$4,IF(I1840="M",'Financial Inputs'!$B$5,'Financial Inputs'!$B$6))</f>
        <v>0.4</v>
      </c>
      <c r="Q1840" s="17">
        <f>O1840*P1840</f>
        <v>792000.00000000012</v>
      </c>
      <c r="R1840" s="16">
        <f>'Financial Inputs'!$B$7</f>
        <v>0.35</v>
      </c>
      <c r="S1840" s="17">
        <f>Q1840*(1-R1840)</f>
        <v>514800.00000000012</v>
      </c>
      <c r="T1840" s="18">
        <f>S1840/'Financial Inputs'!$B$3</f>
        <v>5.1480000000000015E-3</v>
      </c>
      <c r="U1840" s="9" t="s">
        <v>52</v>
      </c>
      <c r="V1840" s="3" t="s">
        <v>53</v>
      </c>
    </row>
    <row r="1841" spans="1:22">
      <c r="A1841" s="2" t="s">
        <v>5760</v>
      </c>
      <c r="B1841" s="2" t="s">
        <v>5761</v>
      </c>
      <c r="C1841" s="2" t="s">
        <v>5643</v>
      </c>
      <c r="D1841" s="2" t="s">
        <v>72</v>
      </c>
      <c r="E1841" s="2" t="s">
        <v>148</v>
      </c>
      <c r="F1841" s="2" t="s">
        <v>104</v>
      </c>
      <c r="G1841" s="2" t="s">
        <v>143</v>
      </c>
      <c r="H1841" s="2" t="s">
        <v>2318</v>
      </c>
      <c r="I1841" s="2" t="s">
        <v>47</v>
      </c>
      <c r="J1841" s="2" t="s">
        <v>500</v>
      </c>
      <c r="K1841" s="2" t="s">
        <v>5762</v>
      </c>
      <c r="L1841" s="2" t="s">
        <v>254</v>
      </c>
      <c r="M1841" s="2" t="s">
        <v>5645</v>
      </c>
      <c r="N1841" s="16">
        <v>2.1600000000000001E-2</v>
      </c>
      <c r="O1841" s="17">
        <f>N1841*'Financial Inputs'!$B$3</f>
        <v>2160000</v>
      </c>
      <c r="P1841" s="18">
        <f>IF(I1841="L",'Financial Inputs'!$B$4,IF(I1841="M",'Financial Inputs'!$B$5,'Financial Inputs'!$B$6))</f>
        <v>0.4</v>
      </c>
      <c r="Q1841" s="17">
        <f>O1841*P1841</f>
        <v>864000</v>
      </c>
      <c r="R1841" s="16">
        <f>'Financial Inputs'!$B$7</f>
        <v>0.35</v>
      </c>
      <c r="S1841" s="17">
        <f>Q1841*(1-R1841)</f>
        <v>561600</v>
      </c>
      <c r="T1841" s="18">
        <f>S1841/'Financial Inputs'!$B$3</f>
        <v>5.6160000000000003E-3</v>
      </c>
      <c r="U1841" s="9" t="s">
        <v>52</v>
      </c>
      <c r="V1841" s="3" t="s">
        <v>53</v>
      </c>
    </row>
    <row r="1842" spans="1:22">
      <c r="A1842" s="2" t="s">
        <v>5763</v>
      </c>
      <c r="B1842" s="2" t="s">
        <v>5764</v>
      </c>
      <c r="C1842" s="2" t="s">
        <v>5643</v>
      </c>
      <c r="D1842" s="2" t="s">
        <v>133</v>
      </c>
      <c r="E1842" s="2" t="s">
        <v>109</v>
      </c>
      <c r="F1842" s="2" t="s">
        <v>82</v>
      </c>
      <c r="G1842" s="2" t="s">
        <v>56</v>
      </c>
      <c r="H1842" s="2" t="s">
        <v>2318</v>
      </c>
      <c r="I1842" s="2" t="s">
        <v>47</v>
      </c>
      <c r="J1842" s="2" t="s">
        <v>500</v>
      </c>
      <c r="K1842" s="2" t="s">
        <v>5765</v>
      </c>
      <c r="L1842" s="2" t="s">
        <v>258</v>
      </c>
      <c r="M1842" s="2" t="s">
        <v>5645</v>
      </c>
      <c r="N1842" s="16">
        <v>1.44E-2</v>
      </c>
      <c r="O1842" s="17">
        <f>N1842*'Financial Inputs'!$B$3</f>
        <v>1440000</v>
      </c>
      <c r="P1842" s="18">
        <f>IF(I1842="L",'Financial Inputs'!$B$4,IF(I1842="M",'Financial Inputs'!$B$5,'Financial Inputs'!$B$6))</f>
        <v>0.4</v>
      </c>
      <c r="Q1842" s="17">
        <f>O1842*P1842</f>
        <v>576000</v>
      </c>
      <c r="R1842" s="16">
        <f>'Financial Inputs'!$B$7</f>
        <v>0.35</v>
      </c>
      <c r="S1842" s="17">
        <f>Q1842*(1-R1842)</f>
        <v>374400</v>
      </c>
      <c r="T1842" s="18">
        <f>S1842/'Financial Inputs'!$B$3</f>
        <v>3.7439999999999999E-3</v>
      </c>
      <c r="U1842" s="9" t="s">
        <v>52</v>
      </c>
      <c r="V1842" s="3" t="s">
        <v>53</v>
      </c>
    </row>
    <row r="1843" spans="1:22">
      <c r="A1843" s="2" t="s">
        <v>5766</v>
      </c>
      <c r="B1843" s="2" t="s">
        <v>5767</v>
      </c>
      <c r="C1843" s="2" t="s">
        <v>5643</v>
      </c>
      <c r="D1843" s="2" t="s">
        <v>88</v>
      </c>
      <c r="E1843" s="2" t="s">
        <v>116</v>
      </c>
      <c r="F1843" s="2" t="s">
        <v>44</v>
      </c>
      <c r="G1843" s="2" t="s">
        <v>138</v>
      </c>
      <c r="H1843" s="2" t="s">
        <v>2318</v>
      </c>
      <c r="I1843" s="2" t="s">
        <v>47</v>
      </c>
      <c r="J1843" s="2" t="s">
        <v>500</v>
      </c>
      <c r="K1843" s="2" t="s">
        <v>5768</v>
      </c>
      <c r="L1843" s="2" t="s">
        <v>262</v>
      </c>
      <c r="M1843" s="2" t="s">
        <v>5645</v>
      </c>
      <c r="N1843" s="16">
        <v>1.6199999999999999E-2</v>
      </c>
      <c r="O1843" s="17">
        <f>N1843*'Financial Inputs'!$B$3</f>
        <v>1620000</v>
      </c>
      <c r="P1843" s="18">
        <f>IF(I1843="L",'Financial Inputs'!$B$4,IF(I1843="M",'Financial Inputs'!$B$5,'Financial Inputs'!$B$6))</f>
        <v>0.4</v>
      </c>
      <c r="Q1843" s="17">
        <f>O1843*P1843</f>
        <v>648000</v>
      </c>
      <c r="R1843" s="16">
        <f>'Financial Inputs'!$B$7</f>
        <v>0.35</v>
      </c>
      <c r="S1843" s="17">
        <f>Q1843*(1-R1843)</f>
        <v>421200</v>
      </c>
      <c r="T1843" s="18">
        <f>S1843/'Financial Inputs'!$B$3</f>
        <v>4.2119999999999996E-3</v>
      </c>
      <c r="U1843" s="9" t="s">
        <v>52</v>
      </c>
      <c r="V1843" s="3" t="s">
        <v>53</v>
      </c>
    </row>
    <row r="1844" spans="1:22">
      <c r="A1844" s="2" t="s">
        <v>5769</v>
      </c>
      <c r="B1844" s="2" t="s">
        <v>5770</v>
      </c>
      <c r="C1844" s="2" t="s">
        <v>5643</v>
      </c>
      <c r="D1844" s="2" t="s">
        <v>95</v>
      </c>
      <c r="E1844" s="2" t="s">
        <v>215</v>
      </c>
      <c r="F1844" s="2" t="s">
        <v>58</v>
      </c>
      <c r="G1844" s="2" t="s">
        <v>143</v>
      </c>
      <c r="H1844" s="2" t="s">
        <v>2318</v>
      </c>
      <c r="I1844" s="2" t="s">
        <v>47</v>
      </c>
      <c r="J1844" s="2" t="s">
        <v>500</v>
      </c>
      <c r="K1844" s="2" t="s">
        <v>5771</v>
      </c>
      <c r="L1844" s="2" t="s">
        <v>266</v>
      </c>
      <c r="M1844" s="2" t="s">
        <v>5645</v>
      </c>
      <c r="N1844" s="16">
        <v>1.7999999999999999E-2</v>
      </c>
      <c r="O1844" s="17">
        <f>N1844*'Financial Inputs'!$B$3</f>
        <v>1799999.9999999998</v>
      </c>
      <c r="P1844" s="18">
        <f>IF(I1844="L",'Financial Inputs'!$B$4,IF(I1844="M",'Financial Inputs'!$B$5,'Financial Inputs'!$B$6))</f>
        <v>0.4</v>
      </c>
      <c r="Q1844" s="17">
        <f>O1844*P1844</f>
        <v>720000</v>
      </c>
      <c r="R1844" s="16">
        <f>'Financial Inputs'!$B$7</f>
        <v>0.35</v>
      </c>
      <c r="S1844" s="17">
        <f>Q1844*(1-R1844)</f>
        <v>468000</v>
      </c>
      <c r="T1844" s="18">
        <f>S1844/'Financial Inputs'!$B$3</f>
        <v>4.6800000000000001E-3</v>
      </c>
      <c r="U1844" s="9" t="s">
        <v>52</v>
      </c>
      <c r="V1844" s="3" t="s">
        <v>53</v>
      </c>
    </row>
    <row r="1845" spans="1:22">
      <c r="A1845" s="2" t="s">
        <v>5772</v>
      </c>
      <c r="B1845" s="2" t="s">
        <v>5773</v>
      </c>
      <c r="C1845" s="2" t="s">
        <v>5643</v>
      </c>
      <c r="D1845" s="2" t="s">
        <v>102</v>
      </c>
      <c r="E1845" s="2" t="s">
        <v>220</v>
      </c>
      <c r="F1845" s="2" t="s">
        <v>66</v>
      </c>
      <c r="G1845" s="2" t="s">
        <v>162</v>
      </c>
      <c r="H1845" s="2" t="s">
        <v>2318</v>
      </c>
      <c r="I1845" s="2" t="s">
        <v>47</v>
      </c>
      <c r="J1845" s="2" t="s">
        <v>500</v>
      </c>
      <c r="K1845" s="2" t="s">
        <v>5774</v>
      </c>
      <c r="L1845" s="2" t="s">
        <v>270</v>
      </c>
      <c r="M1845" s="2" t="s">
        <v>5645</v>
      </c>
      <c r="N1845" s="16">
        <v>1.9800000000000002E-2</v>
      </c>
      <c r="O1845" s="17">
        <f>N1845*'Financial Inputs'!$B$3</f>
        <v>1980000.0000000002</v>
      </c>
      <c r="P1845" s="18">
        <f>IF(I1845="L",'Financial Inputs'!$B$4,IF(I1845="M",'Financial Inputs'!$B$5,'Financial Inputs'!$B$6))</f>
        <v>0.4</v>
      </c>
      <c r="Q1845" s="17">
        <f>O1845*P1845</f>
        <v>792000.00000000012</v>
      </c>
      <c r="R1845" s="16">
        <f>'Financial Inputs'!$B$7</f>
        <v>0.35</v>
      </c>
      <c r="S1845" s="17">
        <f>Q1845*(1-R1845)</f>
        <v>514800.00000000012</v>
      </c>
      <c r="T1845" s="18">
        <f>S1845/'Financial Inputs'!$B$3</f>
        <v>5.1480000000000015E-3</v>
      </c>
      <c r="U1845" s="9" t="s">
        <v>52</v>
      </c>
      <c r="V1845" s="3" t="s">
        <v>53</v>
      </c>
    </row>
    <row r="1846" spans="1:22">
      <c r="A1846" s="2" t="s">
        <v>5775</v>
      </c>
      <c r="B1846" s="2" t="s">
        <v>5776</v>
      </c>
      <c r="C1846" s="2" t="s">
        <v>5643</v>
      </c>
      <c r="D1846" s="2" t="s">
        <v>42</v>
      </c>
      <c r="E1846" s="2" t="s">
        <v>171</v>
      </c>
      <c r="F1846" s="2" t="s">
        <v>74</v>
      </c>
      <c r="G1846" s="2" t="s">
        <v>45</v>
      </c>
      <c r="H1846" s="2" t="s">
        <v>2318</v>
      </c>
      <c r="I1846" s="2" t="s">
        <v>47</v>
      </c>
      <c r="J1846" s="2" t="s">
        <v>500</v>
      </c>
      <c r="K1846" s="2" t="s">
        <v>5777</v>
      </c>
      <c r="L1846" s="2" t="s">
        <v>274</v>
      </c>
      <c r="M1846" s="2" t="s">
        <v>5645</v>
      </c>
      <c r="N1846" s="16">
        <v>2.1600000000000001E-2</v>
      </c>
      <c r="O1846" s="17">
        <f>N1846*'Financial Inputs'!$B$3</f>
        <v>2160000</v>
      </c>
      <c r="P1846" s="18">
        <f>IF(I1846="L",'Financial Inputs'!$B$4,IF(I1846="M",'Financial Inputs'!$B$5,'Financial Inputs'!$B$6))</f>
        <v>0.4</v>
      </c>
      <c r="Q1846" s="17">
        <f>O1846*P1846</f>
        <v>864000</v>
      </c>
      <c r="R1846" s="16">
        <f>'Financial Inputs'!$B$7</f>
        <v>0.35</v>
      </c>
      <c r="S1846" s="17">
        <f>Q1846*(1-R1846)</f>
        <v>561600</v>
      </c>
      <c r="T1846" s="18">
        <f>S1846/'Financial Inputs'!$B$3</f>
        <v>5.6160000000000003E-3</v>
      </c>
      <c r="U1846" s="9" t="s">
        <v>52</v>
      </c>
      <c r="V1846" s="3" t="s">
        <v>53</v>
      </c>
    </row>
    <row r="1847" spans="1:22">
      <c r="A1847" s="2" t="s">
        <v>5778</v>
      </c>
      <c r="B1847" s="2" t="s">
        <v>5779</v>
      </c>
      <c r="C1847" s="2" t="s">
        <v>5643</v>
      </c>
      <c r="D1847" s="2" t="s">
        <v>72</v>
      </c>
      <c r="E1847" s="2" t="s">
        <v>57</v>
      </c>
      <c r="F1847" s="2" t="s">
        <v>117</v>
      </c>
      <c r="G1847" s="2" t="s">
        <v>143</v>
      </c>
      <c r="H1847" s="2" t="s">
        <v>2318</v>
      </c>
      <c r="I1847" s="2" t="s">
        <v>47</v>
      </c>
      <c r="J1847" s="2" t="s">
        <v>500</v>
      </c>
      <c r="K1847" s="2" t="s">
        <v>5780</v>
      </c>
      <c r="L1847" s="2" t="s">
        <v>278</v>
      </c>
      <c r="M1847" s="2" t="s">
        <v>5645</v>
      </c>
      <c r="N1847" s="16">
        <v>1.44E-2</v>
      </c>
      <c r="O1847" s="17">
        <f>N1847*'Financial Inputs'!$B$3</f>
        <v>1440000</v>
      </c>
      <c r="P1847" s="18">
        <f>IF(I1847="L",'Financial Inputs'!$B$4,IF(I1847="M",'Financial Inputs'!$B$5,'Financial Inputs'!$B$6))</f>
        <v>0.4</v>
      </c>
      <c r="Q1847" s="17">
        <f>O1847*P1847</f>
        <v>576000</v>
      </c>
      <c r="R1847" s="16">
        <f>'Financial Inputs'!$B$7</f>
        <v>0.35</v>
      </c>
      <c r="S1847" s="17">
        <f>Q1847*(1-R1847)</f>
        <v>374400</v>
      </c>
      <c r="T1847" s="18">
        <f>S1847/'Financial Inputs'!$B$3</f>
        <v>3.7439999999999999E-3</v>
      </c>
      <c r="U1847" s="9" t="s">
        <v>52</v>
      </c>
      <c r="V1847" s="3" t="s">
        <v>53</v>
      </c>
    </row>
    <row r="1848" spans="1:22">
      <c r="A1848" s="2" t="s">
        <v>5781</v>
      </c>
      <c r="B1848" s="2" t="s">
        <v>5782</v>
      </c>
      <c r="C1848" s="2" t="s">
        <v>5643</v>
      </c>
      <c r="D1848" s="2" t="s">
        <v>80</v>
      </c>
      <c r="E1848" s="2" t="s">
        <v>65</v>
      </c>
      <c r="F1848" s="2" t="s">
        <v>90</v>
      </c>
      <c r="G1848" s="2" t="s">
        <v>162</v>
      </c>
      <c r="H1848" s="2" t="s">
        <v>2318</v>
      </c>
      <c r="I1848" s="2" t="s">
        <v>47</v>
      </c>
      <c r="J1848" s="2" t="s">
        <v>500</v>
      </c>
      <c r="K1848" s="2" t="s">
        <v>5783</v>
      </c>
      <c r="L1848" s="2" t="s">
        <v>282</v>
      </c>
      <c r="M1848" s="2" t="s">
        <v>5645</v>
      </c>
      <c r="N1848" s="16">
        <v>1.6199999999999999E-2</v>
      </c>
      <c r="O1848" s="17">
        <f>N1848*'Financial Inputs'!$B$3</f>
        <v>1620000</v>
      </c>
      <c r="P1848" s="18">
        <f>IF(I1848="L",'Financial Inputs'!$B$4,IF(I1848="M",'Financial Inputs'!$B$5,'Financial Inputs'!$B$6))</f>
        <v>0.4</v>
      </c>
      <c r="Q1848" s="17">
        <f>O1848*P1848</f>
        <v>648000</v>
      </c>
      <c r="R1848" s="16">
        <f>'Financial Inputs'!$B$7</f>
        <v>0.35</v>
      </c>
      <c r="S1848" s="17">
        <f>Q1848*(1-R1848)</f>
        <v>421200</v>
      </c>
      <c r="T1848" s="18">
        <f>S1848/'Financial Inputs'!$B$3</f>
        <v>4.2119999999999996E-3</v>
      </c>
      <c r="U1848" s="9" t="s">
        <v>52</v>
      </c>
      <c r="V1848" s="3" t="s">
        <v>53</v>
      </c>
    </row>
    <row r="1849" spans="1:22">
      <c r="A1849" s="2" t="s">
        <v>5784</v>
      </c>
      <c r="B1849" s="2" t="s">
        <v>5785</v>
      </c>
      <c r="C1849" s="2" t="s">
        <v>5643</v>
      </c>
      <c r="D1849" s="2" t="s">
        <v>127</v>
      </c>
      <c r="E1849" s="2" t="s">
        <v>73</v>
      </c>
      <c r="F1849" s="2" t="s">
        <v>97</v>
      </c>
      <c r="G1849" s="2" t="s">
        <v>45</v>
      </c>
      <c r="H1849" s="2" t="s">
        <v>2318</v>
      </c>
      <c r="I1849" s="2" t="s">
        <v>47</v>
      </c>
      <c r="J1849" s="2" t="s">
        <v>500</v>
      </c>
      <c r="K1849" s="2" t="s">
        <v>5786</v>
      </c>
      <c r="L1849" s="2" t="s">
        <v>286</v>
      </c>
      <c r="M1849" s="2" t="s">
        <v>5645</v>
      </c>
      <c r="N1849" s="16">
        <v>1.7999999999999999E-2</v>
      </c>
      <c r="O1849" s="17">
        <f>N1849*'Financial Inputs'!$B$3</f>
        <v>1799999.9999999998</v>
      </c>
      <c r="P1849" s="18">
        <f>IF(I1849="L",'Financial Inputs'!$B$4,IF(I1849="M",'Financial Inputs'!$B$5,'Financial Inputs'!$B$6))</f>
        <v>0.4</v>
      </c>
      <c r="Q1849" s="17">
        <f>O1849*P1849</f>
        <v>720000</v>
      </c>
      <c r="R1849" s="16">
        <f>'Financial Inputs'!$B$7</f>
        <v>0.35</v>
      </c>
      <c r="S1849" s="17">
        <f>Q1849*(1-R1849)</f>
        <v>468000</v>
      </c>
      <c r="T1849" s="18">
        <f>S1849/'Financial Inputs'!$B$3</f>
        <v>4.6800000000000001E-3</v>
      </c>
      <c r="U1849" s="9" t="s">
        <v>52</v>
      </c>
      <c r="V1849" s="3" t="s">
        <v>53</v>
      </c>
    </row>
    <row r="1850" spans="1:22">
      <c r="A1850" s="2" t="s">
        <v>5787</v>
      </c>
      <c r="B1850" s="2" t="s">
        <v>5788</v>
      </c>
      <c r="C1850" s="2" t="s">
        <v>5643</v>
      </c>
      <c r="D1850" s="2" t="s">
        <v>133</v>
      </c>
      <c r="E1850" s="2" t="s">
        <v>81</v>
      </c>
      <c r="F1850" s="2" t="s">
        <v>104</v>
      </c>
      <c r="G1850" s="2" t="s">
        <v>59</v>
      </c>
      <c r="H1850" s="2" t="s">
        <v>2318</v>
      </c>
      <c r="I1850" s="2" t="s">
        <v>47</v>
      </c>
      <c r="J1850" s="2" t="s">
        <v>500</v>
      </c>
      <c r="K1850" s="2" t="s">
        <v>5789</v>
      </c>
      <c r="L1850" s="2" t="s">
        <v>290</v>
      </c>
      <c r="M1850" s="2" t="s">
        <v>5645</v>
      </c>
      <c r="N1850" s="16">
        <v>1.9800000000000002E-2</v>
      </c>
      <c r="O1850" s="17">
        <f>N1850*'Financial Inputs'!$B$3</f>
        <v>1980000.0000000002</v>
      </c>
      <c r="P1850" s="18">
        <f>IF(I1850="L",'Financial Inputs'!$B$4,IF(I1850="M",'Financial Inputs'!$B$5,'Financial Inputs'!$B$6))</f>
        <v>0.4</v>
      </c>
      <c r="Q1850" s="17">
        <f>O1850*P1850</f>
        <v>792000.00000000012</v>
      </c>
      <c r="R1850" s="16">
        <f>'Financial Inputs'!$B$7</f>
        <v>0.35</v>
      </c>
      <c r="S1850" s="17">
        <f>Q1850*(1-R1850)</f>
        <v>514800.00000000012</v>
      </c>
      <c r="T1850" s="18">
        <f>S1850/'Financial Inputs'!$B$3</f>
        <v>5.1480000000000015E-3</v>
      </c>
      <c r="U1850" s="9" t="s">
        <v>52</v>
      </c>
      <c r="V1850" s="3" t="s">
        <v>53</v>
      </c>
    </row>
    <row r="1851" spans="1:22">
      <c r="A1851" s="2" t="s">
        <v>5790</v>
      </c>
      <c r="B1851" s="2" t="s">
        <v>5791</v>
      </c>
      <c r="C1851" s="2" t="s">
        <v>5643</v>
      </c>
      <c r="D1851" s="2" t="s">
        <v>88</v>
      </c>
      <c r="E1851" s="2" t="s">
        <v>193</v>
      </c>
      <c r="F1851" s="2" t="s">
        <v>110</v>
      </c>
      <c r="G1851" s="2" t="s">
        <v>67</v>
      </c>
      <c r="H1851" s="2" t="s">
        <v>2318</v>
      </c>
      <c r="I1851" s="2" t="s">
        <v>47</v>
      </c>
      <c r="J1851" s="2" t="s">
        <v>500</v>
      </c>
      <c r="K1851" s="2" t="s">
        <v>5792</v>
      </c>
      <c r="L1851" s="2" t="s">
        <v>294</v>
      </c>
      <c r="M1851" s="2" t="s">
        <v>5645</v>
      </c>
      <c r="N1851" s="16">
        <v>2.1600000000000001E-2</v>
      </c>
      <c r="O1851" s="17">
        <f>N1851*'Financial Inputs'!$B$3</f>
        <v>2160000</v>
      </c>
      <c r="P1851" s="18">
        <f>IF(I1851="L",'Financial Inputs'!$B$4,IF(I1851="M",'Financial Inputs'!$B$5,'Financial Inputs'!$B$6))</f>
        <v>0.4</v>
      </c>
      <c r="Q1851" s="17">
        <f>O1851*P1851</f>
        <v>864000</v>
      </c>
      <c r="R1851" s="16">
        <f>'Financial Inputs'!$B$7</f>
        <v>0.35</v>
      </c>
      <c r="S1851" s="17">
        <f>Q1851*(1-R1851)</f>
        <v>561600</v>
      </c>
      <c r="T1851" s="18">
        <f>S1851/'Financial Inputs'!$B$3</f>
        <v>5.6160000000000003E-3</v>
      </c>
      <c r="U1851" s="9" t="s">
        <v>52</v>
      </c>
      <c r="V1851" s="3" t="s">
        <v>53</v>
      </c>
    </row>
    <row r="1852" spans="1:22">
      <c r="A1852" s="2" t="s">
        <v>5793</v>
      </c>
      <c r="B1852" s="2" t="s">
        <v>5794</v>
      </c>
      <c r="C1852" s="2" t="s">
        <v>5643</v>
      </c>
      <c r="D1852" s="2" t="s">
        <v>42</v>
      </c>
      <c r="E1852" s="2" t="s">
        <v>96</v>
      </c>
      <c r="F1852" s="2" t="s">
        <v>44</v>
      </c>
      <c r="G1852" s="2" t="s">
        <v>45</v>
      </c>
      <c r="H1852" s="2" t="s">
        <v>2318</v>
      </c>
      <c r="I1852" s="2" t="s">
        <v>47</v>
      </c>
      <c r="J1852" s="2" t="s">
        <v>500</v>
      </c>
      <c r="K1852" s="2" t="s">
        <v>5795</v>
      </c>
      <c r="L1852" s="2" t="s">
        <v>298</v>
      </c>
      <c r="M1852" s="2" t="s">
        <v>5645</v>
      </c>
      <c r="N1852" s="16">
        <v>1.44E-2</v>
      </c>
      <c r="O1852" s="17">
        <f>N1852*'Financial Inputs'!$B$3</f>
        <v>1440000</v>
      </c>
      <c r="P1852" s="18">
        <f>IF(I1852="L",'Financial Inputs'!$B$4,IF(I1852="M",'Financial Inputs'!$B$5,'Financial Inputs'!$B$6))</f>
        <v>0.4</v>
      </c>
      <c r="Q1852" s="17">
        <f>O1852*P1852</f>
        <v>576000</v>
      </c>
      <c r="R1852" s="16">
        <f>'Financial Inputs'!$B$7</f>
        <v>0.35</v>
      </c>
      <c r="S1852" s="17">
        <f>Q1852*(1-R1852)</f>
        <v>374400</v>
      </c>
      <c r="T1852" s="18">
        <f>S1852/'Financial Inputs'!$B$3</f>
        <v>3.7439999999999999E-3</v>
      </c>
      <c r="U1852" s="9" t="s">
        <v>52</v>
      </c>
      <c r="V1852" s="3" t="s">
        <v>53</v>
      </c>
    </row>
    <row r="1853" spans="1:22">
      <c r="A1853" s="2" t="s">
        <v>5796</v>
      </c>
      <c r="B1853" s="2" t="s">
        <v>5797</v>
      </c>
      <c r="C1853" s="2" t="s">
        <v>5643</v>
      </c>
      <c r="D1853" s="2" t="s">
        <v>56</v>
      </c>
      <c r="E1853" s="2" t="s">
        <v>103</v>
      </c>
      <c r="F1853" s="2" t="s">
        <v>58</v>
      </c>
      <c r="G1853" s="2" t="s">
        <v>59</v>
      </c>
      <c r="H1853" s="2" t="s">
        <v>2318</v>
      </c>
      <c r="I1853" s="2" t="s">
        <v>47</v>
      </c>
      <c r="J1853" s="2" t="s">
        <v>500</v>
      </c>
      <c r="K1853" s="2" t="s">
        <v>5798</v>
      </c>
      <c r="L1853" s="2" t="s">
        <v>302</v>
      </c>
      <c r="M1853" s="2" t="s">
        <v>5645</v>
      </c>
      <c r="N1853" s="16">
        <v>1.6199999999999999E-2</v>
      </c>
      <c r="O1853" s="17">
        <f>N1853*'Financial Inputs'!$B$3</f>
        <v>1620000</v>
      </c>
      <c r="P1853" s="18">
        <f>IF(I1853="L",'Financial Inputs'!$B$4,IF(I1853="M",'Financial Inputs'!$B$5,'Financial Inputs'!$B$6))</f>
        <v>0.4</v>
      </c>
      <c r="Q1853" s="17">
        <f>O1853*P1853</f>
        <v>648000</v>
      </c>
      <c r="R1853" s="16">
        <f>'Financial Inputs'!$B$7</f>
        <v>0.35</v>
      </c>
      <c r="S1853" s="17">
        <f>Q1853*(1-R1853)</f>
        <v>421200</v>
      </c>
      <c r="T1853" s="18">
        <f>S1853/'Financial Inputs'!$B$3</f>
        <v>4.2119999999999996E-3</v>
      </c>
      <c r="U1853" s="9" t="s">
        <v>52</v>
      </c>
      <c r="V1853" s="3" t="s">
        <v>53</v>
      </c>
    </row>
    <row r="1854" spans="1:22">
      <c r="A1854" s="2" t="s">
        <v>5799</v>
      </c>
      <c r="B1854" s="2" t="s">
        <v>5800</v>
      </c>
      <c r="C1854" s="2" t="s">
        <v>5643</v>
      </c>
      <c r="D1854" s="2" t="s">
        <v>64</v>
      </c>
      <c r="E1854" s="2" t="s">
        <v>109</v>
      </c>
      <c r="F1854" s="2" t="s">
        <v>66</v>
      </c>
      <c r="G1854" s="2" t="s">
        <v>67</v>
      </c>
      <c r="H1854" s="2" t="s">
        <v>2318</v>
      </c>
      <c r="I1854" s="2" t="s">
        <v>47</v>
      </c>
      <c r="J1854" s="2" t="s">
        <v>500</v>
      </c>
      <c r="K1854" s="2" t="s">
        <v>5801</v>
      </c>
      <c r="L1854" s="2" t="s">
        <v>306</v>
      </c>
      <c r="M1854" s="2" t="s">
        <v>5645</v>
      </c>
      <c r="N1854" s="16">
        <v>1.7999999999999999E-2</v>
      </c>
      <c r="O1854" s="17">
        <f>N1854*'Financial Inputs'!$B$3</f>
        <v>1799999.9999999998</v>
      </c>
      <c r="P1854" s="18">
        <f>IF(I1854="L",'Financial Inputs'!$B$4,IF(I1854="M",'Financial Inputs'!$B$5,'Financial Inputs'!$B$6))</f>
        <v>0.4</v>
      </c>
      <c r="Q1854" s="17">
        <f>O1854*P1854</f>
        <v>720000</v>
      </c>
      <c r="R1854" s="16">
        <f>'Financial Inputs'!$B$7</f>
        <v>0.35</v>
      </c>
      <c r="S1854" s="17">
        <f>Q1854*(1-R1854)</f>
        <v>468000</v>
      </c>
      <c r="T1854" s="18">
        <f>S1854/'Financial Inputs'!$B$3</f>
        <v>4.6800000000000001E-3</v>
      </c>
      <c r="U1854" s="9" t="s">
        <v>52</v>
      </c>
      <c r="V1854" s="3" t="s">
        <v>53</v>
      </c>
    </row>
    <row r="1855" spans="1:22">
      <c r="A1855" s="2" t="s">
        <v>5802</v>
      </c>
      <c r="B1855" s="2" t="s">
        <v>5803</v>
      </c>
      <c r="C1855" s="2" t="s">
        <v>5643</v>
      </c>
      <c r="D1855" s="2" t="s">
        <v>72</v>
      </c>
      <c r="E1855" s="2" t="s">
        <v>116</v>
      </c>
      <c r="F1855" s="2" t="s">
        <v>74</v>
      </c>
      <c r="G1855" s="2" t="s">
        <v>75</v>
      </c>
      <c r="H1855" s="2" t="s">
        <v>2318</v>
      </c>
      <c r="I1855" s="2" t="s">
        <v>47</v>
      </c>
      <c r="J1855" s="2" t="s">
        <v>500</v>
      </c>
      <c r="K1855" s="2" t="s">
        <v>5804</v>
      </c>
      <c r="L1855" s="2" t="s">
        <v>310</v>
      </c>
      <c r="M1855" s="2" t="s">
        <v>5645</v>
      </c>
      <c r="N1855" s="16">
        <v>1.9800000000000002E-2</v>
      </c>
      <c r="O1855" s="17">
        <f>N1855*'Financial Inputs'!$B$3</f>
        <v>1980000.0000000002</v>
      </c>
      <c r="P1855" s="18">
        <f>IF(I1855="L",'Financial Inputs'!$B$4,IF(I1855="M",'Financial Inputs'!$B$5,'Financial Inputs'!$B$6))</f>
        <v>0.4</v>
      </c>
      <c r="Q1855" s="17">
        <f>O1855*P1855</f>
        <v>792000.00000000012</v>
      </c>
      <c r="R1855" s="16">
        <f>'Financial Inputs'!$B$7</f>
        <v>0.35</v>
      </c>
      <c r="S1855" s="17">
        <f>Q1855*(1-R1855)</f>
        <v>514800.00000000012</v>
      </c>
      <c r="T1855" s="18">
        <f>S1855/'Financial Inputs'!$B$3</f>
        <v>5.1480000000000015E-3</v>
      </c>
      <c r="U1855" s="9" t="s">
        <v>52</v>
      </c>
      <c r="V1855" s="3" t="s">
        <v>53</v>
      </c>
    </row>
    <row r="1856" spans="1:22">
      <c r="A1856" s="2" t="s">
        <v>5805</v>
      </c>
      <c r="B1856" s="2" t="s">
        <v>5806</v>
      </c>
      <c r="C1856" s="2" t="s">
        <v>5643</v>
      </c>
      <c r="D1856" s="2" t="s">
        <v>80</v>
      </c>
      <c r="E1856" s="2" t="s">
        <v>215</v>
      </c>
      <c r="F1856" s="2" t="s">
        <v>82</v>
      </c>
      <c r="G1856" s="2" t="s">
        <v>83</v>
      </c>
      <c r="H1856" s="2" t="s">
        <v>2318</v>
      </c>
      <c r="I1856" s="2" t="s">
        <v>47</v>
      </c>
      <c r="J1856" s="2" t="s">
        <v>500</v>
      </c>
      <c r="K1856" s="2" t="s">
        <v>5807</v>
      </c>
      <c r="L1856" s="2" t="s">
        <v>314</v>
      </c>
      <c r="M1856" s="2" t="s">
        <v>5645</v>
      </c>
      <c r="N1856" s="16">
        <v>2.1600000000000001E-2</v>
      </c>
      <c r="O1856" s="17">
        <f>N1856*'Financial Inputs'!$B$3</f>
        <v>2160000</v>
      </c>
      <c r="P1856" s="18">
        <f>IF(I1856="L",'Financial Inputs'!$B$4,IF(I1856="M",'Financial Inputs'!$B$5,'Financial Inputs'!$B$6))</f>
        <v>0.4</v>
      </c>
      <c r="Q1856" s="17">
        <f>O1856*P1856</f>
        <v>864000</v>
      </c>
      <c r="R1856" s="16">
        <f>'Financial Inputs'!$B$7</f>
        <v>0.35</v>
      </c>
      <c r="S1856" s="17">
        <f>Q1856*(1-R1856)</f>
        <v>561600</v>
      </c>
      <c r="T1856" s="18">
        <f>S1856/'Financial Inputs'!$B$3</f>
        <v>5.6160000000000003E-3</v>
      </c>
      <c r="U1856" s="9" t="s">
        <v>52</v>
      </c>
      <c r="V1856" s="3" t="s">
        <v>53</v>
      </c>
    </row>
    <row r="1857" spans="1:22">
      <c r="A1857" s="2" t="s">
        <v>5808</v>
      </c>
      <c r="B1857" s="2" t="s">
        <v>5809</v>
      </c>
      <c r="C1857" s="2" t="s">
        <v>5643</v>
      </c>
      <c r="D1857" s="2" t="s">
        <v>88</v>
      </c>
      <c r="E1857" s="2" t="s">
        <v>128</v>
      </c>
      <c r="F1857" s="2" t="s">
        <v>90</v>
      </c>
      <c r="G1857" s="2" t="s">
        <v>67</v>
      </c>
      <c r="H1857" s="2" t="s">
        <v>2318</v>
      </c>
      <c r="I1857" s="2" t="s">
        <v>47</v>
      </c>
      <c r="J1857" s="2" t="s">
        <v>500</v>
      </c>
      <c r="K1857" s="2" t="s">
        <v>5810</v>
      </c>
      <c r="L1857" s="2" t="s">
        <v>318</v>
      </c>
      <c r="M1857" s="2" t="s">
        <v>5645</v>
      </c>
      <c r="N1857" s="16">
        <v>1.44E-2</v>
      </c>
      <c r="O1857" s="17">
        <f>N1857*'Financial Inputs'!$B$3</f>
        <v>1440000</v>
      </c>
      <c r="P1857" s="18">
        <f>IF(I1857="L",'Financial Inputs'!$B$4,IF(I1857="M",'Financial Inputs'!$B$5,'Financial Inputs'!$B$6))</f>
        <v>0.4</v>
      </c>
      <c r="Q1857" s="17">
        <f>O1857*P1857</f>
        <v>576000</v>
      </c>
      <c r="R1857" s="16">
        <f>'Financial Inputs'!$B$7</f>
        <v>0.35</v>
      </c>
      <c r="S1857" s="17">
        <f>Q1857*(1-R1857)</f>
        <v>374400</v>
      </c>
      <c r="T1857" s="18">
        <f>S1857/'Financial Inputs'!$B$3</f>
        <v>3.7439999999999999E-3</v>
      </c>
      <c r="U1857" s="9" t="s">
        <v>52</v>
      </c>
      <c r="V1857" s="3" t="s">
        <v>53</v>
      </c>
    </row>
    <row r="1858" spans="1:22">
      <c r="A1858" s="2" t="s">
        <v>5811</v>
      </c>
      <c r="B1858" s="2" t="s">
        <v>5812</v>
      </c>
      <c r="C1858" s="2" t="s">
        <v>5643</v>
      </c>
      <c r="D1858" s="2" t="s">
        <v>95</v>
      </c>
      <c r="E1858" s="2" t="s">
        <v>43</v>
      </c>
      <c r="F1858" s="2" t="s">
        <v>97</v>
      </c>
      <c r="G1858" s="2" t="s">
        <v>75</v>
      </c>
      <c r="H1858" s="2" t="s">
        <v>2318</v>
      </c>
      <c r="I1858" s="2" t="s">
        <v>47</v>
      </c>
      <c r="J1858" s="2" t="s">
        <v>500</v>
      </c>
      <c r="K1858" s="2" t="s">
        <v>5813</v>
      </c>
      <c r="L1858" s="2" t="s">
        <v>322</v>
      </c>
      <c r="M1858" s="2" t="s">
        <v>5645</v>
      </c>
      <c r="N1858" s="16">
        <v>1.6199999999999999E-2</v>
      </c>
      <c r="O1858" s="17">
        <f>N1858*'Financial Inputs'!$B$3</f>
        <v>1620000</v>
      </c>
      <c r="P1858" s="18">
        <f>IF(I1858="L",'Financial Inputs'!$B$4,IF(I1858="M",'Financial Inputs'!$B$5,'Financial Inputs'!$B$6))</f>
        <v>0.4</v>
      </c>
      <c r="Q1858" s="17">
        <f>O1858*P1858</f>
        <v>648000</v>
      </c>
      <c r="R1858" s="16">
        <f>'Financial Inputs'!$B$7</f>
        <v>0.35</v>
      </c>
      <c r="S1858" s="17">
        <f>Q1858*(1-R1858)</f>
        <v>421200</v>
      </c>
      <c r="T1858" s="18">
        <f>S1858/'Financial Inputs'!$B$3</f>
        <v>4.2119999999999996E-3</v>
      </c>
      <c r="U1858" s="9" t="s">
        <v>52</v>
      </c>
      <c r="V1858" s="3" t="s">
        <v>53</v>
      </c>
    </row>
    <row r="1859" spans="1:22">
      <c r="A1859" s="2" t="s">
        <v>5814</v>
      </c>
      <c r="B1859" s="2" t="s">
        <v>5815</v>
      </c>
      <c r="C1859" s="2" t="s">
        <v>5643</v>
      </c>
      <c r="D1859" s="2" t="s">
        <v>102</v>
      </c>
      <c r="E1859" s="2" t="s">
        <v>57</v>
      </c>
      <c r="F1859" s="2" t="s">
        <v>104</v>
      </c>
      <c r="G1859" s="2" t="s">
        <v>83</v>
      </c>
      <c r="H1859" s="2" t="s">
        <v>2318</v>
      </c>
      <c r="I1859" s="2" t="s">
        <v>47</v>
      </c>
      <c r="J1859" s="2" t="s">
        <v>500</v>
      </c>
      <c r="K1859" s="2" t="s">
        <v>5816</v>
      </c>
      <c r="L1859" s="2" t="s">
        <v>326</v>
      </c>
      <c r="M1859" s="2" t="s">
        <v>5645</v>
      </c>
      <c r="N1859" s="16">
        <v>1.7999999999999999E-2</v>
      </c>
      <c r="O1859" s="17">
        <f>N1859*'Financial Inputs'!$B$3</f>
        <v>1799999.9999999998</v>
      </c>
      <c r="P1859" s="18">
        <f>IF(I1859="L",'Financial Inputs'!$B$4,IF(I1859="M",'Financial Inputs'!$B$5,'Financial Inputs'!$B$6))</f>
        <v>0.4</v>
      </c>
      <c r="Q1859" s="17">
        <f>O1859*P1859</f>
        <v>720000</v>
      </c>
      <c r="R1859" s="16">
        <f>'Financial Inputs'!$B$7</f>
        <v>0.35</v>
      </c>
      <c r="S1859" s="17">
        <f>Q1859*(1-R1859)</f>
        <v>468000</v>
      </c>
      <c r="T1859" s="18">
        <f>S1859/'Financial Inputs'!$B$3</f>
        <v>4.6800000000000001E-3</v>
      </c>
      <c r="U1859" s="9" t="s">
        <v>52</v>
      </c>
      <c r="V1859" s="3" t="s">
        <v>53</v>
      </c>
    </row>
    <row r="1860" spans="1:22">
      <c r="A1860" s="2" t="s">
        <v>5817</v>
      </c>
      <c r="B1860" s="2" t="s">
        <v>5818</v>
      </c>
      <c r="C1860" s="2" t="s">
        <v>5643</v>
      </c>
      <c r="D1860" s="2" t="s">
        <v>42</v>
      </c>
      <c r="E1860" s="2" t="s">
        <v>65</v>
      </c>
      <c r="F1860" s="2" t="s">
        <v>110</v>
      </c>
      <c r="G1860" s="2" t="s">
        <v>111</v>
      </c>
      <c r="H1860" s="2" t="s">
        <v>2318</v>
      </c>
      <c r="I1860" s="2" t="s">
        <v>47</v>
      </c>
      <c r="J1860" s="2" t="s">
        <v>500</v>
      </c>
      <c r="K1860" s="2" t="s">
        <v>5819</v>
      </c>
      <c r="L1860" s="2" t="s">
        <v>330</v>
      </c>
      <c r="M1860" s="2" t="s">
        <v>5645</v>
      </c>
      <c r="N1860" s="16">
        <v>1.9800000000000002E-2</v>
      </c>
      <c r="O1860" s="17">
        <f>N1860*'Financial Inputs'!$B$3</f>
        <v>1980000.0000000002</v>
      </c>
      <c r="P1860" s="18">
        <f>IF(I1860="L",'Financial Inputs'!$B$4,IF(I1860="M",'Financial Inputs'!$B$5,'Financial Inputs'!$B$6))</f>
        <v>0.4</v>
      </c>
      <c r="Q1860" s="17">
        <f>O1860*P1860</f>
        <v>792000.00000000012</v>
      </c>
      <c r="R1860" s="16">
        <f>'Financial Inputs'!$B$7</f>
        <v>0.35</v>
      </c>
      <c r="S1860" s="17">
        <f>Q1860*(1-R1860)</f>
        <v>514800.00000000012</v>
      </c>
      <c r="T1860" s="18">
        <f>S1860/'Financial Inputs'!$B$3</f>
        <v>5.1480000000000015E-3</v>
      </c>
      <c r="U1860" s="9" t="s">
        <v>52</v>
      </c>
      <c r="V1860" s="3" t="s">
        <v>53</v>
      </c>
    </row>
    <row r="1861" spans="1:22">
      <c r="A1861" s="2" t="s">
        <v>5820</v>
      </c>
      <c r="B1861" s="2" t="s">
        <v>5821</v>
      </c>
      <c r="C1861" s="2" t="s">
        <v>5643</v>
      </c>
      <c r="D1861" s="2" t="s">
        <v>56</v>
      </c>
      <c r="E1861" s="2" t="s">
        <v>73</v>
      </c>
      <c r="F1861" s="2" t="s">
        <v>117</v>
      </c>
      <c r="G1861" s="2" t="s">
        <v>56</v>
      </c>
      <c r="H1861" s="2" t="s">
        <v>2318</v>
      </c>
      <c r="I1861" s="2" t="s">
        <v>47</v>
      </c>
      <c r="J1861" s="2" t="s">
        <v>500</v>
      </c>
      <c r="K1861" s="2" t="s">
        <v>5822</v>
      </c>
      <c r="L1861" s="2" t="s">
        <v>334</v>
      </c>
      <c r="M1861" s="2" t="s">
        <v>5645</v>
      </c>
      <c r="N1861" s="16">
        <v>2.1600000000000001E-2</v>
      </c>
      <c r="O1861" s="17">
        <f>N1861*'Financial Inputs'!$B$3</f>
        <v>2160000</v>
      </c>
      <c r="P1861" s="18">
        <f>IF(I1861="L",'Financial Inputs'!$B$4,IF(I1861="M",'Financial Inputs'!$B$5,'Financial Inputs'!$B$6))</f>
        <v>0.4</v>
      </c>
      <c r="Q1861" s="17">
        <f>O1861*P1861</f>
        <v>864000</v>
      </c>
      <c r="R1861" s="16">
        <f>'Financial Inputs'!$B$7</f>
        <v>0.35</v>
      </c>
      <c r="S1861" s="17">
        <f>Q1861*(1-R1861)</f>
        <v>561600</v>
      </c>
      <c r="T1861" s="18">
        <f>S1861/'Financial Inputs'!$B$3</f>
        <v>5.6160000000000003E-3</v>
      </c>
      <c r="U1861" s="9" t="s">
        <v>52</v>
      </c>
      <c r="V1861" s="3" t="s">
        <v>53</v>
      </c>
    </row>
    <row r="1862" spans="1:22">
      <c r="A1862" s="2" t="s">
        <v>5823</v>
      </c>
      <c r="B1862" s="2" t="s">
        <v>5824</v>
      </c>
      <c r="C1862" s="2" t="s">
        <v>5643</v>
      </c>
      <c r="D1862" s="2" t="s">
        <v>80</v>
      </c>
      <c r="E1862" s="2" t="s">
        <v>153</v>
      </c>
      <c r="F1862" s="2" t="s">
        <v>58</v>
      </c>
      <c r="G1862" s="2" t="s">
        <v>83</v>
      </c>
      <c r="H1862" s="2" t="s">
        <v>2318</v>
      </c>
      <c r="I1862" s="2" t="s">
        <v>47</v>
      </c>
      <c r="J1862" s="2" t="s">
        <v>500</v>
      </c>
      <c r="K1862" s="2" t="s">
        <v>5825</v>
      </c>
      <c r="L1862" s="2" t="s">
        <v>338</v>
      </c>
      <c r="M1862" s="2" t="s">
        <v>5645</v>
      </c>
      <c r="N1862" s="16">
        <v>1.44E-2</v>
      </c>
      <c r="O1862" s="17">
        <f>N1862*'Financial Inputs'!$B$3</f>
        <v>1440000</v>
      </c>
      <c r="P1862" s="18">
        <f>IF(I1862="L",'Financial Inputs'!$B$4,IF(I1862="M",'Financial Inputs'!$B$5,'Financial Inputs'!$B$6))</f>
        <v>0.4</v>
      </c>
      <c r="Q1862" s="17">
        <f>O1862*P1862</f>
        <v>576000</v>
      </c>
      <c r="R1862" s="16">
        <f>'Financial Inputs'!$B$7</f>
        <v>0.35</v>
      </c>
      <c r="S1862" s="17">
        <f>Q1862*(1-R1862)</f>
        <v>374400</v>
      </c>
      <c r="T1862" s="18">
        <f>S1862/'Financial Inputs'!$B$3</f>
        <v>3.7439999999999999E-3</v>
      </c>
      <c r="U1862" s="9" t="s">
        <v>52</v>
      </c>
      <c r="V1862" s="3" t="s">
        <v>53</v>
      </c>
    </row>
    <row r="1863" spans="1:22">
      <c r="A1863" s="2" t="s">
        <v>5826</v>
      </c>
      <c r="B1863" s="2" t="s">
        <v>5827</v>
      </c>
      <c r="C1863" s="2" t="s">
        <v>5643</v>
      </c>
      <c r="D1863" s="2" t="s">
        <v>127</v>
      </c>
      <c r="E1863" s="2" t="s">
        <v>89</v>
      </c>
      <c r="F1863" s="2" t="s">
        <v>66</v>
      </c>
      <c r="G1863" s="2" t="s">
        <v>111</v>
      </c>
      <c r="H1863" s="2" t="s">
        <v>2318</v>
      </c>
      <c r="I1863" s="2" t="s">
        <v>47</v>
      </c>
      <c r="J1863" s="2" t="s">
        <v>500</v>
      </c>
      <c r="K1863" s="2" t="s">
        <v>5828</v>
      </c>
      <c r="L1863" s="2" t="s">
        <v>342</v>
      </c>
      <c r="M1863" s="2" t="s">
        <v>5645</v>
      </c>
      <c r="N1863" s="16">
        <v>1.6199999999999999E-2</v>
      </c>
      <c r="O1863" s="17">
        <f>N1863*'Financial Inputs'!$B$3</f>
        <v>1620000</v>
      </c>
      <c r="P1863" s="18">
        <f>IF(I1863="L",'Financial Inputs'!$B$4,IF(I1863="M",'Financial Inputs'!$B$5,'Financial Inputs'!$B$6))</f>
        <v>0.4</v>
      </c>
      <c r="Q1863" s="17">
        <f>O1863*P1863</f>
        <v>648000</v>
      </c>
      <c r="R1863" s="16">
        <f>'Financial Inputs'!$B$7</f>
        <v>0.35</v>
      </c>
      <c r="S1863" s="17">
        <f>Q1863*(1-R1863)</f>
        <v>421200</v>
      </c>
      <c r="T1863" s="18">
        <f>S1863/'Financial Inputs'!$B$3</f>
        <v>4.2119999999999996E-3</v>
      </c>
      <c r="U1863" s="9" t="s">
        <v>52</v>
      </c>
      <c r="V1863" s="3" t="s">
        <v>53</v>
      </c>
    </row>
    <row r="1864" spans="1:22">
      <c r="A1864" s="2" t="s">
        <v>5829</v>
      </c>
      <c r="B1864" s="2" t="s">
        <v>5830</v>
      </c>
      <c r="C1864" s="2" t="s">
        <v>5643</v>
      </c>
      <c r="D1864" s="2" t="s">
        <v>133</v>
      </c>
      <c r="E1864" s="2" t="s">
        <v>96</v>
      </c>
      <c r="F1864" s="2" t="s">
        <v>74</v>
      </c>
      <c r="G1864" s="2" t="s">
        <v>56</v>
      </c>
      <c r="H1864" s="2" t="s">
        <v>2318</v>
      </c>
      <c r="I1864" s="2" t="s">
        <v>47</v>
      </c>
      <c r="J1864" s="2" t="s">
        <v>500</v>
      </c>
      <c r="K1864" s="2" t="s">
        <v>5831</v>
      </c>
      <c r="L1864" s="2" t="s">
        <v>346</v>
      </c>
      <c r="M1864" s="2" t="s">
        <v>5645</v>
      </c>
      <c r="N1864" s="16">
        <v>1.7999999999999999E-2</v>
      </c>
      <c r="O1864" s="17">
        <f>N1864*'Financial Inputs'!$B$3</f>
        <v>1799999.9999999998</v>
      </c>
      <c r="P1864" s="18">
        <f>IF(I1864="L",'Financial Inputs'!$B$4,IF(I1864="M",'Financial Inputs'!$B$5,'Financial Inputs'!$B$6))</f>
        <v>0.4</v>
      </c>
      <c r="Q1864" s="17">
        <f>O1864*P1864</f>
        <v>720000</v>
      </c>
      <c r="R1864" s="16">
        <f>'Financial Inputs'!$B$7</f>
        <v>0.35</v>
      </c>
      <c r="S1864" s="17">
        <f>Q1864*(1-R1864)</f>
        <v>468000</v>
      </c>
      <c r="T1864" s="18">
        <f>S1864/'Financial Inputs'!$B$3</f>
        <v>4.6800000000000001E-3</v>
      </c>
      <c r="U1864" s="9" t="s">
        <v>52</v>
      </c>
      <c r="V1864" s="3" t="s">
        <v>53</v>
      </c>
    </row>
    <row r="1865" spans="1:22">
      <c r="A1865" s="2" t="s">
        <v>5832</v>
      </c>
      <c r="B1865" s="2" t="s">
        <v>5833</v>
      </c>
      <c r="C1865" s="2" t="s">
        <v>5643</v>
      </c>
      <c r="D1865" s="2" t="s">
        <v>88</v>
      </c>
      <c r="E1865" s="2" t="s">
        <v>103</v>
      </c>
      <c r="F1865" s="2" t="s">
        <v>82</v>
      </c>
      <c r="G1865" s="2" t="s">
        <v>138</v>
      </c>
      <c r="H1865" s="2" t="s">
        <v>2318</v>
      </c>
      <c r="I1865" s="2" t="s">
        <v>47</v>
      </c>
      <c r="J1865" s="2" t="s">
        <v>500</v>
      </c>
      <c r="K1865" s="2" t="s">
        <v>5834</v>
      </c>
      <c r="L1865" s="2" t="s">
        <v>350</v>
      </c>
      <c r="M1865" s="2" t="s">
        <v>5645</v>
      </c>
      <c r="N1865" s="16">
        <v>1.9800000000000002E-2</v>
      </c>
      <c r="O1865" s="17">
        <f>N1865*'Financial Inputs'!$B$3</f>
        <v>1980000.0000000002</v>
      </c>
      <c r="P1865" s="18">
        <f>IF(I1865="L",'Financial Inputs'!$B$4,IF(I1865="M",'Financial Inputs'!$B$5,'Financial Inputs'!$B$6))</f>
        <v>0.4</v>
      </c>
      <c r="Q1865" s="17">
        <f>O1865*P1865</f>
        <v>792000.00000000012</v>
      </c>
      <c r="R1865" s="16">
        <f>'Financial Inputs'!$B$7</f>
        <v>0.35</v>
      </c>
      <c r="S1865" s="17">
        <f>Q1865*(1-R1865)</f>
        <v>514800.00000000012</v>
      </c>
      <c r="T1865" s="18">
        <f>S1865/'Financial Inputs'!$B$3</f>
        <v>5.1480000000000015E-3</v>
      </c>
      <c r="U1865" s="9" t="s">
        <v>52</v>
      </c>
      <c r="V1865" s="3" t="s">
        <v>53</v>
      </c>
    </row>
    <row r="1866" spans="1:22">
      <c r="A1866" s="2" t="s">
        <v>5835</v>
      </c>
      <c r="B1866" s="2" t="s">
        <v>5836</v>
      </c>
      <c r="C1866" s="2" t="s">
        <v>5643</v>
      </c>
      <c r="D1866" s="2" t="s">
        <v>95</v>
      </c>
      <c r="E1866" s="2" t="s">
        <v>109</v>
      </c>
      <c r="F1866" s="2" t="s">
        <v>44</v>
      </c>
      <c r="G1866" s="2" t="s">
        <v>143</v>
      </c>
      <c r="H1866" s="2" t="s">
        <v>2318</v>
      </c>
      <c r="I1866" s="2" t="s">
        <v>47</v>
      </c>
      <c r="J1866" s="2" t="s">
        <v>500</v>
      </c>
      <c r="K1866" s="2" t="s">
        <v>5837</v>
      </c>
      <c r="L1866" s="2" t="s">
        <v>354</v>
      </c>
      <c r="M1866" s="2" t="s">
        <v>5645</v>
      </c>
      <c r="N1866" s="16">
        <v>2.1600000000000001E-2</v>
      </c>
      <c r="O1866" s="17">
        <f>N1866*'Financial Inputs'!$B$3</f>
        <v>2160000</v>
      </c>
      <c r="P1866" s="18">
        <f>IF(I1866="L",'Financial Inputs'!$B$4,IF(I1866="M",'Financial Inputs'!$B$5,'Financial Inputs'!$B$6))</f>
        <v>0.4</v>
      </c>
      <c r="Q1866" s="17">
        <f>O1866*P1866</f>
        <v>864000</v>
      </c>
      <c r="R1866" s="16">
        <f>'Financial Inputs'!$B$7</f>
        <v>0.35</v>
      </c>
      <c r="S1866" s="17">
        <f>Q1866*(1-R1866)</f>
        <v>561600</v>
      </c>
      <c r="T1866" s="18">
        <f>S1866/'Financial Inputs'!$B$3</f>
        <v>5.6160000000000003E-3</v>
      </c>
      <c r="U1866" s="9" t="s">
        <v>52</v>
      </c>
      <c r="V1866" s="3" t="s">
        <v>53</v>
      </c>
    </row>
    <row r="1867" spans="1:22">
      <c r="A1867" s="2" t="s">
        <v>5838</v>
      </c>
      <c r="B1867" s="2" t="s">
        <v>5839</v>
      </c>
      <c r="C1867" s="2" t="s">
        <v>5643</v>
      </c>
      <c r="D1867" s="2" t="s">
        <v>56</v>
      </c>
      <c r="E1867" s="2" t="s">
        <v>176</v>
      </c>
      <c r="F1867" s="2" t="s">
        <v>97</v>
      </c>
      <c r="G1867" s="2" t="s">
        <v>56</v>
      </c>
      <c r="H1867" s="2" t="s">
        <v>2318</v>
      </c>
      <c r="I1867" s="2" t="s">
        <v>47</v>
      </c>
      <c r="J1867" s="2" t="s">
        <v>500</v>
      </c>
      <c r="K1867" s="2" t="s">
        <v>5840</v>
      </c>
      <c r="L1867" s="2" t="s">
        <v>358</v>
      </c>
      <c r="M1867" s="2" t="s">
        <v>5645</v>
      </c>
      <c r="N1867" s="16">
        <v>1.44E-2</v>
      </c>
      <c r="O1867" s="17">
        <f>N1867*'Financial Inputs'!$B$3</f>
        <v>1440000</v>
      </c>
      <c r="P1867" s="18">
        <f>IF(I1867="L",'Financial Inputs'!$B$4,IF(I1867="M",'Financial Inputs'!$B$5,'Financial Inputs'!$B$6))</f>
        <v>0.4</v>
      </c>
      <c r="Q1867" s="17">
        <f>O1867*P1867</f>
        <v>576000</v>
      </c>
      <c r="R1867" s="16">
        <f>'Financial Inputs'!$B$7</f>
        <v>0.35</v>
      </c>
      <c r="S1867" s="17">
        <f>Q1867*(1-R1867)</f>
        <v>374400</v>
      </c>
      <c r="T1867" s="18">
        <f>S1867/'Financial Inputs'!$B$3</f>
        <v>3.7439999999999999E-3</v>
      </c>
      <c r="U1867" s="9" t="s">
        <v>52</v>
      </c>
      <c r="V1867" s="3" t="s">
        <v>53</v>
      </c>
    </row>
    <row r="1868" spans="1:22">
      <c r="A1868" s="2" t="s">
        <v>5841</v>
      </c>
      <c r="B1868" s="2" t="s">
        <v>5842</v>
      </c>
      <c r="C1868" s="2" t="s">
        <v>5643</v>
      </c>
      <c r="D1868" s="2" t="s">
        <v>64</v>
      </c>
      <c r="E1868" s="2" t="s">
        <v>122</v>
      </c>
      <c r="F1868" s="2" t="s">
        <v>104</v>
      </c>
      <c r="G1868" s="2" t="s">
        <v>138</v>
      </c>
      <c r="H1868" s="2" t="s">
        <v>2318</v>
      </c>
      <c r="I1868" s="2" t="s">
        <v>47</v>
      </c>
      <c r="J1868" s="2" t="s">
        <v>500</v>
      </c>
      <c r="K1868" s="2" t="s">
        <v>5843</v>
      </c>
      <c r="L1868" s="2" t="s">
        <v>362</v>
      </c>
      <c r="M1868" s="2" t="s">
        <v>5645</v>
      </c>
      <c r="N1868" s="16">
        <v>1.6199999999999999E-2</v>
      </c>
      <c r="O1868" s="17">
        <f>N1868*'Financial Inputs'!$B$3</f>
        <v>1620000</v>
      </c>
      <c r="P1868" s="18">
        <f>IF(I1868="L",'Financial Inputs'!$B$4,IF(I1868="M",'Financial Inputs'!$B$5,'Financial Inputs'!$B$6))</f>
        <v>0.4</v>
      </c>
      <c r="Q1868" s="17">
        <f>O1868*P1868</f>
        <v>648000</v>
      </c>
      <c r="R1868" s="16">
        <f>'Financial Inputs'!$B$7</f>
        <v>0.35</v>
      </c>
      <c r="S1868" s="17">
        <f>Q1868*(1-R1868)</f>
        <v>421200</v>
      </c>
      <c r="T1868" s="18">
        <f>S1868/'Financial Inputs'!$B$3</f>
        <v>4.2119999999999996E-3</v>
      </c>
      <c r="U1868" s="9" t="s">
        <v>52</v>
      </c>
      <c r="V1868" s="3" t="s">
        <v>53</v>
      </c>
    </row>
    <row r="1869" spans="1:22">
      <c r="A1869" s="2" t="s">
        <v>5844</v>
      </c>
      <c r="B1869" s="2" t="s">
        <v>5845</v>
      </c>
      <c r="C1869" s="2" t="s">
        <v>5643</v>
      </c>
      <c r="D1869" s="2" t="s">
        <v>72</v>
      </c>
      <c r="E1869" s="2" t="s">
        <v>128</v>
      </c>
      <c r="F1869" s="2" t="s">
        <v>110</v>
      </c>
      <c r="G1869" s="2" t="s">
        <v>143</v>
      </c>
      <c r="H1869" s="2" t="s">
        <v>2318</v>
      </c>
      <c r="I1869" s="2" t="s">
        <v>47</v>
      </c>
      <c r="J1869" s="2" t="s">
        <v>500</v>
      </c>
      <c r="K1869" s="2" t="s">
        <v>5846</v>
      </c>
      <c r="L1869" s="2" t="s">
        <v>366</v>
      </c>
      <c r="M1869" s="2" t="s">
        <v>5645</v>
      </c>
      <c r="N1869" s="16">
        <v>1.7999999999999999E-2</v>
      </c>
      <c r="O1869" s="17">
        <f>N1869*'Financial Inputs'!$B$3</f>
        <v>1799999.9999999998</v>
      </c>
      <c r="P1869" s="18">
        <f>IF(I1869="L",'Financial Inputs'!$B$4,IF(I1869="M",'Financial Inputs'!$B$5,'Financial Inputs'!$B$6))</f>
        <v>0.4</v>
      </c>
      <c r="Q1869" s="17">
        <f>O1869*P1869</f>
        <v>720000</v>
      </c>
      <c r="R1869" s="16">
        <f>'Financial Inputs'!$B$7</f>
        <v>0.35</v>
      </c>
      <c r="S1869" s="17">
        <f>Q1869*(1-R1869)</f>
        <v>468000</v>
      </c>
      <c r="T1869" s="18">
        <f>S1869/'Financial Inputs'!$B$3</f>
        <v>4.6800000000000001E-3</v>
      </c>
      <c r="U1869" s="9" t="s">
        <v>52</v>
      </c>
      <c r="V1869" s="3" t="s">
        <v>53</v>
      </c>
    </row>
    <row r="1870" spans="1:22">
      <c r="A1870" s="2" t="s">
        <v>5847</v>
      </c>
      <c r="B1870" s="2" t="s">
        <v>5848</v>
      </c>
      <c r="C1870" s="2" t="s">
        <v>5643</v>
      </c>
      <c r="D1870" s="2" t="s">
        <v>80</v>
      </c>
      <c r="E1870" s="2" t="s">
        <v>43</v>
      </c>
      <c r="F1870" s="2" t="s">
        <v>117</v>
      </c>
      <c r="G1870" s="2" t="s">
        <v>162</v>
      </c>
      <c r="H1870" s="2" t="s">
        <v>2318</v>
      </c>
      <c r="I1870" s="2" t="s">
        <v>47</v>
      </c>
      <c r="J1870" s="2" t="s">
        <v>500</v>
      </c>
      <c r="K1870" s="2" t="s">
        <v>5849</v>
      </c>
      <c r="L1870" s="2" t="s">
        <v>370</v>
      </c>
      <c r="M1870" s="2" t="s">
        <v>5645</v>
      </c>
      <c r="N1870" s="16">
        <v>1.9800000000000002E-2</v>
      </c>
      <c r="O1870" s="17">
        <f>N1870*'Financial Inputs'!$B$3</f>
        <v>1980000.0000000002</v>
      </c>
      <c r="P1870" s="18">
        <f>IF(I1870="L",'Financial Inputs'!$B$4,IF(I1870="M",'Financial Inputs'!$B$5,'Financial Inputs'!$B$6))</f>
        <v>0.4</v>
      </c>
      <c r="Q1870" s="17">
        <f>O1870*P1870</f>
        <v>792000.00000000012</v>
      </c>
      <c r="R1870" s="16">
        <f>'Financial Inputs'!$B$7</f>
        <v>0.35</v>
      </c>
      <c r="S1870" s="17">
        <f>Q1870*(1-R1870)</f>
        <v>514800.00000000012</v>
      </c>
      <c r="T1870" s="18">
        <f>S1870/'Financial Inputs'!$B$3</f>
        <v>5.1480000000000015E-3</v>
      </c>
      <c r="U1870" s="9" t="s">
        <v>52</v>
      </c>
      <c r="V1870" s="3" t="s">
        <v>53</v>
      </c>
    </row>
    <row r="1871" spans="1:22">
      <c r="A1871" s="2" t="s">
        <v>5850</v>
      </c>
      <c r="B1871" s="2" t="s">
        <v>5851</v>
      </c>
      <c r="C1871" s="2" t="s">
        <v>5643</v>
      </c>
      <c r="D1871" s="2" t="s">
        <v>127</v>
      </c>
      <c r="E1871" s="2" t="s">
        <v>57</v>
      </c>
      <c r="F1871" s="2" t="s">
        <v>90</v>
      </c>
      <c r="G1871" s="2" t="s">
        <v>45</v>
      </c>
      <c r="H1871" s="2" t="s">
        <v>2318</v>
      </c>
      <c r="I1871" s="2" t="s">
        <v>47</v>
      </c>
      <c r="J1871" s="2" t="s">
        <v>500</v>
      </c>
      <c r="K1871" s="2" t="s">
        <v>5852</v>
      </c>
      <c r="L1871" s="2" t="s">
        <v>374</v>
      </c>
      <c r="M1871" s="2" t="s">
        <v>5645</v>
      </c>
      <c r="N1871" s="16">
        <v>2.1600000000000001E-2</v>
      </c>
      <c r="O1871" s="17">
        <f>N1871*'Financial Inputs'!$B$3</f>
        <v>2160000</v>
      </c>
      <c r="P1871" s="18">
        <f>IF(I1871="L",'Financial Inputs'!$B$4,IF(I1871="M",'Financial Inputs'!$B$5,'Financial Inputs'!$B$6))</f>
        <v>0.4</v>
      </c>
      <c r="Q1871" s="17">
        <f>O1871*P1871</f>
        <v>864000</v>
      </c>
      <c r="R1871" s="16">
        <f>'Financial Inputs'!$B$7</f>
        <v>0.35</v>
      </c>
      <c r="S1871" s="17">
        <f>Q1871*(1-R1871)</f>
        <v>561600</v>
      </c>
      <c r="T1871" s="18">
        <f>S1871/'Financial Inputs'!$B$3</f>
        <v>5.6160000000000003E-3</v>
      </c>
      <c r="U1871" s="9" t="s">
        <v>52</v>
      </c>
      <c r="V1871" s="3" t="s">
        <v>53</v>
      </c>
    </row>
    <row r="1872" spans="1:22">
      <c r="A1872" s="2" t="s">
        <v>5853</v>
      </c>
      <c r="B1872" s="2" t="s">
        <v>5854</v>
      </c>
      <c r="C1872" s="2" t="s">
        <v>5643</v>
      </c>
      <c r="D1872" s="2" t="s">
        <v>95</v>
      </c>
      <c r="E1872" s="2" t="s">
        <v>198</v>
      </c>
      <c r="F1872" s="2" t="s">
        <v>66</v>
      </c>
      <c r="G1872" s="2" t="s">
        <v>143</v>
      </c>
      <c r="H1872" s="2" t="s">
        <v>2318</v>
      </c>
      <c r="I1872" s="2" t="s">
        <v>47</v>
      </c>
      <c r="J1872" s="2" t="s">
        <v>500</v>
      </c>
      <c r="K1872" s="2" t="s">
        <v>5855</v>
      </c>
      <c r="L1872" s="2" t="s">
        <v>378</v>
      </c>
      <c r="M1872" s="2" t="s">
        <v>5645</v>
      </c>
      <c r="N1872" s="16">
        <v>1.44E-2</v>
      </c>
      <c r="O1872" s="17">
        <f>N1872*'Financial Inputs'!$B$3</f>
        <v>1440000</v>
      </c>
      <c r="P1872" s="18">
        <f>IF(I1872="L",'Financial Inputs'!$B$4,IF(I1872="M",'Financial Inputs'!$B$5,'Financial Inputs'!$B$6))</f>
        <v>0.4</v>
      </c>
      <c r="Q1872" s="17">
        <f>O1872*P1872</f>
        <v>576000</v>
      </c>
      <c r="R1872" s="16">
        <f>'Financial Inputs'!$B$7</f>
        <v>0.35</v>
      </c>
      <c r="S1872" s="17">
        <f>Q1872*(1-R1872)</f>
        <v>374400</v>
      </c>
      <c r="T1872" s="18">
        <f>S1872/'Financial Inputs'!$B$3</f>
        <v>3.7439999999999999E-3</v>
      </c>
      <c r="U1872" s="9" t="s">
        <v>52</v>
      </c>
      <c r="V1872" s="3" t="s">
        <v>53</v>
      </c>
    </row>
    <row r="1873" spans="1:22">
      <c r="A1873" s="2" t="s">
        <v>5856</v>
      </c>
      <c r="B1873" s="2" t="s">
        <v>5857</v>
      </c>
      <c r="C1873" s="2" t="s">
        <v>5643</v>
      </c>
      <c r="D1873" s="2" t="s">
        <v>102</v>
      </c>
      <c r="E1873" s="2" t="s">
        <v>148</v>
      </c>
      <c r="F1873" s="2" t="s">
        <v>74</v>
      </c>
      <c r="G1873" s="2" t="s">
        <v>162</v>
      </c>
      <c r="H1873" s="2" t="s">
        <v>2318</v>
      </c>
      <c r="I1873" s="2" t="s">
        <v>47</v>
      </c>
      <c r="J1873" s="2" t="s">
        <v>500</v>
      </c>
      <c r="K1873" s="2" t="s">
        <v>5858</v>
      </c>
      <c r="L1873" s="2" t="s">
        <v>382</v>
      </c>
      <c r="M1873" s="2" t="s">
        <v>5645</v>
      </c>
      <c r="N1873" s="16">
        <v>1.6199999999999999E-2</v>
      </c>
      <c r="O1873" s="17">
        <f>N1873*'Financial Inputs'!$B$3</f>
        <v>1620000</v>
      </c>
      <c r="P1873" s="18">
        <f>IF(I1873="L",'Financial Inputs'!$B$4,IF(I1873="M",'Financial Inputs'!$B$5,'Financial Inputs'!$B$6))</f>
        <v>0.4</v>
      </c>
      <c r="Q1873" s="17">
        <f>O1873*P1873</f>
        <v>648000</v>
      </c>
      <c r="R1873" s="16">
        <f>'Financial Inputs'!$B$7</f>
        <v>0.35</v>
      </c>
      <c r="S1873" s="17">
        <f>Q1873*(1-R1873)</f>
        <v>421200</v>
      </c>
      <c r="T1873" s="18">
        <f>S1873/'Financial Inputs'!$B$3</f>
        <v>4.2119999999999996E-3</v>
      </c>
      <c r="U1873" s="9" t="s">
        <v>52</v>
      </c>
      <c r="V1873" s="3" t="s">
        <v>53</v>
      </c>
    </row>
    <row r="1874" spans="1:22">
      <c r="A1874" s="2" t="s">
        <v>5859</v>
      </c>
      <c r="B1874" s="2" t="s">
        <v>5860</v>
      </c>
      <c r="C1874" s="2" t="s">
        <v>5643</v>
      </c>
      <c r="D1874" s="2" t="s">
        <v>42</v>
      </c>
      <c r="E1874" s="2" t="s">
        <v>153</v>
      </c>
      <c r="F1874" s="2" t="s">
        <v>82</v>
      </c>
      <c r="G1874" s="2" t="s">
        <v>45</v>
      </c>
      <c r="H1874" s="2" t="s">
        <v>2318</v>
      </c>
      <c r="I1874" s="2" t="s">
        <v>47</v>
      </c>
      <c r="J1874" s="2" t="s">
        <v>500</v>
      </c>
      <c r="K1874" s="2" t="s">
        <v>5861</v>
      </c>
      <c r="L1874" s="2" t="s">
        <v>386</v>
      </c>
      <c r="M1874" s="2" t="s">
        <v>5645</v>
      </c>
      <c r="N1874" s="16">
        <v>1.7999999999999999E-2</v>
      </c>
      <c r="O1874" s="17">
        <f>N1874*'Financial Inputs'!$B$3</f>
        <v>1799999.9999999998</v>
      </c>
      <c r="P1874" s="18">
        <f>IF(I1874="L",'Financial Inputs'!$B$4,IF(I1874="M",'Financial Inputs'!$B$5,'Financial Inputs'!$B$6))</f>
        <v>0.4</v>
      </c>
      <c r="Q1874" s="17">
        <f>O1874*P1874</f>
        <v>720000</v>
      </c>
      <c r="R1874" s="16">
        <f>'Financial Inputs'!$B$7</f>
        <v>0.35</v>
      </c>
      <c r="S1874" s="17">
        <f>Q1874*(1-R1874)</f>
        <v>468000</v>
      </c>
      <c r="T1874" s="18">
        <f>S1874/'Financial Inputs'!$B$3</f>
        <v>4.6800000000000001E-3</v>
      </c>
      <c r="U1874" s="9" t="s">
        <v>52</v>
      </c>
      <c r="V1874" s="3" t="s">
        <v>53</v>
      </c>
    </row>
    <row r="1875" spans="1:22">
      <c r="A1875" s="2" t="s">
        <v>5862</v>
      </c>
      <c r="B1875" s="2" t="s">
        <v>5863</v>
      </c>
      <c r="C1875" s="2" t="s">
        <v>5643</v>
      </c>
      <c r="D1875" s="2" t="s">
        <v>56</v>
      </c>
      <c r="E1875" s="2" t="s">
        <v>89</v>
      </c>
      <c r="F1875" s="2" t="s">
        <v>44</v>
      </c>
      <c r="G1875" s="2" t="s">
        <v>59</v>
      </c>
      <c r="H1875" s="2" t="s">
        <v>2318</v>
      </c>
      <c r="I1875" s="2" t="s">
        <v>47</v>
      </c>
      <c r="J1875" s="2" t="s">
        <v>500</v>
      </c>
      <c r="K1875" s="2" t="s">
        <v>5864</v>
      </c>
      <c r="L1875" s="2" t="s">
        <v>390</v>
      </c>
      <c r="M1875" s="2" t="s">
        <v>5645</v>
      </c>
      <c r="N1875" s="16">
        <v>1.9800000000000002E-2</v>
      </c>
      <c r="O1875" s="17">
        <f>N1875*'Financial Inputs'!$B$3</f>
        <v>1980000.0000000002</v>
      </c>
      <c r="P1875" s="18">
        <f>IF(I1875="L",'Financial Inputs'!$B$4,IF(I1875="M",'Financial Inputs'!$B$5,'Financial Inputs'!$B$6))</f>
        <v>0.4</v>
      </c>
      <c r="Q1875" s="17">
        <f>O1875*P1875</f>
        <v>792000.00000000012</v>
      </c>
      <c r="R1875" s="16">
        <f>'Financial Inputs'!$B$7</f>
        <v>0.35</v>
      </c>
      <c r="S1875" s="17">
        <f>Q1875*(1-R1875)</f>
        <v>514800.00000000012</v>
      </c>
      <c r="T1875" s="18">
        <f>S1875/'Financial Inputs'!$B$3</f>
        <v>5.1480000000000015E-3</v>
      </c>
      <c r="U1875" s="9" t="s">
        <v>52</v>
      </c>
      <c r="V1875" s="3" t="s">
        <v>53</v>
      </c>
    </row>
    <row r="1876" spans="1:22">
      <c r="A1876" s="2" t="s">
        <v>5865</v>
      </c>
      <c r="B1876" s="2" t="s">
        <v>5866</v>
      </c>
      <c r="C1876" s="2" t="s">
        <v>5643</v>
      </c>
      <c r="D1876" s="2" t="s">
        <v>64</v>
      </c>
      <c r="E1876" s="2" t="s">
        <v>96</v>
      </c>
      <c r="F1876" s="2" t="s">
        <v>58</v>
      </c>
      <c r="G1876" s="2" t="s">
        <v>67</v>
      </c>
      <c r="H1876" s="2" t="s">
        <v>2318</v>
      </c>
      <c r="I1876" s="2" t="s">
        <v>47</v>
      </c>
      <c r="J1876" s="2" t="s">
        <v>500</v>
      </c>
      <c r="K1876" s="2" t="s">
        <v>5867</v>
      </c>
      <c r="L1876" s="2" t="s">
        <v>394</v>
      </c>
      <c r="M1876" s="2" t="s">
        <v>5645</v>
      </c>
      <c r="N1876" s="16">
        <v>2.1600000000000001E-2</v>
      </c>
      <c r="O1876" s="17">
        <f>N1876*'Financial Inputs'!$B$3</f>
        <v>2160000</v>
      </c>
      <c r="P1876" s="18">
        <f>IF(I1876="L",'Financial Inputs'!$B$4,IF(I1876="M",'Financial Inputs'!$B$5,'Financial Inputs'!$B$6))</f>
        <v>0.4</v>
      </c>
      <c r="Q1876" s="17">
        <f>O1876*P1876</f>
        <v>864000</v>
      </c>
      <c r="R1876" s="16">
        <f>'Financial Inputs'!$B$7</f>
        <v>0.35</v>
      </c>
      <c r="S1876" s="17">
        <f>Q1876*(1-R1876)</f>
        <v>561600</v>
      </c>
      <c r="T1876" s="18">
        <f>S1876/'Financial Inputs'!$B$3</f>
        <v>5.6160000000000003E-3</v>
      </c>
      <c r="U1876" s="9" t="s">
        <v>52</v>
      </c>
      <c r="V1876" s="3" t="s">
        <v>53</v>
      </c>
    </row>
    <row r="1877" spans="1:22">
      <c r="A1877" s="2" t="s">
        <v>5868</v>
      </c>
      <c r="B1877" s="2" t="s">
        <v>5869</v>
      </c>
      <c r="C1877" s="2" t="s">
        <v>5643</v>
      </c>
      <c r="D1877" s="2" t="s">
        <v>127</v>
      </c>
      <c r="E1877" s="2" t="s">
        <v>220</v>
      </c>
      <c r="F1877" s="2" t="s">
        <v>104</v>
      </c>
      <c r="G1877" s="2" t="s">
        <v>45</v>
      </c>
      <c r="H1877" s="2" t="s">
        <v>2318</v>
      </c>
      <c r="I1877" s="2" t="s">
        <v>47</v>
      </c>
      <c r="J1877" s="2" t="s">
        <v>500</v>
      </c>
      <c r="K1877" s="2" t="s">
        <v>5870</v>
      </c>
      <c r="L1877" s="2" t="s">
        <v>398</v>
      </c>
      <c r="M1877" s="2" t="s">
        <v>5645</v>
      </c>
      <c r="N1877" s="16">
        <v>1.44E-2</v>
      </c>
      <c r="O1877" s="17">
        <f>N1877*'Financial Inputs'!$B$3</f>
        <v>1440000</v>
      </c>
      <c r="P1877" s="18">
        <f>IF(I1877="L",'Financial Inputs'!$B$4,IF(I1877="M",'Financial Inputs'!$B$5,'Financial Inputs'!$B$6))</f>
        <v>0.4</v>
      </c>
      <c r="Q1877" s="17">
        <f>O1877*P1877</f>
        <v>576000</v>
      </c>
      <c r="R1877" s="16">
        <f>'Financial Inputs'!$B$7</f>
        <v>0.35</v>
      </c>
      <c r="S1877" s="17">
        <f>Q1877*(1-R1877)</f>
        <v>374400</v>
      </c>
      <c r="T1877" s="18">
        <f>S1877/'Financial Inputs'!$B$3</f>
        <v>3.7439999999999999E-3</v>
      </c>
      <c r="U1877" s="9" t="s">
        <v>52</v>
      </c>
      <c r="V1877" s="3" t="s">
        <v>53</v>
      </c>
    </row>
    <row r="1878" spans="1:22">
      <c r="A1878" s="2" t="s">
        <v>5871</v>
      </c>
      <c r="B1878" s="2" t="s">
        <v>5872</v>
      </c>
      <c r="C1878" s="2" t="s">
        <v>5643</v>
      </c>
      <c r="D1878" s="2" t="s">
        <v>133</v>
      </c>
      <c r="E1878" s="2" t="s">
        <v>171</v>
      </c>
      <c r="F1878" s="2" t="s">
        <v>110</v>
      </c>
      <c r="G1878" s="2" t="s">
        <v>59</v>
      </c>
      <c r="H1878" s="2" t="s">
        <v>2318</v>
      </c>
      <c r="I1878" s="2" t="s">
        <v>47</v>
      </c>
      <c r="J1878" s="2" t="s">
        <v>500</v>
      </c>
      <c r="K1878" s="2" t="s">
        <v>5873</v>
      </c>
      <c r="L1878" s="2" t="s">
        <v>402</v>
      </c>
      <c r="M1878" s="2" t="s">
        <v>5645</v>
      </c>
      <c r="N1878" s="16">
        <v>1.6199999999999999E-2</v>
      </c>
      <c r="O1878" s="17">
        <f>N1878*'Financial Inputs'!$B$3</f>
        <v>1620000</v>
      </c>
      <c r="P1878" s="18">
        <f>IF(I1878="L",'Financial Inputs'!$B$4,IF(I1878="M",'Financial Inputs'!$B$5,'Financial Inputs'!$B$6))</f>
        <v>0.4</v>
      </c>
      <c r="Q1878" s="17">
        <f>O1878*P1878</f>
        <v>648000</v>
      </c>
      <c r="R1878" s="16">
        <f>'Financial Inputs'!$B$7</f>
        <v>0.35</v>
      </c>
      <c r="S1878" s="17">
        <f>Q1878*(1-R1878)</f>
        <v>421200</v>
      </c>
      <c r="T1878" s="18">
        <f>S1878/'Financial Inputs'!$B$3</f>
        <v>4.2119999999999996E-3</v>
      </c>
      <c r="U1878" s="9" t="s">
        <v>52</v>
      </c>
      <c r="V1878" s="3" t="s">
        <v>53</v>
      </c>
    </row>
    <row r="1879" spans="1:22">
      <c r="A1879" s="2" t="s">
        <v>5874</v>
      </c>
      <c r="B1879" s="2" t="s">
        <v>5875</v>
      </c>
      <c r="C1879" s="2" t="s">
        <v>5643</v>
      </c>
      <c r="D1879" s="2" t="s">
        <v>88</v>
      </c>
      <c r="E1879" s="2" t="s">
        <v>176</v>
      </c>
      <c r="F1879" s="2" t="s">
        <v>117</v>
      </c>
      <c r="G1879" s="2" t="s">
        <v>67</v>
      </c>
      <c r="H1879" s="2" t="s">
        <v>2318</v>
      </c>
      <c r="I1879" s="2" t="s">
        <v>47</v>
      </c>
      <c r="J1879" s="2" t="s">
        <v>500</v>
      </c>
      <c r="K1879" s="2" t="s">
        <v>5876</v>
      </c>
      <c r="L1879" s="2" t="s">
        <v>406</v>
      </c>
      <c r="M1879" s="2" t="s">
        <v>5645</v>
      </c>
      <c r="N1879" s="16">
        <v>1.7999999999999999E-2</v>
      </c>
      <c r="O1879" s="17">
        <f>N1879*'Financial Inputs'!$B$3</f>
        <v>1799999.9999999998</v>
      </c>
      <c r="P1879" s="18">
        <f>IF(I1879="L",'Financial Inputs'!$B$4,IF(I1879="M",'Financial Inputs'!$B$5,'Financial Inputs'!$B$6))</f>
        <v>0.4</v>
      </c>
      <c r="Q1879" s="17">
        <f>O1879*P1879</f>
        <v>720000</v>
      </c>
      <c r="R1879" s="16">
        <f>'Financial Inputs'!$B$7</f>
        <v>0.35</v>
      </c>
      <c r="S1879" s="17">
        <f>Q1879*(1-R1879)</f>
        <v>468000</v>
      </c>
      <c r="T1879" s="18">
        <f>S1879/'Financial Inputs'!$B$3</f>
        <v>4.6800000000000001E-3</v>
      </c>
      <c r="U1879" s="9" t="s">
        <v>52</v>
      </c>
      <c r="V1879" s="3" t="s">
        <v>53</v>
      </c>
    </row>
    <row r="1880" spans="1:22">
      <c r="A1880" s="2" t="s">
        <v>5877</v>
      </c>
      <c r="B1880" s="2" t="s">
        <v>5878</v>
      </c>
      <c r="C1880" s="2" t="s">
        <v>5643</v>
      </c>
      <c r="D1880" s="2" t="s">
        <v>95</v>
      </c>
      <c r="E1880" s="2" t="s">
        <v>122</v>
      </c>
      <c r="F1880" s="2" t="s">
        <v>90</v>
      </c>
      <c r="G1880" s="2" t="s">
        <v>75</v>
      </c>
      <c r="H1880" s="2" t="s">
        <v>2318</v>
      </c>
      <c r="I1880" s="2" t="s">
        <v>47</v>
      </c>
      <c r="J1880" s="2" t="s">
        <v>500</v>
      </c>
      <c r="K1880" s="2" t="s">
        <v>5879</v>
      </c>
      <c r="L1880" s="2" t="s">
        <v>410</v>
      </c>
      <c r="M1880" s="2" t="s">
        <v>5645</v>
      </c>
      <c r="N1880" s="16">
        <v>1.9800000000000002E-2</v>
      </c>
      <c r="O1880" s="17">
        <f>N1880*'Financial Inputs'!$B$3</f>
        <v>1980000.0000000002</v>
      </c>
      <c r="P1880" s="18">
        <f>IF(I1880="L",'Financial Inputs'!$B$4,IF(I1880="M",'Financial Inputs'!$B$5,'Financial Inputs'!$B$6))</f>
        <v>0.4</v>
      </c>
      <c r="Q1880" s="17">
        <f>O1880*P1880</f>
        <v>792000.00000000012</v>
      </c>
      <c r="R1880" s="16">
        <f>'Financial Inputs'!$B$7</f>
        <v>0.35</v>
      </c>
      <c r="S1880" s="17">
        <f>Q1880*(1-R1880)</f>
        <v>514800.00000000012</v>
      </c>
      <c r="T1880" s="18">
        <f>S1880/'Financial Inputs'!$B$3</f>
        <v>5.1480000000000015E-3</v>
      </c>
      <c r="U1880" s="9" t="s">
        <v>52</v>
      </c>
      <c r="V1880" s="3" t="s">
        <v>53</v>
      </c>
    </row>
    <row r="1881" spans="1:22">
      <c r="A1881" s="2" t="s">
        <v>5880</v>
      </c>
      <c r="B1881" s="2" t="s">
        <v>5881</v>
      </c>
      <c r="C1881" s="2" t="s">
        <v>5643</v>
      </c>
      <c r="D1881" s="2" t="s">
        <v>102</v>
      </c>
      <c r="E1881" s="2" t="s">
        <v>128</v>
      </c>
      <c r="F1881" s="2" t="s">
        <v>97</v>
      </c>
      <c r="G1881" s="2" t="s">
        <v>83</v>
      </c>
      <c r="H1881" s="2" t="s">
        <v>2318</v>
      </c>
      <c r="I1881" s="2" t="s">
        <v>47</v>
      </c>
      <c r="J1881" s="2" t="s">
        <v>500</v>
      </c>
      <c r="K1881" s="2" t="s">
        <v>5882</v>
      </c>
      <c r="L1881" s="2" t="s">
        <v>414</v>
      </c>
      <c r="M1881" s="2" t="s">
        <v>5645</v>
      </c>
      <c r="N1881" s="16">
        <v>2.1600000000000001E-2</v>
      </c>
      <c r="O1881" s="17">
        <f>N1881*'Financial Inputs'!$B$3</f>
        <v>2160000</v>
      </c>
      <c r="P1881" s="18">
        <f>IF(I1881="L",'Financial Inputs'!$B$4,IF(I1881="M",'Financial Inputs'!$B$5,'Financial Inputs'!$B$6))</f>
        <v>0.4</v>
      </c>
      <c r="Q1881" s="17">
        <f>O1881*P1881</f>
        <v>864000</v>
      </c>
      <c r="R1881" s="16">
        <f>'Financial Inputs'!$B$7</f>
        <v>0.35</v>
      </c>
      <c r="S1881" s="17">
        <f>Q1881*(1-R1881)</f>
        <v>561600</v>
      </c>
      <c r="T1881" s="18">
        <f>S1881/'Financial Inputs'!$B$3</f>
        <v>5.6160000000000003E-3</v>
      </c>
      <c r="U1881" s="9" t="s">
        <v>52</v>
      </c>
      <c r="V1881" s="3" t="s">
        <v>53</v>
      </c>
    </row>
    <row r="1882" spans="1:22">
      <c r="A1882" s="2" t="s">
        <v>5883</v>
      </c>
      <c r="B1882" s="2" t="s">
        <v>5884</v>
      </c>
      <c r="C1882" s="2" t="s">
        <v>5643</v>
      </c>
      <c r="D1882" s="2" t="s">
        <v>64</v>
      </c>
      <c r="E1882" s="2" t="s">
        <v>81</v>
      </c>
      <c r="F1882" s="2" t="s">
        <v>74</v>
      </c>
      <c r="G1882" s="2" t="s">
        <v>67</v>
      </c>
      <c r="H1882" s="2" t="s">
        <v>2318</v>
      </c>
      <c r="I1882" s="2" t="s">
        <v>47</v>
      </c>
      <c r="J1882" s="2" t="s">
        <v>500</v>
      </c>
      <c r="K1882" s="2" t="s">
        <v>5885</v>
      </c>
      <c r="L1882" s="2" t="s">
        <v>418</v>
      </c>
      <c r="M1882" s="2" t="s">
        <v>5645</v>
      </c>
      <c r="N1882" s="16">
        <v>1.44E-2</v>
      </c>
      <c r="O1882" s="17">
        <f>N1882*'Financial Inputs'!$B$3</f>
        <v>1440000</v>
      </c>
      <c r="P1882" s="18">
        <f>IF(I1882="L",'Financial Inputs'!$B$4,IF(I1882="M",'Financial Inputs'!$B$5,'Financial Inputs'!$B$6))</f>
        <v>0.4</v>
      </c>
      <c r="Q1882" s="17">
        <f>O1882*P1882</f>
        <v>576000</v>
      </c>
      <c r="R1882" s="16">
        <f>'Financial Inputs'!$B$7</f>
        <v>0.35</v>
      </c>
      <c r="S1882" s="17">
        <f>Q1882*(1-R1882)</f>
        <v>374400</v>
      </c>
      <c r="T1882" s="18">
        <f>S1882/'Financial Inputs'!$B$3</f>
        <v>3.7439999999999999E-3</v>
      </c>
      <c r="U1882" s="9" t="s">
        <v>52</v>
      </c>
      <c r="V1882" s="3" t="s">
        <v>53</v>
      </c>
    </row>
    <row r="1883" spans="1:22">
      <c r="A1883" s="2" t="s">
        <v>5886</v>
      </c>
      <c r="B1883" s="2" t="s">
        <v>5887</v>
      </c>
      <c r="C1883" s="2" t="s">
        <v>5643</v>
      </c>
      <c r="D1883" s="2" t="s">
        <v>72</v>
      </c>
      <c r="E1883" s="2" t="s">
        <v>193</v>
      </c>
      <c r="F1883" s="2" t="s">
        <v>82</v>
      </c>
      <c r="G1883" s="2" t="s">
        <v>75</v>
      </c>
      <c r="H1883" s="2" t="s">
        <v>2318</v>
      </c>
      <c r="I1883" s="2" t="s">
        <v>47</v>
      </c>
      <c r="J1883" s="2" t="s">
        <v>500</v>
      </c>
      <c r="K1883" s="2" t="s">
        <v>5888</v>
      </c>
      <c r="L1883" s="2" t="s">
        <v>422</v>
      </c>
      <c r="M1883" s="2" t="s">
        <v>5645</v>
      </c>
      <c r="N1883" s="16">
        <v>1.6199999999999999E-2</v>
      </c>
      <c r="O1883" s="17">
        <f>N1883*'Financial Inputs'!$B$3</f>
        <v>1620000</v>
      </c>
      <c r="P1883" s="18">
        <f>IF(I1883="L",'Financial Inputs'!$B$4,IF(I1883="M",'Financial Inputs'!$B$5,'Financial Inputs'!$B$6))</f>
        <v>0.4</v>
      </c>
      <c r="Q1883" s="17">
        <f>O1883*P1883</f>
        <v>648000</v>
      </c>
      <c r="R1883" s="16">
        <f>'Financial Inputs'!$B$7</f>
        <v>0.35</v>
      </c>
      <c r="S1883" s="17">
        <f>Q1883*(1-R1883)</f>
        <v>421200</v>
      </c>
      <c r="T1883" s="18">
        <f>S1883/'Financial Inputs'!$B$3</f>
        <v>4.2119999999999996E-3</v>
      </c>
      <c r="U1883" s="9" t="s">
        <v>52</v>
      </c>
      <c r="V1883" s="3" t="s">
        <v>53</v>
      </c>
    </row>
    <row r="1884" spans="1:22">
      <c r="A1884" s="2" t="s">
        <v>5889</v>
      </c>
      <c r="B1884" s="2" t="s">
        <v>5890</v>
      </c>
      <c r="C1884" s="2" t="s">
        <v>5643</v>
      </c>
      <c r="D1884" s="2" t="s">
        <v>80</v>
      </c>
      <c r="E1884" s="2" t="s">
        <v>198</v>
      </c>
      <c r="F1884" s="2" t="s">
        <v>44</v>
      </c>
      <c r="G1884" s="2" t="s">
        <v>83</v>
      </c>
      <c r="H1884" s="2" t="s">
        <v>2318</v>
      </c>
      <c r="I1884" s="2" t="s">
        <v>47</v>
      </c>
      <c r="J1884" s="2" t="s">
        <v>500</v>
      </c>
      <c r="K1884" s="2" t="s">
        <v>5891</v>
      </c>
      <c r="L1884" s="2" t="s">
        <v>426</v>
      </c>
      <c r="M1884" s="2" t="s">
        <v>5645</v>
      </c>
      <c r="N1884" s="16">
        <v>1.7999999999999999E-2</v>
      </c>
      <c r="O1884" s="17">
        <f>N1884*'Financial Inputs'!$B$3</f>
        <v>1799999.9999999998</v>
      </c>
      <c r="P1884" s="18">
        <f>IF(I1884="L",'Financial Inputs'!$B$4,IF(I1884="M",'Financial Inputs'!$B$5,'Financial Inputs'!$B$6))</f>
        <v>0.4</v>
      </c>
      <c r="Q1884" s="17">
        <f>O1884*P1884</f>
        <v>720000</v>
      </c>
      <c r="R1884" s="16">
        <f>'Financial Inputs'!$B$7</f>
        <v>0.35</v>
      </c>
      <c r="S1884" s="17">
        <f>Q1884*(1-R1884)</f>
        <v>468000</v>
      </c>
      <c r="T1884" s="18">
        <f>S1884/'Financial Inputs'!$B$3</f>
        <v>4.6800000000000001E-3</v>
      </c>
      <c r="U1884" s="9" t="s">
        <v>52</v>
      </c>
      <c r="V1884" s="3" t="s">
        <v>53</v>
      </c>
    </row>
    <row r="1885" spans="1:22">
      <c r="A1885" s="2" t="s">
        <v>5892</v>
      </c>
      <c r="B1885" s="2" t="s">
        <v>5893</v>
      </c>
      <c r="C1885" s="2" t="s">
        <v>5643</v>
      </c>
      <c r="D1885" s="2" t="s">
        <v>127</v>
      </c>
      <c r="E1885" s="2" t="s">
        <v>148</v>
      </c>
      <c r="F1885" s="2" t="s">
        <v>58</v>
      </c>
      <c r="G1885" s="2" t="s">
        <v>111</v>
      </c>
      <c r="H1885" s="2" t="s">
        <v>2318</v>
      </c>
      <c r="I1885" s="2" t="s">
        <v>47</v>
      </c>
      <c r="J1885" s="2" t="s">
        <v>500</v>
      </c>
      <c r="K1885" s="2" t="s">
        <v>5894</v>
      </c>
      <c r="L1885" s="2" t="s">
        <v>430</v>
      </c>
      <c r="M1885" s="2" t="s">
        <v>5645</v>
      </c>
      <c r="N1885" s="16">
        <v>1.9800000000000002E-2</v>
      </c>
      <c r="O1885" s="17">
        <f>N1885*'Financial Inputs'!$B$3</f>
        <v>1980000.0000000002</v>
      </c>
      <c r="P1885" s="18">
        <f>IF(I1885="L",'Financial Inputs'!$B$4,IF(I1885="M",'Financial Inputs'!$B$5,'Financial Inputs'!$B$6))</f>
        <v>0.4</v>
      </c>
      <c r="Q1885" s="17">
        <f>O1885*P1885</f>
        <v>792000.00000000012</v>
      </c>
      <c r="R1885" s="16">
        <f>'Financial Inputs'!$B$7</f>
        <v>0.35</v>
      </c>
      <c r="S1885" s="17">
        <f>Q1885*(1-R1885)</f>
        <v>514800.00000000012</v>
      </c>
      <c r="T1885" s="18">
        <f>S1885/'Financial Inputs'!$B$3</f>
        <v>5.1480000000000015E-3</v>
      </c>
      <c r="U1885" s="9" t="s">
        <v>52</v>
      </c>
      <c r="V1885" s="3" t="s">
        <v>53</v>
      </c>
    </row>
    <row r="1886" spans="1:22">
      <c r="A1886" s="2" t="s">
        <v>5895</v>
      </c>
      <c r="B1886" s="2" t="s">
        <v>5896</v>
      </c>
      <c r="C1886" s="2" t="s">
        <v>5643</v>
      </c>
      <c r="D1886" s="2" t="s">
        <v>133</v>
      </c>
      <c r="E1886" s="2" t="s">
        <v>153</v>
      </c>
      <c r="F1886" s="2" t="s">
        <v>66</v>
      </c>
      <c r="G1886" s="2" t="s">
        <v>56</v>
      </c>
      <c r="H1886" s="2" t="s">
        <v>2318</v>
      </c>
      <c r="I1886" s="2" t="s">
        <v>47</v>
      </c>
      <c r="J1886" s="2" t="s">
        <v>500</v>
      </c>
      <c r="K1886" s="2" t="s">
        <v>5897</v>
      </c>
      <c r="L1886" s="2" t="s">
        <v>434</v>
      </c>
      <c r="M1886" s="2" t="s">
        <v>5645</v>
      </c>
      <c r="N1886" s="16">
        <v>2.1600000000000001E-2</v>
      </c>
      <c r="O1886" s="17">
        <f>N1886*'Financial Inputs'!$B$3</f>
        <v>2160000</v>
      </c>
      <c r="P1886" s="18">
        <f>IF(I1886="L",'Financial Inputs'!$B$4,IF(I1886="M",'Financial Inputs'!$B$5,'Financial Inputs'!$B$6))</f>
        <v>0.4</v>
      </c>
      <c r="Q1886" s="17">
        <f>O1886*P1886</f>
        <v>864000</v>
      </c>
      <c r="R1886" s="16">
        <f>'Financial Inputs'!$B$7</f>
        <v>0.35</v>
      </c>
      <c r="S1886" s="17">
        <f>Q1886*(1-R1886)</f>
        <v>561600</v>
      </c>
      <c r="T1886" s="18">
        <f>S1886/'Financial Inputs'!$B$3</f>
        <v>5.6160000000000003E-3</v>
      </c>
      <c r="U1886" s="9" t="s">
        <v>52</v>
      </c>
      <c r="V1886" s="3" t="s">
        <v>53</v>
      </c>
    </row>
    <row r="1887" spans="1:22">
      <c r="A1887" s="2" t="s">
        <v>5898</v>
      </c>
      <c r="B1887" s="2" t="s">
        <v>5899</v>
      </c>
      <c r="C1887" s="2" t="s">
        <v>5643</v>
      </c>
      <c r="D1887" s="2" t="s">
        <v>102</v>
      </c>
      <c r="E1887" s="2" t="s">
        <v>116</v>
      </c>
      <c r="F1887" s="2" t="s">
        <v>110</v>
      </c>
      <c r="G1887" s="2" t="s">
        <v>83</v>
      </c>
      <c r="H1887" s="2" t="s">
        <v>2318</v>
      </c>
      <c r="I1887" s="2" t="s">
        <v>47</v>
      </c>
      <c r="J1887" s="2" t="s">
        <v>500</v>
      </c>
      <c r="K1887" s="2" t="s">
        <v>5900</v>
      </c>
      <c r="L1887" s="2" t="s">
        <v>438</v>
      </c>
      <c r="M1887" s="2" t="s">
        <v>5645</v>
      </c>
      <c r="N1887" s="16">
        <v>1.44E-2</v>
      </c>
      <c r="O1887" s="17">
        <f>N1887*'Financial Inputs'!$B$3</f>
        <v>1440000</v>
      </c>
      <c r="P1887" s="18">
        <f>IF(I1887="L",'Financial Inputs'!$B$4,IF(I1887="M",'Financial Inputs'!$B$5,'Financial Inputs'!$B$6))</f>
        <v>0.4</v>
      </c>
      <c r="Q1887" s="17">
        <f>O1887*P1887</f>
        <v>576000</v>
      </c>
      <c r="R1887" s="16">
        <f>'Financial Inputs'!$B$7</f>
        <v>0.35</v>
      </c>
      <c r="S1887" s="17">
        <f>Q1887*(1-R1887)</f>
        <v>374400</v>
      </c>
      <c r="T1887" s="18">
        <f>S1887/'Financial Inputs'!$B$3</f>
        <v>3.7439999999999999E-3</v>
      </c>
      <c r="U1887" s="9" t="s">
        <v>52</v>
      </c>
      <c r="V1887" s="3" t="s">
        <v>53</v>
      </c>
    </row>
    <row r="1888" spans="1:22">
      <c r="A1888" s="2" t="s">
        <v>5901</v>
      </c>
      <c r="B1888" s="2" t="s">
        <v>5902</v>
      </c>
      <c r="C1888" s="2" t="s">
        <v>5643</v>
      </c>
      <c r="D1888" s="2" t="s">
        <v>42</v>
      </c>
      <c r="E1888" s="2" t="s">
        <v>215</v>
      </c>
      <c r="F1888" s="2" t="s">
        <v>117</v>
      </c>
      <c r="G1888" s="2" t="s">
        <v>111</v>
      </c>
      <c r="H1888" s="2" t="s">
        <v>2318</v>
      </c>
      <c r="I1888" s="2" t="s">
        <v>47</v>
      </c>
      <c r="J1888" s="2" t="s">
        <v>500</v>
      </c>
      <c r="K1888" s="2" t="s">
        <v>5903</v>
      </c>
      <c r="L1888" s="2" t="s">
        <v>442</v>
      </c>
      <c r="M1888" s="2" t="s">
        <v>5645</v>
      </c>
      <c r="N1888" s="16">
        <v>1.6199999999999999E-2</v>
      </c>
      <c r="O1888" s="17">
        <f>N1888*'Financial Inputs'!$B$3</f>
        <v>1620000</v>
      </c>
      <c r="P1888" s="18">
        <f>IF(I1888="L",'Financial Inputs'!$B$4,IF(I1888="M",'Financial Inputs'!$B$5,'Financial Inputs'!$B$6))</f>
        <v>0.4</v>
      </c>
      <c r="Q1888" s="17">
        <f>O1888*P1888</f>
        <v>648000</v>
      </c>
      <c r="R1888" s="16">
        <f>'Financial Inputs'!$B$7</f>
        <v>0.35</v>
      </c>
      <c r="S1888" s="17">
        <f>Q1888*(1-R1888)</f>
        <v>421200</v>
      </c>
      <c r="T1888" s="18">
        <f>S1888/'Financial Inputs'!$B$3</f>
        <v>4.2119999999999996E-3</v>
      </c>
      <c r="U1888" s="9" t="s">
        <v>52</v>
      </c>
      <c r="V1888" s="3" t="s">
        <v>53</v>
      </c>
    </row>
    <row r="1889" spans="1:22">
      <c r="A1889" s="2" t="s">
        <v>5904</v>
      </c>
      <c r="B1889" s="2" t="s">
        <v>5905</v>
      </c>
      <c r="C1889" s="2" t="s">
        <v>5643</v>
      </c>
      <c r="D1889" s="2" t="s">
        <v>56</v>
      </c>
      <c r="E1889" s="2" t="s">
        <v>220</v>
      </c>
      <c r="F1889" s="2" t="s">
        <v>90</v>
      </c>
      <c r="G1889" s="2" t="s">
        <v>56</v>
      </c>
      <c r="H1889" s="2" t="s">
        <v>2318</v>
      </c>
      <c r="I1889" s="2" t="s">
        <v>47</v>
      </c>
      <c r="J1889" s="2" t="s">
        <v>500</v>
      </c>
      <c r="K1889" s="2" t="s">
        <v>5906</v>
      </c>
      <c r="L1889" s="2" t="s">
        <v>446</v>
      </c>
      <c r="M1889" s="2" t="s">
        <v>5645</v>
      </c>
      <c r="N1889" s="16">
        <v>1.7999999999999999E-2</v>
      </c>
      <c r="O1889" s="17">
        <f>N1889*'Financial Inputs'!$B$3</f>
        <v>1799999.9999999998</v>
      </c>
      <c r="P1889" s="18">
        <f>IF(I1889="L",'Financial Inputs'!$B$4,IF(I1889="M",'Financial Inputs'!$B$5,'Financial Inputs'!$B$6))</f>
        <v>0.4</v>
      </c>
      <c r="Q1889" s="17">
        <f>O1889*P1889</f>
        <v>720000</v>
      </c>
      <c r="R1889" s="16">
        <f>'Financial Inputs'!$B$7</f>
        <v>0.35</v>
      </c>
      <c r="S1889" s="17">
        <f>Q1889*(1-R1889)</f>
        <v>468000</v>
      </c>
      <c r="T1889" s="18">
        <f>S1889/'Financial Inputs'!$B$3</f>
        <v>4.6800000000000001E-3</v>
      </c>
      <c r="U1889" s="9" t="s">
        <v>52</v>
      </c>
      <c r="V1889" s="3" t="s">
        <v>53</v>
      </c>
    </row>
    <row r="1890" spans="1:22">
      <c r="A1890" s="2" t="s">
        <v>5907</v>
      </c>
      <c r="B1890" s="2" t="s">
        <v>5908</v>
      </c>
      <c r="C1890" s="2" t="s">
        <v>5643</v>
      </c>
      <c r="D1890" s="2" t="s">
        <v>64</v>
      </c>
      <c r="E1890" s="2" t="s">
        <v>171</v>
      </c>
      <c r="F1890" s="2" t="s">
        <v>97</v>
      </c>
      <c r="G1890" s="2" t="s">
        <v>138</v>
      </c>
      <c r="H1890" s="2" t="s">
        <v>2318</v>
      </c>
      <c r="I1890" s="2" t="s">
        <v>47</v>
      </c>
      <c r="J1890" s="2" t="s">
        <v>500</v>
      </c>
      <c r="K1890" s="2" t="s">
        <v>5909</v>
      </c>
      <c r="L1890" s="2" t="s">
        <v>450</v>
      </c>
      <c r="M1890" s="2" t="s">
        <v>5645</v>
      </c>
      <c r="N1890" s="16">
        <v>1.9800000000000002E-2</v>
      </c>
      <c r="O1890" s="17">
        <f>N1890*'Financial Inputs'!$B$3</f>
        <v>1980000.0000000002</v>
      </c>
      <c r="P1890" s="18">
        <f>IF(I1890="L",'Financial Inputs'!$B$4,IF(I1890="M",'Financial Inputs'!$B$5,'Financial Inputs'!$B$6))</f>
        <v>0.4</v>
      </c>
      <c r="Q1890" s="17">
        <f>O1890*P1890</f>
        <v>792000.00000000012</v>
      </c>
      <c r="R1890" s="16">
        <f>'Financial Inputs'!$B$7</f>
        <v>0.35</v>
      </c>
      <c r="S1890" s="17">
        <f>Q1890*(1-R1890)</f>
        <v>514800.00000000012</v>
      </c>
      <c r="T1890" s="18">
        <f>S1890/'Financial Inputs'!$B$3</f>
        <v>5.1480000000000015E-3</v>
      </c>
      <c r="U1890" s="9" t="s">
        <v>52</v>
      </c>
      <c r="V1890" s="3" t="s">
        <v>53</v>
      </c>
    </row>
    <row r="1891" spans="1:22">
      <c r="A1891" s="2" t="s">
        <v>5910</v>
      </c>
      <c r="B1891" s="2" t="s">
        <v>5911</v>
      </c>
      <c r="C1891" s="2" t="s">
        <v>5643</v>
      </c>
      <c r="D1891" s="2" t="s">
        <v>72</v>
      </c>
      <c r="E1891" s="2" t="s">
        <v>176</v>
      </c>
      <c r="F1891" s="2" t="s">
        <v>104</v>
      </c>
      <c r="G1891" s="2" t="s">
        <v>143</v>
      </c>
      <c r="H1891" s="2" t="s">
        <v>2318</v>
      </c>
      <c r="I1891" s="2" t="s">
        <v>47</v>
      </c>
      <c r="J1891" s="2" t="s">
        <v>500</v>
      </c>
      <c r="K1891" s="2" t="s">
        <v>5912</v>
      </c>
      <c r="L1891" s="2" t="s">
        <v>454</v>
      </c>
      <c r="M1891" s="2" t="s">
        <v>5645</v>
      </c>
      <c r="N1891" s="16">
        <v>2.1600000000000001E-2</v>
      </c>
      <c r="O1891" s="17">
        <f>N1891*'Financial Inputs'!$B$3</f>
        <v>2160000</v>
      </c>
      <c r="P1891" s="18">
        <f>IF(I1891="L",'Financial Inputs'!$B$4,IF(I1891="M",'Financial Inputs'!$B$5,'Financial Inputs'!$B$6))</f>
        <v>0.4</v>
      </c>
      <c r="Q1891" s="17">
        <f>O1891*P1891</f>
        <v>864000</v>
      </c>
      <c r="R1891" s="16">
        <f>'Financial Inputs'!$B$7</f>
        <v>0.35</v>
      </c>
      <c r="S1891" s="17">
        <f>Q1891*(1-R1891)</f>
        <v>561600</v>
      </c>
      <c r="T1891" s="18">
        <f>S1891/'Financial Inputs'!$B$3</f>
        <v>5.6160000000000003E-3</v>
      </c>
      <c r="U1891" s="9" t="s">
        <v>52</v>
      </c>
      <c r="V1891" s="3" t="s">
        <v>53</v>
      </c>
    </row>
    <row r="1892" spans="1:22">
      <c r="A1892" s="2" t="s">
        <v>5913</v>
      </c>
      <c r="B1892" s="2" t="s">
        <v>5914</v>
      </c>
      <c r="C1892" s="2" t="s">
        <v>5643</v>
      </c>
      <c r="D1892" s="2" t="s">
        <v>133</v>
      </c>
      <c r="E1892" s="2" t="s">
        <v>65</v>
      </c>
      <c r="F1892" s="2" t="s">
        <v>82</v>
      </c>
      <c r="G1892" s="2" t="s">
        <v>56</v>
      </c>
      <c r="H1892" s="2" t="s">
        <v>2318</v>
      </c>
      <c r="I1892" s="2" t="s">
        <v>47</v>
      </c>
      <c r="J1892" s="2" t="s">
        <v>500</v>
      </c>
      <c r="K1892" s="2" t="s">
        <v>5915</v>
      </c>
      <c r="L1892" s="2" t="s">
        <v>458</v>
      </c>
      <c r="M1892" s="2" t="s">
        <v>5645</v>
      </c>
      <c r="N1892" s="16">
        <v>1.44E-2</v>
      </c>
      <c r="O1892" s="17">
        <f>N1892*'Financial Inputs'!$B$3</f>
        <v>1440000</v>
      </c>
      <c r="P1892" s="18">
        <f>IF(I1892="L",'Financial Inputs'!$B$4,IF(I1892="M",'Financial Inputs'!$B$5,'Financial Inputs'!$B$6))</f>
        <v>0.4</v>
      </c>
      <c r="Q1892" s="17">
        <f>O1892*P1892</f>
        <v>576000</v>
      </c>
      <c r="R1892" s="16">
        <f>'Financial Inputs'!$B$7</f>
        <v>0.35</v>
      </c>
      <c r="S1892" s="17">
        <f>Q1892*(1-R1892)</f>
        <v>374400</v>
      </c>
      <c r="T1892" s="18">
        <f>S1892/'Financial Inputs'!$B$3</f>
        <v>3.7439999999999999E-3</v>
      </c>
      <c r="U1892" s="9" t="s">
        <v>52</v>
      </c>
      <c r="V1892" s="3" t="s">
        <v>53</v>
      </c>
    </row>
    <row r="1893" spans="1:22">
      <c r="A1893" s="2" t="s">
        <v>5916</v>
      </c>
      <c r="B1893" s="2" t="s">
        <v>5917</v>
      </c>
      <c r="C1893" s="2" t="s">
        <v>5643</v>
      </c>
      <c r="D1893" s="2" t="s">
        <v>88</v>
      </c>
      <c r="E1893" s="2" t="s">
        <v>73</v>
      </c>
      <c r="F1893" s="2" t="s">
        <v>44</v>
      </c>
      <c r="G1893" s="2" t="s">
        <v>138</v>
      </c>
      <c r="H1893" s="2" t="s">
        <v>2318</v>
      </c>
      <c r="I1893" s="2" t="s">
        <v>47</v>
      </c>
      <c r="J1893" s="2" t="s">
        <v>500</v>
      </c>
      <c r="K1893" s="2" t="s">
        <v>5918</v>
      </c>
      <c r="L1893" s="2" t="s">
        <v>462</v>
      </c>
      <c r="M1893" s="2" t="s">
        <v>5645</v>
      </c>
      <c r="N1893" s="16">
        <v>1.6199999999999999E-2</v>
      </c>
      <c r="O1893" s="17">
        <f>N1893*'Financial Inputs'!$B$3</f>
        <v>1620000</v>
      </c>
      <c r="P1893" s="18">
        <f>IF(I1893="L",'Financial Inputs'!$B$4,IF(I1893="M",'Financial Inputs'!$B$5,'Financial Inputs'!$B$6))</f>
        <v>0.4</v>
      </c>
      <c r="Q1893" s="17">
        <f>O1893*P1893</f>
        <v>648000</v>
      </c>
      <c r="R1893" s="16">
        <f>'Financial Inputs'!$B$7</f>
        <v>0.35</v>
      </c>
      <c r="S1893" s="17">
        <f>Q1893*(1-R1893)</f>
        <v>421200</v>
      </c>
      <c r="T1893" s="18">
        <f>S1893/'Financial Inputs'!$B$3</f>
        <v>4.2119999999999996E-3</v>
      </c>
      <c r="U1893" s="9" t="s">
        <v>52</v>
      </c>
      <c r="V1893" s="3" t="s">
        <v>53</v>
      </c>
    </row>
    <row r="1894" spans="1:22">
      <c r="A1894" s="2" t="s">
        <v>5919</v>
      </c>
      <c r="B1894" s="2" t="s">
        <v>5920</v>
      </c>
      <c r="C1894" s="2" t="s">
        <v>5643</v>
      </c>
      <c r="D1894" s="2" t="s">
        <v>95</v>
      </c>
      <c r="E1894" s="2" t="s">
        <v>81</v>
      </c>
      <c r="F1894" s="2" t="s">
        <v>58</v>
      </c>
      <c r="G1894" s="2" t="s">
        <v>143</v>
      </c>
      <c r="H1894" s="2" t="s">
        <v>2318</v>
      </c>
      <c r="I1894" s="2" t="s">
        <v>47</v>
      </c>
      <c r="J1894" s="2" t="s">
        <v>500</v>
      </c>
      <c r="K1894" s="2" t="s">
        <v>5921</v>
      </c>
      <c r="L1894" s="2" t="s">
        <v>466</v>
      </c>
      <c r="M1894" s="2" t="s">
        <v>5645</v>
      </c>
      <c r="N1894" s="16">
        <v>1.7999999999999999E-2</v>
      </c>
      <c r="O1894" s="17">
        <f>N1894*'Financial Inputs'!$B$3</f>
        <v>1799999.9999999998</v>
      </c>
      <c r="P1894" s="18">
        <f>IF(I1894="L",'Financial Inputs'!$B$4,IF(I1894="M",'Financial Inputs'!$B$5,'Financial Inputs'!$B$6))</f>
        <v>0.4</v>
      </c>
      <c r="Q1894" s="17">
        <f>O1894*P1894</f>
        <v>720000</v>
      </c>
      <c r="R1894" s="16">
        <f>'Financial Inputs'!$B$7</f>
        <v>0.35</v>
      </c>
      <c r="S1894" s="17">
        <f>Q1894*(1-R1894)</f>
        <v>468000</v>
      </c>
      <c r="T1894" s="18">
        <f>S1894/'Financial Inputs'!$B$3</f>
        <v>4.6800000000000001E-3</v>
      </c>
      <c r="U1894" s="9" t="s">
        <v>52</v>
      </c>
      <c r="V1894" s="3" t="s">
        <v>53</v>
      </c>
    </row>
    <row r="1895" spans="1:22">
      <c r="A1895" s="2" t="s">
        <v>5922</v>
      </c>
      <c r="B1895" s="2" t="s">
        <v>5923</v>
      </c>
      <c r="C1895" s="2" t="s">
        <v>5643</v>
      </c>
      <c r="D1895" s="2" t="s">
        <v>102</v>
      </c>
      <c r="E1895" s="2" t="s">
        <v>193</v>
      </c>
      <c r="F1895" s="2" t="s">
        <v>66</v>
      </c>
      <c r="G1895" s="2" t="s">
        <v>162</v>
      </c>
      <c r="H1895" s="2" t="s">
        <v>2318</v>
      </c>
      <c r="I1895" s="2" t="s">
        <v>47</v>
      </c>
      <c r="J1895" s="2" t="s">
        <v>500</v>
      </c>
      <c r="K1895" s="2" t="s">
        <v>5924</v>
      </c>
      <c r="L1895" s="2" t="s">
        <v>470</v>
      </c>
      <c r="M1895" s="2" t="s">
        <v>5645</v>
      </c>
      <c r="N1895" s="16">
        <v>1.9800000000000002E-2</v>
      </c>
      <c r="O1895" s="17">
        <f>N1895*'Financial Inputs'!$B$3</f>
        <v>1980000.0000000002</v>
      </c>
      <c r="P1895" s="18">
        <f>IF(I1895="L",'Financial Inputs'!$B$4,IF(I1895="M",'Financial Inputs'!$B$5,'Financial Inputs'!$B$6))</f>
        <v>0.4</v>
      </c>
      <c r="Q1895" s="17">
        <f>O1895*P1895</f>
        <v>792000.00000000012</v>
      </c>
      <c r="R1895" s="16">
        <f>'Financial Inputs'!$B$7</f>
        <v>0.35</v>
      </c>
      <c r="S1895" s="17">
        <f>Q1895*(1-R1895)</f>
        <v>514800.00000000012</v>
      </c>
      <c r="T1895" s="18">
        <f>S1895/'Financial Inputs'!$B$3</f>
        <v>5.1480000000000015E-3</v>
      </c>
      <c r="U1895" s="9" t="s">
        <v>52</v>
      </c>
      <c r="V1895" s="3" t="s">
        <v>53</v>
      </c>
    </row>
    <row r="1896" spans="1:22">
      <c r="A1896" s="2" t="s">
        <v>5925</v>
      </c>
      <c r="B1896" s="2" t="s">
        <v>5926</v>
      </c>
      <c r="C1896" s="2" t="s">
        <v>5643</v>
      </c>
      <c r="D1896" s="2" t="s">
        <v>42</v>
      </c>
      <c r="E1896" s="2" t="s">
        <v>198</v>
      </c>
      <c r="F1896" s="2" t="s">
        <v>74</v>
      </c>
      <c r="G1896" s="2" t="s">
        <v>45</v>
      </c>
      <c r="H1896" s="2" t="s">
        <v>2318</v>
      </c>
      <c r="I1896" s="2" t="s">
        <v>47</v>
      </c>
      <c r="J1896" s="2" t="s">
        <v>500</v>
      </c>
      <c r="K1896" s="2" t="s">
        <v>5927</v>
      </c>
      <c r="L1896" s="2" t="s">
        <v>474</v>
      </c>
      <c r="M1896" s="2" t="s">
        <v>5645</v>
      </c>
      <c r="N1896" s="16">
        <v>2.1600000000000001E-2</v>
      </c>
      <c r="O1896" s="17">
        <f>N1896*'Financial Inputs'!$B$3</f>
        <v>2160000</v>
      </c>
      <c r="P1896" s="18">
        <f>IF(I1896="L",'Financial Inputs'!$B$4,IF(I1896="M",'Financial Inputs'!$B$5,'Financial Inputs'!$B$6))</f>
        <v>0.4</v>
      </c>
      <c r="Q1896" s="17">
        <f>O1896*P1896</f>
        <v>864000</v>
      </c>
      <c r="R1896" s="16">
        <f>'Financial Inputs'!$B$7</f>
        <v>0.35</v>
      </c>
      <c r="S1896" s="17">
        <f>Q1896*(1-R1896)</f>
        <v>561600</v>
      </c>
      <c r="T1896" s="18">
        <f>S1896/'Financial Inputs'!$B$3</f>
        <v>5.6160000000000003E-3</v>
      </c>
      <c r="U1896" s="9" t="s">
        <v>52</v>
      </c>
      <c r="V1896" s="3" t="s">
        <v>53</v>
      </c>
    </row>
    <row r="1897" spans="1:22">
      <c r="A1897" s="2" t="s">
        <v>5928</v>
      </c>
      <c r="B1897" s="2" t="s">
        <v>5929</v>
      </c>
      <c r="C1897" s="2" t="s">
        <v>5643</v>
      </c>
      <c r="D1897" s="2" t="s">
        <v>72</v>
      </c>
      <c r="E1897" s="2" t="s">
        <v>103</v>
      </c>
      <c r="F1897" s="2" t="s">
        <v>117</v>
      </c>
      <c r="G1897" s="2" t="s">
        <v>143</v>
      </c>
      <c r="H1897" s="2" t="s">
        <v>2318</v>
      </c>
      <c r="I1897" s="2" t="s">
        <v>47</v>
      </c>
      <c r="J1897" s="2" t="s">
        <v>500</v>
      </c>
      <c r="K1897" s="2" t="s">
        <v>5930</v>
      </c>
      <c r="L1897" s="2" t="s">
        <v>478</v>
      </c>
      <c r="M1897" s="2" t="s">
        <v>5645</v>
      </c>
      <c r="N1897" s="16">
        <v>1.44E-2</v>
      </c>
      <c r="O1897" s="17">
        <f>N1897*'Financial Inputs'!$B$3</f>
        <v>1440000</v>
      </c>
      <c r="P1897" s="18">
        <f>IF(I1897="L",'Financial Inputs'!$B$4,IF(I1897="M",'Financial Inputs'!$B$5,'Financial Inputs'!$B$6))</f>
        <v>0.4</v>
      </c>
      <c r="Q1897" s="17">
        <f>O1897*P1897</f>
        <v>576000</v>
      </c>
      <c r="R1897" s="16">
        <f>'Financial Inputs'!$B$7</f>
        <v>0.35</v>
      </c>
      <c r="S1897" s="17">
        <f>Q1897*(1-R1897)</f>
        <v>374400</v>
      </c>
      <c r="T1897" s="18">
        <f>S1897/'Financial Inputs'!$B$3</f>
        <v>3.7439999999999999E-3</v>
      </c>
      <c r="U1897" s="9" t="s">
        <v>52</v>
      </c>
      <c r="V1897" s="3" t="s">
        <v>53</v>
      </c>
    </row>
    <row r="1898" spans="1:22">
      <c r="A1898" s="2" t="s">
        <v>5931</v>
      </c>
      <c r="B1898" s="2" t="s">
        <v>5932</v>
      </c>
      <c r="C1898" s="2" t="s">
        <v>5643</v>
      </c>
      <c r="D1898" s="2" t="s">
        <v>80</v>
      </c>
      <c r="E1898" s="2" t="s">
        <v>109</v>
      </c>
      <c r="F1898" s="2" t="s">
        <v>90</v>
      </c>
      <c r="G1898" s="2" t="s">
        <v>162</v>
      </c>
      <c r="H1898" s="2" t="s">
        <v>2318</v>
      </c>
      <c r="I1898" s="2" t="s">
        <v>47</v>
      </c>
      <c r="J1898" s="2" t="s">
        <v>500</v>
      </c>
      <c r="K1898" s="2" t="s">
        <v>5933</v>
      </c>
      <c r="L1898" s="2" t="s">
        <v>482</v>
      </c>
      <c r="M1898" s="2" t="s">
        <v>5645</v>
      </c>
      <c r="N1898" s="16">
        <v>1.6199999999999999E-2</v>
      </c>
      <c r="O1898" s="17">
        <f>N1898*'Financial Inputs'!$B$3</f>
        <v>1620000</v>
      </c>
      <c r="P1898" s="18">
        <f>IF(I1898="L",'Financial Inputs'!$B$4,IF(I1898="M",'Financial Inputs'!$B$5,'Financial Inputs'!$B$6))</f>
        <v>0.4</v>
      </c>
      <c r="Q1898" s="17">
        <f>O1898*P1898</f>
        <v>648000</v>
      </c>
      <c r="R1898" s="16">
        <f>'Financial Inputs'!$B$7</f>
        <v>0.35</v>
      </c>
      <c r="S1898" s="17">
        <f>Q1898*(1-R1898)</f>
        <v>421200</v>
      </c>
      <c r="T1898" s="18">
        <f>S1898/'Financial Inputs'!$B$3</f>
        <v>4.2119999999999996E-3</v>
      </c>
      <c r="U1898" s="9" t="s">
        <v>52</v>
      </c>
      <c r="V1898" s="3" t="s">
        <v>53</v>
      </c>
    </row>
    <row r="1899" spans="1:22">
      <c r="A1899" s="2" t="s">
        <v>5934</v>
      </c>
      <c r="B1899" s="2" t="s">
        <v>5935</v>
      </c>
      <c r="C1899" s="2" t="s">
        <v>5643</v>
      </c>
      <c r="D1899" s="2" t="s">
        <v>127</v>
      </c>
      <c r="E1899" s="2" t="s">
        <v>116</v>
      </c>
      <c r="F1899" s="2" t="s">
        <v>97</v>
      </c>
      <c r="G1899" s="2" t="s">
        <v>45</v>
      </c>
      <c r="H1899" s="2" t="s">
        <v>2318</v>
      </c>
      <c r="I1899" s="2" t="s">
        <v>47</v>
      </c>
      <c r="J1899" s="2" t="s">
        <v>500</v>
      </c>
      <c r="K1899" s="2" t="s">
        <v>5936</v>
      </c>
      <c r="L1899" s="2" t="s">
        <v>486</v>
      </c>
      <c r="M1899" s="2" t="s">
        <v>5645</v>
      </c>
      <c r="N1899" s="16">
        <v>1.7999999999999999E-2</v>
      </c>
      <c r="O1899" s="17">
        <f>N1899*'Financial Inputs'!$B$3</f>
        <v>1799999.9999999998</v>
      </c>
      <c r="P1899" s="18">
        <f>IF(I1899="L",'Financial Inputs'!$B$4,IF(I1899="M",'Financial Inputs'!$B$5,'Financial Inputs'!$B$6))</f>
        <v>0.4</v>
      </c>
      <c r="Q1899" s="17">
        <f>O1899*P1899</f>
        <v>720000</v>
      </c>
      <c r="R1899" s="16">
        <f>'Financial Inputs'!$B$7</f>
        <v>0.35</v>
      </c>
      <c r="S1899" s="17">
        <f>Q1899*(1-R1899)</f>
        <v>468000</v>
      </c>
      <c r="T1899" s="18">
        <f>S1899/'Financial Inputs'!$B$3</f>
        <v>4.6800000000000001E-3</v>
      </c>
      <c r="U1899" s="9" t="s">
        <v>52</v>
      </c>
      <c r="V1899" s="3" t="s">
        <v>53</v>
      </c>
    </row>
    <row r="1900" spans="1:22">
      <c r="A1900" s="2" t="s">
        <v>5937</v>
      </c>
      <c r="B1900" s="2" t="s">
        <v>5938</v>
      </c>
      <c r="C1900" s="2" t="s">
        <v>5643</v>
      </c>
      <c r="D1900" s="2" t="s">
        <v>133</v>
      </c>
      <c r="E1900" s="2" t="s">
        <v>215</v>
      </c>
      <c r="F1900" s="2" t="s">
        <v>104</v>
      </c>
      <c r="G1900" s="2" t="s">
        <v>59</v>
      </c>
      <c r="H1900" s="2" t="s">
        <v>2318</v>
      </c>
      <c r="I1900" s="2" t="s">
        <v>47</v>
      </c>
      <c r="J1900" s="2" t="s">
        <v>500</v>
      </c>
      <c r="K1900" s="2" t="s">
        <v>5939</v>
      </c>
      <c r="L1900" s="2" t="s">
        <v>490</v>
      </c>
      <c r="M1900" s="2" t="s">
        <v>5645</v>
      </c>
      <c r="N1900" s="16">
        <v>1.9800000000000002E-2</v>
      </c>
      <c r="O1900" s="17">
        <f>N1900*'Financial Inputs'!$B$3</f>
        <v>1980000.0000000002</v>
      </c>
      <c r="P1900" s="18">
        <f>IF(I1900="L",'Financial Inputs'!$B$4,IF(I1900="M",'Financial Inputs'!$B$5,'Financial Inputs'!$B$6))</f>
        <v>0.4</v>
      </c>
      <c r="Q1900" s="17">
        <f>O1900*P1900</f>
        <v>792000.00000000012</v>
      </c>
      <c r="R1900" s="16">
        <f>'Financial Inputs'!$B$7</f>
        <v>0.35</v>
      </c>
      <c r="S1900" s="17">
        <f>Q1900*(1-R1900)</f>
        <v>514800.00000000012</v>
      </c>
      <c r="T1900" s="18">
        <f>S1900/'Financial Inputs'!$B$3</f>
        <v>5.1480000000000015E-3</v>
      </c>
      <c r="U1900" s="9" t="s">
        <v>52</v>
      </c>
      <c r="V1900" s="3" t="s">
        <v>53</v>
      </c>
    </row>
    <row r="1901" spans="1:22">
      <c r="A1901" s="2" t="s">
        <v>5940</v>
      </c>
      <c r="B1901" s="2" t="s">
        <v>5941</v>
      </c>
      <c r="C1901" s="2" t="s">
        <v>5643</v>
      </c>
      <c r="D1901" s="2" t="s">
        <v>88</v>
      </c>
      <c r="E1901" s="2" t="s">
        <v>220</v>
      </c>
      <c r="F1901" s="2" t="s">
        <v>110</v>
      </c>
      <c r="G1901" s="2" t="s">
        <v>67</v>
      </c>
      <c r="H1901" s="2" t="s">
        <v>2318</v>
      </c>
      <c r="I1901" s="2" t="s">
        <v>47</v>
      </c>
      <c r="J1901" s="2" t="s">
        <v>500</v>
      </c>
      <c r="K1901" s="2" t="s">
        <v>5942</v>
      </c>
      <c r="L1901" s="2" t="s">
        <v>494</v>
      </c>
      <c r="M1901" s="2" t="s">
        <v>5645</v>
      </c>
      <c r="N1901" s="16">
        <v>2.1600000000000001E-2</v>
      </c>
      <c r="O1901" s="17">
        <f>N1901*'Financial Inputs'!$B$3</f>
        <v>2160000</v>
      </c>
      <c r="P1901" s="18">
        <f>IF(I1901="L",'Financial Inputs'!$B$4,IF(I1901="M",'Financial Inputs'!$B$5,'Financial Inputs'!$B$6))</f>
        <v>0.4</v>
      </c>
      <c r="Q1901" s="17">
        <f>O1901*P1901</f>
        <v>864000</v>
      </c>
      <c r="R1901" s="16">
        <f>'Financial Inputs'!$B$7</f>
        <v>0.35</v>
      </c>
      <c r="S1901" s="17">
        <f>Q1901*(1-R1901)</f>
        <v>561600</v>
      </c>
      <c r="T1901" s="18">
        <f>S1901/'Financial Inputs'!$B$3</f>
        <v>5.6160000000000003E-3</v>
      </c>
      <c r="U1901" s="9" t="s">
        <v>52</v>
      </c>
      <c r="V1901" s="3" t="s">
        <v>53</v>
      </c>
    </row>
    <row r="1902" spans="1:22">
      <c r="A1902" s="2" t="s">
        <v>5943</v>
      </c>
      <c r="B1902" s="2" t="s">
        <v>5944</v>
      </c>
      <c r="C1902" s="2" t="s">
        <v>5945</v>
      </c>
      <c r="D1902" s="2" t="s">
        <v>42</v>
      </c>
      <c r="E1902" s="2" t="s">
        <v>43</v>
      </c>
      <c r="F1902" s="2" t="s">
        <v>44</v>
      </c>
      <c r="G1902" s="2" t="s">
        <v>45</v>
      </c>
      <c r="H1902" s="2" t="s">
        <v>2318</v>
      </c>
      <c r="I1902" s="2" t="s">
        <v>47</v>
      </c>
      <c r="J1902" s="2" t="s">
        <v>500</v>
      </c>
      <c r="K1902" s="2" t="s">
        <v>5946</v>
      </c>
      <c r="L1902" s="2" t="s">
        <v>50</v>
      </c>
      <c r="M1902" s="2" t="s">
        <v>5947</v>
      </c>
      <c r="N1902" s="16">
        <v>1.44E-2</v>
      </c>
      <c r="O1902" s="17">
        <f>N1902*'Financial Inputs'!$B$3</f>
        <v>1440000</v>
      </c>
      <c r="P1902" s="18">
        <f>IF(I1902="L",'Financial Inputs'!$B$4,IF(I1902="M",'Financial Inputs'!$B$5,'Financial Inputs'!$B$6))</f>
        <v>0.4</v>
      </c>
      <c r="Q1902" s="17">
        <f>O1902*P1902</f>
        <v>576000</v>
      </c>
      <c r="R1902" s="16">
        <f>'Financial Inputs'!$B$7</f>
        <v>0.35</v>
      </c>
      <c r="S1902" s="17">
        <f>Q1902*(1-R1902)</f>
        <v>374400</v>
      </c>
      <c r="T1902" s="18">
        <f>S1902/'Financial Inputs'!$B$3</f>
        <v>3.7439999999999999E-3</v>
      </c>
      <c r="U1902" s="9" t="s">
        <v>52</v>
      </c>
      <c r="V1902" s="3" t="s">
        <v>53</v>
      </c>
    </row>
    <row r="1903" spans="1:22">
      <c r="A1903" s="2" t="s">
        <v>5948</v>
      </c>
      <c r="B1903" s="2" t="s">
        <v>5949</v>
      </c>
      <c r="C1903" s="2" t="s">
        <v>5945</v>
      </c>
      <c r="D1903" s="2" t="s">
        <v>56</v>
      </c>
      <c r="E1903" s="2" t="s">
        <v>57</v>
      </c>
      <c r="F1903" s="2" t="s">
        <v>58</v>
      </c>
      <c r="G1903" s="2" t="s">
        <v>59</v>
      </c>
      <c r="H1903" s="2" t="s">
        <v>2318</v>
      </c>
      <c r="I1903" s="2" t="s">
        <v>47</v>
      </c>
      <c r="J1903" s="2" t="s">
        <v>500</v>
      </c>
      <c r="K1903" s="2" t="s">
        <v>5950</v>
      </c>
      <c r="L1903" s="2" t="s">
        <v>61</v>
      </c>
      <c r="M1903" s="2" t="s">
        <v>5947</v>
      </c>
      <c r="N1903" s="16">
        <v>1.6199999999999999E-2</v>
      </c>
      <c r="O1903" s="17">
        <f>N1903*'Financial Inputs'!$B$3</f>
        <v>1620000</v>
      </c>
      <c r="P1903" s="18">
        <f>IF(I1903="L",'Financial Inputs'!$B$4,IF(I1903="M",'Financial Inputs'!$B$5,'Financial Inputs'!$B$6))</f>
        <v>0.4</v>
      </c>
      <c r="Q1903" s="17">
        <f>O1903*P1903</f>
        <v>648000</v>
      </c>
      <c r="R1903" s="16">
        <f>'Financial Inputs'!$B$7</f>
        <v>0.35</v>
      </c>
      <c r="S1903" s="17">
        <f>Q1903*(1-R1903)</f>
        <v>421200</v>
      </c>
      <c r="T1903" s="18">
        <f>S1903/'Financial Inputs'!$B$3</f>
        <v>4.2119999999999996E-3</v>
      </c>
      <c r="U1903" s="9" t="s">
        <v>52</v>
      </c>
      <c r="V1903" s="3" t="s">
        <v>53</v>
      </c>
    </row>
    <row r="1904" spans="1:22">
      <c r="A1904" s="2" t="s">
        <v>5951</v>
      </c>
      <c r="B1904" s="2" t="s">
        <v>5952</v>
      </c>
      <c r="C1904" s="2" t="s">
        <v>5945</v>
      </c>
      <c r="D1904" s="2" t="s">
        <v>64</v>
      </c>
      <c r="E1904" s="2" t="s">
        <v>65</v>
      </c>
      <c r="F1904" s="2" t="s">
        <v>66</v>
      </c>
      <c r="G1904" s="2" t="s">
        <v>67</v>
      </c>
      <c r="H1904" s="2" t="s">
        <v>2318</v>
      </c>
      <c r="I1904" s="2" t="s">
        <v>47</v>
      </c>
      <c r="J1904" s="2" t="s">
        <v>500</v>
      </c>
      <c r="K1904" s="2" t="s">
        <v>5953</v>
      </c>
      <c r="L1904" s="2" t="s">
        <v>69</v>
      </c>
      <c r="M1904" s="2" t="s">
        <v>5947</v>
      </c>
      <c r="N1904" s="16">
        <v>1.7999999999999999E-2</v>
      </c>
      <c r="O1904" s="17">
        <f>N1904*'Financial Inputs'!$B$3</f>
        <v>1799999.9999999998</v>
      </c>
      <c r="P1904" s="18">
        <f>IF(I1904="L",'Financial Inputs'!$B$4,IF(I1904="M",'Financial Inputs'!$B$5,'Financial Inputs'!$B$6))</f>
        <v>0.4</v>
      </c>
      <c r="Q1904" s="17">
        <f>O1904*P1904</f>
        <v>720000</v>
      </c>
      <c r="R1904" s="16">
        <f>'Financial Inputs'!$B$7</f>
        <v>0.35</v>
      </c>
      <c r="S1904" s="17">
        <f>Q1904*(1-R1904)</f>
        <v>468000</v>
      </c>
      <c r="T1904" s="18">
        <f>S1904/'Financial Inputs'!$B$3</f>
        <v>4.6800000000000001E-3</v>
      </c>
      <c r="U1904" s="9" t="s">
        <v>52</v>
      </c>
      <c r="V1904" s="3" t="s">
        <v>53</v>
      </c>
    </row>
    <row r="1905" spans="1:22">
      <c r="A1905" s="2" t="s">
        <v>5954</v>
      </c>
      <c r="B1905" s="2" t="s">
        <v>5955</v>
      </c>
      <c r="C1905" s="2" t="s">
        <v>5945</v>
      </c>
      <c r="D1905" s="2" t="s">
        <v>72</v>
      </c>
      <c r="E1905" s="2" t="s">
        <v>73</v>
      </c>
      <c r="F1905" s="2" t="s">
        <v>74</v>
      </c>
      <c r="G1905" s="2" t="s">
        <v>75</v>
      </c>
      <c r="H1905" s="2" t="s">
        <v>2318</v>
      </c>
      <c r="I1905" s="2" t="s">
        <v>47</v>
      </c>
      <c r="J1905" s="2" t="s">
        <v>500</v>
      </c>
      <c r="K1905" s="2" t="s">
        <v>5956</v>
      </c>
      <c r="L1905" s="2" t="s">
        <v>77</v>
      </c>
      <c r="M1905" s="2" t="s">
        <v>5947</v>
      </c>
      <c r="N1905" s="16">
        <v>1.9800000000000002E-2</v>
      </c>
      <c r="O1905" s="17">
        <f>N1905*'Financial Inputs'!$B$3</f>
        <v>1980000.0000000002</v>
      </c>
      <c r="P1905" s="18">
        <f>IF(I1905="L",'Financial Inputs'!$B$4,IF(I1905="M",'Financial Inputs'!$B$5,'Financial Inputs'!$B$6))</f>
        <v>0.4</v>
      </c>
      <c r="Q1905" s="17">
        <f>O1905*P1905</f>
        <v>792000.00000000012</v>
      </c>
      <c r="R1905" s="16">
        <f>'Financial Inputs'!$B$7</f>
        <v>0.35</v>
      </c>
      <c r="S1905" s="17">
        <f>Q1905*(1-R1905)</f>
        <v>514800.00000000012</v>
      </c>
      <c r="T1905" s="18">
        <f>S1905/'Financial Inputs'!$B$3</f>
        <v>5.1480000000000015E-3</v>
      </c>
      <c r="U1905" s="9" t="s">
        <v>52</v>
      </c>
      <c r="V1905" s="3" t="s">
        <v>53</v>
      </c>
    </row>
    <row r="1906" spans="1:22">
      <c r="A1906" s="2" t="s">
        <v>5957</v>
      </c>
      <c r="B1906" s="2" t="s">
        <v>5958</v>
      </c>
      <c r="C1906" s="2" t="s">
        <v>5945</v>
      </c>
      <c r="D1906" s="2" t="s">
        <v>80</v>
      </c>
      <c r="E1906" s="2" t="s">
        <v>81</v>
      </c>
      <c r="F1906" s="2" t="s">
        <v>82</v>
      </c>
      <c r="G1906" s="2" t="s">
        <v>83</v>
      </c>
      <c r="H1906" s="2" t="s">
        <v>2318</v>
      </c>
      <c r="I1906" s="2" t="s">
        <v>47</v>
      </c>
      <c r="J1906" s="2" t="s">
        <v>500</v>
      </c>
      <c r="K1906" s="2" t="s">
        <v>5959</v>
      </c>
      <c r="L1906" s="2" t="s">
        <v>85</v>
      </c>
      <c r="M1906" s="2" t="s">
        <v>5947</v>
      </c>
      <c r="N1906" s="16">
        <v>2.1600000000000001E-2</v>
      </c>
      <c r="O1906" s="17">
        <f>N1906*'Financial Inputs'!$B$3</f>
        <v>2160000</v>
      </c>
      <c r="P1906" s="18">
        <f>IF(I1906="L",'Financial Inputs'!$B$4,IF(I1906="M",'Financial Inputs'!$B$5,'Financial Inputs'!$B$6))</f>
        <v>0.4</v>
      </c>
      <c r="Q1906" s="17">
        <f>O1906*P1906</f>
        <v>864000</v>
      </c>
      <c r="R1906" s="16">
        <f>'Financial Inputs'!$B$7</f>
        <v>0.35</v>
      </c>
      <c r="S1906" s="17">
        <f>Q1906*(1-R1906)</f>
        <v>561600</v>
      </c>
      <c r="T1906" s="18">
        <f>S1906/'Financial Inputs'!$B$3</f>
        <v>5.6160000000000003E-3</v>
      </c>
      <c r="U1906" s="9" t="s">
        <v>52</v>
      </c>
      <c r="V1906" s="3" t="s">
        <v>53</v>
      </c>
    </row>
    <row r="1907" spans="1:22">
      <c r="A1907" s="2" t="s">
        <v>5960</v>
      </c>
      <c r="B1907" s="2" t="s">
        <v>5961</v>
      </c>
      <c r="C1907" s="2" t="s">
        <v>5945</v>
      </c>
      <c r="D1907" s="2" t="s">
        <v>88</v>
      </c>
      <c r="E1907" s="2" t="s">
        <v>89</v>
      </c>
      <c r="F1907" s="2" t="s">
        <v>90</v>
      </c>
      <c r="G1907" s="2" t="s">
        <v>67</v>
      </c>
      <c r="H1907" s="2" t="s">
        <v>2318</v>
      </c>
      <c r="I1907" s="2" t="s">
        <v>47</v>
      </c>
      <c r="J1907" s="2" t="s">
        <v>500</v>
      </c>
      <c r="K1907" s="2" t="s">
        <v>5962</v>
      </c>
      <c r="L1907" s="2" t="s">
        <v>92</v>
      </c>
      <c r="M1907" s="2" t="s">
        <v>5947</v>
      </c>
      <c r="N1907" s="16">
        <v>1.44E-2</v>
      </c>
      <c r="O1907" s="17">
        <f>N1907*'Financial Inputs'!$B$3</f>
        <v>1440000</v>
      </c>
      <c r="P1907" s="18">
        <f>IF(I1907="L",'Financial Inputs'!$B$4,IF(I1907="M",'Financial Inputs'!$B$5,'Financial Inputs'!$B$6))</f>
        <v>0.4</v>
      </c>
      <c r="Q1907" s="17">
        <f>O1907*P1907</f>
        <v>576000</v>
      </c>
      <c r="R1907" s="16">
        <f>'Financial Inputs'!$B$7</f>
        <v>0.35</v>
      </c>
      <c r="S1907" s="17">
        <f>Q1907*(1-R1907)</f>
        <v>374400</v>
      </c>
      <c r="T1907" s="18">
        <f>S1907/'Financial Inputs'!$B$3</f>
        <v>3.7439999999999999E-3</v>
      </c>
      <c r="U1907" s="9" t="s">
        <v>52</v>
      </c>
      <c r="V1907" s="3" t="s">
        <v>53</v>
      </c>
    </row>
    <row r="1908" spans="1:22">
      <c r="A1908" s="2" t="s">
        <v>5963</v>
      </c>
      <c r="B1908" s="2" t="s">
        <v>5964</v>
      </c>
      <c r="C1908" s="2" t="s">
        <v>5945</v>
      </c>
      <c r="D1908" s="2" t="s">
        <v>95</v>
      </c>
      <c r="E1908" s="2" t="s">
        <v>96</v>
      </c>
      <c r="F1908" s="2" t="s">
        <v>97</v>
      </c>
      <c r="G1908" s="2" t="s">
        <v>75</v>
      </c>
      <c r="H1908" s="2" t="s">
        <v>2318</v>
      </c>
      <c r="I1908" s="2" t="s">
        <v>47</v>
      </c>
      <c r="J1908" s="2" t="s">
        <v>500</v>
      </c>
      <c r="K1908" s="2" t="s">
        <v>5965</v>
      </c>
      <c r="L1908" s="2" t="s">
        <v>99</v>
      </c>
      <c r="M1908" s="2" t="s">
        <v>5947</v>
      </c>
      <c r="N1908" s="16">
        <v>1.6199999999999999E-2</v>
      </c>
      <c r="O1908" s="17">
        <f>N1908*'Financial Inputs'!$B$3</f>
        <v>1620000</v>
      </c>
      <c r="P1908" s="18">
        <f>IF(I1908="L",'Financial Inputs'!$B$4,IF(I1908="M",'Financial Inputs'!$B$5,'Financial Inputs'!$B$6))</f>
        <v>0.4</v>
      </c>
      <c r="Q1908" s="17">
        <f>O1908*P1908</f>
        <v>648000</v>
      </c>
      <c r="R1908" s="16">
        <f>'Financial Inputs'!$B$7</f>
        <v>0.35</v>
      </c>
      <c r="S1908" s="17">
        <f>Q1908*(1-R1908)</f>
        <v>421200</v>
      </c>
      <c r="T1908" s="18">
        <f>S1908/'Financial Inputs'!$B$3</f>
        <v>4.2119999999999996E-3</v>
      </c>
      <c r="U1908" s="9" t="s">
        <v>52</v>
      </c>
      <c r="V1908" s="3" t="s">
        <v>53</v>
      </c>
    </row>
    <row r="1909" spans="1:22">
      <c r="A1909" s="2" t="s">
        <v>5966</v>
      </c>
      <c r="B1909" s="2" t="s">
        <v>5967</v>
      </c>
      <c r="C1909" s="2" t="s">
        <v>5945</v>
      </c>
      <c r="D1909" s="2" t="s">
        <v>102</v>
      </c>
      <c r="E1909" s="2" t="s">
        <v>103</v>
      </c>
      <c r="F1909" s="2" t="s">
        <v>104</v>
      </c>
      <c r="G1909" s="2" t="s">
        <v>83</v>
      </c>
      <c r="H1909" s="2" t="s">
        <v>2318</v>
      </c>
      <c r="I1909" s="2" t="s">
        <v>47</v>
      </c>
      <c r="J1909" s="2" t="s">
        <v>500</v>
      </c>
      <c r="K1909" s="2" t="s">
        <v>5968</v>
      </c>
      <c r="L1909" s="2" t="s">
        <v>106</v>
      </c>
      <c r="M1909" s="2" t="s">
        <v>5947</v>
      </c>
      <c r="N1909" s="16">
        <v>1.7999999999999999E-2</v>
      </c>
      <c r="O1909" s="17">
        <f>N1909*'Financial Inputs'!$B$3</f>
        <v>1799999.9999999998</v>
      </c>
      <c r="P1909" s="18">
        <f>IF(I1909="L",'Financial Inputs'!$B$4,IF(I1909="M",'Financial Inputs'!$B$5,'Financial Inputs'!$B$6))</f>
        <v>0.4</v>
      </c>
      <c r="Q1909" s="17">
        <f>O1909*P1909</f>
        <v>720000</v>
      </c>
      <c r="R1909" s="16">
        <f>'Financial Inputs'!$B$7</f>
        <v>0.35</v>
      </c>
      <c r="S1909" s="17">
        <f>Q1909*(1-R1909)</f>
        <v>468000</v>
      </c>
      <c r="T1909" s="18">
        <f>S1909/'Financial Inputs'!$B$3</f>
        <v>4.6800000000000001E-3</v>
      </c>
      <c r="U1909" s="9" t="s">
        <v>52</v>
      </c>
      <c r="V1909" s="3" t="s">
        <v>53</v>
      </c>
    </row>
    <row r="1910" spans="1:22">
      <c r="A1910" s="2" t="s">
        <v>5969</v>
      </c>
      <c r="B1910" s="2" t="s">
        <v>5970</v>
      </c>
      <c r="C1910" s="2" t="s">
        <v>5945</v>
      </c>
      <c r="D1910" s="2" t="s">
        <v>42</v>
      </c>
      <c r="E1910" s="2" t="s">
        <v>109</v>
      </c>
      <c r="F1910" s="2" t="s">
        <v>110</v>
      </c>
      <c r="G1910" s="2" t="s">
        <v>111</v>
      </c>
      <c r="H1910" s="2" t="s">
        <v>2318</v>
      </c>
      <c r="I1910" s="2" t="s">
        <v>47</v>
      </c>
      <c r="J1910" s="2" t="s">
        <v>500</v>
      </c>
      <c r="K1910" s="2" t="s">
        <v>5971</v>
      </c>
      <c r="L1910" s="2" t="s">
        <v>113</v>
      </c>
      <c r="M1910" s="2" t="s">
        <v>5947</v>
      </c>
      <c r="N1910" s="16">
        <v>1.9800000000000002E-2</v>
      </c>
      <c r="O1910" s="17">
        <f>N1910*'Financial Inputs'!$B$3</f>
        <v>1980000.0000000002</v>
      </c>
      <c r="P1910" s="18">
        <f>IF(I1910="L",'Financial Inputs'!$B$4,IF(I1910="M",'Financial Inputs'!$B$5,'Financial Inputs'!$B$6))</f>
        <v>0.4</v>
      </c>
      <c r="Q1910" s="17">
        <f>O1910*P1910</f>
        <v>792000.00000000012</v>
      </c>
      <c r="R1910" s="16">
        <f>'Financial Inputs'!$B$7</f>
        <v>0.35</v>
      </c>
      <c r="S1910" s="17">
        <f>Q1910*(1-R1910)</f>
        <v>514800.00000000012</v>
      </c>
      <c r="T1910" s="18">
        <f>S1910/'Financial Inputs'!$B$3</f>
        <v>5.1480000000000015E-3</v>
      </c>
      <c r="U1910" s="9" t="s">
        <v>52</v>
      </c>
      <c r="V1910" s="3" t="s">
        <v>53</v>
      </c>
    </row>
    <row r="1911" spans="1:22">
      <c r="A1911" s="2" t="s">
        <v>5972</v>
      </c>
      <c r="B1911" s="2" t="s">
        <v>5973</v>
      </c>
      <c r="C1911" s="2" t="s">
        <v>5945</v>
      </c>
      <c r="D1911" s="2" t="s">
        <v>56</v>
      </c>
      <c r="E1911" s="2" t="s">
        <v>116</v>
      </c>
      <c r="F1911" s="2" t="s">
        <v>117</v>
      </c>
      <c r="G1911" s="2" t="s">
        <v>56</v>
      </c>
      <c r="H1911" s="2" t="s">
        <v>2318</v>
      </c>
      <c r="I1911" s="2" t="s">
        <v>47</v>
      </c>
      <c r="J1911" s="2" t="s">
        <v>500</v>
      </c>
      <c r="K1911" s="2" t="s">
        <v>5974</v>
      </c>
      <c r="L1911" s="2" t="s">
        <v>119</v>
      </c>
      <c r="M1911" s="2" t="s">
        <v>5947</v>
      </c>
      <c r="N1911" s="16">
        <v>2.1600000000000001E-2</v>
      </c>
      <c r="O1911" s="17">
        <f>N1911*'Financial Inputs'!$B$3</f>
        <v>2160000</v>
      </c>
      <c r="P1911" s="18">
        <f>IF(I1911="L",'Financial Inputs'!$B$4,IF(I1911="M",'Financial Inputs'!$B$5,'Financial Inputs'!$B$6))</f>
        <v>0.4</v>
      </c>
      <c r="Q1911" s="17">
        <f>O1911*P1911</f>
        <v>864000</v>
      </c>
      <c r="R1911" s="16">
        <f>'Financial Inputs'!$B$7</f>
        <v>0.35</v>
      </c>
      <c r="S1911" s="17">
        <f>Q1911*(1-R1911)</f>
        <v>561600</v>
      </c>
      <c r="T1911" s="18">
        <f>S1911/'Financial Inputs'!$B$3</f>
        <v>5.6160000000000003E-3</v>
      </c>
      <c r="U1911" s="9" t="s">
        <v>52</v>
      </c>
      <c r="V1911" s="3" t="s">
        <v>53</v>
      </c>
    </row>
    <row r="1912" spans="1:22">
      <c r="A1912" s="2" t="s">
        <v>5975</v>
      </c>
      <c r="B1912" s="2" t="s">
        <v>5976</v>
      </c>
      <c r="C1912" s="2" t="s">
        <v>5945</v>
      </c>
      <c r="D1912" s="2" t="s">
        <v>80</v>
      </c>
      <c r="E1912" s="2" t="s">
        <v>122</v>
      </c>
      <c r="F1912" s="2" t="s">
        <v>58</v>
      </c>
      <c r="G1912" s="2" t="s">
        <v>83</v>
      </c>
      <c r="H1912" s="2" t="s">
        <v>2318</v>
      </c>
      <c r="I1912" s="2" t="s">
        <v>47</v>
      </c>
      <c r="J1912" s="2" t="s">
        <v>500</v>
      </c>
      <c r="K1912" s="2" t="s">
        <v>5977</v>
      </c>
      <c r="L1912" s="2" t="s">
        <v>124</v>
      </c>
      <c r="M1912" s="2" t="s">
        <v>5947</v>
      </c>
      <c r="N1912" s="16">
        <v>1.44E-2</v>
      </c>
      <c r="O1912" s="17">
        <f>N1912*'Financial Inputs'!$B$3</f>
        <v>1440000</v>
      </c>
      <c r="P1912" s="18">
        <f>IF(I1912="L",'Financial Inputs'!$B$4,IF(I1912="M",'Financial Inputs'!$B$5,'Financial Inputs'!$B$6))</f>
        <v>0.4</v>
      </c>
      <c r="Q1912" s="17">
        <f>O1912*P1912</f>
        <v>576000</v>
      </c>
      <c r="R1912" s="16">
        <f>'Financial Inputs'!$B$7</f>
        <v>0.35</v>
      </c>
      <c r="S1912" s="17">
        <f>Q1912*(1-R1912)</f>
        <v>374400</v>
      </c>
      <c r="T1912" s="18">
        <f>S1912/'Financial Inputs'!$B$3</f>
        <v>3.7439999999999999E-3</v>
      </c>
      <c r="U1912" s="9" t="s">
        <v>52</v>
      </c>
      <c r="V1912" s="3" t="s">
        <v>53</v>
      </c>
    </row>
    <row r="1913" spans="1:22">
      <c r="A1913" s="2" t="s">
        <v>5978</v>
      </c>
      <c r="B1913" s="2" t="s">
        <v>5979</v>
      </c>
      <c r="C1913" s="2" t="s">
        <v>5945</v>
      </c>
      <c r="D1913" s="2" t="s">
        <v>127</v>
      </c>
      <c r="E1913" s="2" t="s">
        <v>128</v>
      </c>
      <c r="F1913" s="2" t="s">
        <v>66</v>
      </c>
      <c r="G1913" s="2" t="s">
        <v>111</v>
      </c>
      <c r="H1913" s="2" t="s">
        <v>2318</v>
      </c>
      <c r="I1913" s="2" t="s">
        <v>47</v>
      </c>
      <c r="J1913" s="2" t="s">
        <v>500</v>
      </c>
      <c r="K1913" s="2" t="s">
        <v>5980</v>
      </c>
      <c r="L1913" s="2" t="s">
        <v>130</v>
      </c>
      <c r="M1913" s="2" t="s">
        <v>5947</v>
      </c>
      <c r="N1913" s="16">
        <v>1.6199999999999999E-2</v>
      </c>
      <c r="O1913" s="17">
        <f>N1913*'Financial Inputs'!$B$3</f>
        <v>1620000</v>
      </c>
      <c r="P1913" s="18">
        <f>IF(I1913="L",'Financial Inputs'!$B$4,IF(I1913="M",'Financial Inputs'!$B$5,'Financial Inputs'!$B$6))</f>
        <v>0.4</v>
      </c>
      <c r="Q1913" s="17">
        <f>O1913*P1913</f>
        <v>648000</v>
      </c>
      <c r="R1913" s="16">
        <f>'Financial Inputs'!$B$7</f>
        <v>0.35</v>
      </c>
      <c r="S1913" s="17">
        <f>Q1913*(1-R1913)</f>
        <v>421200</v>
      </c>
      <c r="T1913" s="18">
        <f>S1913/'Financial Inputs'!$B$3</f>
        <v>4.2119999999999996E-3</v>
      </c>
      <c r="U1913" s="9" t="s">
        <v>52</v>
      </c>
      <c r="V1913" s="3" t="s">
        <v>53</v>
      </c>
    </row>
    <row r="1914" spans="1:22">
      <c r="A1914" s="2" t="s">
        <v>5981</v>
      </c>
      <c r="B1914" s="2" t="s">
        <v>5982</v>
      </c>
      <c r="C1914" s="2" t="s">
        <v>5945</v>
      </c>
      <c r="D1914" s="2" t="s">
        <v>133</v>
      </c>
      <c r="E1914" s="2" t="s">
        <v>43</v>
      </c>
      <c r="F1914" s="2" t="s">
        <v>74</v>
      </c>
      <c r="G1914" s="2" t="s">
        <v>56</v>
      </c>
      <c r="H1914" s="2" t="s">
        <v>2318</v>
      </c>
      <c r="I1914" s="2" t="s">
        <v>47</v>
      </c>
      <c r="J1914" s="2" t="s">
        <v>500</v>
      </c>
      <c r="K1914" s="2" t="s">
        <v>5983</v>
      </c>
      <c r="L1914" s="2" t="s">
        <v>135</v>
      </c>
      <c r="M1914" s="2" t="s">
        <v>5947</v>
      </c>
      <c r="N1914" s="16">
        <v>1.7999999999999999E-2</v>
      </c>
      <c r="O1914" s="17">
        <f>N1914*'Financial Inputs'!$B$3</f>
        <v>1799999.9999999998</v>
      </c>
      <c r="P1914" s="18">
        <f>IF(I1914="L",'Financial Inputs'!$B$4,IF(I1914="M",'Financial Inputs'!$B$5,'Financial Inputs'!$B$6))</f>
        <v>0.4</v>
      </c>
      <c r="Q1914" s="17">
        <f>O1914*P1914</f>
        <v>720000</v>
      </c>
      <c r="R1914" s="16">
        <f>'Financial Inputs'!$B$7</f>
        <v>0.35</v>
      </c>
      <c r="S1914" s="17">
        <f>Q1914*(1-R1914)</f>
        <v>468000</v>
      </c>
      <c r="T1914" s="18">
        <f>S1914/'Financial Inputs'!$B$3</f>
        <v>4.6800000000000001E-3</v>
      </c>
      <c r="U1914" s="9" t="s">
        <v>52</v>
      </c>
      <c r="V1914" s="3" t="s">
        <v>53</v>
      </c>
    </row>
    <row r="1915" spans="1:22">
      <c r="A1915" s="2" t="s">
        <v>5984</v>
      </c>
      <c r="B1915" s="2" t="s">
        <v>5985</v>
      </c>
      <c r="C1915" s="2" t="s">
        <v>5945</v>
      </c>
      <c r="D1915" s="2" t="s">
        <v>88</v>
      </c>
      <c r="E1915" s="2" t="s">
        <v>57</v>
      </c>
      <c r="F1915" s="2" t="s">
        <v>82</v>
      </c>
      <c r="G1915" s="2" t="s">
        <v>138</v>
      </c>
      <c r="H1915" s="2" t="s">
        <v>2318</v>
      </c>
      <c r="I1915" s="2" t="s">
        <v>47</v>
      </c>
      <c r="J1915" s="2" t="s">
        <v>500</v>
      </c>
      <c r="K1915" s="2" t="s">
        <v>5986</v>
      </c>
      <c r="L1915" s="2" t="s">
        <v>140</v>
      </c>
      <c r="M1915" s="2" t="s">
        <v>5947</v>
      </c>
      <c r="N1915" s="16">
        <v>1.9800000000000002E-2</v>
      </c>
      <c r="O1915" s="17">
        <f>N1915*'Financial Inputs'!$B$3</f>
        <v>1980000.0000000002</v>
      </c>
      <c r="P1915" s="18">
        <f>IF(I1915="L",'Financial Inputs'!$B$4,IF(I1915="M",'Financial Inputs'!$B$5,'Financial Inputs'!$B$6))</f>
        <v>0.4</v>
      </c>
      <c r="Q1915" s="17">
        <f>O1915*P1915</f>
        <v>792000.00000000012</v>
      </c>
      <c r="R1915" s="16">
        <f>'Financial Inputs'!$B$7</f>
        <v>0.35</v>
      </c>
      <c r="S1915" s="17">
        <f>Q1915*(1-R1915)</f>
        <v>514800.00000000012</v>
      </c>
      <c r="T1915" s="18">
        <f>S1915/'Financial Inputs'!$B$3</f>
        <v>5.1480000000000015E-3</v>
      </c>
      <c r="U1915" s="9" t="s">
        <v>52</v>
      </c>
      <c r="V1915" s="3" t="s">
        <v>53</v>
      </c>
    </row>
    <row r="1916" spans="1:22">
      <c r="A1916" s="2" t="s">
        <v>5987</v>
      </c>
      <c r="B1916" s="2" t="s">
        <v>5988</v>
      </c>
      <c r="C1916" s="2" t="s">
        <v>5945</v>
      </c>
      <c r="D1916" s="2" t="s">
        <v>95</v>
      </c>
      <c r="E1916" s="2" t="s">
        <v>65</v>
      </c>
      <c r="F1916" s="2" t="s">
        <v>44</v>
      </c>
      <c r="G1916" s="2" t="s">
        <v>143</v>
      </c>
      <c r="H1916" s="2" t="s">
        <v>2318</v>
      </c>
      <c r="I1916" s="2" t="s">
        <v>47</v>
      </c>
      <c r="J1916" s="2" t="s">
        <v>500</v>
      </c>
      <c r="K1916" s="2" t="s">
        <v>5989</v>
      </c>
      <c r="L1916" s="2" t="s">
        <v>145</v>
      </c>
      <c r="M1916" s="2" t="s">
        <v>5947</v>
      </c>
      <c r="N1916" s="16">
        <v>2.1600000000000001E-2</v>
      </c>
      <c r="O1916" s="17">
        <f>N1916*'Financial Inputs'!$B$3</f>
        <v>2160000</v>
      </c>
      <c r="P1916" s="18">
        <f>IF(I1916="L",'Financial Inputs'!$B$4,IF(I1916="M",'Financial Inputs'!$B$5,'Financial Inputs'!$B$6))</f>
        <v>0.4</v>
      </c>
      <c r="Q1916" s="17">
        <f>O1916*P1916</f>
        <v>864000</v>
      </c>
      <c r="R1916" s="16">
        <f>'Financial Inputs'!$B$7</f>
        <v>0.35</v>
      </c>
      <c r="S1916" s="17">
        <f>Q1916*(1-R1916)</f>
        <v>561600</v>
      </c>
      <c r="T1916" s="18">
        <f>S1916/'Financial Inputs'!$B$3</f>
        <v>5.6160000000000003E-3</v>
      </c>
      <c r="U1916" s="9" t="s">
        <v>52</v>
      </c>
      <c r="V1916" s="3" t="s">
        <v>53</v>
      </c>
    </row>
    <row r="1917" spans="1:22">
      <c r="A1917" s="2" t="s">
        <v>5990</v>
      </c>
      <c r="B1917" s="2" t="s">
        <v>5991</v>
      </c>
      <c r="C1917" s="2" t="s">
        <v>5945</v>
      </c>
      <c r="D1917" s="2" t="s">
        <v>56</v>
      </c>
      <c r="E1917" s="2" t="s">
        <v>148</v>
      </c>
      <c r="F1917" s="2" t="s">
        <v>97</v>
      </c>
      <c r="G1917" s="2" t="s">
        <v>56</v>
      </c>
      <c r="H1917" s="2" t="s">
        <v>2318</v>
      </c>
      <c r="I1917" s="2" t="s">
        <v>47</v>
      </c>
      <c r="J1917" s="2" t="s">
        <v>500</v>
      </c>
      <c r="K1917" s="2" t="s">
        <v>5992</v>
      </c>
      <c r="L1917" s="2" t="s">
        <v>150</v>
      </c>
      <c r="M1917" s="2" t="s">
        <v>5947</v>
      </c>
      <c r="N1917" s="16">
        <v>1.44E-2</v>
      </c>
      <c r="O1917" s="17">
        <f>N1917*'Financial Inputs'!$B$3</f>
        <v>1440000</v>
      </c>
      <c r="P1917" s="18">
        <f>IF(I1917="L",'Financial Inputs'!$B$4,IF(I1917="M",'Financial Inputs'!$B$5,'Financial Inputs'!$B$6))</f>
        <v>0.4</v>
      </c>
      <c r="Q1917" s="17">
        <f>O1917*P1917</f>
        <v>576000</v>
      </c>
      <c r="R1917" s="16">
        <f>'Financial Inputs'!$B$7</f>
        <v>0.35</v>
      </c>
      <c r="S1917" s="17">
        <f>Q1917*(1-R1917)</f>
        <v>374400</v>
      </c>
      <c r="T1917" s="18">
        <f>S1917/'Financial Inputs'!$B$3</f>
        <v>3.7439999999999999E-3</v>
      </c>
      <c r="U1917" s="9" t="s">
        <v>52</v>
      </c>
      <c r="V1917" s="3" t="s">
        <v>53</v>
      </c>
    </row>
    <row r="1918" spans="1:22">
      <c r="A1918" s="2" t="s">
        <v>5993</v>
      </c>
      <c r="B1918" s="2" t="s">
        <v>5994</v>
      </c>
      <c r="C1918" s="2" t="s">
        <v>5945</v>
      </c>
      <c r="D1918" s="2" t="s">
        <v>64</v>
      </c>
      <c r="E1918" s="2" t="s">
        <v>153</v>
      </c>
      <c r="F1918" s="2" t="s">
        <v>104</v>
      </c>
      <c r="G1918" s="2" t="s">
        <v>138</v>
      </c>
      <c r="H1918" s="2" t="s">
        <v>2318</v>
      </c>
      <c r="I1918" s="2" t="s">
        <v>47</v>
      </c>
      <c r="J1918" s="2" t="s">
        <v>500</v>
      </c>
      <c r="K1918" s="2" t="s">
        <v>5995</v>
      </c>
      <c r="L1918" s="2" t="s">
        <v>155</v>
      </c>
      <c r="M1918" s="2" t="s">
        <v>5947</v>
      </c>
      <c r="N1918" s="16">
        <v>1.6199999999999999E-2</v>
      </c>
      <c r="O1918" s="17">
        <f>N1918*'Financial Inputs'!$B$3</f>
        <v>1620000</v>
      </c>
      <c r="P1918" s="18">
        <f>IF(I1918="L",'Financial Inputs'!$B$4,IF(I1918="M",'Financial Inputs'!$B$5,'Financial Inputs'!$B$6))</f>
        <v>0.4</v>
      </c>
      <c r="Q1918" s="17">
        <f>O1918*P1918</f>
        <v>648000</v>
      </c>
      <c r="R1918" s="16">
        <f>'Financial Inputs'!$B$7</f>
        <v>0.35</v>
      </c>
      <c r="S1918" s="17">
        <f>Q1918*(1-R1918)</f>
        <v>421200</v>
      </c>
      <c r="T1918" s="18">
        <f>S1918/'Financial Inputs'!$B$3</f>
        <v>4.2119999999999996E-3</v>
      </c>
      <c r="U1918" s="9" t="s">
        <v>52</v>
      </c>
      <c r="V1918" s="3" t="s">
        <v>53</v>
      </c>
    </row>
    <row r="1919" spans="1:22">
      <c r="A1919" s="2" t="s">
        <v>5996</v>
      </c>
      <c r="B1919" s="2" t="s">
        <v>5997</v>
      </c>
      <c r="C1919" s="2" t="s">
        <v>5945</v>
      </c>
      <c r="D1919" s="2" t="s">
        <v>72</v>
      </c>
      <c r="E1919" s="2" t="s">
        <v>89</v>
      </c>
      <c r="F1919" s="2" t="s">
        <v>110</v>
      </c>
      <c r="G1919" s="2" t="s">
        <v>143</v>
      </c>
      <c r="H1919" s="2" t="s">
        <v>2318</v>
      </c>
      <c r="I1919" s="2" t="s">
        <v>47</v>
      </c>
      <c r="J1919" s="2" t="s">
        <v>500</v>
      </c>
      <c r="K1919" s="2" t="s">
        <v>5998</v>
      </c>
      <c r="L1919" s="2" t="s">
        <v>159</v>
      </c>
      <c r="M1919" s="2" t="s">
        <v>5947</v>
      </c>
      <c r="N1919" s="16">
        <v>1.7999999999999999E-2</v>
      </c>
      <c r="O1919" s="17">
        <f>N1919*'Financial Inputs'!$B$3</f>
        <v>1799999.9999999998</v>
      </c>
      <c r="P1919" s="18">
        <f>IF(I1919="L",'Financial Inputs'!$B$4,IF(I1919="M",'Financial Inputs'!$B$5,'Financial Inputs'!$B$6))</f>
        <v>0.4</v>
      </c>
      <c r="Q1919" s="17">
        <f>O1919*P1919</f>
        <v>720000</v>
      </c>
      <c r="R1919" s="16">
        <f>'Financial Inputs'!$B$7</f>
        <v>0.35</v>
      </c>
      <c r="S1919" s="17">
        <f>Q1919*(1-R1919)</f>
        <v>468000</v>
      </c>
      <c r="T1919" s="18">
        <f>S1919/'Financial Inputs'!$B$3</f>
        <v>4.6800000000000001E-3</v>
      </c>
      <c r="U1919" s="9" t="s">
        <v>52</v>
      </c>
      <c r="V1919" s="3" t="s">
        <v>53</v>
      </c>
    </row>
    <row r="1920" spans="1:22">
      <c r="A1920" s="2" t="s">
        <v>5999</v>
      </c>
      <c r="B1920" s="2" t="s">
        <v>6000</v>
      </c>
      <c r="C1920" s="2" t="s">
        <v>5945</v>
      </c>
      <c r="D1920" s="2" t="s">
        <v>80</v>
      </c>
      <c r="E1920" s="2" t="s">
        <v>96</v>
      </c>
      <c r="F1920" s="2" t="s">
        <v>117</v>
      </c>
      <c r="G1920" s="2" t="s">
        <v>162</v>
      </c>
      <c r="H1920" s="2" t="s">
        <v>2318</v>
      </c>
      <c r="I1920" s="2" t="s">
        <v>47</v>
      </c>
      <c r="J1920" s="2" t="s">
        <v>500</v>
      </c>
      <c r="K1920" s="2" t="s">
        <v>6001</v>
      </c>
      <c r="L1920" s="2" t="s">
        <v>164</v>
      </c>
      <c r="M1920" s="2" t="s">
        <v>5947</v>
      </c>
      <c r="N1920" s="16">
        <v>1.9800000000000002E-2</v>
      </c>
      <c r="O1920" s="17">
        <f>N1920*'Financial Inputs'!$B$3</f>
        <v>1980000.0000000002</v>
      </c>
      <c r="P1920" s="18">
        <f>IF(I1920="L",'Financial Inputs'!$B$4,IF(I1920="M",'Financial Inputs'!$B$5,'Financial Inputs'!$B$6))</f>
        <v>0.4</v>
      </c>
      <c r="Q1920" s="17">
        <f>O1920*P1920</f>
        <v>792000.00000000012</v>
      </c>
      <c r="R1920" s="16">
        <f>'Financial Inputs'!$B$7</f>
        <v>0.35</v>
      </c>
      <c r="S1920" s="17">
        <f>Q1920*(1-R1920)</f>
        <v>514800.00000000012</v>
      </c>
      <c r="T1920" s="18">
        <f>S1920/'Financial Inputs'!$B$3</f>
        <v>5.1480000000000015E-3</v>
      </c>
      <c r="U1920" s="9" t="s">
        <v>52</v>
      </c>
      <c r="V1920" s="3" t="s">
        <v>53</v>
      </c>
    </row>
    <row r="1921" spans="1:22">
      <c r="A1921" s="2" t="s">
        <v>6002</v>
      </c>
      <c r="B1921" s="2" t="s">
        <v>6003</v>
      </c>
      <c r="C1921" s="2" t="s">
        <v>5945</v>
      </c>
      <c r="D1921" s="2" t="s">
        <v>127</v>
      </c>
      <c r="E1921" s="2" t="s">
        <v>103</v>
      </c>
      <c r="F1921" s="2" t="s">
        <v>90</v>
      </c>
      <c r="G1921" s="2" t="s">
        <v>45</v>
      </c>
      <c r="H1921" s="2" t="s">
        <v>2318</v>
      </c>
      <c r="I1921" s="2" t="s">
        <v>47</v>
      </c>
      <c r="J1921" s="2" t="s">
        <v>500</v>
      </c>
      <c r="K1921" s="2" t="s">
        <v>6004</v>
      </c>
      <c r="L1921" s="2" t="s">
        <v>168</v>
      </c>
      <c r="M1921" s="2" t="s">
        <v>5947</v>
      </c>
      <c r="N1921" s="16">
        <v>2.1600000000000001E-2</v>
      </c>
      <c r="O1921" s="17">
        <f>N1921*'Financial Inputs'!$B$3</f>
        <v>2160000</v>
      </c>
      <c r="P1921" s="18">
        <f>IF(I1921="L",'Financial Inputs'!$B$4,IF(I1921="M",'Financial Inputs'!$B$5,'Financial Inputs'!$B$6))</f>
        <v>0.4</v>
      </c>
      <c r="Q1921" s="17">
        <f>O1921*P1921</f>
        <v>864000</v>
      </c>
      <c r="R1921" s="16">
        <f>'Financial Inputs'!$B$7</f>
        <v>0.35</v>
      </c>
      <c r="S1921" s="17">
        <f>Q1921*(1-R1921)</f>
        <v>561600</v>
      </c>
      <c r="T1921" s="18">
        <f>S1921/'Financial Inputs'!$B$3</f>
        <v>5.6160000000000003E-3</v>
      </c>
      <c r="U1921" s="9" t="s">
        <v>52</v>
      </c>
      <c r="V1921" s="3" t="s">
        <v>53</v>
      </c>
    </row>
    <row r="1922" spans="1:22">
      <c r="A1922" s="2" t="s">
        <v>6005</v>
      </c>
      <c r="B1922" s="2" t="s">
        <v>6006</v>
      </c>
      <c r="C1922" s="2" t="s">
        <v>5945</v>
      </c>
      <c r="D1922" s="2" t="s">
        <v>95</v>
      </c>
      <c r="E1922" s="2" t="s">
        <v>171</v>
      </c>
      <c r="F1922" s="2" t="s">
        <v>66</v>
      </c>
      <c r="G1922" s="2" t="s">
        <v>143</v>
      </c>
      <c r="H1922" s="2" t="s">
        <v>2318</v>
      </c>
      <c r="I1922" s="2" t="s">
        <v>47</v>
      </c>
      <c r="J1922" s="2" t="s">
        <v>500</v>
      </c>
      <c r="K1922" s="2" t="s">
        <v>6007</v>
      </c>
      <c r="L1922" s="2" t="s">
        <v>173</v>
      </c>
      <c r="M1922" s="2" t="s">
        <v>5947</v>
      </c>
      <c r="N1922" s="16">
        <v>1.44E-2</v>
      </c>
      <c r="O1922" s="17">
        <f>N1922*'Financial Inputs'!$B$3</f>
        <v>1440000</v>
      </c>
      <c r="P1922" s="18">
        <f>IF(I1922="L",'Financial Inputs'!$B$4,IF(I1922="M",'Financial Inputs'!$B$5,'Financial Inputs'!$B$6))</f>
        <v>0.4</v>
      </c>
      <c r="Q1922" s="17">
        <f>O1922*P1922</f>
        <v>576000</v>
      </c>
      <c r="R1922" s="16">
        <f>'Financial Inputs'!$B$7</f>
        <v>0.35</v>
      </c>
      <c r="S1922" s="17">
        <f>Q1922*(1-R1922)</f>
        <v>374400</v>
      </c>
      <c r="T1922" s="18">
        <f>S1922/'Financial Inputs'!$B$3</f>
        <v>3.7439999999999999E-3</v>
      </c>
      <c r="U1922" s="9" t="s">
        <v>52</v>
      </c>
      <c r="V1922" s="3" t="s">
        <v>53</v>
      </c>
    </row>
    <row r="1923" spans="1:22">
      <c r="A1923" s="2" t="s">
        <v>6008</v>
      </c>
      <c r="B1923" s="2" t="s">
        <v>6009</v>
      </c>
      <c r="C1923" s="2" t="s">
        <v>5945</v>
      </c>
      <c r="D1923" s="2" t="s">
        <v>102</v>
      </c>
      <c r="E1923" s="2" t="s">
        <v>176</v>
      </c>
      <c r="F1923" s="2" t="s">
        <v>74</v>
      </c>
      <c r="G1923" s="2" t="s">
        <v>162</v>
      </c>
      <c r="H1923" s="2" t="s">
        <v>2318</v>
      </c>
      <c r="I1923" s="2" t="s">
        <v>47</v>
      </c>
      <c r="J1923" s="2" t="s">
        <v>500</v>
      </c>
      <c r="K1923" s="2" t="s">
        <v>6010</v>
      </c>
      <c r="L1923" s="2" t="s">
        <v>178</v>
      </c>
      <c r="M1923" s="2" t="s">
        <v>5947</v>
      </c>
      <c r="N1923" s="16">
        <v>1.6199999999999999E-2</v>
      </c>
      <c r="O1923" s="17">
        <f>N1923*'Financial Inputs'!$B$3</f>
        <v>1620000</v>
      </c>
      <c r="P1923" s="18">
        <f>IF(I1923="L",'Financial Inputs'!$B$4,IF(I1923="M",'Financial Inputs'!$B$5,'Financial Inputs'!$B$6))</f>
        <v>0.4</v>
      </c>
      <c r="Q1923" s="17">
        <f>O1923*P1923</f>
        <v>648000</v>
      </c>
      <c r="R1923" s="16">
        <f>'Financial Inputs'!$B$7</f>
        <v>0.35</v>
      </c>
      <c r="S1923" s="17">
        <f>Q1923*(1-R1923)</f>
        <v>421200</v>
      </c>
      <c r="T1923" s="18">
        <f>S1923/'Financial Inputs'!$B$3</f>
        <v>4.2119999999999996E-3</v>
      </c>
      <c r="U1923" s="9" t="s">
        <v>52</v>
      </c>
      <c r="V1923" s="3" t="s">
        <v>53</v>
      </c>
    </row>
    <row r="1924" spans="1:22">
      <c r="A1924" s="2" t="s">
        <v>6011</v>
      </c>
      <c r="B1924" s="2" t="s">
        <v>6012</v>
      </c>
      <c r="C1924" s="2" t="s">
        <v>5945</v>
      </c>
      <c r="D1924" s="2" t="s">
        <v>42</v>
      </c>
      <c r="E1924" s="2" t="s">
        <v>122</v>
      </c>
      <c r="F1924" s="2" t="s">
        <v>82</v>
      </c>
      <c r="G1924" s="2" t="s">
        <v>45</v>
      </c>
      <c r="H1924" s="2" t="s">
        <v>2318</v>
      </c>
      <c r="I1924" s="2" t="s">
        <v>47</v>
      </c>
      <c r="J1924" s="2" t="s">
        <v>500</v>
      </c>
      <c r="K1924" s="2" t="s">
        <v>6013</v>
      </c>
      <c r="L1924" s="2" t="s">
        <v>182</v>
      </c>
      <c r="M1924" s="2" t="s">
        <v>5947</v>
      </c>
      <c r="N1924" s="16">
        <v>1.7999999999999999E-2</v>
      </c>
      <c r="O1924" s="17">
        <f>N1924*'Financial Inputs'!$B$3</f>
        <v>1799999.9999999998</v>
      </c>
      <c r="P1924" s="18">
        <f>IF(I1924="L",'Financial Inputs'!$B$4,IF(I1924="M",'Financial Inputs'!$B$5,'Financial Inputs'!$B$6))</f>
        <v>0.4</v>
      </c>
      <c r="Q1924" s="17">
        <f>O1924*P1924</f>
        <v>720000</v>
      </c>
      <c r="R1924" s="16">
        <f>'Financial Inputs'!$B$7</f>
        <v>0.35</v>
      </c>
      <c r="S1924" s="17">
        <f>Q1924*(1-R1924)</f>
        <v>468000</v>
      </c>
      <c r="T1924" s="18">
        <f>S1924/'Financial Inputs'!$B$3</f>
        <v>4.6800000000000001E-3</v>
      </c>
      <c r="U1924" s="9" t="s">
        <v>52</v>
      </c>
      <c r="V1924" s="3" t="s">
        <v>53</v>
      </c>
    </row>
    <row r="1925" spans="1:22">
      <c r="A1925" s="2" t="s">
        <v>6014</v>
      </c>
      <c r="B1925" s="2" t="s">
        <v>6015</v>
      </c>
      <c r="C1925" s="2" t="s">
        <v>5945</v>
      </c>
      <c r="D1925" s="2" t="s">
        <v>56</v>
      </c>
      <c r="E1925" s="2" t="s">
        <v>128</v>
      </c>
      <c r="F1925" s="2" t="s">
        <v>44</v>
      </c>
      <c r="G1925" s="2" t="s">
        <v>59</v>
      </c>
      <c r="H1925" s="2" t="s">
        <v>2318</v>
      </c>
      <c r="I1925" s="2" t="s">
        <v>47</v>
      </c>
      <c r="J1925" s="2" t="s">
        <v>500</v>
      </c>
      <c r="K1925" s="2" t="s">
        <v>6016</v>
      </c>
      <c r="L1925" s="2" t="s">
        <v>186</v>
      </c>
      <c r="M1925" s="2" t="s">
        <v>5947</v>
      </c>
      <c r="N1925" s="16">
        <v>1.9800000000000002E-2</v>
      </c>
      <c r="O1925" s="17">
        <f>N1925*'Financial Inputs'!$B$3</f>
        <v>1980000.0000000002</v>
      </c>
      <c r="P1925" s="18">
        <f>IF(I1925="L",'Financial Inputs'!$B$4,IF(I1925="M",'Financial Inputs'!$B$5,'Financial Inputs'!$B$6))</f>
        <v>0.4</v>
      </c>
      <c r="Q1925" s="17">
        <f>O1925*P1925</f>
        <v>792000.00000000012</v>
      </c>
      <c r="R1925" s="16">
        <f>'Financial Inputs'!$B$7</f>
        <v>0.35</v>
      </c>
      <c r="S1925" s="17">
        <f>Q1925*(1-R1925)</f>
        <v>514800.00000000012</v>
      </c>
      <c r="T1925" s="18">
        <f>S1925/'Financial Inputs'!$B$3</f>
        <v>5.1480000000000015E-3</v>
      </c>
      <c r="U1925" s="9" t="s">
        <v>52</v>
      </c>
      <c r="V1925" s="3" t="s">
        <v>53</v>
      </c>
    </row>
    <row r="1926" spans="1:22">
      <c r="A1926" s="2" t="s">
        <v>6017</v>
      </c>
      <c r="B1926" s="2" t="s">
        <v>6018</v>
      </c>
      <c r="C1926" s="2" t="s">
        <v>5945</v>
      </c>
      <c r="D1926" s="2" t="s">
        <v>64</v>
      </c>
      <c r="E1926" s="2" t="s">
        <v>43</v>
      </c>
      <c r="F1926" s="2" t="s">
        <v>58</v>
      </c>
      <c r="G1926" s="2" t="s">
        <v>67</v>
      </c>
      <c r="H1926" s="2" t="s">
        <v>2318</v>
      </c>
      <c r="I1926" s="2" t="s">
        <v>47</v>
      </c>
      <c r="J1926" s="2" t="s">
        <v>500</v>
      </c>
      <c r="K1926" s="2" t="s">
        <v>6019</v>
      </c>
      <c r="L1926" s="2" t="s">
        <v>190</v>
      </c>
      <c r="M1926" s="2" t="s">
        <v>5947</v>
      </c>
      <c r="N1926" s="16">
        <v>2.1600000000000001E-2</v>
      </c>
      <c r="O1926" s="17">
        <f>N1926*'Financial Inputs'!$B$3</f>
        <v>2160000</v>
      </c>
      <c r="P1926" s="18">
        <f>IF(I1926="L",'Financial Inputs'!$B$4,IF(I1926="M",'Financial Inputs'!$B$5,'Financial Inputs'!$B$6))</f>
        <v>0.4</v>
      </c>
      <c r="Q1926" s="17">
        <f>O1926*P1926</f>
        <v>864000</v>
      </c>
      <c r="R1926" s="16">
        <f>'Financial Inputs'!$B$7</f>
        <v>0.35</v>
      </c>
      <c r="S1926" s="17">
        <f>Q1926*(1-R1926)</f>
        <v>561600</v>
      </c>
      <c r="T1926" s="18">
        <f>S1926/'Financial Inputs'!$B$3</f>
        <v>5.6160000000000003E-3</v>
      </c>
      <c r="U1926" s="9" t="s">
        <v>52</v>
      </c>
      <c r="V1926" s="3" t="s">
        <v>53</v>
      </c>
    </row>
    <row r="1927" spans="1:22">
      <c r="A1927" s="2" t="s">
        <v>6020</v>
      </c>
      <c r="B1927" s="2" t="s">
        <v>6021</v>
      </c>
      <c r="C1927" s="2" t="s">
        <v>5945</v>
      </c>
      <c r="D1927" s="2" t="s">
        <v>127</v>
      </c>
      <c r="E1927" s="2" t="s">
        <v>193</v>
      </c>
      <c r="F1927" s="2" t="s">
        <v>104</v>
      </c>
      <c r="G1927" s="2" t="s">
        <v>45</v>
      </c>
      <c r="H1927" s="2" t="s">
        <v>2318</v>
      </c>
      <c r="I1927" s="2" t="s">
        <v>47</v>
      </c>
      <c r="J1927" s="2" t="s">
        <v>500</v>
      </c>
      <c r="K1927" s="2" t="s">
        <v>6022</v>
      </c>
      <c r="L1927" s="2" t="s">
        <v>195</v>
      </c>
      <c r="M1927" s="2" t="s">
        <v>5947</v>
      </c>
      <c r="N1927" s="16">
        <v>1.44E-2</v>
      </c>
      <c r="O1927" s="17">
        <f>N1927*'Financial Inputs'!$B$3</f>
        <v>1440000</v>
      </c>
      <c r="P1927" s="18">
        <f>IF(I1927="L",'Financial Inputs'!$B$4,IF(I1927="M",'Financial Inputs'!$B$5,'Financial Inputs'!$B$6))</f>
        <v>0.4</v>
      </c>
      <c r="Q1927" s="17">
        <f>O1927*P1927</f>
        <v>576000</v>
      </c>
      <c r="R1927" s="16">
        <f>'Financial Inputs'!$B$7</f>
        <v>0.35</v>
      </c>
      <c r="S1927" s="17">
        <f>Q1927*(1-R1927)</f>
        <v>374400</v>
      </c>
      <c r="T1927" s="18">
        <f>S1927/'Financial Inputs'!$B$3</f>
        <v>3.7439999999999999E-3</v>
      </c>
      <c r="U1927" s="9" t="s">
        <v>52</v>
      </c>
      <c r="V1927" s="3" t="s">
        <v>53</v>
      </c>
    </row>
    <row r="1928" spans="1:22">
      <c r="A1928" s="2" t="s">
        <v>6023</v>
      </c>
      <c r="B1928" s="2" t="s">
        <v>6024</v>
      </c>
      <c r="C1928" s="2" t="s">
        <v>5945</v>
      </c>
      <c r="D1928" s="2" t="s">
        <v>133</v>
      </c>
      <c r="E1928" s="2" t="s">
        <v>198</v>
      </c>
      <c r="F1928" s="2" t="s">
        <v>110</v>
      </c>
      <c r="G1928" s="2" t="s">
        <v>59</v>
      </c>
      <c r="H1928" s="2" t="s">
        <v>2318</v>
      </c>
      <c r="I1928" s="2" t="s">
        <v>47</v>
      </c>
      <c r="J1928" s="2" t="s">
        <v>500</v>
      </c>
      <c r="K1928" s="2" t="s">
        <v>6025</v>
      </c>
      <c r="L1928" s="2" t="s">
        <v>200</v>
      </c>
      <c r="M1928" s="2" t="s">
        <v>5947</v>
      </c>
      <c r="N1928" s="16">
        <v>1.6199999999999999E-2</v>
      </c>
      <c r="O1928" s="17">
        <f>N1928*'Financial Inputs'!$B$3</f>
        <v>1620000</v>
      </c>
      <c r="P1928" s="18">
        <f>IF(I1928="L",'Financial Inputs'!$B$4,IF(I1928="M",'Financial Inputs'!$B$5,'Financial Inputs'!$B$6))</f>
        <v>0.4</v>
      </c>
      <c r="Q1928" s="17">
        <f>O1928*P1928</f>
        <v>648000</v>
      </c>
      <c r="R1928" s="16">
        <f>'Financial Inputs'!$B$7</f>
        <v>0.35</v>
      </c>
      <c r="S1928" s="17">
        <f>Q1928*(1-R1928)</f>
        <v>421200</v>
      </c>
      <c r="T1928" s="18">
        <f>S1928/'Financial Inputs'!$B$3</f>
        <v>4.2119999999999996E-3</v>
      </c>
      <c r="U1928" s="9" t="s">
        <v>52</v>
      </c>
      <c r="V1928" s="3" t="s">
        <v>53</v>
      </c>
    </row>
    <row r="1929" spans="1:22">
      <c r="A1929" s="2" t="s">
        <v>6026</v>
      </c>
      <c r="B1929" s="2" t="s">
        <v>6027</v>
      </c>
      <c r="C1929" s="2" t="s">
        <v>5945</v>
      </c>
      <c r="D1929" s="2" t="s">
        <v>88</v>
      </c>
      <c r="E1929" s="2" t="s">
        <v>148</v>
      </c>
      <c r="F1929" s="2" t="s">
        <v>117</v>
      </c>
      <c r="G1929" s="2" t="s">
        <v>67</v>
      </c>
      <c r="H1929" s="2" t="s">
        <v>2318</v>
      </c>
      <c r="I1929" s="2" t="s">
        <v>47</v>
      </c>
      <c r="J1929" s="2" t="s">
        <v>500</v>
      </c>
      <c r="K1929" s="2" t="s">
        <v>6028</v>
      </c>
      <c r="L1929" s="2" t="s">
        <v>204</v>
      </c>
      <c r="M1929" s="2" t="s">
        <v>5947</v>
      </c>
      <c r="N1929" s="16">
        <v>1.7999999999999999E-2</v>
      </c>
      <c r="O1929" s="17">
        <f>N1929*'Financial Inputs'!$B$3</f>
        <v>1799999.9999999998</v>
      </c>
      <c r="P1929" s="18">
        <f>IF(I1929="L",'Financial Inputs'!$B$4,IF(I1929="M",'Financial Inputs'!$B$5,'Financial Inputs'!$B$6))</f>
        <v>0.4</v>
      </c>
      <c r="Q1929" s="17">
        <f>O1929*P1929</f>
        <v>720000</v>
      </c>
      <c r="R1929" s="16">
        <f>'Financial Inputs'!$B$7</f>
        <v>0.35</v>
      </c>
      <c r="S1929" s="17">
        <f>Q1929*(1-R1929)</f>
        <v>468000</v>
      </c>
      <c r="T1929" s="18">
        <f>S1929/'Financial Inputs'!$B$3</f>
        <v>4.6800000000000001E-3</v>
      </c>
      <c r="U1929" s="9" t="s">
        <v>52</v>
      </c>
      <c r="V1929" s="3" t="s">
        <v>53</v>
      </c>
    </row>
    <row r="1930" spans="1:22">
      <c r="A1930" s="2" t="s">
        <v>6029</v>
      </c>
      <c r="B1930" s="2" t="s">
        <v>6030</v>
      </c>
      <c r="C1930" s="2" t="s">
        <v>5945</v>
      </c>
      <c r="D1930" s="2" t="s">
        <v>95</v>
      </c>
      <c r="E1930" s="2" t="s">
        <v>153</v>
      </c>
      <c r="F1930" s="2" t="s">
        <v>90</v>
      </c>
      <c r="G1930" s="2" t="s">
        <v>75</v>
      </c>
      <c r="H1930" s="2" t="s">
        <v>2318</v>
      </c>
      <c r="I1930" s="2" t="s">
        <v>47</v>
      </c>
      <c r="J1930" s="2" t="s">
        <v>500</v>
      </c>
      <c r="K1930" s="2" t="s">
        <v>6031</v>
      </c>
      <c r="L1930" s="2" t="s">
        <v>208</v>
      </c>
      <c r="M1930" s="2" t="s">
        <v>5947</v>
      </c>
      <c r="N1930" s="16">
        <v>1.9800000000000002E-2</v>
      </c>
      <c r="O1930" s="17">
        <f>N1930*'Financial Inputs'!$B$3</f>
        <v>1980000.0000000002</v>
      </c>
      <c r="P1930" s="18">
        <f>IF(I1930="L",'Financial Inputs'!$B$4,IF(I1930="M",'Financial Inputs'!$B$5,'Financial Inputs'!$B$6))</f>
        <v>0.4</v>
      </c>
      <c r="Q1930" s="17">
        <f>O1930*P1930</f>
        <v>792000.00000000012</v>
      </c>
      <c r="R1930" s="16">
        <f>'Financial Inputs'!$B$7</f>
        <v>0.35</v>
      </c>
      <c r="S1930" s="17">
        <f>Q1930*(1-R1930)</f>
        <v>514800.00000000012</v>
      </c>
      <c r="T1930" s="18">
        <f>S1930/'Financial Inputs'!$B$3</f>
        <v>5.1480000000000015E-3</v>
      </c>
      <c r="U1930" s="9" t="s">
        <v>52</v>
      </c>
      <c r="V1930" s="3" t="s">
        <v>53</v>
      </c>
    </row>
    <row r="1931" spans="1:22">
      <c r="A1931" s="2" t="s">
        <v>6032</v>
      </c>
      <c r="B1931" s="2" t="s">
        <v>6033</v>
      </c>
      <c r="C1931" s="2" t="s">
        <v>5945</v>
      </c>
      <c r="D1931" s="2" t="s">
        <v>102</v>
      </c>
      <c r="E1931" s="2" t="s">
        <v>89</v>
      </c>
      <c r="F1931" s="2" t="s">
        <v>97</v>
      </c>
      <c r="G1931" s="2" t="s">
        <v>83</v>
      </c>
      <c r="H1931" s="2" t="s">
        <v>2318</v>
      </c>
      <c r="I1931" s="2" t="s">
        <v>47</v>
      </c>
      <c r="J1931" s="2" t="s">
        <v>500</v>
      </c>
      <c r="K1931" s="2" t="s">
        <v>6034</v>
      </c>
      <c r="L1931" s="2" t="s">
        <v>212</v>
      </c>
      <c r="M1931" s="2" t="s">
        <v>5947</v>
      </c>
      <c r="N1931" s="16">
        <v>2.1600000000000001E-2</v>
      </c>
      <c r="O1931" s="17">
        <f>N1931*'Financial Inputs'!$B$3</f>
        <v>2160000</v>
      </c>
      <c r="P1931" s="18">
        <f>IF(I1931="L",'Financial Inputs'!$B$4,IF(I1931="M",'Financial Inputs'!$B$5,'Financial Inputs'!$B$6))</f>
        <v>0.4</v>
      </c>
      <c r="Q1931" s="17">
        <f>O1931*P1931</f>
        <v>864000</v>
      </c>
      <c r="R1931" s="16">
        <f>'Financial Inputs'!$B$7</f>
        <v>0.35</v>
      </c>
      <c r="S1931" s="17">
        <f>Q1931*(1-R1931)</f>
        <v>561600</v>
      </c>
      <c r="T1931" s="18">
        <f>S1931/'Financial Inputs'!$B$3</f>
        <v>5.6160000000000003E-3</v>
      </c>
      <c r="U1931" s="9" t="s">
        <v>52</v>
      </c>
      <c r="V1931" s="3" t="s">
        <v>53</v>
      </c>
    </row>
    <row r="1932" spans="1:22">
      <c r="A1932" s="2" t="s">
        <v>6035</v>
      </c>
      <c r="B1932" s="2" t="s">
        <v>6036</v>
      </c>
      <c r="C1932" s="2" t="s">
        <v>5945</v>
      </c>
      <c r="D1932" s="2" t="s">
        <v>64</v>
      </c>
      <c r="E1932" s="2" t="s">
        <v>215</v>
      </c>
      <c r="F1932" s="2" t="s">
        <v>74</v>
      </c>
      <c r="G1932" s="2" t="s">
        <v>67</v>
      </c>
      <c r="H1932" s="2" t="s">
        <v>2318</v>
      </c>
      <c r="I1932" s="2" t="s">
        <v>47</v>
      </c>
      <c r="J1932" s="2" t="s">
        <v>500</v>
      </c>
      <c r="K1932" s="2" t="s">
        <v>6037</v>
      </c>
      <c r="L1932" s="2" t="s">
        <v>217</v>
      </c>
      <c r="M1932" s="2" t="s">
        <v>5947</v>
      </c>
      <c r="N1932" s="16">
        <v>1.44E-2</v>
      </c>
      <c r="O1932" s="17">
        <f>N1932*'Financial Inputs'!$B$3</f>
        <v>1440000</v>
      </c>
      <c r="P1932" s="18">
        <f>IF(I1932="L",'Financial Inputs'!$B$4,IF(I1932="M",'Financial Inputs'!$B$5,'Financial Inputs'!$B$6))</f>
        <v>0.4</v>
      </c>
      <c r="Q1932" s="17">
        <f>O1932*P1932</f>
        <v>576000</v>
      </c>
      <c r="R1932" s="16">
        <f>'Financial Inputs'!$B$7</f>
        <v>0.35</v>
      </c>
      <c r="S1932" s="17">
        <f>Q1932*(1-R1932)</f>
        <v>374400</v>
      </c>
      <c r="T1932" s="18">
        <f>S1932/'Financial Inputs'!$B$3</f>
        <v>3.7439999999999999E-3</v>
      </c>
      <c r="U1932" s="9" t="s">
        <v>52</v>
      </c>
      <c r="V1932" s="3" t="s">
        <v>53</v>
      </c>
    </row>
    <row r="1933" spans="1:22">
      <c r="A1933" s="2" t="s">
        <v>6038</v>
      </c>
      <c r="B1933" s="2" t="s">
        <v>6039</v>
      </c>
      <c r="C1933" s="2" t="s">
        <v>5945</v>
      </c>
      <c r="D1933" s="2" t="s">
        <v>72</v>
      </c>
      <c r="E1933" s="2" t="s">
        <v>220</v>
      </c>
      <c r="F1933" s="2" t="s">
        <v>82</v>
      </c>
      <c r="G1933" s="2" t="s">
        <v>75</v>
      </c>
      <c r="H1933" s="2" t="s">
        <v>2318</v>
      </c>
      <c r="I1933" s="2" t="s">
        <v>47</v>
      </c>
      <c r="J1933" s="2" t="s">
        <v>500</v>
      </c>
      <c r="K1933" s="2" t="s">
        <v>6040</v>
      </c>
      <c r="L1933" s="2" t="s">
        <v>222</v>
      </c>
      <c r="M1933" s="2" t="s">
        <v>5947</v>
      </c>
      <c r="N1933" s="16">
        <v>1.6199999999999999E-2</v>
      </c>
      <c r="O1933" s="17">
        <f>N1933*'Financial Inputs'!$B$3</f>
        <v>1620000</v>
      </c>
      <c r="P1933" s="18">
        <f>IF(I1933="L",'Financial Inputs'!$B$4,IF(I1933="M",'Financial Inputs'!$B$5,'Financial Inputs'!$B$6))</f>
        <v>0.4</v>
      </c>
      <c r="Q1933" s="17">
        <f>O1933*P1933</f>
        <v>648000</v>
      </c>
      <c r="R1933" s="16">
        <f>'Financial Inputs'!$B$7</f>
        <v>0.35</v>
      </c>
      <c r="S1933" s="17">
        <f>Q1933*(1-R1933)</f>
        <v>421200</v>
      </c>
      <c r="T1933" s="18">
        <f>S1933/'Financial Inputs'!$B$3</f>
        <v>4.2119999999999996E-3</v>
      </c>
      <c r="U1933" s="9" t="s">
        <v>52</v>
      </c>
      <c r="V1933" s="3" t="s">
        <v>53</v>
      </c>
    </row>
    <row r="1934" spans="1:22">
      <c r="A1934" s="2" t="s">
        <v>6041</v>
      </c>
      <c r="B1934" s="2" t="s">
        <v>6042</v>
      </c>
      <c r="C1934" s="2" t="s">
        <v>5945</v>
      </c>
      <c r="D1934" s="2" t="s">
        <v>80</v>
      </c>
      <c r="E1934" s="2" t="s">
        <v>171</v>
      </c>
      <c r="F1934" s="2" t="s">
        <v>44</v>
      </c>
      <c r="G1934" s="2" t="s">
        <v>83</v>
      </c>
      <c r="H1934" s="2" t="s">
        <v>2318</v>
      </c>
      <c r="I1934" s="2" t="s">
        <v>47</v>
      </c>
      <c r="J1934" s="2" t="s">
        <v>500</v>
      </c>
      <c r="K1934" s="2" t="s">
        <v>6043</v>
      </c>
      <c r="L1934" s="2" t="s">
        <v>226</v>
      </c>
      <c r="M1934" s="2" t="s">
        <v>5947</v>
      </c>
      <c r="N1934" s="16">
        <v>1.7999999999999999E-2</v>
      </c>
      <c r="O1934" s="17">
        <f>N1934*'Financial Inputs'!$B$3</f>
        <v>1799999.9999999998</v>
      </c>
      <c r="P1934" s="18">
        <f>IF(I1934="L",'Financial Inputs'!$B$4,IF(I1934="M",'Financial Inputs'!$B$5,'Financial Inputs'!$B$6))</f>
        <v>0.4</v>
      </c>
      <c r="Q1934" s="17">
        <f>O1934*P1934</f>
        <v>720000</v>
      </c>
      <c r="R1934" s="16">
        <f>'Financial Inputs'!$B$7</f>
        <v>0.35</v>
      </c>
      <c r="S1934" s="17">
        <f>Q1934*(1-R1934)</f>
        <v>468000</v>
      </c>
      <c r="T1934" s="18">
        <f>S1934/'Financial Inputs'!$B$3</f>
        <v>4.6800000000000001E-3</v>
      </c>
      <c r="U1934" s="9" t="s">
        <v>52</v>
      </c>
      <c r="V1934" s="3" t="s">
        <v>53</v>
      </c>
    </row>
    <row r="1935" spans="1:22">
      <c r="A1935" s="2" t="s">
        <v>6044</v>
      </c>
      <c r="B1935" s="2" t="s">
        <v>6045</v>
      </c>
      <c r="C1935" s="2" t="s">
        <v>5945</v>
      </c>
      <c r="D1935" s="2" t="s">
        <v>127</v>
      </c>
      <c r="E1935" s="2" t="s">
        <v>176</v>
      </c>
      <c r="F1935" s="2" t="s">
        <v>58</v>
      </c>
      <c r="G1935" s="2" t="s">
        <v>111</v>
      </c>
      <c r="H1935" s="2" t="s">
        <v>2318</v>
      </c>
      <c r="I1935" s="2" t="s">
        <v>47</v>
      </c>
      <c r="J1935" s="2" t="s">
        <v>500</v>
      </c>
      <c r="K1935" s="2" t="s">
        <v>6046</v>
      </c>
      <c r="L1935" s="2" t="s">
        <v>230</v>
      </c>
      <c r="M1935" s="2" t="s">
        <v>5947</v>
      </c>
      <c r="N1935" s="16">
        <v>1.9800000000000002E-2</v>
      </c>
      <c r="O1935" s="17">
        <f>N1935*'Financial Inputs'!$B$3</f>
        <v>1980000.0000000002</v>
      </c>
      <c r="P1935" s="18">
        <f>IF(I1935="L",'Financial Inputs'!$B$4,IF(I1935="M",'Financial Inputs'!$B$5,'Financial Inputs'!$B$6))</f>
        <v>0.4</v>
      </c>
      <c r="Q1935" s="17">
        <f>O1935*P1935</f>
        <v>792000.00000000012</v>
      </c>
      <c r="R1935" s="16">
        <f>'Financial Inputs'!$B$7</f>
        <v>0.35</v>
      </c>
      <c r="S1935" s="17">
        <f>Q1935*(1-R1935)</f>
        <v>514800.00000000012</v>
      </c>
      <c r="T1935" s="18">
        <f>S1935/'Financial Inputs'!$B$3</f>
        <v>5.1480000000000015E-3</v>
      </c>
      <c r="U1935" s="9" t="s">
        <v>52</v>
      </c>
      <c r="V1935" s="3" t="s">
        <v>53</v>
      </c>
    </row>
    <row r="1936" spans="1:22">
      <c r="A1936" s="2" t="s">
        <v>6047</v>
      </c>
      <c r="B1936" s="2" t="s">
        <v>6048</v>
      </c>
      <c r="C1936" s="2" t="s">
        <v>5945</v>
      </c>
      <c r="D1936" s="2" t="s">
        <v>133</v>
      </c>
      <c r="E1936" s="2" t="s">
        <v>122</v>
      </c>
      <c r="F1936" s="2" t="s">
        <v>66</v>
      </c>
      <c r="G1936" s="2" t="s">
        <v>56</v>
      </c>
      <c r="H1936" s="2" t="s">
        <v>2318</v>
      </c>
      <c r="I1936" s="2" t="s">
        <v>47</v>
      </c>
      <c r="J1936" s="2" t="s">
        <v>500</v>
      </c>
      <c r="K1936" s="2" t="s">
        <v>6049</v>
      </c>
      <c r="L1936" s="2" t="s">
        <v>234</v>
      </c>
      <c r="M1936" s="2" t="s">
        <v>5947</v>
      </c>
      <c r="N1936" s="16">
        <v>2.1600000000000001E-2</v>
      </c>
      <c r="O1936" s="17">
        <f>N1936*'Financial Inputs'!$B$3</f>
        <v>2160000</v>
      </c>
      <c r="P1936" s="18">
        <f>IF(I1936="L",'Financial Inputs'!$B$4,IF(I1936="M",'Financial Inputs'!$B$5,'Financial Inputs'!$B$6))</f>
        <v>0.4</v>
      </c>
      <c r="Q1936" s="17">
        <f>O1936*P1936</f>
        <v>864000</v>
      </c>
      <c r="R1936" s="16">
        <f>'Financial Inputs'!$B$7</f>
        <v>0.35</v>
      </c>
      <c r="S1936" s="17">
        <f>Q1936*(1-R1936)</f>
        <v>561600</v>
      </c>
      <c r="T1936" s="18">
        <f>S1936/'Financial Inputs'!$B$3</f>
        <v>5.6160000000000003E-3</v>
      </c>
      <c r="U1936" s="9" t="s">
        <v>52</v>
      </c>
      <c r="V1936" s="3" t="s">
        <v>53</v>
      </c>
    </row>
    <row r="1937" spans="1:22">
      <c r="A1937" s="2" t="s">
        <v>6050</v>
      </c>
      <c r="B1937" s="2" t="s">
        <v>6051</v>
      </c>
      <c r="C1937" s="2" t="s">
        <v>5945</v>
      </c>
      <c r="D1937" s="2" t="s">
        <v>102</v>
      </c>
      <c r="E1937" s="2" t="s">
        <v>73</v>
      </c>
      <c r="F1937" s="2" t="s">
        <v>110</v>
      </c>
      <c r="G1937" s="2" t="s">
        <v>83</v>
      </c>
      <c r="H1937" s="2" t="s">
        <v>2318</v>
      </c>
      <c r="I1937" s="2" t="s">
        <v>47</v>
      </c>
      <c r="J1937" s="2" t="s">
        <v>500</v>
      </c>
      <c r="K1937" s="2" t="s">
        <v>6052</v>
      </c>
      <c r="L1937" s="2" t="s">
        <v>238</v>
      </c>
      <c r="M1937" s="2" t="s">
        <v>5947</v>
      </c>
      <c r="N1937" s="16">
        <v>1.44E-2</v>
      </c>
      <c r="O1937" s="17">
        <f>N1937*'Financial Inputs'!$B$3</f>
        <v>1440000</v>
      </c>
      <c r="P1937" s="18">
        <f>IF(I1937="L",'Financial Inputs'!$B$4,IF(I1937="M",'Financial Inputs'!$B$5,'Financial Inputs'!$B$6))</f>
        <v>0.4</v>
      </c>
      <c r="Q1937" s="17">
        <f>O1937*P1937</f>
        <v>576000</v>
      </c>
      <c r="R1937" s="16">
        <f>'Financial Inputs'!$B$7</f>
        <v>0.35</v>
      </c>
      <c r="S1937" s="17">
        <f>Q1937*(1-R1937)</f>
        <v>374400</v>
      </c>
      <c r="T1937" s="18">
        <f>S1937/'Financial Inputs'!$B$3</f>
        <v>3.7439999999999999E-3</v>
      </c>
      <c r="U1937" s="9" t="s">
        <v>52</v>
      </c>
      <c r="V1937" s="3" t="s">
        <v>53</v>
      </c>
    </row>
    <row r="1938" spans="1:22">
      <c r="A1938" s="2" t="s">
        <v>6053</v>
      </c>
      <c r="B1938" s="2" t="s">
        <v>6054</v>
      </c>
      <c r="C1938" s="2" t="s">
        <v>5945</v>
      </c>
      <c r="D1938" s="2" t="s">
        <v>42</v>
      </c>
      <c r="E1938" s="2" t="s">
        <v>81</v>
      </c>
      <c r="F1938" s="2" t="s">
        <v>117</v>
      </c>
      <c r="G1938" s="2" t="s">
        <v>111</v>
      </c>
      <c r="H1938" s="2" t="s">
        <v>2318</v>
      </c>
      <c r="I1938" s="2" t="s">
        <v>47</v>
      </c>
      <c r="J1938" s="2" t="s">
        <v>500</v>
      </c>
      <c r="K1938" s="2" t="s">
        <v>6055</v>
      </c>
      <c r="L1938" s="2" t="s">
        <v>242</v>
      </c>
      <c r="M1938" s="2" t="s">
        <v>5947</v>
      </c>
      <c r="N1938" s="16">
        <v>1.6199999999999999E-2</v>
      </c>
      <c r="O1938" s="17">
        <f>N1938*'Financial Inputs'!$B$3</f>
        <v>1620000</v>
      </c>
      <c r="P1938" s="18">
        <f>IF(I1938="L",'Financial Inputs'!$B$4,IF(I1938="M",'Financial Inputs'!$B$5,'Financial Inputs'!$B$6))</f>
        <v>0.4</v>
      </c>
      <c r="Q1938" s="17">
        <f>O1938*P1938</f>
        <v>648000</v>
      </c>
      <c r="R1938" s="16">
        <f>'Financial Inputs'!$B$7</f>
        <v>0.35</v>
      </c>
      <c r="S1938" s="17">
        <f>Q1938*(1-R1938)</f>
        <v>421200</v>
      </c>
      <c r="T1938" s="18">
        <f>S1938/'Financial Inputs'!$B$3</f>
        <v>4.2119999999999996E-3</v>
      </c>
      <c r="U1938" s="9" t="s">
        <v>52</v>
      </c>
      <c r="V1938" s="3" t="s">
        <v>53</v>
      </c>
    </row>
    <row r="1939" spans="1:22">
      <c r="A1939" s="2" t="s">
        <v>6056</v>
      </c>
      <c r="B1939" s="2" t="s">
        <v>6057</v>
      </c>
      <c r="C1939" s="2" t="s">
        <v>5945</v>
      </c>
      <c r="D1939" s="2" t="s">
        <v>56</v>
      </c>
      <c r="E1939" s="2" t="s">
        <v>193</v>
      </c>
      <c r="F1939" s="2" t="s">
        <v>90</v>
      </c>
      <c r="G1939" s="2" t="s">
        <v>56</v>
      </c>
      <c r="H1939" s="2" t="s">
        <v>2318</v>
      </c>
      <c r="I1939" s="2" t="s">
        <v>47</v>
      </c>
      <c r="J1939" s="2" t="s">
        <v>500</v>
      </c>
      <c r="K1939" s="2" t="s">
        <v>6058</v>
      </c>
      <c r="L1939" s="2" t="s">
        <v>246</v>
      </c>
      <c r="M1939" s="2" t="s">
        <v>5947</v>
      </c>
      <c r="N1939" s="16">
        <v>1.7999999999999999E-2</v>
      </c>
      <c r="O1939" s="17">
        <f>N1939*'Financial Inputs'!$B$3</f>
        <v>1799999.9999999998</v>
      </c>
      <c r="P1939" s="18">
        <f>IF(I1939="L",'Financial Inputs'!$B$4,IF(I1939="M",'Financial Inputs'!$B$5,'Financial Inputs'!$B$6))</f>
        <v>0.4</v>
      </c>
      <c r="Q1939" s="17">
        <f>O1939*P1939</f>
        <v>720000</v>
      </c>
      <c r="R1939" s="16">
        <f>'Financial Inputs'!$B$7</f>
        <v>0.35</v>
      </c>
      <c r="S1939" s="17">
        <f>Q1939*(1-R1939)</f>
        <v>468000</v>
      </c>
      <c r="T1939" s="18">
        <f>S1939/'Financial Inputs'!$B$3</f>
        <v>4.6800000000000001E-3</v>
      </c>
      <c r="U1939" s="9" t="s">
        <v>52</v>
      </c>
      <c r="V1939" s="3" t="s">
        <v>53</v>
      </c>
    </row>
    <row r="1940" spans="1:22">
      <c r="A1940" s="2" t="s">
        <v>6059</v>
      </c>
      <c r="B1940" s="2" t="s">
        <v>6060</v>
      </c>
      <c r="C1940" s="2" t="s">
        <v>5945</v>
      </c>
      <c r="D1940" s="2" t="s">
        <v>64</v>
      </c>
      <c r="E1940" s="2" t="s">
        <v>198</v>
      </c>
      <c r="F1940" s="2" t="s">
        <v>97</v>
      </c>
      <c r="G1940" s="2" t="s">
        <v>138</v>
      </c>
      <c r="H1940" s="2" t="s">
        <v>2318</v>
      </c>
      <c r="I1940" s="2" t="s">
        <v>47</v>
      </c>
      <c r="J1940" s="2" t="s">
        <v>500</v>
      </c>
      <c r="K1940" s="2" t="s">
        <v>6061</v>
      </c>
      <c r="L1940" s="2" t="s">
        <v>250</v>
      </c>
      <c r="M1940" s="2" t="s">
        <v>5947</v>
      </c>
      <c r="N1940" s="16">
        <v>1.9800000000000002E-2</v>
      </c>
      <c r="O1940" s="17">
        <f>N1940*'Financial Inputs'!$B$3</f>
        <v>1980000.0000000002</v>
      </c>
      <c r="P1940" s="18">
        <f>IF(I1940="L",'Financial Inputs'!$B$4,IF(I1940="M",'Financial Inputs'!$B$5,'Financial Inputs'!$B$6))</f>
        <v>0.4</v>
      </c>
      <c r="Q1940" s="17">
        <f>O1940*P1940</f>
        <v>792000.00000000012</v>
      </c>
      <c r="R1940" s="16">
        <f>'Financial Inputs'!$B$7</f>
        <v>0.35</v>
      </c>
      <c r="S1940" s="17">
        <f>Q1940*(1-R1940)</f>
        <v>514800.00000000012</v>
      </c>
      <c r="T1940" s="18">
        <f>S1940/'Financial Inputs'!$B$3</f>
        <v>5.1480000000000015E-3</v>
      </c>
      <c r="U1940" s="9" t="s">
        <v>52</v>
      </c>
      <c r="V1940" s="3" t="s">
        <v>53</v>
      </c>
    </row>
    <row r="1941" spans="1:22">
      <c r="A1941" s="2" t="s">
        <v>6062</v>
      </c>
      <c r="B1941" s="2" t="s">
        <v>6063</v>
      </c>
      <c r="C1941" s="2" t="s">
        <v>5945</v>
      </c>
      <c r="D1941" s="2" t="s">
        <v>72</v>
      </c>
      <c r="E1941" s="2" t="s">
        <v>148</v>
      </c>
      <c r="F1941" s="2" t="s">
        <v>104</v>
      </c>
      <c r="G1941" s="2" t="s">
        <v>143</v>
      </c>
      <c r="H1941" s="2" t="s">
        <v>2318</v>
      </c>
      <c r="I1941" s="2" t="s">
        <v>47</v>
      </c>
      <c r="J1941" s="2" t="s">
        <v>500</v>
      </c>
      <c r="K1941" s="2" t="s">
        <v>6064</v>
      </c>
      <c r="L1941" s="2" t="s">
        <v>254</v>
      </c>
      <c r="M1941" s="2" t="s">
        <v>5947</v>
      </c>
      <c r="N1941" s="16">
        <v>2.1600000000000001E-2</v>
      </c>
      <c r="O1941" s="17">
        <f>N1941*'Financial Inputs'!$B$3</f>
        <v>2160000</v>
      </c>
      <c r="P1941" s="18">
        <f>IF(I1941="L",'Financial Inputs'!$B$4,IF(I1941="M",'Financial Inputs'!$B$5,'Financial Inputs'!$B$6))</f>
        <v>0.4</v>
      </c>
      <c r="Q1941" s="17">
        <f>O1941*P1941</f>
        <v>864000</v>
      </c>
      <c r="R1941" s="16">
        <f>'Financial Inputs'!$B$7</f>
        <v>0.35</v>
      </c>
      <c r="S1941" s="17">
        <f>Q1941*(1-R1941)</f>
        <v>561600</v>
      </c>
      <c r="T1941" s="18">
        <f>S1941/'Financial Inputs'!$B$3</f>
        <v>5.6160000000000003E-3</v>
      </c>
      <c r="U1941" s="9" t="s">
        <v>52</v>
      </c>
      <c r="V1941" s="3" t="s">
        <v>53</v>
      </c>
    </row>
    <row r="1942" spans="1:22">
      <c r="A1942" s="2" t="s">
        <v>6065</v>
      </c>
      <c r="B1942" s="2" t="s">
        <v>6066</v>
      </c>
      <c r="C1942" s="2" t="s">
        <v>5945</v>
      </c>
      <c r="D1942" s="2" t="s">
        <v>133</v>
      </c>
      <c r="E1942" s="2" t="s">
        <v>109</v>
      </c>
      <c r="F1942" s="2" t="s">
        <v>82</v>
      </c>
      <c r="G1942" s="2" t="s">
        <v>56</v>
      </c>
      <c r="H1942" s="2" t="s">
        <v>2318</v>
      </c>
      <c r="I1942" s="2" t="s">
        <v>47</v>
      </c>
      <c r="J1942" s="2" t="s">
        <v>500</v>
      </c>
      <c r="K1942" s="2" t="s">
        <v>6067</v>
      </c>
      <c r="L1942" s="2" t="s">
        <v>258</v>
      </c>
      <c r="M1942" s="2" t="s">
        <v>5947</v>
      </c>
      <c r="N1942" s="16">
        <v>1.44E-2</v>
      </c>
      <c r="O1942" s="17">
        <f>N1942*'Financial Inputs'!$B$3</f>
        <v>1440000</v>
      </c>
      <c r="P1942" s="18">
        <f>IF(I1942="L",'Financial Inputs'!$B$4,IF(I1942="M",'Financial Inputs'!$B$5,'Financial Inputs'!$B$6))</f>
        <v>0.4</v>
      </c>
      <c r="Q1942" s="17">
        <f>O1942*P1942</f>
        <v>576000</v>
      </c>
      <c r="R1942" s="16">
        <f>'Financial Inputs'!$B$7</f>
        <v>0.35</v>
      </c>
      <c r="S1942" s="17">
        <f>Q1942*(1-R1942)</f>
        <v>374400</v>
      </c>
      <c r="T1942" s="18">
        <f>S1942/'Financial Inputs'!$B$3</f>
        <v>3.7439999999999999E-3</v>
      </c>
      <c r="U1942" s="9" t="s">
        <v>52</v>
      </c>
      <c r="V1942" s="3" t="s">
        <v>53</v>
      </c>
    </row>
    <row r="1943" spans="1:22">
      <c r="A1943" s="2" t="s">
        <v>6068</v>
      </c>
      <c r="B1943" s="2" t="s">
        <v>6069</v>
      </c>
      <c r="C1943" s="2" t="s">
        <v>5945</v>
      </c>
      <c r="D1943" s="2" t="s">
        <v>88</v>
      </c>
      <c r="E1943" s="2" t="s">
        <v>116</v>
      </c>
      <c r="F1943" s="2" t="s">
        <v>44</v>
      </c>
      <c r="G1943" s="2" t="s">
        <v>138</v>
      </c>
      <c r="H1943" s="2" t="s">
        <v>2318</v>
      </c>
      <c r="I1943" s="2" t="s">
        <v>47</v>
      </c>
      <c r="J1943" s="2" t="s">
        <v>500</v>
      </c>
      <c r="K1943" s="2" t="s">
        <v>6070</v>
      </c>
      <c r="L1943" s="2" t="s">
        <v>262</v>
      </c>
      <c r="M1943" s="2" t="s">
        <v>5947</v>
      </c>
      <c r="N1943" s="16">
        <v>1.6199999999999999E-2</v>
      </c>
      <c r="O1943" s="17">
        <f>N1943*'Financial Inputs'!$B$3</f>
        <v>1620000</v>
      </c>
      <c r="P1943" s="18">
        <f>IF(I1943="L",'Financial Inputs'!$B$4,IF(I1943="M",'Financial Inputs'!$B$5,'Financial Inputs'!$B$6))</f>
        <v>0.4</v>
      </c>
      <c r="Q1943" s="17">
        <f>O1943*P1943</f>
        <v>648000</v>
      </c>
      <c r="R1943" s="16">
        <f>'Financial Inputs'!$B$7</f>
        <v>0.35</v>
      </c>
      <c r="S1943" s="17">
        <f>Q1943*(1-R1943)</f>
        <v>421200</v>
      </c>
      <c r="T1943" s="18">
        <f>S1943/'Financial Inputs'!$B$3</f>
        <v>4.2119999999999996E-3</v>
      </c>
      <c r="U1943" s="9" t="s">
        <v>52</v>
      </c>
      <c r="V1943" s="3" t="s">
        <v>53</v>
      </c>
    </row>
    <row r="1944" spans="1:22">
      <c r="A1944" s="2" t="s">
        <v>6071</v>
      </c>
      <c r="B1944" s="2" t="s">
        <v>6072</v>
      </c>
      <c r="C1944" s="2" t="s">
        <v>5945</v>
      </c>
      <c r="D1944" s="2" t="s">
        <v>95</v>
      </c>
      <c r="E1944" s="2" t="s">
        <v>215</v>
      </c>
      <c r="F1944" s="2" t="s">
        <v>58</v>
      </c>
      <c r="G1944" s="2" t="s">
        <v>143</v>
      </c>
      <c r="H1944" s="2" t="s">
        <v>2318</v>
      </c>
      <c r="I1944" s="2" t="s">
        <v>47</v>
      </c>
      <c r="J1944" s="2" t="s">
        <v>500</v>
      </c>
      <c r="K1944" s="2" t="s">
        <v>6073</v>
      </c>
      <c r="L1944" s="2" t="s">
        <v>266</v>
      </c>
      <c r="M1944" s="2" t="s">
        <v>5947</v>
      </c>
      <c r="N1944" s="16">
        <v>1.7999999999999999E-2</v>
      </c>
      <c r="O1944" s="17">
        <f>N1944*'Financial Inputs'!$B$3</f>
        <v>1799999.9999999998</v>
      </c>
      <c r="P1944" s="18">
        <f>IF(I1944="L",'Financial Inputs'!$B$4,IF(I1944="M",'Financial Inputs'!$B$5,'Financial Inputs'!$B$6))</f>
        <v>0.4</v>
      </c>
      <c r="Q1944" s="17">
        <f>O1944*P1944</f>
        <v>720000</v>
      </c>
      <c r="R1944" s="16">
        <f>'Financial Inputs'!$B$7</f>
        <v>0.35</v>
      </c>
      <c r="S1944" s="17">
        <f>Q1944*(1-R1944)</f>
        <v>468000</v>
      </c>
      <c r="T1944" s="18">
        <f>S1944/'Financial Inputs'!$B$3</f>
        <v>4.6800000000000001E-3</v>
      </c>
      <c r="U1944" s="9" t="s">
        <v>52</v>
      </c>
      <c r="V1944" s="3" t="s">
        <v>53</v>
      </c>
    </row>
    <row r="1945" spans="1:22">
      <c r="A1945" s="2" t="s">
        <v>6074</v>
      </c>
      <c r="B1945" s="2" t="s">
        <v>6075</v>
      </c>
      <c r="C1945" s="2" t="s">
        <v>5945</v>
      </c>
      <c r="D1945" s="2" t="s">
        <v>102</v>
      </c>
      <c r="E1945" s="2" t="s">
        <v>220</v>
      </c>
      <c r="F1945" s="2" t="s">
        <v>66</v>
      </c>
      <c r="G1945" s="2" t="s">
        <v>162</v>
      </c>
      <c r="H1945" s="2" t="s">
        <v>2318</v>
      </c>
      <c r="I1945" s="2" t="s">
        <v>47</v>
      </c>
      <c r="J1945" s="2" t="s">
        <v>500</v>
      </c>
      <c r="K1945" s="2" t="s">
        <v>6076</v>
      </c>
      <c r="L1945" s="2" t="s">
        <v>270</v>
      </c>
      <c r="M1945" s="2" t="s">
        <v>5947</v>
      </c>
      <c r="N1945" s="16">
        <v>1.9800000000000002E-2</v>
      </c>
      <c r="O1945" s="17">
        <f>N1945*'Financial Inputs'!$B$3</f>
        <v>1980000.0000000002</v>
      </c>
      <c r="P1945" s="18">
        <f>IF(I1945="L",'Financial Inputs'!$B$4,IF(I1945="M",'Financial Inputs'!$B$5,'Financial Inputs'!$B$6))</f>
        <v>0.4</v>
      </c>
      <c r="Q1945" s="17">
        <f>O1945*P1945</f>
        <v>792000.00000000012</v>
      </c>
      <c r="R1945" s="16">
        <f>'Financial Inputs'!$B$7</f>
        <v>0.35</v>
      </c>
      <c r="S1945" s="17">
        <f>Q1945*(1-R1945)</f>
        <v>514800.00000000012</v>
      </c>
      <c r="T1945" s="18">
        <f>S1945/'Financial Inputs'!$B$3</f>
        <v>5.1480000000000015E-3</v>
      </c>
      <c r="U1945" s="9" t="s">
        <v>52</v>
      </c>
      <c r="V1945" s="3" t="s">
        <v>53</v>
      </c>
    </row>
    <row r="1946" spans="1:22">
      <c r="A1946" s="2" t="s">
        <v>6077</v>
      </c>
      <c r="B1946" s="2" t="s">
        <v>6078</v>
      </c>
      <c r="C1946" s="2" t="s">
        <v>5945</v>
      </c>
      <c r="D1946" s="2" t="s">
        <v>42</v>
      </c>
      <c r="E1946" s="2" t="s">
        <v>171</v>
      </c>
      <c r="F1946" s="2" t="s">
        <v>74</v>
      </c>
      <c r="G1946" s="2" t="s">
        <v>45</v>
      </c>
      <c r="H1946" s="2" t="s">
        <v>2318</v>
      </c>
      <c r="I1946" s="2" t="s">
        <v>47</v>
      </c>
      <c r="J1946" s="2" t="s">
        <v>500</v>
      </c>
      <c r="K1946" s="2" t="s">
        <v>6079</v>
      </c>
      <c r="L1946" s="2" t="s">
        <v>274</v>
      </c>
      <c r="M1946" s="2" t="s">
        <v>5947</v>
      </c>
      <c r="N1946" s="16">
        <v>2.1600000000000001E-2</v>
      </c>
      <c r="O1946" s="17">
        <f>N1946*'Financial Inputs'!$B$3</f>
        <v>2160000</v>
      </c>
      <c r="P1946" s="18">
        <f>IF(I1946="L",'Financial Inputs'!$B$4,IF(I1946="M",'Financial Inputs'!$B$5,'Financial Inputs'!$B$6))</f>
        <v>0.4</v>
      </c>
      <c r="Q1946" s="17">
        <f>O1946*P1946</f>
        <v>864000</v>
      </c>
      <c r="R1946" s="16">
        <f>'Financial Inputs'!$B$7</f>
        <v>0.35</v>
      </c>
      <c r="S1946" s="17">
        <f>Q1946*(1-R1946)</f>
        <v>561600</v>
      </c>
      <c r="T1946" s="18">
        <f>S1946/'Financial Inputs'!$B$3</f>
        <v>5.6160000000000003E-3</v>
      </c>
      <c r="U1946" s="9" t="s">
        <v>52</v>
      </c>
      <c r="V1946" s="3" t="s">
        <v>53</v>
      </c>
    </row>
    <row r="1947" spans="1:22">
      <c r="A1947" s="2" t="s">
        <v>6080</v>
      </c>
      <c r="B1947" s="2" t="s">
        <v>6081</v>
      </c>
      <c r="C1947" s="2" t="s">
        <v>5945</v>
      </c>
      <c r="D1947" s="2" t="s">
        <v>72</v>
      </c>
      <c r="E1947" s="2" t="s">
        <v>57</v>
      </c>
      <c r="F1947" s="2" t="s">
        <v>117</v>
      </c>
      <c r="G1947" s="2" t="s">
        <v>143</v>
      </c>
      <c r="H1947" s="2" t="s">
        <v>2318</v>
      </c>
      <c r="I1947" s="2" t="s">
        <v>47</v>
      </c>
      <c r="J1947" s="2" t="s">
        <v>500</v>
      </c>
      <c r="K1947" s="2" t="s">
        <v>6082</v>
      </c>
      <c r="L1947" s="2" t="s">
        <v>278</v>
      </c>
      <c r="M1947" s="2" t="s">
        <v>5947</v>
      </c>
      <c r="N1947" s="16">
        <v>1.44E-2</v>
      </c>
      <c r="O1947" s="17">
        <f>N1947*'Financial Inputs'!$B$3</f>
        <v>1440000</v>
      </c>
      <c r="P1947" s="18">
        <f>IF(I1947="L",'Financial Inputs'!$B$4,IF(I1947="M",'Financial Inputs'!$B$5,'Financial Inputs'!$B$6))</f>
        <v>0.4</v>
      </c>
      <c r="Q1947" s="17">
        <f>O1947*P1947</f>
        <v>576000</v>
      </c>
      <c r="R1947" s="16">
        <f>'Financial Inputs'!$B$7</f>
        <v>0.35</v>
      </c>
      <c r="S1947" s="17">
        <f>Q1947*(1-R1947)</f>
        <v>374400</v>
      </c>
      <c r="T1947" s="18">
        <f>S1947/'Financial Inputs'!$B$3</f>
        <v>3.7439999999999999E-3</v>
      </c>
      <c r="U1947" s="9" t="s">
        <v>52</v>
      </c>
      <c r="V1947" s="3" t="s">
        <v>53</v>
      </c>
    </row>
    <row r="1948" spans="1:22">
      <c r="A1948" s="2" t="s">
        <v>6083</v>
      </c>
      <c r="B1948" s="2" t="s">
        <v>6084</v>
      </c>
      <c r="C1948" s="2" t="s">
        <v>5945</v>
      </c>
      <c r="D1948" s="2" t="s">
        <v>80</v>
      </c>
      <c r="E1948" s="2" t="s">
        <v>65</v>
      </c>
      <c r="F1948" s="2" t="s">
        <v>90</v>
      </c>
      <c r="G1948" s="2" t="s">
        <v>162</v>
      </c>
      <c r="H1948" s="2" t="s">
        <v>2318</v>
      </c>
      <c r="I1948" s="2" t="s">
        <v>47</v>
      </c>
      <c r="J1948" s="2" t="s">
        <v>500</v>
      </c>
      <c r="K1948" s="2" t="s">
        <v>6085</v>
      </c>
      <c r="L1948" s="2" t="s">
        <v>282</v>
      </c>
      <c r="M1948" s="2" t="s">
        <v>5947</v>
      </c>
      <c r="N1948" s="16">
        <v>1.6199999999999999E-2</v>
      </c>
      <c r="O1948" s="17">
        <f>N1948*'Financial Inputs'!$B$3</f>
        <v>1620000</v>
      </c>
      <c r="P1948" s="18">
        <f>IF(I1948="L",'Financial Inputs'!$B$4,IF(I1948="M",'Financial Inputs'!$B$5,'Financial Inputs'!$B$6))</f>
        <v>0.4</v>
      </c>
      <c r="Q1948" s="17">
        <f>O1948*P1948</f>
        <v>648000</v>
      </c>
      <c r="R1948" s="16">
        <f>'Financial Inputs'!$B$7</f>
        <v>0.35</v>
      </c>
      <c r="S1948" s="17">
        <f>Q1948*(1-R1948)</f>
        <v>421200</v>
      </c>
      <c r="T1948" s="18">
        <f>S1948/'Financial Inputs'!$B$3</f>
        <v>4.2119999999999996E-3</v>
      </c>
      <c r="U1948" s="9" t="s">
        <v>52</v>
      </c>
      <c r="V1948" s="3" t="s">
        <v>53</v>
      </c>
    </row>
    <row r="1949" spans="1:22">
      <c r="A1949" s="2" t="s">
        <v>6086</v>
      </c>
      <c r="B1949" s="2" t="s">
        <v>6087</v>
      </c>
      <c r="C1949" s="2" t="s">
        <v>5945</v>
      </c>
      <c r="D1949" s="2" t="s">
        <v>127</v>
      </c>
      <c r="E1949" s="2" t="s">
        <v>73</v>
      </c>
      <c r="F1949" s="2" t="s">
        <v>97</v>
      </c>
      <c r="G1949" s="2" t="s">
        <v>45</v>
      </c>
      <c r="H1949" s="2" t="s">
        <v>2318</v>
      </c>
      <c r="I1949" s="2" t="s">
        <v>47</v>
      </c>
      <c r="J1949" s="2" t="s">
        <v>500</v>
      </c>
      <c r="K1949" s="2" t="s">
        <v>6088</v>
      </c>
      <c r="L1949" s="2" t="s">
        <v>286</v>
      </c>
      <c r="M1949" s="2" t="s">
        <v>5947</v>
      </c>
      <c r="N1949" s="16">
        <v>1.7999999999999999E-2</v>
      </c>
      <c r="O1949" s="17">
        <f>N1949*'Financial Inputs'!$B$3</f>
        <v>1799999.9999999998</v>
      </c>
      <c r="P1949" s="18">
        <f>IF(I1949="L",'Financial Inputs'!$B$4,IF(I1949="M",'Financial Inputs'!$B$5,'Financial Inputs'!$B$6))</f>
        <v>0.4</v>
      </c>
      <c r="Q1949" s="17">
        <f>O1949*P1949</f>
        <v>720000</v>
      </c>
      <c r="R1949" s="16">
        <f>'Financial Inputs'!$B$7</f>
        <v>0.35</v>
      </c>
      <c r="S1949" s="17">
        <f>Q1949*(1-R1949)</f>
        <v>468000</v>
      </c>
      <c r="T1949" s="18">
        <f>S1949/'Financial Inputs'!$B$3</f>
        <v>4.6800000000000001E-3</v>
      </c>
      <c r="U1949" s="9" t="s">
        <v>52</v>
      </c>
      <c r="V1949" s="3" t="s">
        <v>53</v>
      </c>
    </row>
    <row r="1950" spans="1:22">
      <c r="A1950" s="2" t="s">
        <v>6089</v>
      </c>
      <c r="B1950" s="2" t="s">
        <v>6090</v>
      </c>
      <c r="C1950" s="2" t="s">
        <v>5945</v>
      </c>
      <c r="D1950" s="2" t="s">
        <v>133</v>
      </c>
      <c r="E1950" s="2" t="s">
        <v>81</v>
      </c>
      <c r="F1950" s="2" t="s">
        <v>104</v>
      </c>
      <c r="G1950" s="2" t="s">
        <v>59</v>
      </c>
      <c r="H1950" s="2" t="s">
        <v>2318</v>
      </c>
      <c r="I1950" s="2" t="s">
        <v>47</v>
      </c>
      <c r="J1950" s="2" t="s">
        <v>500</v>
      </c>
      <c r="K1950" s="2" t="s">
        <v>6091</v>
      </c>
      <c r="L1950" s="2" t="s">
        <v>290</v>
      </c>
      <c r="M1950" s="2" t="s">
        <v>5947</v>
      </c>
      <c r="N1950" s="16">
        <v>1.9800000000000002E-2</v>
      </c>
      <c r="O1950" s="17">
        <f>N1950*'Financial Inputs'!$B$3</f>
        <v>1980000.0000000002</v>
      </c>
      <c r="P1950" s="18">
        <f>IF(I1950="L",'Financial Inputs'!$B$4,IF(I1950="M",'Financial Inputs'!$B$5,'Financial Inputs'!$B$6))</f>
        <v>0.4</v>
      </c>
      <c r="Q1950" s="17">
        <f>O1950*P1950</f>
        <v>792000.00000000012</v>
      </c>
      <c r="R1950" s="16">
        <f>'Financial Inputs'!$B$7</f>
        <v>0.35</v>
      </c>
      <c r="S1950" s="17">
        <f>Q1950*(1-R1950)</f>
        <v>514800.00000000012</v>
      </c>
      <c r="T1950" s="18">
        <f>S1950/'Financial Inputs'!$B$3</f>
        <v>5.1480000000000015E-3</v>
      </c>
      <c r="U1950" s="9" t="s">
        <v>52</v>
      </c>
      <c r="V1950" s="3" t="s">
        <v>53</v>
      </c>
    </row>
    <row r="1951" spans="1:22">
      <c r="A1951" s="2" t="s">
        <v>6092</v>
      </c>
      <c r="B1951" s="2" t="s">
        <v>6093</v>
      </c>
      <c r="C1951" s="2" t="s">
        <v>5945</v>
      </c>
      <c r="D1951" s="2" t="s">
        <v>88</v>
      </c>
      <c r="E1951" s="2" t="s">
        <v>193</v>
      </c>
      <c r="F1951" s="2" t="s">
        <v>110</v>
      </c>
      <c r="G1951" s="2" t="s">
        <v>67</v>
      </c>
      <c r="H1951" s="2" t="s">
        <v>2318</v>
      </c>
      <c r="I1951" s="2" t="s">
        <v>47</v>
      </c>
      <c r="J1951" s="2" t="s">
        <v>500</v>
      </c>
      <c r="K1951" s="2" t="s">
        <v>6094</v>
      </c>
      <c r="L1951" s="2" t="s">
        <v>294</v>
      </c>
      <c r="M1951" s="2" t="s">
        <v>5947</v>
      </c>
      <c r="N1951" s="16">
        <v>2.1600000000000001E-2</v>
      </c>
      <c r="O1951" s="17">
        <f>N1951*'Financial Inputs'!$B$3</f>
        <v>2160000</v>
      </c>
      <c r="P1951" s="18">
        <f>IF(I1951="L",'Financial Inputs'!$B$4,IF(I1951="M",'Financial Inputs'!$B$5,'Financial Inputs'!$B$6))</f>
        <v>0.4</v>
      </c>
      <c r="Q1951" s="17">
        <f>O1951*P1951</f>
        <v>864000</v>
      </c>
      <c r="R1951" s="16">
        <f>'Financial Inputs'!$B$7</f>
        <v>0.35</v>
      </c>
      <c r="S1951" s="17">
        <f>Q1951*(1-R1951)</f>
        <v>561600</v>
      </c>
      <c r="T1951" s="18">
        <f>S1951/'Financial Inputs'!$B$3</f>
        <v>5.6160000000000003E-3</v>
      </c>
      <c r="U1951" s="9" t="s">
        <v>52</v>
      </c>
      <c r="V1951" s="3" t="s">
        <v>53</v>
      </c>
    </row>
    <row r="1952" spans="1:22">
      <c r="A1952" s="2" t="s">
        <v>6095</v>
      </c>
      <c r="B1952" s="2" t="s">
        <v>6096</v>
      </c>
      <c r="C1952" s="2" t="s">
        <v>5945</v>
      </c>
      <c r="D1952" s="2" t="s">
        <v>42</v>
      </c>
      <c r="E1952" s="2" t="s">
        <v>96</v>
      </c>
      <c r="F1952" s="2" t="s">
        <v>44</v>
      </c>
      <c r="G1952" s="2" t="s">
        <v>45</v>
      </c>
      <c r="H1952" s="2" t="s">
        <v>2318</v>
      </c>
      <c r="I1952" s="2" t="s">
        <v>47</v>
      </c>
      <c r="J1952" s="2" t="s">
        <v>500</v>
      </c>
      <c r="K1952" s="2" t="s">
        <v>6097</v>
      </c>
      <c r="L1952" s="2" t="s">
        <v>298</v>
      </c>
      <c r="M1952" s="2" t="s">
        <v>5947</v>
      </c>
      <c r="N1952" s="16">
        <v>1.44E-2</v>
      </c>
      <c r="O1952" s="17">
        <f>N1952*'Financial Inputs'!$B$3</f>
        <v>1440000</v>
      </c>
      <c r="P1952" s="18">
        <f>IF(I1952="L",'Financial Inputs'!$B$4,IF(I1952="M",'Financial Inputs'!$B$5,'Financial Inputs'!$B$6))</f>
        <v>0.4</v>
      </c>
      <c r="Q1952" s="17">
        <f>O1952*P1952</f>
        <v>576000</v>
      </c>
      <c r="R1952" s="16">
        <f>'Financial Inputs'!$B$7</f>
        <v>0.35</v>
      </c>
      <c r="S1952" s="17">
        <f>Q1952*(1-R1952)</f>
        <v>374400</v>
      </c>
      <c r="T1952" s="18">
        <f>S1952/'Financial Inputs'!$B$3</f>
        <v>3.7439999999999999E-3</v>
      </c>
      <c r="U1952" s="9" t="s">
        <v>52</v>
      </c>
      <c r="V1952" s="3" t="s">
        <v>53</v>
      </c>
    </row>
    <row r="1953" spans="1:22">
      <c r="A1953" s="2" t="s">
        <v>6098</v>
      </c>
      <c r="B1953" s="2" t="s">
        <v>6099</v>
      </c>
      <c r="C1953" s="2" t="s">
        <v>5945</v>
      </c>
      <c r="D1953" s="2" t="s">
        <v>56</v>
      </c>
      <c r="E1953" s="2" t="s">
        <v>103</v>
      </c>
      <c r="F1953" s="2" t="s">
        <v>58</v>
      </c>
      <c r="G1953" s="2" t="s">
        <v>59</v>
      </c>
      <c r="H1953" s="2" t="s">
        <v>2318</v>
      </c>
      <c r="I1953" s="2" t="s">
        <v>47</v>
      </c>
      <c r="J1953" s="2" t="s">
        <v>500</v>
      </c>
      <c r="K1953" s="2" t="s">
        <v>6100</v>
      </c>
      <c r="L1953" s="2" t="s">
        <v>302</v>
      </c>
      <c r="M1953" s="2" t="s">
        <v>5947</v>
      </c>
      <c r="N1953" s="16">
        <v>1.6199999999999999E-2</v>
      </c>
      <c r="O1953" s="17">
        <f>N1953*'Financial Inputs'!$B$3</f>
        <v>1620000</v>
      </c>
      <c r="P1953" s="18">
        <f>IF(I1953="L",'Financial Inputs'!$B$4,IF(I1953="M",'Financial Inputs'!$B$5,'Financial Inputs'!$B$6))</f>
        <v>0.4</v>
      </c>
      <c r="Q1953" s="17">
        <f>O1953*P1953</f>
        <v>648000</v>
      </c>
      <c r="R1953" s="16">
        <f>'Financial Inputs'!$B$7</f>
        <v>0.35</v>
      </c>
      <c r="S1953" s="17">
        <f>Q1953*(1-R1953)</f>
        <v>421200</v>
      </c>
      <c r="T1953" s="18">
        <f>S1953/'Financial Inputs'!$B$3</f>
        <v>4.2119999999999996E-3</v>
      </c>
      <c r="U1953" s="9" t="s">
        <v>52</v>
      </c>
      <c r="V1953" s="3" t="s">
        <v>53</v>
      </c>
    </row>
    <row r="1954" spans="1:22">
      <c r="A1954" s="2" t="s">
        <v>6101</v>
      </c>
      <c r="B1954" s="2" t="s">
        <v>6102</v>
      </c>
      <c r="C1954" s="2" t="s">
        <v>5945</v>
      </c>
      <c r="D1954" s="2" t="s">
        <v>64</v>
      </c>
      <c r="E1954" s="2" t="s">
        <v>109</v>
      </c>
      <c r="F1954" s="2" t="s">
        <v>66</v>
      </c>
      <c r="G1954" s="2" t="s">
        <v>67</v>
      </c>
      <c r="H1954" s="2" t="s">
        <v>2318</v>
      </c>
      <c r="I1954" s="2" t="s">
        <v>47</v>
      </c>
      <c r="J1954" s="2" t="s">
        <v>500</v>
      </c>
      <c r="K1954" s="2" t="s">
        <v>6103</v>
      </c>
      <c r="L1954" s="2" t="s">
        <v>306</v>
      </c>
      <c r="M1954" s="2" t="s">
        <v>5947</v>
      </c>
      <c r="N1954" s="16">
        <v>1.7999999999999999E-2</v>
      </c>
      <c r="O1954" s="17">
        <f>N1954*'Financial Inputs'!$B$3</f>
        <v>1799999.9999999998</v>
      </c>
      <c r="P1954" s="18">
        <f>IF(I1954="L",'Financial Inputs'!$B$4,IF(I1954="M",'Financial Inputs'!$B$5,'Financial Inputs'!$B$6))</f>
        <v>0.4</v>
      </c>
      <c r="Q1954" s="17">
        <f>O1954*P1954</f>
        <v>720000</v>
      </c>
      <c r="R1954" s="16">
        <f>'Financial Inputs'!$B$7</f>
        <v>0.35</v>
      </c>
      <c r="S1954" s="17">
        <f>Q1954*(1-R1954)</f>
        <v>468000</v>
      </c>
      <c r="T1954" s="18">
        <f>S1954/'Financial Inputs'!$B$3</f>
        <v>4.6800000000000001E-3</v>
      </c>
      <c r="U1954" s="9" t="s">
        <v>52</v>
      </c>
      <c r="V1954" s="3" t="s">
        <v>53</v>
      </c>
    </row>
    <row r="1955" spans="1:22">
      <c r="A1955" s="2" t="s">
        <v>6104</v>
      </c>
      <c r="B1955" s="2" t="s">
        <v>6105</v>
      </c>
      <c r="C1955" s="2" t="s">
        <v>5945</v>
      </c>
      <c r="D1955" s="2" t="s">
        <v>72</v>
      </c>
      <c r="E1955" s="2" t="s">
        <v>116</v>
      </c>
      <c r="F1955" s="2" t="s">
        <v>74</v>
      </c>
      <c r="G1955" s="2" t="s">
        <v>75</v>
      </c>
      <c r="H1955" s="2" t="s">
        <v>2318</v>
      </c>
      <c r="I1955" s="2" t="s">
        <v>47</v>
      </c>
      <c r="J1955" s="2" t="s">
        <v>500</v>
      </c>
      <c r="K1955" s="2" t="s">
        <v>6106</v>
      </c>
      <c r="L1955" s="2" t="s">
        <v>310</v>
      </c>
      <c r="M1955" s="2" t="s">
        <v>5947</v>
      </c>
      <c r="N1955" s="16">
        <v>1.9800000000000002E-2</v>
      </c>
      <c r="O1955" s="17">
        <f>N1955*'Financial Inputs'!$B$3</f>
        <v>1980000.0000000002</v>
      </c>
      <c r="P1955" s="18">
        <f>IF(I1955="L",'Financial Inputs'!$B$4,IF(I1955="M",'Financial Inputs'!$B$5,'Financial Inputs'!$B$6))</f>
        <v>0.4</v>
      </c>
      <c r="Q1955" s="17">
        <f>O1955*P1955</f>
        <v>792000.00000000012</v>
      </c>
      <c r="R1955" s="16">
        <f>'Financial Inputs'!$B$7</f>
        <v>0.35</v>
      </c>
      <c r="S1955" s="17">
        <f>Q1955*(1-R1955)</f>
        <v>514800.00000000012</v>
      </c>
      <c r="T1955" s="18">
        <f>S1955/'Financial Inputs'!$B$3</f>
        <v>5.1480000000000015E-3</v>
      </c>
      <c r="U1955" s="9" t="s">
        <v>52</v>
      </c>
      <c r="V1955" s="3" t="s">
        <v>53</v>
      </c>
    </row>
    <row r="1956" spans="1:22">
      <c r="A1956" s="2" t="s">
        <v>6107</v>
      </c>
      <c r="B1956" s="2" t="s">
        <v>6108</v>
      </c>
      <c r="C1956" s="2" t="s">
        <v>5945</v>
      </c>
      <c r="D1956" s="2" t="s">
        <v>80</v>
      </c>
      <c r="E1956" s="2" t="s">
        <v>215</v>
      </c>
      <c r="F1956" s="2" t="s">
        <v>82</v>
      </c>
      <c r="G1956" s="2" t="s">
        <v>83</v>
      </c>
      <c r="H1956" s="2" t="s">
        <v>2318</v>
      </c>
      <c r="I1956" s="2" t="s">
        <v>47</v>
      </c>
      <c r="J1956" s="2" t="s">
        <v>500</v>
      </c>
      <c r="K1956" s="2" t="s">
        <v>6109</v>
      </c>
      <c r="L1956" s="2" t="s">
        <v>314</v>
      </c>
      <c r="M1956" s="2" t="s">
        <v>5947</v>
      </c>
      <c r="N1956" s="16">
        <v>2.1600000000000001E-2</v>
      </c>
      <c r="O1956" s="17">
        <f>N1956*'Financial Inputs'!$B$3</f>
        <v>2160000</v>
      </c>
      <c r="P1956" s="18">
        <f>IF(I1956="L",'Financial Inputs'!$B$4,IF(I1956="M",'Financial Inputs'!$B$5,'Financial Inputs'!$B$6))</f>
        <v>0.4</v>
      </c>
      <c r="Q1956" s="17">
        <f>O1956*P1956</f>
        <v>864000</v>
      </c>
      <c r="R1956" s="16">
        <f>'Financial Inputs'!$B$7</f>
        <v>0.35</v>
      </c>
      <c r="S1956" s="17">
        <f>Q1956*(1-R1956)</f>
        <v>561600</v>
      </c>
      <c r="T1956" s="18">
        <f>S1956/'Financial Inputs'!$B$3</f>
        <v>5.6160000000000003E-3</v>
      </c>
      <c r="U1956" s="9" t="s">
        <v>52</v>
      </c>
      <c r="V1956" s="3" t="s">
        <v>53</v>
      </c>
    </row>
    <row r="1957" spans="1:22">
      <c r="A1957" s="2" t="s">
        <v>6110</v>
      </c>
      <c r="B1957" s="2" t="s">
        <v>6111</v>
      </c>
      <c r="C1957" s="2" t="s">
        <v>5945</v>
      </c>
      <c r="D1957" s="2" t="s">
        <v>88</v>
      </c>
      <c r="E1957" s="2" t="s">
        <v>128</v>
      </c>
      <c r="F1957" s="2" t="s">
        <v>90</v>
      </c>
      <c r="G1957" s="2" t="s">
        <v>67</v>
      </c>
      <c r="H1957" s="2" t="s">
        <v>2318</v>
      </c>
      <c r="I1957" s="2" t="s">
        <v>47</v>
      </c>
      <c r="J1957" s="2" t="s">
        <v>500</v>
      </c>
      <c r="K1957" s="2" t="s">
        <v>6112</v>
      </c>
      <c r="L1957" s="2" t="s">
        <v>318</v>
      </c>
      <c r="M1957" s="2" t="s">
        <v>5947</v>
      </c>
      <c r="N1957" s="16">
        <v>1.44E-2</v>
      </c>
      <c r="O1957" s="17">
        <f>N1957*'Financial Inputs'!$B$3</f>
        <v>1440000</v>
      </c>
      <c r="P1957" s="18">
        <f>IF(I1957="L",'Financial Inputs'!$B$4,IF(I1957="M",'Financial Inputs'!$B$5,'Financial Inputs'!$B$6))</f>
        <v>0.4</v>
      </c>
      <c r="Q1957" s="17">
        <f>O1957*P1957</f>
        <v>576000</v>
      </c>
      <c r="R1957" s="16">
        <f>'Financial Inputs'!$B$7</f>
        <v>0.35</v>
      </c>
      <c r="S1957" s="17">
        <f>Q1957*(1-R1957)</f>
        <v>374400</v>
      </c>
      <c r="T1957" s="18">
        <f>S1957/'Financial Inputs'!$B$3</f>
        <v>3.7439999999999999E-3</v>
      </c>
      <c r="U1957" s="9" t="s">
        <v>52</v>
      </c>
      <c r="V1957" s="3" t="s">
        <v>53</v>
      </c>
    </row>
    <row r="1958" spans="1:22">
      <c r="A1958" s="2" t="s">
        <v>6113</v>
      </c>
      <c r="B1958" s="2" t="s">
        <v>6114</v>
      </c>
      <c r="C1958" s="2" t="s">
        <v>5945</v>
      </c>
      <c r="D1958" s="2" t="s">
        <v>95</v>
      </c>
      <c r="E1958" s="2" t="s">
        <v>43</v>
      </c>
      <c r="F1958" s="2" t="s">
        <v>97</v>
      </c>
      <c r="G1958" s="2" t="s">
        <v>75</v>
      </c>
      <c r="H1958" s="2" t="s">
        <v>2318</v>
      </c>
      <c r="I1958" s="2" t="s">
        <v>47</v>
      </c>
      <c r="J1958" s="2" t="s">
        <v>500</v>
      </c>
      <c r="K1958" s="2" t="s">
        <v>6115</v>
      </c>
      <c r="L1958" s="2" t="s">
        <v>322</v>
      </c>
      <c r="M1958" s="2" t="s">
        <v>5947</v>
      </c>
      <c r="N1958" s="16">
        <v>1.6199999999999999E-2</v>
      </c>
      <c r="O1958" s="17">
        <f>N1958*'Financial Inputs'!$B$3</f>
        <v>1620000</v>
      </c>
      <c r="P1958" s="18">
        <f>IF(I1958="L",'Financial Inputs'!$B$4,IF(I1958="M",'Financial Inputs'!$B$5,'Financial Inputs'!$B$6))</f>
        <v>0.4</v>
      </c>
      <c r="Q1958" s="17">
        <f>O1958*P1958</f>
        <v>648000</v>
      </c>
      <c r="R1958" s="16">
        <f>'Financial Inputs'!$B$7</f>
        <v>0.35</v>
      </c>
      <c r="S1958" s="17">
        <f>Q1958*(1-R1958)</f>
        <v>421200</v>
      </c>
      <c r="T1958" s="18">
        <f>S1958/'Financial Inputs'!$B$3</f>
        <v>4.2119999999999996E-3</v>
      </c>
      <c r="U1958" s="9" t="s">
        <v>52</v>
      </c>
      <c r="V1958" s="3" t="s">
        <v>53</v>
      </c>
    </row>
    <row r="1959" spans="1:22">
      <c r="A1959" s="2" t="s">
        <v>6116</v>
      </c>
      <c r="B1959" s="2" t="s">
        <v>6117</v>
      </c>
      <c r="C1959" s="2" t="s">
        <v>5945</v>
      </c>
      <c r="D1959" s="2" t="s">
        <v>102</v>
      </c>
      <c r="E1959" s="2" t="s">
        <v>57</v>
      </c>
      <c r="F1959" s="2" t="s">
        <v>104</v>
      </c>
      <c r="G1959" s="2" t="s">
        <v>83</v>
      </c>
      <c r="H1959" s="2" t="s">
        <v>2318</v>
      </c>
      <c r="I1959" s="2" t="s">
        <v>47</v>
      </c>
      <c r="J1959" s="2" t="s">
        <v>500</v>
      </c>
      <c r="K1959" s="2" t="s">
        <v>6118</v>
      </c>
      <c r="L1959" s="2" t="s">
        <v>326</v>
      </c>
      <c r="M1959" s="2" t="s">
        <v>5947</v>
      </c>
      <c r="N1959" s="16">
        <v>1.7999999999999999E-2</v>
      </c>
      <c r="O1959" s="17">
        <f>N1959*'Financial Inputs'!$B$3</f>
        <v>1799999.9999999998</v>
      </c>
      <c r="P1959" s="18">
        <f>IF(I1959="L",'Financial Inputs'!$B$4,IF(I1959="M",'Financial Inputs'!$B$5,'Financial Inputs'!$B$6))</f>
        <v>0.4</v>
      </c>
      <c r="Q1959" s="17">
        <f>O1959*P1959</f>
        <v>720000</v>
      </c>
      <c r="R1959" s="16">
        <f>'Financial Inputs'!$B$7</f>
        <v>0.35</v>
      </c>
      <c r="S1959" s="17">
        <f>Q1959*(1-R1959)</f>
        <v>468000</v>
      </c>
      <c r="T1959" s="18">
        <f>S1959/'Financial Inputs'!$B$3</f>
        <v>4.6800000000000001E-3</v>
      </c>
      <c r="U1959" s="9" t="s">
        <v>52</v>
      </c>
      <c r="V1959" s="3" t="s">
        <v>53</v>
      </c>
    </row>
    <row r="1960" spans="1:22">
      <c r="A1960" s="2" t="s">
        <v>6119</v>
      </c>
      <c r="B1960" s="2" t="s">
        <v>6120</v>
      </c>
      <c r="C1960" s="2" t="s">
        <v>5945</v>
      </c>
      <c r="D1960" s="2" t="s">
        <v>42</v>
      </c>
      <c r="E1960" s="2" t="s">
        <v>65</v>
      </c>
      <c r="F1960" s="2" t="s">
        <v>110</v>
      </c>
      <c r="G1960" s="2" t="s">
        <v>111</v>
      </c>
      <c r="H1960" s="2" t="s">
        <v>2318</v>
      </c>
      <c r="I1960" s="2" t="s">
        <v>47</v>
      </c>
      <c r="J1960" s="2" t="s">
        <v>500</v>
      </c>
      <c r="K1960" s="2" t="s">
        <v>6121</v>
      </c>
      <c r="L1960" s="2" t="s">
        <v>330</v>
      </c>
      <c r="M1960" s="2" t="s">
        <v>5947</v>
      </c>
      <c r="N1960" s="16">
        <v>1.9800000000000002E-2</v>
      </c>
      <c r="O1960" s="17">
        <f>N1960*'Financial Inputs'!$B$3</f>
        <v>1980000.0000000002</v>
      </c>
      <c r="P1960" s="18">
        <f>IF(I1960="L",'Financial Inputs'!$B$4,IF(I1960="M",'Financial Inputs'!$B$5,'Financial Inputs'!$B$6))</f>
        <v>0.4</v>
      </c>
      <c r="Q1960" s="17">
        <f>O1960*P1960</f>
        <v>792000.00000000012</v>
      </c>
      <c r="R1960" s="16">
        <f>'Financial Inputs'!$B$7</f>
        <v>0.35</v>
      </c>
      <c r="S1960" s="17">
        <f>Q1960*(1-R1960)</f>
        <v>514800.00000000012</v>
      </c>
      <c r="T1960" s="18">
        <f>S1960/'Financial Inputs'!$B$3</f>
        <v>5.1480000000000015E-3</v>
      </c>
      <c r="U1960" s="9" t="s">
        <v>52</v>
      </c>
      <c r="V1960" s="3" t="s">
        <v>53</v>
      </c>
    </row>
    <row r="1961" spans="1:22">
      <c r="A1961" s="2" t="s">
        <v>6122</v>
      </c>
      <c r="B1961" s="2" t="s">
        <v>6123</v>
      </c>
      <c r="C1961" s="2" t="s">
        <v>5945</v>
      </c>
      <c r="D1961" s="2" t="s">
        <v>56</v>
      </c>
      <c r="E1961" s="2" t="s">
        <v>73</v>
      </c>
      <c r="F1961" s="2" t="s">
        <v>117</v>
      </c>
      <c r="G1961" s="2" t="s">
        <v>56</v>
      </c>
      <c r="H1961" s="2" t="s">
        <v>2318</v>
      </c>
      <c r="I1961" s="2" t="s">
        <v>47</v>
      </c>
      <c r="J1961" s="2" t="s">
        <v>500</v>
      </c>
      <c r="K1961" s="2" t="s">
        <v>6124</v>
      </c>
      <c r="L1961" s="2" t="s">
        <v>334</v>
      </c>
      <c r="M1961" s="2" t="s">
        <v>5947</v>
      </c>
      <c r="N1961" s="16">
        <v>2.1600000000000001E-2</v>
      </c>
      <c r="O1961" s="17">
        <f>N1961*'Financial Inputs'!$B$3</f>
        <v>2160000</v>
      </c>
      <c r="P1961" s="18">
        <f>IF(I1961="L",'Financial Inputs'!$B$4,IF(I1961="M",'Financial Inputs'!$B$5,'Financial Inputs'!$B$6))</f>
        <v>0.4</v>
      </c>
      <c r="Q1961" s="17">
        <f>O1961*P1961</f>
        <v>864000</v>
      </c>
      <c r="R1961" s="16">
        <f>'Financial Inputs'!$B$7</f>
        <v>0.35</v>
      </c>
      <c r="S1961" s="17">
        <f>Q1961*(1-R1961)</f>
        <v>561600</v>
      </c>
      <c r="T1961" s="18">
        <f>S1961/'Financial Inputs'!$B$3</f>
        <v>5.6160000000000003E-3</v>
      </c>
      <c r="U1961" s="9" t="s">
        <v>52</v>
      </c>
      <c r="V1961" s="3" t="s">
        <v>53</v>
      </c>
    </row>
    <row r="1962" spans="1:22">
      <c r="A1962" s="2" t="s">
        <v>6125</v>
      </c>
      <c r="B1962" s="2" t="s">
        <v>6126</v>
      </c>
      <c r="C1962" s="2" t="s">
        <v>5945</v>
      </c>
      <c r="D1962" s="2" t="s">
        <v>80</v>
      </c>
      <c r="E1962" s="2" t="s">
        <v>153</v>
      </c>
      <c r="F1962" s="2" t="s">
        <v>58</v>
      </c>
      <c r="G1962" s="2" t="s">
        <v>83</v>
      </c>
      <c r="H1962" s="2" t="s">
        <v>2318</v>
      </c>
      <c r="I1962" s="2" t="s">
        <v>47</v>
      </c>
      <c r="J1962" s="2" t="s">
        <v>500</v>
      </c>
      <c r="K1962" s="2" t="s">
        <v>6127</v>
      </c>
      <c r="L1962" s="2" t="s">
        <v>338</v>
      </c>
      <c r="M1962" s="2" t="s">
        <v>5947</v>
      </c>
      <c r="N1962" s="16">
        <v>1.44E-2</v>
      </c>
      <c r="O1962" s="17">
        <f>N1962*'Financial Inputs'!$B$3</f>
        <v>1440000</v>
      </c>
      <c r="P1962" s="18">
        <f>IF(I1962="L",'Financial Inputs'!$B$4,IF(I1962="M",'Financial Inputs'!$B$5,'Financial Inputs'!$B$6))</f>
        <v>0.4</v>
      </c>
      <c r="Q1962" s="17">
        <f>O1962*P1962</f>
        <v>576000</v>
      </c>
      <c r="R1962" s="16">
        <f>'Financial Inputs'!$B$7</f>
        <v>0.35</v>
      </c>
      <c r="S1962" s="17">
        <f>Q1962*(1-R1962)</f>
        <v>374400</v>
      </c>
      <c r="T1962" s="18">
        <f>S1962/'Financial Inputs'!$B$3</f>
        <v>3.7439999999999999E-3</v>
      </c>
      <c r="U1962" s="9" t="s">
        <v>52</v>
      </c>
      <c r="V1962" s="3" t="s">
        <v>53</v>
      </c>
    </row>
    <row r="1963" spans="1:22">
      <c r="A1963" s="2" t="s">
        <v>6128</v>
      </c>
      <c r="B1963" s="2" t="s">
        <v>6129</v>
      </c>
      <c r="C1963" s="2" t="s">
        <v>5945</v>
      </c>
      <c r="D1963" s="2" t="s">
        <v>127</v>
      </c>
      <c r="E1963" s="2" t="s">
        <v>89</v>
      </c>
      <c r="F1963" s="2" t="s">
        <v>66</v>
      </c>
      <c r="G1963" s="2" t="s">
        <v>111</v>
      </c>
      <c r="H1963" s="2" t="s">
        <v>2318</v>
      </c>
      <c r="I1963" s="2" t="s">
        <v>47</v>
      </c>
      <c r="J1963" s="2" t="s">
        <v>500</v>
      </c>
      <c r="K1963" s="2" t="s">
        <v>6130</v>
      </c>
      <c r="L1963" s="2" t="s">
        <v>342</v>
      </c>
      <c r="M1963" s="2" t="s">
        <v>5947</v>
      </c>
      <c r="N1963" s="16">
        <v>1.6199999999999999E-2</v>
      </c>
      <c r="O1963" s="17">
        <f>N1963*'Financial Inputs'!$B$3</f>
        <v>1620000</v>
      </c>
      <c r="P1963" s="18">
        <f>IF(I1963="L",'Financial Inputs'!$B$4,IF(I1963="M",'Financial Inputs'!$B$5,'Financial Inputs'!$B$6))</f>
        <v>0.4</v>
      </c>
      <c r="Q1963" s="17">
        <f>O1963*P1963</f>
        <v>648000</v>
      </c>
      <c r="R1963" s="16">
        <f>'Financial Inputs'!$B$7</f>
        <v>0.35</v>
      </c>
      <c r="S1963" s="17">
        <f>Q1963*(1-R1963)</f>
        <v>421200</v>
      </c>
      <c r="T1963" s="18">
        <f>S1963/'Financial Inputs'!$B$3</f>
        <v>4.2119999999999996E-3</v>
      </c>
      <c r="U1963" s="9" t="s">
        <v>52</v>
      </c>
      <c r="V1963" s="3" t="s">
        <v>53</v>
      </c>
    </row>
    <row r="1964" spans="1:22">
      <c r="A1964" s="2" t="s">
        <v>6131</v>
      </c>
      <c r="B1964" s="2" t="s">
        <v>6132</v>
      </c>
      <c r="C1964" s="2" t="s">
        <v>5945</v>
      </c>
      <c r="D1964" s="2" t="s">
        <v>133</v>
      </c>
      <c r="E1964" s="2" t="s">
        <v>96</v>
      </c>
      <c r="F1964" s="2" t="s">
        <v>74</v>
      </c>
      <c r="G1964" s="2" t="s">
        <v>56</v>
      </c>
      <c r="H1964" s="2" t="s">
        <v>2318</v>
      </c>
      <c r="I1964" s="2" t="s">
        <v>47</v>
      </c>
      <c r="J1964" s="2" t="s">
        <v>500</v>
      </c>
      <c r="K1964" s="2" t="s">
        <v>6133</v>
      </c>
      <c r="L1964" s="2" t="s">
        <v>346</v>
      </c>
      <c r="M1964" s="2" t="s">
        <v>5947</v>
      </c>
      <c r="N1964" s="16">
        <v>1.7999999999999999E-2</v>
      </c>
      <c r="O1964" s="17">
        <f>N1964*'Financial Inputs'!$B$3</f>
        <v>1799999.9999999998</v>
      </c>
      <c r="P1964" s="18">
        <f>IF(I1964="L",'Financial Inputs'!$B$4,IF(I1964="M",'Financial Inputs'!$B$5,'Financial Inputs'!$B$6))</f>
        <v>0.4</v>
      </c>
      <c r="Q1964" s="17">
        <f>O1964*P1964</f>
        <v>720000</v>
      </c>
      <c r="R1964" s="16">
        <f>'Financial Inputs'!$B$7</f>
        <v>0.35</v>
      </c>
      <c r="S1964" s="17">
        <f>Q1964*(1-R1964)</f>
        <v>468000</v>
      </c>
      <c r="T1964" s="18">
        <f>S1964/'Financial Inputs'!$B$3</f>
        <v>4.6800000000000001E-3</v>
      </c>
      <c r="U1964" s="9" t="s">
        <v>52</v>
      </c>
      <c r="V1964" s="3" t="s">
        <v>53</v>
      </c>
    </row>
    <row r="1965" spans="1:22">
      <c r="A1965" s="2" t="s">
        <v>6134</v>
      </c>
      <c r="B1965" s="2" t="s">
        <v>6135</v>
      </c>
      <c r="C1965" s="2" t="s">
        <v>5945</v>
      </c>
      <c r="D1965" s="2" t="s">
        <v>88</v>
      </c>
      <c r="E1965" s="2" t="s">
        <v>103</v>
      </c>
      <c r="F1965" s="2" t="s">
        <v>82</v>
      </c>
      <c r="G1965" s="2" t="s">
        <v>138</v>
      </c>
      <c r="H1965" s="2" t="s">
        <v>2318</v>
      </c>
      <c r="I1965" s="2" t="s">
        <v>47</v>
      </c>
      <c r="J1965" s="2" t="s">
        <v>500</v>
      </c>
      <c r="K1965" s="2" t="s">
        <v>6136</v>
      </c>
      <c r="L1965" s="2" t="s">
        <v>350</v>
      </c>
      <c r="M1965" s="2" t="s">
        <v>5947</v>
      </c>
      <c r="N1965" s="16">
        <v>1.9800000000000002E-2</v>
      </c>
      <c r="O1965" s="17">
        <f>N1965*'Financial Inputs'!$B$3</f>
        <v>1980000.0000000002</v>
      </c>
      <c r="P1965" s="18">
        <f>IF(I1965="L",'Financial Inputs'!$B$4,IF(I1965="M",'Financial Inputs'!$B$5,'Financial Inputs'!$B$6))</f>
        <v>0.4</v>
      </c>
      <c r="Q1965" s="17">
        <f>O1965*P1965</f>
        <v>792000.00000000012</v>
      </c>
      <c r="R1965" s="16">
        <f>'Financial Inputs'!$B$7</f>
        <v>0.35</v>
      </c>
      <c r="S1965" s="17">
        <f>Q1965*(1-R1965)</f>
        <v>514800.00000000012</v>
      </c>
      <c r="T1965" s="18">
        <f>S1965/'Financial Inputs'!$B$3</f>
        <v>5.1480000000000015E-3</v>
      </c>
      <c r="U1965" s="9" t="s">
        <v>52</v>
      </c>
      <c r="V1965" s="3" t="s">
        <v>53</v>
      </c>
    </row>
    <row r="1966" spans="1:22">
      <c r="A1966" s="2" t="s">
        <v>6137</v>
      </c>
      <c r="B1966" s="2" t="s">
        <v>6138</v>
      </c>
      <c r="C1966" s="2" t="s">
        <v>5945</v>
      </c>
      <c r="D1966" s="2" t="s">
        <v>95</v>
      </c>
      <c r="E1966" s="2" t="s">
        <v>109</v>
      </c>
      <c r="F1966" s="2" t="s">
        <v>44</v>
      </c>
      <c r="G1966" s="2" t="s">
        <v>143</v>
      </c>
      <c r="H1966" s="2" t="s">
        <v>2318</v>
      </c>
      <c r="I1966" s="2" t="s">
        <v>47</v>
      </c>
      <c r="J1966" s="2" t="s">
        <v>500</v>
      </c>
      <c r="K1966" s="2" t="s">
        <v>6139</v>
      </c>
      <c r="L1966" s="2" t="s">
        <v>354</v>
      </c>
      <c r="M1966" s="2" t="s">
        <v>5947</v>
      </c>
      <c r="N1966" s="16">
        <v>2.1600000000000001E-2</v>
      </c>
      <c r="O1966" s="17">
        <f>N1966*'Financial Inputs'!$B$3</f>
        <v>2160000</v>
      </c>
      <c r="P1966" s="18">
        <f>IF(I1966="L",'Financial Inputs'!$B$4,IF(I1966="M",'Financial Inputs'!$B$5,'Financial Inputs'!$B$6))</f>
        <v>0.4</v>
      </c>
      <c r="Q1966" s="17">
        <f>O1966*P1966</f>
        <v>864000</v>
      </c>
      <c r="R1966" s="16">
        <f>'Financial Inputs'!$B$7</f>
        <v>0.35</v>
      </c>
      <c r="S1966" s="17">
        <f>Q1966*(1-R1966)</f>
        <v>561600</v>
      </c>
      <c r="T1966" s="18">
        <f>S1966/'Financial Inputs'!$B$3</f>
        <v>5.6160000000000003E-3</v>
      </c>
      <c r="U1966" s="9" t="s">
        <v>52</v>
      </c>
      <c r="V1966" s="3" t="s">
        <v>53</v>
      </c>
    </row>
    <row r="1967" spans="1:22">
      <c r="A1967" s="2" t="s">
        <v>6140</v>
      </c>
      <c r="B1967" s="2" t="s">
        <v>6141</v>
      </c>
      <c r="C1967" s="2" t="s">
        <v>5945</v>
      </c>
      <c r="D1967" s="2" t="s">
        <v>56</v>
      </c>
      <c r="E1967" s="2" t="s">
        <v>176</v>
      </c>
      <c r="F1967" s="2" t="s">
        <v>97</v>
      </c>
      <c r="G1967" s="2" t="s">
        <v>56</v>
      </c>
      <c r="H1967" s="2" t="s">
        <v>2318</v>
      </c>
      <c r="I1967" s="2" t="s">
        <v>47</v>
      </c>
      <c r="J1967" s="2" t="s">
        <v>500</v>
      </c>
      <c r="K1967" s="2" t="s">
        <v>6142</v>
      </c>
      <c r="L1967" s="2" t="s">
        <v>358</v>
      </c>
      <c r="M1967" s="2" t="s">
        <v>5947</v>
      </c>
      <c r="N1967" s="16">
        <v>1.44E-2</v>
      </c>
      <c r="O1967" s="17">
        <f>N1967*'Financial Inputs'!$B$3</f>
        <v>1440000</v>
      </c>
      <c r="P1967" s="18">
        <f>IF(I1967="L",'Financial Inputs'!$B$4,IF(I1967="M",'Financial Inputs'!$B$5,'Financial Inputs'!$B$6))</f>
        <v>0.4</v>
      </c>
      <c r="Q1967" s="17">
        <f>O1967*P1967</f>
        <v>576000</v>
      </c>
      <c r="R1967" s="16">
        <f>'Financial Inputs'!$B$7</f>
        <v>0.35</v>
      </c>
      <c r="S1967" s="17">
        <f>Q1967*(1-R1967)</f>
        <v>374400</v>
      </c>
      <c r="T1967" s="18">
        <f>S1967/'Financial Inputs'!$B$3</f>
        <v>3.7439999999999999E-3</v>
      </c>
      <c r="U1967" s="9" t="s">
        <v>52</v>
      </c>
      <c r="V1967" s="3" t="s">
        <v>53</v>
      </c>
    </row>
    <row r="1968" spans="1:22">
      <c r="A1968" s="2" t="s">
        <v>6143</v>
      </c>
      <c r="B1968" s="2" t="s">
        <v>6144</v>
      </c>
      <c r="C1968" s="2" t="s">
        <v>5945</v>
      </c>
      <c r="D1968" s="2" t="s">
        <v>64</v>
      </c>
      <c r="E1968" s="2" t="s">
        <v>122</v>
      </c>
      <c r="F1968" s="2" t="s">
        <v>104</v>
      </c>
      <c r="G1968" s="2" t="s">
        <v>138</v>
      </c>
      <c r="H1968" s="2" t="s">
        <v>2318</v>
      </c>
      <c r="I1968" s="2" t="s">
        <v>47</v>
      </c>
      <c r="J1968" s="2" t="s">
        <v>500</v>
      </c>
      <c r="K1968" s="2" t="s">
        <v>6145</v>
      </c>
      <c r="L1968" s="2" t="s">
        <v>362</v>
      </c>
      <c r="M1968" s="2" t="s">
        <v>5947</v>
      </c>
      <c r="N1968" s="16">
        <v>1.6199999999999999E-2</v>
      </c>
      <c r="O1968" s="17">
        <f>N1968*'Financial Inputs'!$B$3</f>
        <v>1620000</v>
      </c>
      <c r="P1968" s="18">
        <f>IF(I1968="L",'Financial Inputs'!$B$4,IF(I1968="M",'Financial Inputs'!$B$5,'Financial Inputs'!$B$6))</f>
        <v>0.4</v>
      </c>
      <c r="Q1968" s="17">
        <f>O1968*P1968</f>
        <v>648000</v>
      </c>
      <c r="R1968" s="16">
        <f>'Financial Inputs'!$B$7</f>
        <v>0.35</v>
      </c>
      <c r="S1968" s="17">
        <f>Q1968*(1-R1968)</f>
        <v>421200</v>
      </c>
      <c r="T1968" s="18">
        <f>S1968/'Financial Inputs'!$B$3</f>
        <v>4.2119999999999996E-3</v>
      </c>
      <c r="U1968" s="9" t="s">
        <v>52</v>
      </c>
      <c r="V1968" s="3" t="s">
        <v>53</v>
      </c>
    </row>
    <row r="1969" spans="1:22">
      <c r="A1969" s="2" t="s">
        <v>6146</v>
      </c>
      <c r="B1969" s="2" t="s">
        <v>6147</v>
      </c>
      <c r="C1969" s="2" t="s">
        <v>5945</v>
      </c>
      <c r="D1969" s="2" t="s">
        <v>72</v>
      </c>
      <c r="E1969" s="2" t="s">
        <v>128</v>
      </c>
      <c r="F1969" s="2" t="s">
        <v>110</v>
      </c>
      <c r="G1969" s="2" t="s">
        <v>143</v>
      </c>
      <c r="H1969" s="2" t="s">
        <v>2318</v>
      </c>
      <c r="I1969" s="2" t="s">
        <v>47</v>
      </c>
      <c r="J1969" s="2" t="s">
        <v>500</v>
      </c>
      <c r="K1969" s="2" t="s">
        <v>6148</v>
      </c>
      <c r="L1969" s="2" t="s">
        <v>366</v>
      </c>
      <c r="M1969" s="2" t="s">
        <v>5947</v>
      </c>
      <c r="N1969" s="16">
        <v>1.7999999999999999E-2</v>
      </c>
      <c r="O1969" s="17">
        <f>N1969*'Financial Inputs'!$B$3</f>
        <v>1799999.9999999998</v>
      </c>
      <c r="P1969" s="18">
        <f>IF(I1969="L",'Financial Inputs'!$B$4,IF(I1969="M",'Financial Inputs'!$B$5,'Financial Inputs'!$B$6))</f>
        <v>0.4</v>
      </c>
      <c r="Q1969" s="17">
        <f>O1969*P1969</f>
        <v>720000</v>
      </c>
      <c r="R1969" s="16">
        <f>'Financial Inputs'!$B$7</f>
        <v>0.35</v>
      </c>
      <c r="S1969" s="17">
        <f>Q1969*(1-R1969)</f>
        <v>468000</v>
      </c>
      <c r="T1969" s="18">
        <f>S1969/'Financial Inputs'!$B$3</f>
        <v>4.6800000000000001E-3</v>
      </c>
      <c r="U1969" s="9" t="s">
        <v>52</v>
      </c>
      <c r="V1969" s="3" t="s">
        <v>53</v>
      </c>
    </row>
    <row r="1970" spans="1:22">
      <c r="A1970" s="2" t="s">
        <v>6149</v>
      </c>
      <c r="B1970" s="2" t="s">
        <v>6150</v>
      </c>
      <c r="C1970" s="2" t="s">
        <v>5945</v>
      </c>
      <c r="D1970" s="2" t="s">
        <v>80</v>
      </c>
      <c r="E1970" s="2" t="s">
        <v>43</v>
      </c>
      <c r="F1970" s="2" t="s">
        <v>117</v>
      </c>
      <c r="G1970" s="2" t="s">
        <v>162</v>
      </c>
      <c r="H1970" s="2" t="s">
        <v>2318</v>
      </c>
      <c r="I1970" s="2" t="s">
        <v>47</v>
      </c>
      <c r="J1970" s="2" t="s">
        <v>500</v>
      </c>
      <c r="K1970" s="2" t="s">
        <v>6151</v>
      </c>
      <c r="L1970" s="2" t="s">
        <v>370</v>
      </c>
      <c r="M1970" s="2" t="s">
        <v>5947</v>
      </c>
      <c r="N1970" s="16">
        <v>1.9800000000000002E-2</v>
      </c>
      <c r="O1970" s="17">
        <f>N1970*'Financial Inputs'!$B$3</f>
        <v>1980000.0000000002</v>
      </c>
      <c r="P1970" s="18">
        <f>IF(I1970="L",'Financial Inputs'!$B$4,IF(I1970="M",'Financial Inputs'!$B$5,'Financial Inputs'!$B$6))</f>
        <v>0.4</v>
      </c>
      <c r="Q1970" s="17">
        <f>O1970*P1970</f>
        <v>792000.00000000012</v>
      </c>
      <c r="R1970" s="16">
        <f>'Financial Inputs'!$B$7</f>
        <v>0.35</v>
      </c>
      <c r="S1970" s="17">
        <f>Q1970*(1-R1970)</f>
        <v>514800.00000000012</v>
      </c>
      <c r="T1970" s="18">
        <f>S1970/'Financial Inputs'!$B$3</f>
        <v>5.1480000000000015E-3</v>
      </c>
      <c r="U1970" s="9" t="s">
        <v>52</v>
      </c>
      <c r="V1970" s="3" t="s">
        <v>53</v>
      </c>
    </row>
    <row r="1971" spans="1:22">
      <c r="A1971" s="2" t="s">
        <v>6152</v>
      </c>
      <c r="B1971" s="2" t="s">
        <v>6153</v>
      </c>
      <c r="C1971" s="2" t="s">
        <v>5945</v>
      </c>
      <c r="D1971" s="2" t="s">
        <v>127</v>
      </c>
      <c r="E1971" s="2" t="s">
        <v>57</v>
      </c>
      <c r="F1971" s="2" t="s">
        <v>90</v>
      </c>
      <c r="G1971" s="2" t="s">
        <v>45</v>
      </c>
      <c r="H1971" s="2" t="s">
        <v>2318</v>
      </c>
      <c r="I1971" s="2" t="s">
        <v>47</v>
      </c>
      <c r="J1971" s="2" t="s">
        <v>500</v>
      </c>
      <c r="K1971" s="2" t="s">
        <v>6154</v>
      </c>
      <c r="L1971" s="2" t="s">
        <v>374</v>
      </c>
      <c r="M1971" s="2" t="s">
        <v>5947</v>
      </c>
      <c r="N1971" s="16">
        <v>2.1600000000000001E-2</v>
      </c>
      <c r="O1971" s="17">
        <f>N1971*'Financial Inputs'!$B$3</f>
        <v>2160000</v>
      </c>
      <c r="P1971" s="18">
        <f>IF(I1971="L",'Financial Inputs'!$B$4,IF(I1971="M",'Financial Inputs'!$B$5,'Financial Inputs'!$B$6))</f>
        <v>0.4</v>
      </c>
      <c r="Q1971" s="17">
        <f>O1971*P1971</f>
        <v>864000</v>
      </c>
      <c r="R1971" s="16">
        <f>'Financial Inputs'!$B$7</f>
        <v>0.35</v>
      </c>
      <c r="S1971" s="17">
        <f>Q1971*(1-R1971)</f>
        <v>561600</v>
      </c>
      <c r="T1971" s="18">
        <f>S1971/'Financial Inputs'!$B$3</f>
        <v>5.6160000000000003E-3</v>
      </c>
      <c r="U1971" s="9" t="s">
        <v>52</v>
      </c>
      <c r="V1971" s="3" t="s">
        <v>53</v>
      </c>
    </row>
    <row r="1972" spans="1:22">
      <c r="A1972" s="2" t="s">
        <v>6155</v>
      </c>
      <c r="B1972" s="2" t="s">
        <v>6156</v>
      </c>
      <c r="C1972" s="2" t="s">
        <v>5945</v>
      </c>
      <c r="D1972" s="2" t="s">
        <v>95</v>
      </c>
      <c r="E1972" s="2" t="s">
        <v>198</v>
      </c>
      <c r="F1972" s="2" t="s">
        <v>66</v>
      </c>
      <c r="G1972" s="2" t="s">
        <v>143</v>
      </c>
      <c r="H1972" s="2" t="s">
        <v>2318</v>
      </c>
      <c r="I1972" s="2" t="s">
        <v>47</v>
      </c>
      <c r="J1972" s="2" t="s">
        <v>500</v>
      </c>
      <c r="K1972" s="2" t="s">
        <v>6157</v>
      </c>
      <c r="L1972" s="2" t="s">
        <v>378</v>
      </c>
      <c r="M1972" s="2" t="s">
        <v>5947</v>
      </c>
      <c r="N1972" s="16">
        <v>1.44E-2</v>
      </c>
      <c r="O1972" s="17">
        <f>N1972*'Financial Inputs'!$B$3</f>
        <v>1440000</v>
      </c>
      <c r="P1972" s="18">
        <f>IF(I1972="L",'Financial Inputs'!$B$4,IF(I1972="M",'Financial Inputs'!$B$5,'Financial Inputs'!$B$6))</f>
        <v>0.4</v>
      </c>
      <c r="Q1972" s="17">
        <f>O1972*P1972</f>
        <v>576000</v>
      </c>
      <c r="R1972" s="16">
        <f>'Financial Inputs'!$B$7</f>
        <v>0.35</v>
      </c>
      <c r="S1972" s="17">
        <f>Q1972*(1-R1972)</f>
        <v>374400</v>
      </c>
      <c r="T1972" s="18">
        <f>S1972/'Financial Inputs'!$B$3</f>
        <v>3.7439999999999999E-3</v>
      </c>
      <c r="U1972" s="9" t="s">
        <v>52</v>
      </c>
      <c r="V1972" s="3" t="s">
        <v>53</v>
      </c>
    </row>
    <row r="1973" spans="1:22">
      <c r="A1973" s="2" t="s">
        <v>6158</v>
      </c>
      <c r="B1973" s="2" t="s">
        <v>6159</v>
      </c>
      <c r="C1973" s="2" t="s">
        <v>5945</v>
      </c>
      <c r="D1973" s="2" t="s">
        <v>102</v>
      </c>
      <c r="E1973" s="2" t="s">
        <v>148</v>
      </c>
      <c r="F1973" s="2" t="s">
        <v>74</v>
      </c>
      <c r="G1973" s="2" t="s">
        <v>162</v>
      </c>
      <c r="H1973" s="2" t="s">
        <v>2318</v>
      </c>
      <c r="I1973" s="2" t="s">
        <v>47</v>
      </c>
      <c r="J1973" s="2" t="s">
        <v>500</v>
      </c>
      <c r="K1973" s="2" t="s">
        <v>6160</v>
      </c>
      <c r="L1973" s="2" t="s">
        <v>382</v>
      </c>
      <c r="M1973" s="2" t="s">
        <v>5947</v>
      </c>
      <c r="N1973" s="16">
        <v>1.6199999999999999E-2</v>
      </c>
      <c r="O1973" s="17">
        <f>N1973*'Financial Inputs'!$B$3</f>
        <v>1620000</v>
      </c>
      <c r="P1973" s="18">
        <f>IF(I1973="L",'Financial Inputs'!$B$4,IF(I1973="M",'Financial Inputs'!$B$5,'Financial Inputs'!$B$6))</f>
        <v>0.4</v>
      </c>
      <c r="Q1973" s="17">
        <f>O1973*P1973</f>
        <v>648000</v>
      </c>
      <c r="R1973" s="16">
        <f>'Financial Inputs'!$B$7</f>
        <v>0.35</v>
      </c>
      <c r="S1973" s="17">
        <f>Q1973*(1-R1973)</f>
        <v>421200</v>
      </c>
      <c r="T1973" s="18">
        <f>S1973/'Financial Inputs'!$B$3</f>
        <v>4.2119999999999996E-3</v>
      </c>
      <c r="U1973" s="9" t="s">
        <v>52</v>
      </c>
      <c r="V1973" s="3" t="s">
        <v>53</v>
      </c>
    </row>
    <row r="1974" spans="1:22">
      <c r="A1974" s="2" t="s">
        <v>6161</v>
      </c>
      <c r="B1974" s="2" t="s">
        <v>6162</v>
      </c>
      <c r="C1974" s="2" t="s">
        <v>5945</v>
      </c>
      <c r="D1974" s="2" t="s">
        <v>42</v>
      </c>
      <c r="E1974" s="2" t="s">
        <v>153</v>
      </c>
      <c r="F1974" s="2" t="s">
        <v>82</v>
      </c>
      <c r="G1974" s="2" t="s">
        <v>45</v>
      </c>
      <c r="H1974" s="2" t="s">
        <v>2318</v>
      </c>
      <c r="I1974" s="2" t="s">
        <v>47</v>
      </c>
      <c r="J1974" s="2" t="s">
        <v>500</v>
      </c>
      <c r="K1974" s="2" t="s">
        <v>6163</v>
      </c>
      <c r="L1974" s="2" t="s">
        <v>386</v>
      </c>
      <c r="M1974" s="2" t="s">
        <v>5947</v>
      </c>
      <c r="N1974" s="16">
        <v>1.7999999999999999E-2</v>
      </c>
      <c r="O1974" s="17">
        <f>N1974*'Financial Inputs'!$B$3</f>
        <v>1799999.9999999998</v>
      </c>
      <c r="P1974" s="18">
        <f>IF(I1974="L",'Financial Inputs'!$B$4,IF(I1974="M",'Financial Inputs'!$B$5,'Financial Inputs'!$B$6))</f>
        <v>0.4</v>
      </c>
      <c r="Q1974" s="17">
        <f>O1974*P1974</f>
        <v>720000</v>
      </c>
      <c r="R1974" s="16">
        <f>'Financial Inputs'!$B$7</f>
        <v>0.35</v>
      </c>
      <c r="S1974" s="17">
        <f>Q1974*(1-R1974)</f>
        <v>468000</v>
      </c>
      <c r="T1974" s="18">
        <f>S1974/'Financial Inputs'!$B$3</f>
        <v>4.6800000000000001E-3</v>
      </c>
      <c r="U1974" s="9" t="s">
        <v>52</v>
      </c>
      <c r="V1974" s="3" t="s">
        <v>53</v>
      </c>
    </row>
    <row r="1975" spans="1:22">
      <c r="A1975" s="2" t="s">
        <v>6164</v>
      </c>
      <c r="B1975" s="2" t="s">
        <v>6165</v>
      </c>
      <c r="C1975" s="2" t="s">
        <v>5945</v>
      </c>
      <c r="D1975" s="2" t="s">
        <v>56</v>
      </c>
      <c r="E1975" s="2" t="s">
        <v>89</v>
      </c>
      <c r="F1975" s="2" t="s">
        <v>44</v>
      </c>
      <c r="G1975" s="2" t="s">
        <v>59</v>
      </c>
      <c r="H1975" s="2" t="s">
        <v>2318</v>
      </c>
      <c r="I1975" s="2" t="s">
        <v>47</v>
      </c>
      <c r="J1975" s="2" t="s">
        <v>500</v>
      </c>
      <c r="K1975" s="2" t="s">
        <v>6166</v>
      </c>
      <c r="L1975" s="2" t="s">
        <v>390</v>
      </c>
      <c r="M1975" s="2" t="s">
        <v>5947</v>
      </c>
      <c r="N1975" s="16">
        <v>1.9800000000000002E-2</v>
      </c>
      <c r="O1975" s="17">
        <f>N1975*'Financial Inputs'!$B$3</f>
        <v>1980000.0000000002</v>
      </c>
      <c r="P1975" s="18">
        <f>IF(I1975="L",'Financial Inputs'!$B$4,IF(I1975="M",'Financial Inputs'!$B$5,'Financial Inputs'!$B$6))</f>
        <v>0.4</v>
      </c>
      <c r="Q1975" s="17">
        <f>O1975*P1975</f>
        <v>792000.00000000012</v>
      </c>
      <c r="R1975" s="16">
        <f>'Financial Inputs'!$B$7</f>
        <v>0.35</v>
      </c>
      <c r="S1975" s="17">
        <f>Q1975*(1-R1975)</f>
        <v>514800.00000000012</v>
      </c>
      <c r="T1975" s="18">
        <f>S1975/'Financial Inputs'!$B$3</f>
        <v>5.1480000000000015E-3</v>
      </c>
      <c r="U1975" s="9" t="s">
        <v>52</v>
      </c>
      <c r="V1975" s="3" t="s">
        <v>53</v>
      </c>
    </row>
    <row r="1976" spans="1:22">
      <c r="A1976" s="2" t="s">
        <v>6167</v>
      </c>
      <c r="B1976" s="2" t="s">
        <v>6168</v>
      </c>
      <c r="C1976" s="2" t="s">
        <v>5945</v>
      </c>
      <c r="D1976" s="2" t="s">
        <v>64</v>
      </c>
      <c r="E1976" s="2" t="s">
        <v>96</v>
      </c>
      <c r="F1976" s="2" t="s">
        <v>58</v>
      </c>
      <c r="G1976" s="2" t="s">
        <v>67</v>
      </c>
      <c r="H1976" s="2" t="s">
        <v>2318</v>
      </c>
      <c r="I1976" s="2" t="s">
        <v>47</v>
      </c>
      <c r="J1976" s="2" t="s">
        <v>500</v>
      </c>
      <c r="K1976" s="2" t="s">
        <v>6169</v>
      </c>
      <c r="L1976" s="2" t="s">
        <v>394</v>
      </c>
      <c r="M1976" s="2" t="s">
        <v>5947</v>
      </c>
      <c r="N1976" s="16">
        <v>2.1600000000000001E-2</v>
      </c>
      <c r="O1976" s="17">
        <f>N1976*'Financial Inputs'!$B$3</f>
        <v>2160000</v>
      </c>
      <c r="P1976" s="18">
        <f>IF(I1976="L",'Financial Inputs'!$B$4,IF(I1976="M",'Financial Inputs'!$B$5,'Financial Inputs'!$B$6))</f>
        <v>0.4</v>
      </c>
      <c r="Q1976" s="17">
        <f>O1976*P1976</f>
        <v>864000</v>
      </c>
      <c r="R1976" s="16">
        <f>'Financial Inputs'!$B$7</f>
        <v>0.35</v>
      </c>
      <c r="S1976" s="17">
        <f>Q1976*(1-R1976)</f>
        <v>561600</v>
      </c>
      <c r="T1976" s="18">
        <f>S1976/'Financial Inputs'!$B$3</f>
        <v>5.6160000000000003E-3</v>
      </c>
      <c r="U1976" s="9" t="s">
        <v>52</v>
      </c>
      <c r="V1976" s="3" t="s">
        <v>53</v>
      </c>
    </row>
    <row r="1977" spans="1:22">
      <c r="A1977" s="2" t="s">
        <v>6170</v>
      </c>
      <c r="B1977" s="2" t="s">
        <v>6171</v>
      </c>
      <c r="C1977" s="2" t="s">
        <v>5945</v>
      </c>
      <c r="D1977" s="2" t="s">
        <v>127</v>
      </c>
      <c r="E1977" s="2" t="s">
        <v>220</v>
      </c>
      <c r="F1977" s="2" t="s">
        <v>104</v>
      </c>
      <c r="G1977" s="2" t="s">
        <v>45</v>
      </c>
      <c r="H1977" s="2" t="s">
        <v>2318</v>
      </c>
      <c r="I1977" s="2" t="s">
        <v>47</v>
      </c>
      <c r="J1977" s="2" t="s">
        <v>500</v>
      </c>
      <c r="K1977" s="2" t="s">
        <v>6172</v>
      </c>
      <c r="L1977" s="2" t="s">
        <v>398</v>
      </c>
      <c r="M1977" s="2" t="s">
        <v>5947</v>
      </c>
      <c r="N1977" s="16">
        <v>1.44E-2</v>
      </c>
      <c r="O1977" s="17">
        <f>N1977*'Financial Inputs'!$B$3</f>
        <v>1440000</v>
      </c>
      <c r="P1977" s="18">
        <f>IF(I1977="L",'Financial Inputs'!$B$4,IF(I1977="M",'Financial Inputs'!$B$5,'Financial Inputs'!$B$6))</f>
        <v>0.4</v>
      </c>
      <c r="Q1977" s="17">
        <f>O1977*P1977</f>
        <v>576000</v>
      </c>
      <c r="R1977" s="16">
        <f>'Financial Inputs'!$B$7</f>
        <v>0.35</v>
      </c>
      <c r="S1977" s="17">
        <f>Q1977*(1-R1977)</f>
        <v>374400</v>
      </c>
      <c r="T1977" s="18">
        <f>S1977/'Financial Inputs'!$B$3</f>
        <v>3.7439999999999999E-3</v>
      </c>
      <c r="U1977" s="9" t="s">
        <v>52</v>
      </c>
      <c r="V1977" s="3" t="s">
        <v>53</v>
      </c>
    </row>
    <row r="1978" spans="1:22">
      <c r="A1978" s="2" t="s">
        <v>6173</v>
      </c>
      <c r="B1978" s="2" t="s">
        <v>6174</v>
      </c>
      <c r="C1978" s="2" t="s">
        <v>5945</v>
      </c>
      <c r="D1978" s="2" t="s">
        <v>133</v>
      </c>
      <c r="E1978" s="2" t="s">
        <v>171</v>
      </c>
      <c r="F1978" s="2" t="s">
        <v>110</v>
      </c>
      <c r="G1978" s="2" t="s">
        <v>59</v>
      </c>
      <c r="H1978" s="2" t="s">
        <v>2318</v>
      </c>
      <c r="I1978" s="2" t="s">
        <v>47</v>
      </c>
      <c r="J1978" s="2" t="s">
        <v>500</v>
      </c>
      <c r="K1978" s="2" t="s">
        <v>6175</v>
      </c>
      <c r="L1978" s="2" t="s">
        <v>402</v>
      </c>
      <c r="M1978" s="2" t="s">
        <v>5947</v>
      </c>
      <c r="N1978" s="16">
        <v>1.6199999999999999E-2</v>
      </c>
      <c r="O1978" s="17">
        <f>N1978*'Financial Inputs'!$B$3</f>
        <v>1620000</v>
      </c>
      <c r="P1978" s="18">
        <f>IF(I1978="L",'Financial Inputs'!$B$4,IF(I1978="M",'Financial Inputs'!$B$5,'Financial Inputs'!$B$6))</f>
        <v>0.4</v>
      </c>
      <c r="Q1978" s="17">
        <f>O1978*P1978</f>
        <v>648000</v>
      </c>
      <c r="R1978" s="16">
        <f>'Financial Inputs'!$B$7</f>
        <v>0.35</v>
      </c>
      <c r="S1978" s="17">
        <f>Q1978*(1-R1978)</f>
        <v>421200</v>
      </c>
      <c r="T1978" s="18">
        <f>S1978/'Financial Inputs'!$B$3</f>
        <v>4.2119999999999996E-3</v>
      </c>
      <c r="U1978" s="9" t="s">
        <v>52</v>
      </c>
      <c r="V1978" s="3" t="s">
        <v>53</v>
      </c>
    </row>
    <row r="1979" spans="1:22">
      <c r="A1979" s="2" t="s">
        <v>6176</v>
      </c>
      <c r="B1979" s="2" t="s">
        <v>6177</v>
      </c>
      <c r="C1979" s="2" t="s">
        <v>5945</v>
      </c>
      <c r="D1979" s="2" t="s">
        <v>88</v>
      </c>
      <c r="E1979" s="2" t="s">
        <v>176</v>
      </c>
      <c r="F1979" s="2" t="s">
        <v>117</v>
      </c>
      <c r="G1979" s="2" t="s">
        <v>67</v>
      </c>
      <c r="H1979" s="2" t="s">
        <v>2318</v>
      </c>
      <c r="I1979" s="2" t="s">
        <v>47</v>
      </c>
      <c r="J1979" s="2" t="s">
        <v>500</v>
      </c>
      <c r="K1979" s="2" t="s">
        <v>6178</v>
      </c>
      <c r="L1979" s="2" t="s">
        <v>406</v>
      </c>
      <c r="M1979" s="2" t="s">
        <v>5947</v>
      </c>
      <c r="N1979" s="16">
        <v>1.7999999999999999E-2</v>
      </c>
      <c r="O1979" s="17">
        <f>N1979*'Financial Inputs'!$B$3</f>
        <v>1799999.9999999998</v>
      </c>
      <c r="P1979" s="18">
        <f>IF(I1979="L",'Financial Inputs'!$B$4,IF(I1979="M",'Financial Inputs'!$B$5,'Financial Inputs'!$B$6))</f>
        <v>0.4</v>
      </c>
      <c r="Q1979" s="17">
        <f>O1979*P1979</f>
        <v>720000</v>
      </c>
      <c r="R1979" s="16">
        <f>'Financial Inputs'!$B$7</f>
        <v>0.35</v>
      </c>
      <c r="S1979" s="17">
        <f>Q1979*(1-R1979)</f>
        <v>468000</v>
      </c>
      <c r="T1979" s="18">
        <f>S1979/'Financial Inputs'!$B$3</f>
        <v>4.6800000000000001E-3</v>
      </c>
      <c r="U1979" s="9" t="s">
        <v>52</v>
      </c>
      <c r="V1979" s="3" t="s">
        <v>53</v>
      </c>
    </row>
    <row r="1980" spans="1:22">
      <c r="A1980" s="2" t="s">
        <v>6179</v>
      </c>
      <c r="B1980" s="2" t="s">
        <v>6180</v>
      </c>
      <c r="C1980" s="2" t="s">
        <v>5945</v>
      </c>
      <c r="D1980" s="2" t="s">
        <v>95</v>
      </c>
      <c r="E1980" s="2" t="s">
        <v>122</v>
      </c>
      <c r="F1980" s="2" t="s">
        <v>90</v>
      </c>
      <c r="G1980" s="2" t="s">
        <v>75</v>
      </c>
      <c r="H1980" s="2" t="s">
        <v>2318</v>
      </c>
      <c r="I1980" s="2" t="s">
        <v>47</v>
      </c>
      <c r="J1980" s="2" t="s">
        <v>500</v>
      </c>
      <c r="K1980" s="2" t="s">
        <v>6181</v>
      </c>
      <c r="L1980" s="2" t="s">
        <v>410</v>
      </c>
      <c r="M1980" s="2" t="s">
        <v>5947</v>
      </c>
      <c r="N1980" s="16">
        <v>1.9800000000000002E-2</v>
      </c>
      <c r="O1980" s="17">
        <f>N1980*'Financial Inputs'!$B$3</f>
        <v>1980000.0000000002</v>
      </c>
      <c r="P1980" s="18">
        <f>IF(I1980="L",'Financial Inputs'!$B$4,IF(I1980="M",'Financial Inputs'!$B$5,'Financial Inputs'!$B$6))</f>
        <v>0.4</v>
      </c>
      <c r="Q1980" s="17">
        <f>O1980*P1980</f>
        <v>792000.00000000012</v>
      </c>
      <c r="R1980" s="16">
        <f>'Financial Inputs'!$B$7</f>
        <v>0.35</v>
      </c>
      <c r="S1980" s="17">
        <f>Q1980*(1-R1980)</f>
        <v>514800.00000000012</v>
      </c>
      <c r="T1980" s="18">
        <f>S1980/'Financial Inputs'!$B$3</f>
        <v>5.1480000000000015E-3</v>
      </c>
      <c r="U1980" s="9" t="s">
        <v>52</v>
      </c>
      <c r="V1980" s="3" t="s">
        <v>53</v>
      </c>
    </row>
    <row r="1981" spans="1:22">
      <c r="A1981" s="2" t="s">
        <v>6182</v>
      </c>
      <c r="B1981" s="2" t="s">
        <v>6183</v>
      </c>
      <c r="C1981" s="2" t="s">
        <v>5945</v>
      </c>
      <c r="D1981" s="2" t="s">
        <v>102</v>
      </c>
      <c r="E1981" s="2" t="s">
        <v>128</v>
      </c>
      <c r="F1981" s="2" t="s">
        <v>97</v>
      </c>
      <c r="G1981" s="2" t="s">
        <v>83</v>
      </c>
      <c r="H1981" s="2" t="s">
        <v>2318</v>
      </c>
      <c r="I1981" s="2" t="s">
        <v>47</v>
      </c>
      <c r="J1981" s="2" t="s">
        <v>500</v>
      </c>
      <c r="K1981" s="2" t="s">
        <v>6184</v>
      </c>
      <c r="L1981" s="2" t="s">
        <v>414</v>
      </c>
      <c r="M1981" s="2" t="s">
        <v>5947</v>
      </c>
      <c r="N1981" s="16">
        <v>2.1600000000000001E-2</v>
      </c>
      <c r="O1981" s="17">
        <f>N1981*'Financial Inputs'!$B$3</f>
        <v>2160000</v>
      </c>
      <c r="P1981" s="18">
        <f>IF(I1981="L",'Financial Inputs'!$B$4,IF(I1981="M",'Financial Inputs'!$B$5,'Financial Inputs'!$B$6))</f>
        <v>0.4</v>
      </c>
      <c r="Q1981" s="17">
        <f>O1981*P1981</f>
        <v>864000</v>
      </c>
      <c r="R1981" s="16">
        <f>'Financial Inputs'!$B$7</f>
        <v>0.35</v>
      </c>
      <c r="S1981" s="17">
        <f>Q1981*(1-R1981)</f>
        <v>561600</v>
      </c>
      <c r="T1981" s="18">
        <f>S1981/'Financial Inputs'!$B$3</f>
        <v>5.6160000000000003E-3</v>
      </c>
      <c r="U1981" s="9" t="s">
        <v>52</v>
      </c>
      <c r="V1981" s="3" t="s">
        <v>53</v>
      </c>
    </row>
    <row r="1982" spans="1:22">
      <c r="A1982" s="2" t="s">
        <v>6185</v>
      </c>
      <c r="B1982" s="2" t="s">
        <v>6186</v>
      </c>
      <c r="C1982" s="2" t="s">
        <v>5945</v>
      </c>
      <c r="D1982" s="2" t="s">
        <v>64</v>
      </c>
      <c r="E1982" s="2" t="s">
        <v>81</v>
      </c>
      <c r="F1982" s="2" t="s">
        <v>74</v>
      </c>
      <c r="G1982" s="2" t="s">
        <v>67</v>
      </c>
      <c r="H1982" s="2" t="s">
        <v>2318</v>
      </c>
      <c r="I1982" s="2" t="s">
        <v>47</v>
      </c>
      <c r="J1982" s="2" t="s">
        <v>500</v>
      </c>
      <c r="K1982" s="2" t="s">
        <v>6187</v>
      </c>
      <c r="L1982" s="2" t="s">
        <v>418</v>
      </c>
      <c r="M1982" s="2" t="s">
        <v>5947</v>
      </c>
      <c r="N1982" s="16">
        <v>1.44E-2</v>
      </c>
      <c r="O1982" s="17">
        <f>N1982*'Financial Inputs'!$B$3</f>
        <v>1440000</v>
      </c>
      <c r="P1982" s="18">
        <f>IF(I1982="L",'Financial Inputs'!$B$4,IF(I1982="M",'Financial Inputs'!$B$5,'Financial Inputs'!$B$6))</f>
        <v>0.4</v>
      </c>
      <c r="Q1982" s="17">
        <f>O1982*P1982</f>
        <v>576000</v>
      </c>
      <c r="R1982" s="16">
        <f>'Financial Inputs'!$B$7</f>
        <v>0.35</v>
      </c>
      <c r="S1982" s="17">
        <f>Q1982*(1-R1982)</f>
        <v>374400</v>
      </c>
      <c r="T1982" s="18">
        <f>S1982/'Financial Inputs'!$B$3</f>
        <v>3.7439999999999999E-3</v>
      </c>
      <c r="U1982" s="9" t="s">
        <v>52</v>
      </c>
      <c r="V1982" s="3" t="s">
        <v>53</v>
      </c>
    </row>
    <row r="1983" spans="1:22">
      <c r="A1983" s="2" t="s">
        <v>6188</v>
      </c>
      <c r="B1983" s="2" t="s">
        <v>6189</v>
      </c>
      <c r="C1983" s="2" t="s">
        <v>5945</v>
      </c>
      <c r="D1983" s="2" t="s">
        <v>72</v>
      </c>
      <c r="E1983" s="2" t="s">
        <v>193</v>
      </c>
      <c r="F1983" s="2" t="s">
        <v>82</v>
      </c>
      <c r="G1983" s="2" t="s">
        <v>75</v>
      </c>
      <c r="H1983" s="2" t="s">
        <v>2318</v>
      </c>
      <c r="I1983" s="2" t="s">
        <v>47</v>
      </c>
      <c r="J1983" s="2" t="s">
        <v>500</v>
      </c>
      <c r="K1983" s="2" t="s">
        <v>6190</v>
      </c>
      <c r="L1983" s="2" t="s">
        <v>422</v>
      </c>
      <c r="M1983" s="2" t="s">
        <v>5947</v>
      </c>
      <c r="N1983" s="16">
        <v>1.6199999999999999E-2</v>
      </c>
      <c r="O1983" s="17">
        <f>N1983*'Financial Inputs'!$B$3</f>
        <v>1620000</v>
      </c>
      <c r="P1983" s="18">
        <f>IF(I1983="L",'Financial Inputs'!$B$4,IF(I1983="M",'Financial Inputs'!$B$5,'Financial Inputs'!$B$6))</f>
        <v>0.4</v>
      </c>
      <c r="Q1983" s="17">
        <f>O1983*P1983</f>
        <v>648000</v>
      </c>
      <c r="R1983" s="16">
        <f>'Financial Inputs'!$B$7</f>
        <v>0.35</v>
      </c>
      <c r="S1983" s="17">
        <f>Q1983*(1-R1983)</f>
        <v>421200</v>
      </c>
      <c r="T1983" s="18">
        <f>S1983/'Financial Inputs'!$B$3</f>
        <v>4.2119999999999996E-3</v>
      </c>
      <c r="U1983" s="9" t="s">
        <v>52</v>
      </c>
      <c r="V1983" s="3" t="s">
        <v>53</v>
      </c>
    </row>
    <row r="1984" spans="1:22">
      <c r="A1984" s="2" t="s">
        <v>6191</v>
      </c>
      <c r="B1984" s="2" t="s">
        <v>6192</v>
      </c>
      <c r="C1984" s="2" t="s">
        <v>5945</v>
      </c>
      <c r="D1984" s="2" t="s">
        <v>80</v>
      </c>
      <c r="E1984" s="2" t="s">
        <v>198</v>
      </c>
      <c r="F1984" s="2" t="s">
        <v>44</v>
      </c>
      <c r="G1984" s="2" t="s">
        <v>83</v>
      </c>
      <c r="H1984" s="2" t="s">
        <v>2318</v>
      </c>
      <c r="I1984" s="2" t="s">
        <v>47</v>
      </c>
      <c r="J1984" s="2" t="s">
        <v>500</v>
      </c>
      <c r="K1984" s="2" t="s">
        <v>6193</v>
      </c>
      <c r="L1984" s="2" t="s">
        <v>426</v>
      </c>
      <c r="M1984" s="2" t="s">
        <v>5947</v>
      </c>
      <c r="N1984" s="16">
        <v>1.7999999999999999E-2</v>
      </c>
      <c r="O1984" s="17">
        <f>N1984*'Financial Inputs'!$B$3</f>
        <v>1799999.9999999998</v>
      </c>
      <c r="P1984" s="18">
        <f>IF(I1984="L",'Financial Inputs'!$B$4,IF(I1984="M",'Financial Inputs'!$B$5,'Financial Inputs'!$B$6))</f>
        <v>0.4</v>
      </c>
      <c r="Q1984" s="17">
        <f>O1984*P1984</f>
        <v>720000</v>
      </c>
      <c r="R1984" s="16">
        <f>'Financial Inputs'!$B$7</f>
        <v>0.35</v>
      </c>
      <c r="S1984" s="17">
        <f>Q1984*(1-R1984)</f>
        <v>468000</v>
      </c>
      <c r="T1984" s="18">
        <f>S1984/'Financial Inputs'!$B$3</f>
        <v>4.6800000000000001E-3</v>
      </c>
      <c r="U1984" s="9" t="s">
        <v>52</v>
      </c>
      <c r="V1984" s="3" t="s">
        <v>53</v>
      </c>
    </row>
    <row r="1985" spans="1:22">
      <c r="A1985" s="2" t="s">
        <v>6194</v>
      </c>
      <c r="B1985" s="2" t="s">
        <v>6195</v>
      </c>
      <c r="C1985" s="2" t="s">
        <v>5945</v>
      </c>
      <c r="D1985" s="2" t="s">
        <v>127</v>
      </c>
      <c r="E1985" s="2" t="s">
        <v>148</v>
      </c>
      <c r="F1985" s="2" t="s">
        <v>58</v>
      </c>
      <c r="G1985" s="2" t="s">
        <v>111</v>
      </c>
      <c r="H1985" s="2" t="s">
        <v>2318</v>
      </c>
      <c r="I1985" s="2" t="s">
        <v>47</v>
      </c>
      <c r="J1985" s="2" t="s">
        <v>500</v>
      </c>
      <c r="K1985" s="2" t="s">
        <v>6196</v>
      </c>
      <c r="L1985" s="2" t="s">
        <v>430</v>
      </c>
      <c r="M1985" s="2" t="s">
        <v>5947</v>
      </c>
      <c r="N1985" s="16">
        <v>1.9800000000000002E-2</v>
      </c>
      <c r="O1985" s="17">
        <f>N1985*'Financial Inputs'!$B$3</f>
        <v>1980000.0000000002</v>
      </c>
      <c r="P1985" s="18">
        <f>IF(I1985="L",'Financial Inputs'!$B$4,IF(I1985="M",'Financial Inputs'!$B$5,'Financial Inputs'!$B$6))</f>
        <v>0.4</v>
      </c>
      <c r="Q1985" s="17">
        <f>O1985*P1985</f>
        <v>792000.00000000012</v>
      </c>
      <c r="R1985" s="16">
        <f>'Financial Inputs'!$B$7</f>
        <v>0.35</v>
      </c>
      <c r="S1985" s="17">
        <f>Q1985*(1-R1985)</f>
        <v>514800.00000000012</v>
      </c>
      <c r="T1985" s="18">
        <f>S1985/'Financial Inputs'!$B$3</f>
        <v>5.1480000000000015E-3</v>
      </c>
      <c r="U1985" s="9" t="s">
        <v>52</v>
      </c>
      <c r="V1985" s="3" t="s">
        <v>53</v>
      </c>
    </row>
    <row r="1986" spans="1:22">
      <c r="A1986" s="2" t="s">
        <v>6197</v>
      </c>
      <c r="B1986" s="2" t="s">
        <v>6198</v>
      </c>
      <c r="C1986" s="2" t="s">
        <v>5945</v>
      </c>
      <c r="D1986" s="2" t="s">
        <v>133</v>
      </c>
      <c r="E1986" s="2" t="s">
        <v>153</v>
      </c>
      <c r="F1986" s="2" t="s">
        <v>66</v>
      </c>
      <c r="G1986" s="2" t="s">
        <v>56</v>
      </c>
      <c r="H1986" s="2" t="s">
        <v>2318</v>
      </c>
      <c r="I1986" s="2" t="s">
        <v>47</v>
      </c>
      <c r="J1986" s="2" t="s">
        <v>500</v>
      </c>
      <c r="K1986" s="2" t="s">
        <v>6199</v>
      </c>
      <c r="L1986" s="2" t="s">
        <v>434</v>
      </c>
      <c r="M1986" s="2" t="s">
        <v>5947</v>
      </c>
      <c r="N1986" s="16">
        <v>2.1600000000000001E-2</v>
      </c>
      <c r="O1986" s="17">
        <f>N1986*'Financial Inputs'!$B$3</f>
        <v>2160000</v>
      </c>
      <c r="P1986" s="18">
        <f>IF(I1986="L",'Financial Inputs'!$B$4,IF(I1986="M",'Financial Inputs'!$B$5,'Financial Inputs'!$B$6))</f>
        <v>0.4</v>
      </c>
      <c r="Q1986" s="17">
        <f>O1986*P1986</f>
        <v>864000</v>
      </c>
      <c r="R1986" s="16">
        <f>'Financial Inputs'!$B$7</f>
        <v>0.35</v>
      </c>
      <c r="S1986" s="17">
        <f>Q1986*(1-R1986)</f>
        <v>561600</v>
      </c>
      <c r="T1986" s="18">
        <f>S1986/'Financial Inputs'!$B$3</f>
        <v>5.6160000000000003E-3</v>
      </c>
      <c r="U1986" s="9" t="s">
        <v>52</v>
      </c>
      <c r="V1986" s="3" t="s">
        <v>53</v>
      </c>
    </row>
    <row r="1987" spans="1:22">
      <c r="A1987" s="2" t="s">
        <v>6200</v>
      </c>
      <c r="B1987" s="2" t="s">
        <v>6201</v>
      </c>
      <c r="C1987" s="2" t="s">
        <v>5945</v>
      </c>
      <c r="D1987" s="2" t="s">
        <v>102</v>
      </c>
      <c r="E1987" s="2" t="s">
        <v>116</v>
      </c>
      <c r="F1987" s="2" t="s">
        <v>110</v>
      </c>
      <c r="G1987" s="2" t="s">
        <v>83</v>
      </c>
      <c r="H1987" s="2" t="s">
        <v>2318</v>
      </c>
      <c r="I1987" s="2" t="s">
        <v>47</v>
      </c>
      <c r="J1987" s="2" t="s">
        <v>500</v>
      </c>
      <c r="K1987" s="2" t="s">
        <v>6202</v>
      </c>
      <c r="L1987" s="2" t="s">
        <v>438</v>
      </c>
      <c r="M1987" s="2" t="s">
        <v>5947</v>
      </c>
      <c r="N1987" s="16">
        <v>1.44E-2</v>
      </c>
      <c r="O1987" s="17">
        <f>N1987*'Financial Inputs'!$B$3</f>
        <v>1440000</v>
      </c>
      <c r="P1987" s="18">
        <f>IF(I1987="L",'Financial Inputs'!$B$4,IF(I1987="M",'Financial Inputs'!$B$5,'Financial Inputs'!$B$6))</f>
        <v>0.4</v>
      </c>
      <c r="Q1987" s="17">
        <f>O1987*P1987</f>
        <v>576000</v>
      </c>
      <c r="R1987" s="16">
        <f>'Financial Inputs'!$B$7</f>
        <v>0.35</v>
      </c>
      <c r="S1987" s="17">
        <f>Q1987*(1-R1987)</f>
        <v>374400</v>
      </c>
      <c r="T1987" s="18">
        <f>S1987/'Financial Inputs'!$B$3</f>
        <v>3.7439999999999999E-3</v>
      </c>
      <c r="U1987" s="9" t="s">
        <v>52</v>
      </c>
      <c r="V1987" s="3" t="s">
        <v>53</v>
      </c>
    </row>
    <row r="1988" spans="1:22">
      <c r="A1988" s="2" t="s">
        <v>6203</v>
      </c>
      <c r="B1988" s="2" t="s">
        <v>6204</v>
      </c>
      <c r="C1988" s="2" t="s">
        <v>5945</v>
      </c>
      <c r="D1988" s="2" t="s">
        <v>42</v>
      </c>
      <c r="E1988" s="2" t="s">
        <v>215</v>
      </c>
      <c r="F1988" s="2" t="s">
        <v>117</v>
      </c>
      <c r="G1988" s="2" t="s">
        <v>111</v>
      </c>
      <c r="H1988" s="2" t="s">
        <v>2318</v>
      </c>
      <c r="I1988" s="2" t="s">
        <v>47</v>
      </c>
      <c r="J1988" s="2" t="s">
        <v>500</v>
      </c>
      <c r="K1988" s="2" t="s">
        <v>6205</v>
      </c>
      <c r="L1988" s="2" t="s">
        <v>442</v>
      </c>
      <c r="M1988" s="2" t="s">
        <v>5947</v>
      </c>
      <c r="N1988" s="16">
        <v>1.6199999999999999E-2</v>
      </c>
      <c r="O1988" s="17">
        <f>N1988*'Financial Inputs'!$B$3</f>
        <v>1620000</v>
      </c>
      <c r="P1988" s="18">
        <f>IF(I1988="L",'Financial Inputs'!$B$4,IF(I1988="M",'Financial Inputs'!$B$5,'Financial Inputs'!$B$6))</f>
        <v>0.4</v>
      </c>
      <c r="Q1988" s="17">
        <f>O1988*P1988</f>
        <v>648000</v>
      </c>
      <c r="R1988" s="16">
        <f>'Financial Inputs'!$B$7</f>
        <v>0.35</v>
      </c>
      <c r="S1988" s="17">
        <f>Q1988*(1-R1988)</f>
        <v>421200</v>
      </c>
      <c r="T1988" s="18">
        <f>S1988/'Financial Inputs'!$B$3</f>
        <v>4.2119999999999996E-3</v>
      </c>
      <c r="U1988" s="9" t="s">
        <v>52</v>
      </c>
      <c r="V1988" s="3" t="s">
        <v>53</v>
      </c>
    </row>
    <row r="1989" spans="1:22">
      <c r="A1989" s="2" t="s">
        <v>6206</v>
      </c>
      <c r="B1989" s="2" t="s">
        <v>6207</v>
      </c>
      <c r="C1989" s="2" t="s">
        <v>5945</v>
      </c>
      <c r="D1989" s="2" t="s">
        <v>56</v>
      </c>
      <c r="E1989" s="2" t="s">
        <v>220</v>
      </c>
      <c r="F1989" s="2" t="s">
        <v>90</v>
      </c>
      <c r="G1989" s="2" t="s">
        <v>56</v>
      </c>
      <c r="H1989" s="2" t="s">
        <v>2318</v>
      </c>
      <c r="I1989" s="2" t="s">
        <v>47</v>
      </c>
      <c r="J1989" s="2" t="s">
        <v>500</v>
      </c>
      <c r="K1989" s="2" t="s">
        <v>6208</v>
      </c>
      <c r="L1989" s="2" t="s">
        <v>446</v>
      </c>
      <c r="M1989" s="2" t="s">
        <v>5947</v>
      </c>
      <c r="N1989" s="16">
        <v>1.7999999999999999E-2</v>
      </c>
      <c r="O1989" s="17">
        <f>N1989*'Financial Inputs'!$B$3</f>
        <v>1799999.9999999998</v>
      </c>
      <c r="P1989" s="18">
        <f>IF(I1989="L",'Financial Inputs'!$B$4,IF(I1989="M",'Financial Inputs'!$B$5,'Financial Inputs'!$B$6))</f>
        <v>0.4</v>
      </c>
      <c r="Q1989" s="17">
        <f>O1989*P1989</f>
        <v>720000</v>
      </c>
      <c r="R1989" s="16">
        <f>'Financial Inputs'!$B$7</f>
        <v>0.35</v>
      </c>
      <c r="S1989" s="17">
        <f>Q1989*(1-R1989)</f>
        <v>468000</v>
      </c>
      <c r="T1989" s="18">
        <f>S1989/'Financial Inputs'!$B$3</f>
        <v>4.6800000000000001E-3</v>
      </c>
      <c r="U1989" s="9" t="s">
        <v>52</v>
      </c>
      <c r="V1989" s="3" t="s">
        <v>53</v>
      </c>
    </row>
    <row r="1990" spans="1:22">
      <c r="A1990" s="2" t="s">
        <v>6209</v>
      </c>
      <c r="B1990" s="2" t="s">
        <v>6210</v>
      </c>
      <c r="C1990" s="2" t="s">
        <v>5945</v>
      </c>
      <c r="D1990" s="2" t="s">
        <v>64</v>
      </c>
      <c r="E1990" s="2" t="s">
        <v>171</v>
      </c>
      <c r="F1990" s="2" t="s">
        <v>97</v>
      </c>
      <c r="G1990" s="2" t="s">
        <v>138</v>
      </c>
      <c r="H1990" s="2" t="s">
        <v>2318</v>
      </c>
      <c r="I1990" s="2" t="s">
        <v>47</v>
      </c>
      <c r="J1990" s="2" t="s">
        <v>500</v>
      </c>
      <c r="K1990" s="2" t="s">
        <v>6211</v>
      </c>
      <c r="L1990" s="2" t="s">
        <v>450</v>
      </c>
      <c r="M1990" s="2" t="s">
        <v>5947</v>
      </c>
      <c r="N1990" s="16">
        <v>1.9800000000000002E-2</v>
      </c>
      <c r="O1990" s="17">
        <f>N1990*'Financial Inputs'!$B$3</f>
        <v>1980000.0000000002</v>
      </c>
      <c r="P1990" s="18">
        <f>IF(I1990="L",'Financial Inputs'!$B$4,IF(I1990="M",'Financial Inputs'!$B$5,'Financial Inputs'!$B$6))</f>
        <v>0.4</v>
      </c>
      <c r="Q1990" s="17">
        <f>O1990*P1990</f>
        <v>792000.00000000012</v>
      </c>
      <c r="R1990" s="16">
        <f>'Financial Inputs'!$B$7</f>
        <v>0.35</v>
      </c>
      <c r="S1990" s="17">
        <f>Q1990*(1-R1990)</f>
        <v>514800.00000000012</v>
      </c>
      <c r="T1990" s="18">
        <f>S1990/'Financial Inputs'!$B$3</f>
        <v>5.1480000000000015E-3</v>
      </c>
      <c r="U1990" s="9" t="s">
        <v>52</v>
      </c>
      <c r="V1990" s="3" t="s">
        <v>53</v>
      </c>
    </row>
    <row r="1991" spans="1:22">
      <c r="A1991" s="2" t="s">
        <v>6212</v>
      </c>
      <c r="B1991" s="2" t="s">
        <v>6213</v>
      </c>
      <c r="C1991" s="2" t="s">
        <v>5945</v>
      </c>
      <c r="D1991" s="2" t="s">
        <v>72</v>
      </c>
      <c r="E1991" s="2" t="s">
        <v>176</v>
      </c>
      <c r="F1991" s="2" t="s">
        <v>104</v>
      </c>
      <c r="G1991" s="2" t="s">
        <v>143</v>
      </c>
      <c r="H1991" s="2" t="s">
        <v>2318</v>
      </c>
      <c r="I1991" s="2" t="s">
        <v>47</v>
      </c>
      <c r="J1991" s="2" t="s">
        <v>500</v>
      </c>
      <c r="K1991" s="2" t="s">
        <v>6214</v>
      </c>
      <c r="L1991" s="2" t="s">
        <v>454</v>
      </c>
      <c r="M1991" s="2" t="s">
        <v>5947</v>
      </c>
      <c r="N1991" s="16">
        <v>2.1600000000000001E-2</v>
      </c>
      <c r="O1991" s="17">
        <f>N1991*'Financial Inputs'!$B$3</f>
        <v>2160000</v>
      </c>
      <c r="P1991" s="18">
        <f>IF(I1991="L",'Financial Inputs'!$B$4,IF(I1991="M",'Financial Inputs'!$B$5,'Financial Inputs'!$B$6))</f>
        <v>0.4</v>
      </c>
      <c r="Q1991" s="17">
        <f>O1991*P1991</f>
        <v>864000</v>
      </c>
      <c r="R1991" s="16">
        <f>'Financial Inputs'!$B$7</f>
        <v>0.35</v>
      </c>
      <c r="S1991" s="17">
        <f>Q1991*(1-R1991)</f>
        <v>561600</v>
      </c>
      <c r="T1991" s="18">
        <f>S1991/'Financial Inputs'!$B$3</f>
        <v>5.6160000000000003E-3</v>
      </c>
      <c r="U1991" s="9" t="s">
        <v>52</v>
      </c>
      <c r="V1991" s="3" t="s">
        <v>53</v>
      </c>
    </row>
    <row r="1992" spans="1:22">
      <c r="A1992" s="2" t="s">
        <v>6215</v>
      </c>
      <c r="B1992" s="2" t="s">
        <v>6216</v>
      </c>
      <c r="C1992" s="2" t="s">
        <v>5945</v>
      </c>
      <c r="D1992" s="2" t="s">
        <v>133</v>
      </c>
      <c r="E1992" s="2" t="s">
        <v>65</v>
      </c>
      <c r="F1992" s="2" t="s">
        <v>82</v>
      </c>
      <c r="G1992" s="2" t="s">
        <v>56</v>
      </c>
      <c r="H1992" s="2" t="s">
        <v>2318</v>
      </c>
      <c r="I1992" s="2" t="s">
        <v>47</v>
      </c>
      <c r="J1992" s="2" t="s">
        <v>500</v>
      </c>
      <c r="K1992" s="2" t="s">
        <v>6217</v>
      </c>
      <c r="L1992" s="2" t="s">
        <v>458</v>
      </c>
      <c r="M1992" s="2" t="s">
        <v>5947</v>
      </c>
      <c r="N1992" s="16">
        <v>1.44E-2</v>
      </c>
      <c r="O1992" s="17">
        <f>N1992*'Financial Inputs'!$B$3</f>
        <v>1440000</v>
      </c>
      <c r="P1992" s="18">
        <f>IF(I1992="L",'Financial Inputs'!$B$4,IF(I1992="M",'Financial Inputs'!$B$5,'Financial Inputs'!$B$6))</f>
        <v>0.4</v>
      </c>
      <c r="Q1992" s="17">
        <f>O1992*P1992</f>
        <v>576000</v>
      </c>
      <c r="R1992" s="16">
        <f>'Financial Inputs'!$B$7</f>
        <v>0.35</v>
      </c>
      <c r="S1992" s="17">
        <f>Q1992*(1-R1992)</f>
        <v>374400</v>
      </c>
      <c r="T1992" s="18">
        <f>S1992/'Financial Inputs'!$B$3</f>
        <v>3.7439999999999999E-3</v>
      </c>
      <c r="U1992" s="9" t="s">
        <v>52</v>
      </c>
      <c r="V1992" s="3" t="s">
        <v>53</v>
      </c>
    </row>
    <row r="1993" spans="1:22">
      <c r="A1993" s="2" t="s">
        <v>6218</v>
      </c>
      <c r="B1993" s="2" t="s">
        <v>6219</v>
      </c>
      <c r="C1993" s="2" t="s">
        <v>5945</v>
      </c>
      <c r="D1993" s="2" t="s">
        <v>88</v>
      </c>
      <c r="E1993" s="2" t="s">
        <v>73</v>
      </c>
      <c r="F1993" s="2" t="s">
        <v>44</v>
      </c>
      <c r="G1993" s="2" t="s">
        <v>138</v>
      </c>
      <c r="H1993" s="2" t="s">
        <v>2318</v>
      </c>
      <c r="I1993" s="2" t="s">
        <v>47</v>
      </c>
      <c r="J1993" s="2" t="s">
        <v>500</v>
      </c>
      <c r="K1993" s="2" t="s">
        <v>6220</v>
      </c>
      <c r="L1993" s="2" t="s">
        <v>462</v>
      </c>
      <c r="M1993" s="2" t="s">
        <v>5947</v>
      </c>
      <c r="N1993" s="16">
        <v>1.6199999999999999E-2</v>
      </c>
      <c r="O1993" s="17">
        <f>N1993*'Financial Inputs'!$B$3</f>
        <v>1620000</v>
      </c>
      <c r="P1993" s="18">
        <f>IF(I1993="L",'Financial Inputs'!$B$4,IF(I1993="M",'Financial Inputs'!$B$5,'Financial Inputs'!$B$6))</f>
        <v>0.4</v>
      </c>
      <c r="Q1993" s="17">
        <f>O1993*P1993</f>
        <v>648000</v>
      </c>
      <c r="R1993" s="16">
        <f>'Financial Inputs'!$B$7</f>
        <v>0.35</v>
      </c>
      <c r="S1993" s="17">
        <f>Q1993*(1-R1993)</f>
        <v>421200</v>
      </c>
      <c r="T1993" s="18">
        <f>S1993/'Financial Inputs'!$B$3</f>
        <v>4.2119999999999996E-3</v>
      </c>
      <c r="U1993" s="9" t="s">
        <v>52</v>
      </c>
      <c r="V1993" s="3" t="s">
        <v>53</v>
      </c>
    </row>
    <row r="1994" spans="1:22">
      <c r="A1994" s="2" t="s">
        <v>6221</v>
      </c>
      <c r="B1994" s="2" t="s">
        <v>6222</v>
      </c>
      <c r="C1994" s="2" t="s">
        <v>5945</v>
      </c>
      <c r="D1994" s="2" t="s">
        <v>95</v>
      </c>
      <c r="E1994" s="2" t="s">
        <v>81</v>
      </c>
      <c r="F1994" s="2" t="s">
        <v>58</v>
      </c>
      <c r="G1994" s="2" t="s">
        <v>143</v>
      </c>
      <c r="H1994" s="2" t="s">
        <v>2318</v>
      </c>
      <c r="I1994" s="2" t="s">
        <v>47</v>
      </c>
      <c r="J1994" s="2" t="s">
        <v>500</v>
      </c>
      <c r="K1994" s="2" t="s">
        <v>6223</v>
      </c>
      <c r="L1994" s="2" t="s">
        <v>466</v>
      </c>
      <c r="M1994" s="2" t="s">
        <v>5947</v>
      </c>
      <c r="N1994" s="16">
        <v>1.7999999999999999E-2</v>
      </c>
      <c r="O1994" s="17">
        <f>N1994*'Financial Inputs'!$B$3</f>
        <v>1799999.9999999998</v>
      </c>
      <c r="P1994" s="18">
        <f>IF(I1994="L",'Financial Inputs'!$B$4,IF(I1994="M",'Financial Inputs'!$B$5,'Financial Inputs'!$B$6))</f>
        <v>0.4</v>
      </c>
      <c r="Q1994" s="17">
        <f>O1994*P1994</f>
        <v>720000</v>
      </c>
      <c r="R1994" s="16">
        <f>'Financial Inputs'!$B$7</f>
        <v>0.35</v>
      </c>
      <c r="S1994" s="17">
        <f>Q1994*(1-R1994)</f>
        <v>468000</v>
      </c>
      <c r="T1994" s="18">
        <f>S1994/'Financial Inputs'!$B$3</f>
        <v>4.6800000000000001E-3</v>
      </c>
      <c r="U1994" s="9" t="s">
        <v>52</v>
      </c>
      <c r="V1994" s="3" t="s">
        <v>53</v>
      </c>
    </row>
    <row r="1995" spans="1:22">
      <c r="A1995" s="2" t="s">
        <v>6224</v>
      </c>
      <c r="B1995" s="2" t="s">
        <v>6225</v>
      </c>
      <c r="C1995" s="2" t="s">
        <v>5945</v>
      </c>
      <c r="D1995" s="2" t="s">
        <v>102</v>
      </c>
      <c r="E1995" s="2" t="s">
        <v>193</v>
      </c>
      <c r="F1995" s="2" t="s">
        <v>66</v>
      </c>
      <c r="G1995" s="2" t="s">
        <v>162</v>
      </c>
      <c r="H1995" s="2" t="s">
        <v>2318</v>
      </c>
      <c r="I1995" s="2" t="s">
        <v>47</v>
      </c>
      <c r="J1995" s="2" t="s">
        <v>500</v>
      </c>
      <c r="K1995" s="2" t="s">
        <v>6226</v>
      </c>
      <c r="L1995" s="2" t="s">
        <v>470</v>
      </c>
      <c r="M1995" s="2" t="s">
        <v>5947</v>
      </c>
      <c r="N1995" s="16">
        <v>1.9800000000000002E-2</v>
      </c>
      <c r="O1995" s="17">
        <f>N1995*'Financial Inputs'!$B$3</f>
        <v>1980000.0000000002</v>
      </c>
      <c r="P1995" s="18">
        <f>IF(I1995="L",'Financial Inputs'!$B$4,IF(I1995="M",'Financial Inputs'!$B$5,'Financial Inputs'!$B$6))</f>
        <v>0.4</v>
      </c>
      <c r="Q1995" s="17">
        <f>O1995*P1995</f>
        <v>792000.00000000012</v>
      </c>
      <c r="R1995" s="16">
        <f>'Financial Inputs'!$B$7</f>
        <v>0.35</v>
      </c>
      <c r="S1995" s="17">
        <f>Q1995*(1-R1995)</f>
        <v>514800.00000000012</v>
      </c>
      <c r="T1995" s="18">
        <f>S1995/'Financial Inputs'!$B$3</f>
        <v>5.1480000000000015E-3</v>
      </c>
      <c r="U1995" s="9" t="s">
        <v>52</v>
      </c>
      <c r="V1995" s="3" t="s">
        <v>53</v>
      </c>
    </row>
    <row r="1996" spans="1:22">
      <c r="A1996" s="2" t="s">
        <v>6227</v>
      </c>
      <c r="B1996" s="2" t="s">
        <v>6228</v>
      </c>
      <c r="C1996" s="2" t="s">
        <v>5945</v>
      </c>
      <c r="D1996" s="2" t="s">
        <v>42</v>
      </c>
      <c r="E1996" s="2" t="s">
        <v>198</v>
      </c>
      <c r="F1996" s="2" t="s">
        <v>74</v>
      </c>
      <c r="G1996" s="2" t="s">
        <v>45</v>
      </c>
      <c r="H1996" s="2" t="s">
        <v>2318</v>
      </c>
      <c r="I1996" s="2" t="s">
        <v>47</v>
      </c>
      <c r="J1996" s="2" t="s">
        <v>500</v>
      </c>
      <c r="K1996" s="2" t="s">
        <v>6229</v>
      </c>
      <c r="L1996" s="2" t="s">
        <v>474</v>
      </c>
      <c r="M1996" s="2" t="s">
        <v>5947</v>
      </c>
      <c r="N1996" s="16">
        <v>2.1600000000000001E-2</v>
      </c>
      <c r="O1996" s="17">
        <f>N1996*'Financial Inputs'!$B$3</f>
        <v>2160000</v>
      </c>
      <c r="P1996" s="18">
        <f>IF(I1996="L",'Financial Inputs'!$B$4,IF(I1996="M",'Financial Inputs'!$B$5,'Financial Inputs'!$B$6))</f>
        <v>0.4</v>
      </c>
      <c r="Q1996" s="17">
        <f>O1996*P1996</f>
        <v>864000</v>
      </c>
      <c r="R1996" s="16">
        <f>'Financial Inputs'!$B$7</f>
        <v>0.35</v>
      </c>
      <c r="S1996" s="17">
        <f>Q1996*(1-R1996)</f>
        <v>561600</v>
      </c>
      <c r="T1996" s="18">
        <f>S1996/'Financial Inputs'!$B$3</f>
        <v>5.6160000000000003E-3</v>
      </c>
      <c r="U1996" s="9" t="s">
        <v>52</v>
      </c>
      <c r="V1996" s="3" t="s">
        <v>53</v>
      </c>
    </row>
    <row r="1997" spans="1:22">
      <c r="A1997" s="2" t="s">
        <v>6230</v>
      </c>
      <c r="B1997" s="2" t="s">
        <v>6231</v>
      </c>
      <c r="C1997" s="2" t="s">
        <v>5945</v>
      </c>
      <c r="D1997" s="2" t="s">
        <v>72</v>
      </c>
      <c r="E1997" s="2" t="s">
        <v>103</v>
      </c>
      <c r="F1997" s="2" t="s">
        <v>117</v>
      </c>
      <c r="G1997" s="2" t="s">
        <v>143</v>
      </c>
      <c r="H1997" s="2" t="s">
        <v>2318</v>
      </c>
      <c r="I1997" s="2" t="s">
        <v>47</v>
      </c>
      <c r="J1997" s="2" t="s">
        <v>500</v>
      </c>
      <c r="K1997" s="2" t="s">
        <v>6232</v>
      </c>
      <c r="L1997" s="2" t="s">
        <v>478</v>
      </c>
      <c r="M1997" s="2" t="s">
        <v>5947</v>
      </c>
      <c r="N1997" s="16">
        <v>1.44E-2</v>
      </c>
      <c r="O1997" s="17">
        <f>N1997*'Financial Inputs'!$B$3</f>
        <v>1440000</v>
      </c>
      <c r="P1997" s="18">
        <f>IF(I1997="L",'Financial Inputs'!$B$4,IF(I1997="M",'Financial Inputs'!$B$5,'Financial Inputs'!$B$6))</f>
        <v>0.4</v>
      </c>
      <c r="Q1997" s="17">
        <f>O1997*P1997</f>
        <v>576000</v>
      </c>
      <c r="R1997" s="16">
        <f>'Financial Inputs'!$B$7</f>
        <v>0.35</v>
      </c>
      <c r="S1997" s="17">
        <f>Q1997*(1-R1997)</f>
        <v>374400</v>
      </c>
      <c r="T1997" s="18">
        <f>S1997/'Financial Inputs'!$B$3</f>
        <v>3.7439999999999999E-3</v>
      </c>
      <c r="U1997" s="9" t="s">
        <v>52</v>
      </c>
      <c r="V1997" s="3" t="s">
        <v>53</v>
      </c>
    </row>
    <row r="1998" spans="1:22">
      <c r="A1998" s="2" t="s">
        <v>6233</v>
      </c>
      <c r="B1998" s="2" t="s">
        <v>6234</v>
      </c>
      <c r="C1998" s="2" t="s">
        <v>5945</v>
      </c>
      <c r="D1998" s="2" t="s">
        <v>80</v>
      </c>
      <c r="E1998" s="2" t="s">
        <v>109</v>
      </c>
      <c r="F1998" s="2" t="s">
        <v>90</v>
      </c>
      <c r="G1998" s="2" t="s">
        <v>162</v>
      </c>
      <c r="H1998" s="2" t="s">
        <v>2318</v>
      </c>
      <c r="I1998" s="2" t="s">
        <v>47</v>
      </c>
      <c r="J1998" s="2" t="s">
        <v>500</v>
      </c>
      <c r="K1998" s="2" t="s">
        <v>6235</v>
      </c>
      <c r="L1998" s="2" t="s">
        <v>482</v>
      </c>
      <c r="M1998" s="2" t="s">
        <v>5947</v>
      </c>
      <c r="N1998" s="16">
        <v>1.6199999999999999E-2</v>
      </c>
      <c r="O1998" s="17">
        <f>N1998*'Financial Inputs'!$B$3</f>
        <v>1620000</v>
      </c>
      <c r="P1998" s="18">
        <f>IF(I1998="L",'Financial Inputs'!$B$4,IF(I1998="M",'Financial Inputs'!$B$5,'Financial Inputs'!$B$6))</f>
        <v>0.4</v>
      </c>
      <c r="Q1998" s="17">
        <f>O1998*P1998</f>
        <v>648000</v>
      </c>
      <c r="R1998" s="16">
        <f>'Financial Inputs'!$B$7</f>
        <v>0.35</v>
      </c>
      <c r="S1998" s="17">
        <f>Q1998*(1-R1998)</f>
        <v>421200</v>
      </c>
      <c r="T1998" s="18">
        <f>S1998/'Financial Inputs'!$B$3</f>
        <v>4.2119999999999996E-3</v>
      </c>
      <c r="U1998" s="9" t="s">
        <v>52</v>
      </c>
      <c r="V1998" s="3" t="s">
        <v>53</v>
      </c>
    </row>
    <row r="1999" spans="1:22">
      <c r="A1999" s="2" t="s">
        <v>6236</v>
      </c>
      <c r="B1999" s="2" t="s">
        <v>6237</v>
      </c>
      <c r="C1999" s="2" t="s">
        <v>5945</v>
      </c>
      <c r="D1999" s="2" t="s">
        <v>127</v>
      </c>
      <c r="E1999" s="2" t="s">
        <v>116</v>
      </c>
      <c r="F1999" s="2" t="s">
        <v>97</v>
      </c>
      <c r="G1999" s="2" t="s">
        <v>45</v>
      </c>
      <c r="H1999" s="2" t="s">
        <v>2318</v>
      </c>
      <c r="I1999" s="2" t="s">
        <v>47</v>
      </c>
      <c r="J1999" s="2" t="s">
        <v>500</v>
      </c>
      <c r="K1999" s="2" t="s">
        <v>6238</v>
      </c>
      <c r="L1999" s="2" t="s">
        <v>486</v>
      </c>
      <c r="M1999" s="2" t="s">
        <v>5947</v>
      </c>
      <c r="N1999" s="16">
        <v>1.7999999999999999E-2</v>
      </c>
      <c r="O1999" s="17">
        <f>N1999*'Financial Inputs'!$B$3</f>
        <v>1799999.9999999998</v>
      </c>
      <c r="P1999" s="18">
        <f>IF(I1999="L",'Financial Inputs'!$B$4,IF(I1999="M",'Financial Inputs'!$B$5,'Financial Inputs'!$B$6))</f>
        <v>0.4</v>
      </c>
      <c r="Q1999" s="17">
        <f>O1999*P1999</f>
        <v>720000</v>
      </c>
      <c r="R1999" s="16">
        <f>'Financial Inputs'!$B$7</f>
        <v>0.35</v>
      </c>
      <c r="S1999" s="17">
        <f>Q1999*(1-R1999)</f>
        <v>468000</v>
      </c>
      <c r="T1999" s="18">
        <f>S1999/'Financial Inputs'!$B$3</f>
        <v>4.6800000000000001E-3</v>
      </c>
      <c r="U1999" s="9" t="s">
        <v>52</v>
      </c>
      <c r="V1999" s="3" t="s">
        <v>53</v>
      </c>
    </row>
    <row r="2000" spans="1:22">
      <c r="A2000" s="2" t="s">
        <v>6239</v>
      </c>
      <c r="B2000" s="2" t="s">
        <v>6240</v>
      </c>
      <c r="C2000" s="2" t="s">
        <v>5945</v>
      </c>
      <c r="D2000" s="2" t="s">
        <v>133</v>
      </c>
      <c r="E2000" s="2" t="s">
        <v>215</v>
      </c>
      <c r="F2000" s="2" t="s">
        <v>104</v>
      </c>
      <c r="G2000" s="2" t="s">
        <v>59</v>
      </c>
      <c r="H2000" s="2" t="s">
        <v>2318</v>
      </c>
      <c r="I2000" s="2" t="s">
        <v>47</v>
      </c>
      <c r="J2000" s="2" t="s">
        <v>500</v>
      </c>
      <c r="K2000" s="2" t="s">
        <v>6241</v>
      </c>
      <c r="L2000" s="2" t="s">
        <v>490</v>
      </c>
      <c r="M2000" s="2" t="s">
        <v>5947</v>
      </c>
      <c r="N2000" s="16">
        <v>1.9800000000000002E-2</v>
      </c>
      <c r="O2000" s="17">
        <f>N2000*'Financial Inputs'!$B$3</f>
        <v>1980000.0000000002</v>
      </c>
      <c r="P2000" s="18">
        <f>IF(I2000="L",'Financial Inputs'!$B$4,IF(I2000="M",'Financial Inputs'!$B$5,'Financial Inputs'!$B$6))</f>
        <v>0.4</v>
      </c>
      <c r="Q2000" s="17">
        <f>O2000*P2000</f>
        <v>792000.00000000012</v>
      </c>
      <c r="R2000" s="16">
        <f>'Financial Inputs'!$B$7</f>
        <v>0.35</v>
      </c>
      <c r="S2000" s="17">
        <f>Q2000*(1-R2000)</f>
        <v>514800.00000000012</v>
      </c>
      <c r="T2000" s="18">
        <f>S2000/'Financial Inputs'!$B$3</f>
        <v>5.1480000000000015E-3</v>
      </c>
      <c r="U2000" s="9" t="s">
        <v>52</v>
      </c>
      <c r="V2000" s="3" t="s">
        <v>53</v>
      </c>
    </row>
    <row r="2001" spans="1:22">
      <c r="A2001" s="2" t="s">
        <v>6242</v>
      </c>
      <c r="B2001" s="2" t="s">
        <v>6243</v>
      </c>
      <c r="C2001" s="2" t="s">
        <v>5945</v>
      </c>
      <c r="D2001" s="2" t="s">
        <v>88</v>
      </c>
      <c r="E2001" s="2" t="s">
        <v>220</v>
      </c>
      <c r="F2001" s="2" t="s">
        <v>110</v>
      </c>
      <c r="G2001" s="2" t="s">
        <v>67</v>
      </c>
      <c r="H2001" s="2" t="s">
        <v>2318</v>
      </c>
      <c r="I2001" s="2" t="s">
        <v>47</v>
      </c>
      <c r="J2001" s="2" t="s">
        <v>500</v>
      </c>
      <c r="K2001" s="2" t="s">
        <v>6244</v>
      </c>
      <c r="L2001" s="2" t="s">
        <v>494</v>
      </c>
      <c r="M2001" s="2" t="s">
        <v>5947</v>
      </c>
      <c r="N2001" s="16">
        <v>2.1600000000000001E-2</v>
      </c>
      <c r="O2001" s="17">
        <f>N2001*'Financial Inputs'!$B$3</f>
        <v>2160000</v>
      </c>
      <c r="P2001" s="18">
        <f>IF(I2001="L",'Financial Inputs'!$B$4,IF(I2001="M",'Financial Inputs'!$B$5,'Financial Inputs'!$B$6))</f>
        <v>0.4</v>
      </c>
      <c r="Q2001" s="17">
        <f>O2001*P2001</f>
        <v>864000</v>
      </c>
      <c r="R2001" s="16">
        <f>'Financial Inputs'!$B$7</f>
        <v>0.35</v>
      </c>
      <c r="S2001" s="17">
        <f>Q2001*(1-R2001)</f>
        <v>561600</v>
      </c>
      <c r="T2001" s="18">
        <f>S2001/'Financial Inputs'!$B$3</f>
        <v>5.6160000000000003E-3</v>
      </c>
      <c r="U2001" s="9" t="s">
        <v>52</v>
      </c>
      <c r="V2001" s="3" t="s">
        <v>53</v>
      </c>
    </row>
    <row r="2002" spans="1:22">
      <c r="A2002" s="2" t="s">
        <v>6245</v>
      </c>
      <c r="B2002" s="2" t="s">
        <v>6246</v>
      </c>
      <c r="C2002" s="2" t="s">
        <v>6247</v>
      </c>
      <c r="D2002" s="2" t="s">
        <v>42</v>
      </c>
      <c r="E2002" s="2" t="s">
        <v>43</v>
      </c>
      <c r="F2002" s="2" t="s">
        <v>44</v>
      </c>
      <c r="G2002" s="2" t="s">
        <v>45</v>
      </c>
      <c r="H2002" s="2" t="s">
        <v>2318</v>
      </c>
      <c r="I2002" s="2" t="s">
        <v>47</v>
      </c>
      <c r="J2002" s="2" t="s">
        <v>48</v>
      </c>
      <c r="K2002" s="2" t="s">
        <v>6248</v>
      </c>
      <c r="L2002" s="2" t="s">
        <v>50</v>
      </c>
      <c r="M2002" s="2" t="s">
        <v>805</v>
      </c>
      <c r="N2002" s="16">
        <v>1.44E-2</v>
      </c>
      <c r="O2002" s="17">
        <f>N2002*'Financial Inputs'!$B$3</f>
        <v>1440000</v>
      </c>
      <c r="P2002" s="18">
        <f>IF(I2002="L",'Financial Inputs'!$B$4,IF(I2002="M",'Financial Inputs'!$B$5,'Financial Inputs'!$B$6))</f>
        <v>0.4</v>
      </c>
      <c r="Q2002" s="17">
        <f>O2002*P2002</f>
        <v>576000</v>
      </c>
      <c r="R2002" s="16">
        <f>'Financial Inputs'!$B$7</f>
        <v>0.35</v>
      </c>
      <c r="S2002" s="17">
        <f>Q2002*(1-R2002)</f>
        <v>374400</v>
      </c>
      <c r="T2002" s="18">
        <f>S2002/'Financial Inputs'!$B$3</f>
        <v>3.7439999999999999E-3</v>
      </c>
      <c r="U2002" s="9" t="s">
        <v>52</v>
      </c>
      <c r="V2002" s="3" t="s">
        <v>53</v>
      </c>
    </row>
    <row r="2003" spans="1:22">
      <c r="A2003" s="2" t="s">
        <v>6249</v>
      </c>
      <c r="B2003" s="2" t="s">
        <v>6250</v>
      </c>
      <c r="C2003" s="2" t="s">
        <v>6247</v>
      </c>
      <c r="D2003" s="2" t="s">
        <v>56</v>
      </c>
      <c r="E2003" s="2" t="s">
        <v>57</v>
      </c>
      <c r="F2003" s="2" t="s">
        <v>58</v>
      </c>
      <c r="G2003" s="2" t="s">
        <v>59</v>
      </c>
      <c r="H2003" s="2" t="s">
        <v>2318</v>
      </c>
      <c r="I2003" s="2" t="s">
        <v>47</v>
      </c>
      <c r="J2003" s="2" t="s">
        <v>48</v>
      </c>
      <c r="K2003" s="2" t="s">
        <v>6251</v>
      </c>
      <c r="L2003" s="2" t="s">
        <v>61</v>
      </c>
      <c r="M2003" s="2" t="s">
        <v>805</v>
      </c>
      <c r="N2003" s="16">
        <v>1.6199999999999999E-2</v>
      </c>
      <c r="O2003" s="17">
        <f>N2003*'Financial Inputs'!$B$3</f>
        <v>1620000</v>
      </c>
      <c r="P2003" s="18">
        <f>IF(I2003="L",'Financial Inputs'!$B$4,IF(I2003="M",'Financial Inputs'!$B$5,'Financial Inputs'!$B$6))</f>
        <v>0.4</v>
      </c>
      <c r="Q2003" s="17">
        <f>O2003*P2003</f>
        <v>648000</v>
      </c>
      <c r="R2003" s="16">
        <f>'Financial Inputs'!$B$7</f>
        <v>0.35</v>
      </c>
      <c r="S2003" s="17">
        <f>Q2003*(1-R2003)</f>
        <v>421200</v>
      </c>
      <c r="T2003" s="18">
        <f>S2003/'Financial Inputs'!$B$3</f>
        <v>4.2119999999999996E-3</v>
      </c>
      <c r="U2003" s="9" t="s">
        <v>52</v>
      </c>
      <c r="V2003" s="3" t="s">
        <v>53</v>
      </c>
    </row>
    <row r="2004" spans="1:22">
      <c r="A2004" s="2" t="s">
        <v>6252</v>
      </c>
      <c r="B2004" s="2" t="s">
        <v>6253</v>
      </c>
      <c r="C2004" s="2" t="s">
        <v>6247</v>
      </c>
      <c r="D2004" s="2" t="s">
        <v>64</v>
      </c>
      <c r="E2004" s="2" t="s">
        <v>65</v>
      </c>
      <c r="F2004" s="2" t="s">
        <v>66</v>
      </c>
      <c r="G2004" s="2" t="s">
        <v>67</v>
      </c>
      <c r="H2004" s="2" t="s">
        <v>2318</v>
      </c>
      <c r="I2004" s="2" t="s">
        <v>47</v>
      </c>
      <c r="J2004" s="2" t="s">
        <v>48</v>
      </c>
      <c r="K2004" s="2" t="s">
        <v>6254</v>
      </c>
      <c r="L2004" s="2" t="s">
        <v>69</v>
      </c>
      <c r="M2004" s="2" t="s">
        <v>805</v>
      </c>
      <c r="N2004" s="16">
        <v>1.7999999999999999E-2</v>
      </c>
      <c r="O2004" s="17">
        <f>N2004*'Financial Inputs'!$B$3</f>
        <v>1799999.9999999998</v>
      </c>
      <c r="P2004" s="18">
        <f>IF(I2004="L",'Financial Inputs'!$B$4,IF(I2004="M",'Financial Inputs'!$B$5,'Financial Inputs'!$B$6))</f>
        <v>0.4</v>
      </c>
      <c r="Q2004" s="17">
        <f>O2004*P2004</f>
        <v>720000</v>
      </c>
      <c r="R2004" s="16">
        <f>'Financial Inputs'!$B$7</f>
        <v>0.35</v>
      </c>
      <c r="S2004" s="17">
        <f>Q2004*(1-R2004)</f>
        <v>468000</v>
      </c>
      <c r="T2004" s="18">
        <f>S2004/'Financial Inputs'!$B$3</f>
        <v>4.6800000000000001E-3</v>
      </c>
      <c r="U2004" s="9" t="s">
        <v>52</v>
      </c>
      <c r="V2004" s="3" t="s">
        <v>53</v>
      </c>
    </row>
    <row r="2005" spans="1:22">
      <c r="A2005" s="2" t="s">
        <v>6255</v>
      </c>
      <c r="B2005" s="2" t="s">
        <v>6256</v>
      </c>
      <c r="C2005" s="2" t="s">
        <v>6247</v>
      </c>
      <c r="D2005" s="2" t="s">
        <v>72</v>
      </c>
      <c r="E2005" s="2" t="s">
        <v>73</v>
      </c>
      <c r="F2005" s="2" t="s">
        <v>74</v>
      </c>
      <c r="G2005" s="2" t="s">
        <v>75</v>
      </c>
      <c r="H2005" s="2" t="s">
        <v>2318</v>
      </c>
      <c r="I2005" s="2" t="s">
        <v>47</v>
      </c>
      <c r="J2005" s="2" t="s">
        <v>48</v>
      </c>
      <c r="K2005" s="2" t="s">
        <v>6257</v>
      </c>
      <c r="L2005" s="2" t="s">
        <v>77</v>
      </c>
      <c r="M2005" s="2" t="s">
        <v>805</v>
      </c>
      <c r="N2005" s="16">
        <v>1.9800000000000002E-2</v>
      </c>
      <c r="O2005" s="17">
        <f>N2005*'Financial Inputs'!$B$3</f>
        <v>1980000.0000000002</v>
      </c>
      <c r="P2005" s="18">
        <f>IF(I2005="L",'Financial Inputs'!$B$4,IF(I2005="M",'Financial Inputs'!$B$5,'Financial Inputs'!$B$6))</f>
        <v>0.4</v>
      </c>
      <c r="Q2005" s="17">
        <f>O2005*P2005</f>
        <v>792000.00000000012</v>
      </c>
      <c r="R2005" s="16">
        <f>'Financial Inputs'!$B$7</f>
        <v>0.35</v>
      </c>
      <c r="S2005" s="17">
        <f>Q2005*(1-R2005)</f>
        <v>514800.00000000012</v>
      </c>
      <c r="T2005" s="18">
        <f>S2005/'Financial Inputs'!$B$3</f>
        <v>5.1480000000000015E-3</v>
      </c>
      <c r="U2005" s="9" t="s">
        <v>52</v>
      </c>
      <c r="V2005" s="3" t="s">
        <v>53</v>
      </c>
    </row>
    <row r="2006" spans="1:22">
      <c r="A2006" s="2" t="s">
        <v>6258</v>
      </c>
      <c r="B2006" s="2" t="s">
        <v>6259</v>
      </c>
      <c r="C2006" s="2" t="s">
        <v>6247</v>
      </c>
      <c r="D2006" s="2" t="s">
        <v>80</v>
      </c>
      <c r="E2006" s="2" t="s">
        <v>81</v>
      </c>
      <c r="F2006" s="2" t="s">
        <v>82</v>
      </c>
      <c r="G2006" s="2" t="s">
        <v>83</v>
      </c>
      <c r="H2006" s="2" t="s">
        <v>2318</v>
      </c>
      <c r="I2006" s="2" t="s">
        <v>47</v>
      </c>
      <c r="J2006" s="2" t="s">
        <v>48</v>
      </c>
      <c r="K2006" s="2" t="s">
        <v>6260</v>
      </c>
      <c r="L2006" s="2" t="s">
        <v>85</v>
      </c>
      <c r="M2006" s="2" t="s">
        <v>805</v>
      </c>
      <c r="N2006" s="16">
        <v>2.1600000000000001E-2</v>
      </c>
      <c r="O2006" s="17">
        <f>N2006*'Financial Inputs'!$B$3</f>
        <v>2160000</v>
      </c>
      <c r="P2006" s="18">
        <f>IF(I2006="L",'Financial Inputs'!$B$4,IF(I2006="M",'Financial Inputs'!$B$5,'Financial Inputs'!$B$6))</f>
        <v>0.4</v>
      </c>
      <c r="Q2006" s="17">
        <f>O2006*P2006</f>
        <v>864000</v>
      </c>
      <c r="R2006" s="16">
        <f>'Financial Inputs'!$B$7</f>
        <v>0.35</v>
      </c>
      <c r="S2006" s="17">
        <f>Q2006*(1-R2006)</f>
        <v>561600</v>
      </c>
      <c r="T2006" s="18">
        <f>S2006/'Financial Inputs'!$B$3</f>
        <v>5.6160000000000003E-3</v>
      </c>
      <c r="U2006" s="9" t="s">
        <v>52</v>
      </c>
      <c r="V2006" s="3" t="s">
        <v>53</v>
      </c>
    </row>
    <row r="2007" spans="1:22">
      <c r="A2007" s="2" t="s">
        <v>6261</v>
      </c>
      <c r="B2007" s="2" t="s">
        <v>6262</v>
      </c>
      <c r="C2007" s="2" t="s">
        <v>6247</v>
      </c>
      <c r="D2007" s="2" t="s">
        <v>88</v>
      </c>
      <c r="E2007" s="2" t="s">
        <v>89</v>
      </c>
      <c r="F2007" s="2" t="s">
        <v>90</v>
      </c>
      <c r="G2007" s="2" t="s">
        <v>67</v>
      </c>
      <c r="H2007" s="2" t="s">
        <v>2318</v>
      </c>
      <c r="I2007" s="2" t="s">
        <v>47</v>
      </c>
      <c r="J2007" s="2" t="s">
        <v>48</v>
      </c>
      <c r="K2007" s="2" t="s">
        <v>6263</v>
      </c>
      <c r="L2007" s="2" t="s">
        <v>92</v>
      </c>
      <c r="M2007" s="2" t="s">
        <v>805</v>
      </c>
      <c r="N2007" s="16">
        <v>1.44E-2</v>
      </c>
      <c r="O2007" s="17">
        <f>N2007*'Financial Inputs'!$B$3</f>
        <v>1440000</v>
      </c>
      <c r="P2007" s="18">
        <f>IF(I2007="L",'Financial Inputs'!$B$4,IF(I2007="M",'Financial Inputs'!$B$5,'Financial Inputs'!$B$6))</f>
        <v>0.4</v>
      </c>
      <c r="Q2007" s="17">
        <f>O2007*P2007</f>
        <v>576000</v>
      </c>
      <c r="R2007" s="16">
        <f>'Financial Inputs'!$B$7</f>
        <v>0.35</v>
      </c>
      <c r="S2007" s="17">
        <f>Q2007*(1-R2007)</f>
        <v>374400</v>
      </c>
      <c r="T2007" s="18">
        <f>S2007/'Financial Inputs'!$B$3</f>
        <v>3.7439999999999999E-3</v>
      </c>
      <c r="U2007" s="9" t="s">
        <v>52</v>
      </c>
      <c r="V2007" s="3" t="s">
        <v>53</v>
      </c>
    </row>
    <row r="2008" spans="1:22">
      <c r="A2008" s="2" t="s">
        <v>6264</v>
      </c>
      <c r="B2008" s="2" t="s">
        <v>6265</v>
      </c>
      <c r="C2008" s="2" t="s">
        <v>6247</v>
      </c>
      <c r="D2008" s="2" t="s">
        <v>95</v>
      </c>
      <c r="E2008" s="2" t="s">
        <v>96</v>
      </c>
      <c r="F2008" s="2" t="s">
        <v>97</v>
      </c>
      <c r="G2008" s="2" t="s">
        <v>75</v>
      </c>
      <c r="H2008" s="2" t="s">
        <v>2318</v>
      </c>
      <c r="I2008" s="2" t="s">
        <v>47</v>
      </c>
      <c r="J2008" s="2" t="s">
        <v>48</v>
      </c>
      <c r="K2008" s="2" t="s">
        <v>6266</v>
      </c>
      <c r="L2008" s="2" t="s">
        <v>99</v>
      </c>
      <c r="M2008" s="2" t="s">
        <v>805</v>
      </c>
      <c r="N2008" s="16">
        <v>1.6199999999999999E-2</v>
      </c>
      <c r="O2008" s="17">
        <f>N2008*'Financial Inputs'!$B$3</f>
        <v>1620000</v>
      </c>
      <c r="P2008" s="18">
        <f>IF(I2008="L",'Financial Inputs'!$B$4,IF(I2008="M",'Financial Inputs'!$B$5,'Financial Inputs'!$B$6))</f>
        <v>0.4</v>
      </c>
      <c r="Q2008" s="17">
        <f>O2008*P2008</f>
        <v>648000</v>
      </c>
      <c r="R2008" s="16">
        <f>'Financial Inputs'!$B$7</f>
        <v>0.35</v>
      </c>
      <c r="S2008" s="17">
        <f>Q2008*(1-R2008)</f>
        <v>421200</v>
      </c>
      <c r="T2008" s="18">
        <f>S2008/'Financial Inputs'!$B$3</f>
        <v>4.2119999999999996E-3</v>
      </c>
      <c r="U2008" s="9" t="s">
        <v>52</v>
      </c>
      <c r="V2008" s="3" t="s">
        <v>53</v>
      </c>
    </row>
    <row r="2009" spans="1:22">
      <c r="A2009" s="2" t="s">
        <v>6267</v>
      </c>
      <c r="B2009" s="2" t="s">
        <v>6268</v>
      </c>
      <c r="C2009" s="2" t="s">
        <v>6247</v>
      </c>
      <c r="D2009" s="2" t="s">
        <v>102</v>
      </c>
      <c r="E2009" s="2" t="s">
        <v>103</v>
      </c>
      <c r="F2009" s="2" t="s">
        <v>104</v>
      </c>
      <c r="G2009" s="2" t="s">
        <v>83</v>
      </c>
      <c r="H2009" s="2" t="s">
        <v>2318</v>
      </c>
      <c r="I2009" s="2" t="s">
        <v>47</v>
      </c>
      <c r="J2009" s="2" t="s">
        <v>48</v>
      </c>
      <c r="K2009" s="2" t="s">
        <v>6269</v>
      </c>
      <c r="L2009" s="2" t="s">
        <v>106</v>
      </c>
      <c r="M2009" s="2" t="s">
        <v>805</v>
      </c>
      <c r="N2009" s="16">
        <v>1.7999999999999999E-2</v>
      </c>
      <c r="O2009" s="17">
        <f>N2009*'Financial Inputs'!$B$3</f>
        <v>1799999.9999999998</v>
      </c>
      <c r="P2009" s="18">
        <f>IF(I2009="L",'Financial Inputs'!$B$4,IF(I2009="M",'Financial Inputs'!$B$5,'Financial Inputs'!$B$6))</f>
        <v>0.4</v>
      </c>
      <c r="Q2009" s="17">
        <f>O2009*P2009</f>
        <v>720000</v>
      </c>
      <c r="R2009" s="16">
        <f>'Financial Inputs'!$B$7</f>
        <v>0.35</v>
      </c>
      <c r="S2009" s="17">
        <f>Q2009*(1-R2009)</f>
        <v>468000</v>
      </c>
      <c r="T2009" s="18">
        <f>S2009/'Financial Inputs'!$B$3</f>
        <v>4.6800000000000001E-3</v>
      </c>
      <c r="U2009" s="9" t="s">
        <v>52</v>
      </c>
      <c r="V2009" s="3" t="s">
        <v>53</v>
      </c>
    </row>
    <row r="2010" spans="1:22">
      <c r="A2010" s="2" t="s">
        <v>6270</v>
      </c>
      <c r="B2010" s="2" t="s">
        <v>6271</v>
      </c>
      <c r="C2010" s="2" t="s">
        <v>6247</v>
      </c>
      <c r="D2010" s="2" t="s">
        <v>42</v>
      </c>
      <c r="E2010" s="2" t="s">
        <v>109</v>
      </c>
      <c r="F2010" s="2" t="s">
        <v>110</v>
      </c>
      <c r="G2010" s="2" t="s">
        <v>111</v>
      </c>
      <c r="H2010" s="2" t="s">
        <v>2318</v>
      </c>
      <c r="I2010" s="2" t="s">
        <v>47</v>
      </c>
      <c r="J2010" s="2" t="s">
        <v>48</v>
      </c>
      <c r="K2010" s="2" t="s">
        <v>6272</v>
      </c>
      <c r="L2010" s="2" t="s">
        <v>113</v>
      </c>
      <c r="M2010" s="2" t="s">
        <v>805</v>
      </c>
      <c r="N2010" s="16">
        <v>1.9800000000000002E-2</v>
      </c>
      <c r="O2010" s="17">
        <f>N2010*'Financial Inputs'!$B$3</f>
        <v>1980000.0000000002</v>
      </c>
      <c r="P2010" s="18">
        <f>IF(I2010="L",'Financial Inputs'!$B$4,IF(I2010="M",'Financial Inputs'!$B$5,'Financial Inputs'!$B$6))</f>
        <v>0.4</v>
      </c>
      <c r="Q2010" s="17">
        <f>O2010*P2010</f>
        <v>792000.00000000012</v>
      </c>
      <c r="R2010" s="16">
        <f>'Financial Inputs'!$B$7</f>
        <v>0.35</v>
      </c>
      <c r="S2010" s="17">
        <f>Q2010*(1-R2010)</f>
        <v>514800.00000000012</v>
      </c>
      <c r="T2010" s="18">
        <f>S2010/'Financial Inputs'!$B$3</f>
        <v>5.1480000000000015E-3</v>
      </c>
      <c r="U2010" s="9" t="s">
        <v>52</v>
      </c>
      <c r="V2010" s="3" t="s">
        <v>53</v>
      </c>
    </row>
    <row r="2011" spans="1:22">
      <c r="A2011" s="2" t="s">
        <v>6273</v>
      </c>
      <c r="B2011" s="2" t="s">
        <v>6274</v>
      </c>
      <c r="C2011" s="2" t="s">
        <v>6247</v>
      </c>
      <c r="D2011" s="2" t="s">
        <v>56</v>
      </c>
      <c r="E2011" s="2" t="s">
        <v>116</v>
      </c>
      <c r="F2011" s="2" t="s">
        <v>117</v>
      </c>
      <c r="G2011" s="2" t="s">
        <v>56</v>
      </c>
      <c r="H2011" s="2" t="s">
        <v>2318</v>
      </c>
      <c r="I2011" s="2" t="s">
        <v>47</v>
      </c>
      <c r="J2011" s="2" t="s">
        <v>48</v>
      </c>
      <c r="K2011" s="2" t="s">
        <v>6275</v>
      </c>
      <c r="L2011" s="2" t="s">
        <v>119</v>
      </c>
      <c r="M2011" s="2" t="s">
        <v>805</v>
      </c>
      <c r="N2011" s="16">
        <v>2.1600000000000001E-2</v>
      </c>
      <c r="O2011" s="17">
        <f>N2011*'Financial Inputs'!$B$3</f>
        <v>2160000</v>
      </c>
      <c r="P2011" s="18">
        <f>IF(I2011="L",'Financial Inputs'!$B$4,IF(I2011="M",'Financial Inputs'!$B$5,'Financial Inputs'!$B$6))</f>
        <v>0.4</v>
      </c>
      <c r="Q2011" s="17">
        <f>O2011*P2011</f>
        <v>864000</v>
      </c>
      <c r="R2011" s="16">
        <f>'Financial Inputs'!$B$7</f>
        <v>0.35</v>
      </c>
      <c r="S2011" s="17">
        <f>Q2011*(1-R2011)</f>
        <v>561600</v>
      </c>
      <c r="T2011" s="18">
        <f>S2011/'Financial Inputs'!$B$3</f>
        <v>5.6160000000000003E-3</v>
      </c>
      <c r="U2011" s="9" t="s">
        <v>52</v>
      </c>
      <c r="V2011" s="3" t="s">
        <v>53</v>
      </c>
    </row>
    <row r="2012" spans="1:22">
      <c r="A2012" s="2" t="s">
        <v>6276</v>
      </c>
      <c r="B2012" s="2" t="s">
        <v>6277</v>
      </c>
      <c r="C2012" s="2" t="s">
        <v>6247</v>
      </c>
      <c r="D2012" s="2" t="s">
        <v>80</v>
      </c>
      <c r="E2012" s="2" t="s">
        <v>122</v>
      </c>
      <c r="F2012" s="2" t="s">
        <v>58</v>
      </c>
      <c r="G2012" s="2" t="s">
        <v>83</v>
      </c>
      <c r="H2012" s="2" t="s">
        <v>2318</v>
      </c>
      <c r="I2012" s="2" t="s">
        <v>47</v>
      </c>
      <c r="J2012" s="2" t="s">
        <v>48</v>
      </c>
      <c r="K2012" s="2" t="s">
        <v>6278</v>
      </c>
      <c r="L2012" s="2" t="s">
        <v>124</v>
      </c>
      <c r="M2012" s="2" t="s">
        <v>805</v>
      </c>
      <c r="N2012" s="16">
        <v>1.44E-2</v>
      </c>
      <c r="O2012" s="17">
        <f>N2012*'Financial Inputs'!$B$3</f>
        <v>1440000</v>
      </c>
      <c r="P2012" s="18">
        <f>IF(I2012="L",'Financial Inputs'!$B$4,IF(I2012="M",'Financial Inputs'!$B$5,'Financial Inputs'!$B$6))</f>
        <v>0.4</v>
      </c>
      <c r="Q2012" s="17">
        <f>O2012*P2012</f>
        <v>576000</v>
      </c>
      <c r="R2012" s="16">
        <f>'Financial Inputs'!$B$7</f>
        <v>0.35</v>
      </c>
      <c r="S2012" s="17">
        <f>Q2012*(1-R2012)</f>
        <v>374400</v>
      </c>
      <c r="T2012" s="18">
        <f>S2012/'Financial Inputs'!$B$3</f>
        <v>3.7439999999999999E-3</v>
      </c>
      <c r="U2012" s="9" t="s">
        <v>52</v>
      </c>
      <c r="V2012" s="3" t="s">
        <v>53</v>
      </c>
    </row>
    <row r="2013" spans="1:22">
      <c r="A2013" s="2" t="s">
        <v>6279</v>
      </c>
      <c r="B2013" s="2" t="s">
        <v>6280</v>
      </c>
      <c r="C2013" s="2" t="s">
        <v>6247</v>
      </c>
      <c r="D2013" s="2" t="s">
        <v>127</v>
      </c>
      <c r="E2013" s="2" t="s">
        <v>128</v>
      </c>
      <c r="F2013" s="2" t="s">
        <v>66</v>
      </c>
      <c r="G2013" s="2" t="s">
        <v>111</v>
      </c>
      <c r="H2013" s="2" t="s">
        <v>2318</v>
      </c>
      <c r="I2013" s="2" t="s">
        <v>47</v>
      </c>
      <c r="J2013" s="2" t="s">
        <v>48</v>
      </c>
      <c r="K2013" s="2" t="s">
        <v>6281</v>
      </c>
      <c r="L2013" s="2" t="s">
        <v>130</v>
      </c>
      <c r="M2013" s="2" t="s">
        <v>805</v>
      </c>
      <c r="N2013" s="16">
        <v>1.6199999999999999E-2</v>
      </c>
      <c r="O2013" s="17">
        <f>N2013*'Financial Inputs'!$B$3</f>
        <v>1620000</v>
      </c>
      <c r="P2013" s="18">
        <f>IF(I2013="L",'Financial Inputs'!$B$4,IF(I2013="M",'Financial Inputs'!$B$5,'Financial Inputs'!$B$6))</f>
        <v>0.4</v>
      </c>
      <c r="Q2013" s="17">
        <f>O2013*P2013</f>
        <v>648000</v>
      </c>
      <c r="R2013" s="16">
        <f>'Financial Inputs'!$B$7</f>
        <v>0.35</v>
      </c>
      <c r="S2013" s="17">
        <f>Q2013*(1-R2013)</f>
        <v>421200</v>
      </c>
      <c r="T2013" s="18">
        <f>S2013/'Financial Inputs'!$B$3</f>
        <v>4.2119999999999996E-3</v>
      </c>
      <c r="U2013" s="9" t="s">
        <v>52</v>
      </c>
      <c r="V2013" s="3" t="s">
        <v>53</v>
      </c>
    </row>
    <row r="2014" spans="1:22">
      <c r="A2014" s="2" t="s">
        <v>6282</v>
      </c>
      <c r="B2014" s="2" t="s">
        <v>6283</v>
      </c>
      <c r="C2014" s="2" t="s">
        <v>6247</v>
      </c>
      <c r="D2014" s="2" t="s">
        <v>133</v>
      </c>
      <c r="E2014" s="2" t="s">
        <v>43</v>
      </c>
      <c r="F2014" s="2" t="s">
        <v>74</v>
      </c>
      <c r="G2014" s="2" t="s">
        <v>56</v>
      </c>
      <c r="H2014" s="2" t="s">
        <v>2318</v>
      </c>
      <c r="I2014" s="2" t="s">
        <v>47</v>
      </c>
      <c r="J2014" s="2" t="s">
        <v>48</v>
      </c>
      <c r="K2014" s="2" t="s">
        <v>6284</v>
      </c>
      <c r="L2014" s="2" t="s">
        <v>135</v>
      </c>
      <c r="M2014" s="2" t="s">
        <v>805</v>
      </c>
      <c r="N2014" s="16">
        <v>1.7999999999999999E-2</v>
      </c>
      <c r="O2014" s="17">
        <f>N2014*'Financial Inputs'!$B$3</f>
        <v>1799999.9999999998</v>
      </c>
      <c r="P2014" s="18">
        <f>IF(I2014="L",'Financial Inputs'!$B$4,IF(I2014="M",'Financial Inputs'!$B$5,'Financial Inputs'!$B$6))</f>
        <v>0.4</v>
      </c>
      <c r="Q2014" s="17">
        <f>O2014*P2014</f>
        <v>720000</v>
      </c>
      <c r="R2014" s="16">
        <f>'Financial Inputs'!$B$7</f>
        <v>0.35</v>
      </c>
      <c r="S2014" s="17">
        <f>Q2014*(1-R2014)</f>
        <v>468000</v>
      </c>
      <c r="T2014" s="18">
        <f>S2014/'Financial Inputs'!$B$3</f>
        <v>4.6800000000000001E-3</v>
      </c>
      <c r="U2014" s="9" t="s">
        <v>52</v>
      </c>
      <c r="V2014" s="3" t="s">
        <v>53</v>
      </c>
    </row>
    <row r="2015" spans="1:22">
      <c r="A2015" s="2" t="s">
        <v>6285</v>
      </c>
      <c r="B2015" s="2" t="s">
        <v>6286</v>
      </c>
      <c r="C2015" s="2" t="s">
        <v>6247</v>
      </c>
      <c r="D2015" s="2" t="s">
        <v>88</v>
      </c>
      <c r="E2015" s="2" t="s">
        <v>57</v>
      </c>
      <c r="F2015" s="2" t="s">
        <v>82</v>
      </c>
      <c r="G2015" s="2" t="s">
        <v>138</v>
      </c>
      <c r="H2015" s="2" t="s">
        <v>2318</v>
      </c>
      <c r="I2015" s="2" t="s">
        <v>47</v>
      </c>
      <c r="J2015" s="2" t="s">
        <v>48</v>
      </c>
      <c r="K2015" s="2" t="s">
        <v>6287</v>
      </c>
      <c r="L2015" s="2" t="s">
        <v>140</v>
      </c>
      <c r="M2015" s="2" t="s">
        <v>805</v>
      </c>
      <c r="N2015" s="16">
        <v>1.9800000000000002E-2</v>
      </c>
      <c r="O2015" s="17">
        <f>N2015*'Financial Inputs'!$B$3</f>
        <v>1980000.0000000002</v>
      </c>
      <c r="P2015" s="18">
        <f>IF(I2015="L",'Financial Inputs'!$B$4,IF(I2015="M",'Financial Inputs'!$B$5,'Financial Inputs'!$B$6))</f>
        <v>0.4</v>
      </c>
      <c r="Q2015" s="17">
        <f>O2015*P2015</f>
        <v>792000.00000000012</v>
      </c>
      <c r="R2015" s="16">
        <f>'Financial Inputs'!$B$7</f>
        <v>0.35</v>
      </c>
      <c r="S2015" s="17">
        <f>Q2015*(1-R2015)</f>
        <v>514800.00000000012</v>
      </c>
      <c r="T2015" s="18">
        <f>S2015/'Financial Inputs'!$B$3</f>
        <v>5.1480000000000015E-3</v>
      </c>
      <c r="U2015" s="9" t="s">
        <v>52</v>
      </c>
      <c r="V2015" s="3" t="s">
        <v>53</v>
      </c>
    </row>
    <row r="2016" spans="1:22">
      <c r="A2016" s="2" t="s">
        <v>6288</v>
      </c>
      <c r="B2016" s="2" t="s">
        <v>6289</v>
      </c>
      <c r="C2016" s="2" t="s">
        <v>6247</v>
      </c>
      <c r="D2016" s="2" t="s">
        <v>95</v>
      </c>
      <c r="E2016" s="2" t="s">
        <v>65</v>
      </c>
      <c r="F2016" s="2" t="s">
        <v>44</v>
      </c>
      <c r="G2016" s="2" t="s">
        <v>143</v>
      </c>
      <c r="H2016" s="2" t="s">
        <v>2318</v>
      </c>
      <c r="I2016" s="2" t="s">
        <v>47</v>
      </c>
      <c r="J2016" s="2" t="s">
        <v>48</v>
      </c>
      <c r="K2016" s="2" t="s">
        <v>6290</v>
      </c>
      <c r="L2016" s="2" t="s">
        <v>145</v>
      </c>
      <c r="M2016" s="2" t="s">
        <v>805</v>
      </c>
      <c r="N2016" s="16">
        <v>2.1600000000000001E-2</v>
      </c>
      <c r="O2016" s="17">
        <f>N2016*'Financial Inputs'!$B$3</f>
        <v>2160000</v>
      </c>
      <c r="P2016" s="18">
        <f>IF(I2016="L",'Financial Inputs'!$B$4,IF(I2016="M",'Financial Inputs'!$B$5,'Financial Inputs'!$B$6))</f>
        <v>0.4</v>
      </c>
      <c r="Q2016" s="17">
        <f>O2016*P2016</f>
        <v>864000</v>
      </c>
      <c r="R2016" s="16">
        <f>'Financial Inputs'!$B$7</f>
        <v>0.35</v>
      </c>
      <c r="S2016" s="17">
        <f>Q2016*(1-R2016)</f>
        <v>561600</v>
      </c>
      <c r="T2016" s="18">
        <f>S2016/'Financial Inputs'!$B$3</f>
        <v>5.6160000000000003E-3</v>
      </c>
      <c r="U2016" s="9" t="s">
        <v>52</v>
      </c>
      <c r="V2016" s="3" t="s">
        <v>53</v>
      </c>
    </row>
    <row r="2017" spans="1:22">
      <c r="A2017" s="2" t="s">
        <v>6291</v>
      </c>
      <c r="B2017" s="2" t="s">
        <v>6292</v>
      </c>
      <c r="C2017" s="2" t="s">
        <v>6247</v>
      </c>
      <c r="D2017" s="2" t="s">
        <v>56</v>
      </c>
      <c r="E2017" s="2" t="s">
        <v>148</v>
      </c>
      <c r="F2017" s="2" t="s">
        <v>97</v>
      </c>
      <c r="G2017" s="2" t="s">
        <v>56</v>
      </c>
      <c r="H2017" s="2" t="s">
        <v>2318</v>
      </c>
      <c r="I2017" s="2" t="s">
        <v>47</v>
      </c>
      <c r="J2017" s="2" t="s">
        <v>48</v>
      </c>
      <c r="K2017" s="2" t="s">
        <v>6293</v>
      </c>
      <c r="L2017" s="2" t="s">
        <v>150</v>
      </c>
      <c r="M2017" s="2" t="s">
        <v>805</v>
      </c>
      <c r="N2017" s="16">
        <v>1.44E-2</v>
      </c>
      <c r="O2017" s="17">
        <f>N2017*'Financial Inputs'!$B$3</f>
        <v>1440000</v>
      </c>
      <c r="P2017" s="18">
        <f>IF(I2017="L",'Financial Inputs'!$B$4,IF(I2017="M",'Financial Inputs'!$B$5,'Financial Inputs'!$B$6))</f>
        <v>0.4</v>
      </c>
      <c r="Q2017" s="17">
        <f>O2017*P2017</f>
        <v>576000</v>
      </c>
      <c r="R2017" s="16">
        <f>'Financial Inputs'!$B$7</f>
        <v>0.35</v>
      </c>
      <c r="S2017" s="17">
        <f>Q2017*(1-R2017)</f>
        <v>374400</v>
      </c>
      <c r="T2017" s="18">
        <f>S2017/'Financial Inputs'!$B$3</f>
        <v>3.7439999999999999E-3</v>
      </c>
      <c r="U2017" s="9" t="s">
        <v>52</v>
      </c>
      <c r="V2017" s="3" t="s">
        <v>53</v>
      </c>
    </row>
    <row r="2018" spans="1:22">
      <c r="A2018" s="2" t="s">
        <v>6294</v>
      </c>
      <c r="B2018" s="2" t="s">
        <v>6295</v>
      </c>
      <c r="C2018" s="2" t="s">
        <v>6247</v>
      </c>
      <c r="D2018" s="2" t="s">
        <v>64</v>
      </c>
      <c r="E2018" s="2" t="s">
        <v>153</v>
      </c>
      <c r="F2018" s="2" t="s">
        <v>104</v>
      </c>
      <c r="G2018" s="2" t="s">
        <v>138</v>
      </c>
      <c r="H2018" s="2" t="s">
        <v>2318</v>
      </c>
      <c r="I2018" s="2" t="s">
        <v>47</v>
      </c>
      <c r="J2018" s="2" t="s">
        <v>48</v>
      </c>
      <c r="K2018" s="2" t="s">
        <v>6296</v>
      </c>
      <c r="L2018" s="2" t="s">
        <v>155</v>
      </c>
      <c r="M2018" s="2" t="s">
        <v>805</v>
      </c>
      <c r="N2018" s="16">
        <v>1.6199999999999999E-2</v>
      </c>
      <c r="O2018" s="17">
        <f>N2018*'Financial Inputs'!$B$3</f>
        <v>1620000</v>
      </c>
      <c r="P2018" s="18">
        <f>IF(I2018="L",'Financial Inputs'!$B$4,IF(I2018="M",'Financial Inputs'!$B$5,'Financial Inputs'!$B$6))</f>
        <v>0.4</v>
      </c>
      <c r="Q2018" s="17">
        <f>O2018*P2018</f>
        <v>648000</v>
      </c>
      <c r="R2018" s="16">
        <f>'Financial Inputs'!$B$7</f>
        <v>0.35</v>
      </c>
      <c r="S2018" s="17">
        <f>Q2018*(1-R2018)</f>
        <v>421200</v>
      </c>
      <c r="T2018" s="18">
        <f>S2018/'Financial Inputs'!$B$3</f>
        <v>4.2119999999999996E-3</v>
      </c>
      <c r="U2018" s="9" t="s">
        <v>52</v>
      </c>
      <c r="V2018" s="3" t="s">
        <v>53</v>
      </c>
    </row>
    <row r="2019" spans="1:22">
      <c r="A2019" s="2" t="s">
        <v>6297</v>
      </c>
      <c r="B2019" s="2" t="s">
        <v>6298</v>
      </c>
      <c r="C2019" s="2" t="s">
        <v>6247</v>
      </c>
      <c r="D2019" s="2" t="s">
        <v>72</v>
      </c>
      <c r="E2019" s="2" t="s">
        <v>89</v>
      </c>
      <c r="F2019" s="2" t="s">
        <v>110</v>
      </c>
      <c r="G2019" s="2" t="s">
        <v>143</v>
      </c>
      <c r="H2019" s="2" t="s">
        <v>2318</v>
      </c>
      <c r="I2019" s="2" t="s">
        <v>47</v>
      </c>
      <c r="J2019" s="2" t="s">
        <v>48</v>
      </c>
      <c r="K2019" s="2" t="s">
        <v>6299</v>
      </c>
      <c r="L2019" s="2" t="s">
        <v>159</v>
      </c>
      <c r="M2019" s="2" t="s">
        <v>805</v>
      </c>
      <c r="N2019" s="16">
        <v>1.7999999999999999E-2</v>
      </c>
      <c r="O2019" s="17">
        <f>N2019*'Financial Inputs'!$B$3</f>
        <v>1799999.9999999998</v>
      </c>
      <c r="P2019" s="18">
        <f>IF(I2019="L",'Financial Inputs'!$B$4,IF(I2019="M",'Financial Inputs'!$B$5,'Financial Inputs'!$B$6))</f>
        <v>0.4</v>
      </c>
      <c r="Q2019" s="17">
        <f>O2019*P2019</f>
        <v>720000</v>
      </c>
      <c r="R2019" s="16">
        <f>'Financial Inputs'!$B$7</f>
        <v>0.35</v>
      </c>
      <c r="S2019" s="17">
        <f>Q2019*(1-R2019)</f>
        <v>468000</v>
      </c>
      <c r="T2019" s="18">
        <f>S2019/'Financial Inputs'!$B$3</f>
        <v>4.6800000000000001E-3</v>
      </c>
      <c r="U2019" s="9" t="s">
        <v>52</v>
      </c>
      <c r="V2019" s="3" t="s">
        <v>53</v>
      </c>
    </row>
    <row r="2020" spans="1:22">
      <c r="A2020" s="2" t="s">
        <v>6300</v>
      </c>
      <c r="B2020" s="2" t="s">
        <v>6301</v>
      </c>
      <c r="C2020" s="2" t="s">
        <v>6247</v>
      </c>
      <c r="D2020" s="2" t="s">
        <v>80</v>
      </c>
      <c r="E2020" s="2" t="s">
        <v>96</v>
      </c>
      <c r="F2020" s="2" t="s">
        <v>117</v>
      </c>
      <c r="G2020" s="2" t="s">
        <v>162</v>
      </c>
      <c r="H2020" s="2" t="s">
        <v>2318</v>
      </c>
      <c r="I2020" s="2" t="s">
        <v>47</v>
      </c>
      <c r="J2020" s="2" t="s">
        <v>48</v>
      </c>
      <c r="K2020" s="2" t="s">
        <v>6302</v>
      </c>
      <c r="L2020" s="2" t="s">
        <v>164</v>
      </c>
      <c r="M2020" s="2" t="s">
        <v>805</v>
      </c>
      <c r="N2020" s="16">
        <v>1.9800000000000002E-2</v>
      </c>
      <c r="O2020" s="17">
        <f>N2020*'Financial Inputs'!$B$3</f>
        <v>1980000.0000000002</v>
      </c>
      <c r="P2020" s="18">
        <f>IF(I2020="L",'Financial Inputs'!$B$4,IF(I2020="M",'Financial Inputs'!$B$5,'Financial Inputs'!$B$6))</f>
        <v>0.4</v>
      </c>
      <c r="Q2020" s="17">
        <f>O2020*P2020</f>
        <v>792000.00000000012</v>
      </c>
      <c r="R2020" s="16">
        <f>'Financial Inputs'!$B$7</f>
        <v>0.35</v>
      </c>
      <c r="S2020" s="17">
        <f>Q2020*(1-R2020)</f>
        <v>514800.00000000012</v>
      </c>
      <c r="T2020" s="18">
        <f>S2020/'Financial Inputs'!$B$3</f>
        <v>5.1480000000000015E-3</v>
      </c>
      <c r="U2020" s="9" t="s">
        <v>52</v>
      </c>
      <c r="V2020" s="3" t="s">
        <v>53</v>
      </c>
    </row>
    <row r="2021" spans="1:22">
      <c r="A2021" s="2" t="s">
        <v>6303</v>
      </c>
      <c r="B2021" s="2" t="s">
        <v>6304</v>
      </c>
      <c r="C2021" s="2" t="s">
        <v>6247</v>
      </c>
      <c r="D2021" s="2" t="s">
        <v>127</v>
      </c>
      <c r="E2021" s="2" t="s">
        <v>103</v>
      </c>
      <c r="F2021" s="2" t="s">
        <v>90</v>
      </c>
      <c r="G2021" s="2" t="s">
        <v>45</v>
      </c>
      <c r="H2021" s="2" t="s">
        <v>2318</v>
      </c>
      <c r="I2021" s="2" t="s">
        <v>47</v>
      </c>
      <c r="J2021" s="2" t="s">
        <v>48</v>
      </c>
      <c r="K2021" s="2" t="s">
        <v>6305</v>
      </c>
      <c r="L2021" s="2" t="s">
        <v>168</v>
      </c>
      <c r="M2021" s="2" t="s">
        <v>805</v>
      </c>
      <c r="N2021" s="16">
        <v>2.1600000000000001E-2</v>
      </c>
      <c r="O2021" s="17">
        <f>N2021*'Financial Inputs'!$B$3</f>
        <v>2160000</v>
      </c>
      <c r="P2021" s="18">
        <f>IF(I2021="L",'Financial Inputs'!$B$4,IF(I2021="M",'Financial Inputs'!$B$5,'Financial Inputs'!$B$6))</f>
        <v>0.4</v>
      </c>
      <c r="Q2021" s="17">
        <f>O2021*P2021</f>
        <v>864000</v>
      </c>
      <c r="R2021" s="16">
        <f>'Financial Inputs'!$B$7</f>
        <v>0.35</v>
      </c>
      <c r="S2021" s="17">
        <f>Q2021*(1-R2021)</f>
        <v>561600</v>
      </c>
      <c r="T2021" s="18">
        <f>S2021/'Financial Inputs'!$B$3</f>
        <v>5.6160000000000003E-3</v>
      </c>
      <c r="U2021" s="9" t="s">
        <v>52</v>
      </c>
      <c r="V2021" s="3" t="s">
        <v>53</v>
      </c>
    </row>
    <row r="2022" spans="1:22">
      <c r="A2022" s="2" t="s">
        <v>6306</v>
      </c>
      <c r="B2022" s="2" t="s">
        <v>6307</v>
      </c>
      <c r="C2022" s="2" t="s">
        <v>6247</v>
      </c>
      <c r="D2022" s="2" t="s">
        <v>95</v>
      </c>
      <c r="E2022" s="2" t="s">
        <v>171</v>
      </c>
      <c r="F2022" s="2" t="s">
        <v>66</v>
      </c>
      <c r="G2022" s="2" t="s">
        <v>143</v>
      </c>
      <c r="H2022" s="2" t="s">
        <v>2318</v>
      </c>
      <c r="I2022" s="2" t="s">
        <v>47</v>
      </c>
      <c r="J2022" s="2" t="s">
        <v>48</v>
      </c>
      <c r="K2022" s="2" t="s">
        <v>6308</v>
      </c>
      <c r="L2022" s="2" t="s">
        <v>173</v>
      </c>
      <c r="M2022" s="2" t="s">
        <v>805</v>
      </c>
      <c r="N2022" s="16">
        <v>1.44E-2</v>
      </c>
      <c r="O2022" s="17">
        <f>N2022*'Financial Inputs'!$B$3</f>
        <v>1440000</v>
      </c>
      <c r="P2022" s="18">
        <f>IF(I2022="L",'Financial Inputs'!$B$4,IF(I2022="M",'Financial Inputs'!$B$5,'Financial Inputs'!$B$6))</f>
        <v>0.4</v>
      </c>
      <c r="Q2022" s="17">
        <f>O2022*P2022</f>
        <v>576000</v>
      </c>
      <c r="R2022" s="16">
        <f>'Financial Inputs'!$B$7</f>
        <v>0.35</v>
      </c>
      <c r="S2022" s="17">
        <f>Q2022*(1-R2022)</f>
        <v>374400</v>
      </c>
      <c r="T2022" s="18">
        <f>S2022/'Financial Inputs'!$B$3</f>
        <v>3.7439999999999999E-3</v>
      </c>
      <c r="U2022" s="9" t="s">
        <v>52</v>
      </c>
      <c r="V2022" s="3" t="s">
        <v>53</v>
      </c>
    </row>
    <row r="2023" spans="1:22">
      <c r="A2023" s="2" t="s">
        <v>6309</v>
      </c>
      <c r="B2023" s="2" t="s">
        <v>6310</v>
      </c>
      <c r="C2023" s="2" t="s">
        <v>6247</v>
      </c>
      <c r="D2023" s="2" t="s">
        <v>102</v>
      </c>
      <c r="E2023" s="2" t="s">
        <v>176</v>
      </c>
      <c r="F2023" s="2" t="s">
        <v>74</v>
      </c>
      <c r="G2023" s="2" t="s">
        <v>162</v>
      </c>
      <c r="H2023" s="2" t="s">
        <v>2318</v>
      </c>
      <c r="I2023" s="2" t="s">
        <v>47</v>
      </c>
      <c r="J2023" s="2" t="s">
        <v>48</v>
      </c>
      <c r="K2023" s="2" t="s">
        <v>6311</v>
      </c>
      <c r="L2023" s="2" t="s">
        <v>178</v>
      </c>
      <c r="M2023" s="2" t="s">
        <v>805</v>
      </c>
      <c r="N2023" s="16">
        <v>1.6199999999999999E-2</v>
      </c>
      <c r="O2023" s="17">
        <f>N2023*'Financial Inputs'!$B$3</f>
        <v>1620000</v>
      </c>
      <c r="P2023" s="18">
        <f>IF(I2023="L",'Financial Inputs'!$B$4,IF(I2023="M",'Financial Inputs'!$B$5,'Financial Inputs'!$B$6))</f>
        <v>0.4</v>
      </c>
      <c r="Q2023" s="17">
        <f>O2023*P2023</f>
        <v>648000</v>
      </c>
      <c r="R2023" s="16">
        <f>'Financial Inputs'!$B$7</f>
        <v>0.35</v>
      </c>
      <c r="S2023" s="17">
        <f>Q2023*(1-R2023)</f>
        <v>421200</v>
      </c>
      <c r="T2023" s="18">
        <f>S2023/'Financial Inputs'!$B$3</f>
        <v>4.2119999999999996E-3</v>
      </c>
      <c r="U2023" s="9" t="s">
        <v>52</v>
      </c>
      <c r="V2023" s="3" t="s">
        <v>53</v>
      </c>
    </row>
    <row r="2024" spans="1:22">
      <c r="A2024" s="2" t="s">
        <v>6312</v>
      </c>
      <c r="B2024" s="2" t="s">
        <v>6313</v>
      </c>
      <c r="C2024" s="2" t="s">
        <v>6247</v>
      </c>
      <c r="D2024" s="2" t="s">
        <v>42</v>
      </c>
      <c r="E2024" s="2" t="s">
        <v>122</v>
      </c>
      <c r="F2024" s="2" t="s">
        <v>82</v>
      </c>
      <c r="G2024" s="2" t="s">
        <v>45</v>
      </c>
      <c r="H2024" s="2" t="s">
        <v>2318</v>
      </c>
      <c r="I2024" s="2" t="s">
        <v>47</v>
      </c>
      <c r="J2024" s="2" t="s">
        <v>48</v>
      </c>
      <c r="K2024" s="2" t="s">
        <v>6314</v>
      </c>
      <c r="L2024" s="2" t="s">
        <v>182</v>
      </c>
      <c r="M2024" s="2" t="s">
        <v>805</v>
      </c>
      <c r="N2024" s="16">
        <v>1.7999999999999999E-2</v>
      </c>
      <c r="O2024" s="17">
        <f>N2024*'Financial Inputs'!$B$3</f>
        <v>1799999.9999999998</v>
      </c>
      <c r="P2024" s="18">
        <f>IF(I2024="L",'Financial Inputs'!$B$4,IF(I2024="M",'Financial Inputs'!$B$5,'Financial Inputs'!$B$6))</f>
        <v>0.4</v>
      </c>
      <c r="Q2024" s="17">
        <f>O2024*P2024</f>
        <v>720000</v>
      </c>
      <c r="R2024" s="16">
        <f>'Financial Inputs'!$B$7</f>
        <v>0.35</v>
      </c>
      <c r="S2024" s="17">
        <f>Q2024*(1-R2024)</f>
        <v>468000</v>
      </c>
      <c r="T2024" s="18">
        <f>S2024/'Financial Inputs'!$B$3</f>
        <v>4.6800000000000001E-3</v>
      </c>
      <c r="U2024" s="9" t="s">
        <v>52</v>
      </c>
      <c r="V2024" s="3" t="s">
        <v>53</v>
      </c>
    </row>
    <row r="2025" spans="1:22">
      <c r="A2025" s="2" t="s">
        <v>6315</v>
      </c>
      <c r="B2025" s="2" t="s">
        <v>6316</v>
      </c>
      <c r="C2025" s="2" t="s">
        <v>6247</v>
      </c>
      <c r="D2025" s="2" t="s">
        <v>56</v>
      </c>
      <c r="E2025" s="2" t="s">
        <v>128</v>
      </c>
      <c r="F2025" s="2" t="s">
        <v>44</v>
      </c>
      <c r="G2025" s="2" t="s">
        <v>59</v>
      </c>
      <c r="H2025" s="2" t="s">
        <v>2318</v>
      </c>
      <c r="I2025" s="2" t="s">
        <v>47</v>
      </c>
      <c r="J2025" s="2" t="s">
        <v>48</v>
      </c>
      <c r="K2025" s="2" t="s">
        <v>6317</v>
      </c>
      <c r="L2025" s="2" t="s">
        <v>186</v>
      </c>
      <c r="M2025" s="2" t="s">
        <v>805</v>
      </c>
      <c r="N2025" s="16">
        <v>1.9800000000000002E-2</v>
      </c>
      <c r="O2025" s="17">
        <f>N2025*'Financial Inputs'!$B$3</f>
        <v>1980000.0000000002</v>
      </c>
      <c r="P2025" s="18">
        <f>IF(I2025="L",'Financial Inputs'!$B$4,IF(I2025="M",'Financial Inputs'!$B$5,'Financial Inputs'!$B$6))</f>
        <v>0.4</v>
      </c>
      <c r="Q2025" s="17">
        <f>O2025*P2025</f>
        <v>792000.00000000012</v>
      </c>
      <c r="R2025" s="16">
        <f>'Financial Inputs'!$B$7</f>
        <v>0.35</v>
      </c>
      <c r="S2025" s="17">
        <f>Q2025*(1-R2025)</f>
        <v>514800.00000000012</v>
      </c>
      <c r="T2025" s="18">
        <f>S2025/'Financial Inputs'!$B$3</f>
        <v>5.1480000000000015E-3</v>
      </c>
      <c r="U2025" s="9" t="s">
        <v>52</v>
      </c>
      <c r="V2025" s="3" t="s">
        <v>53</v>
      </c>
    </row>
    <row r="2026" spans="1:22">
      <c r="A2026" s="2" t="s">
        <v>6318</v>
      </c>
      <c r="B2026" s="2" t="s">
        <v>6319</v>
      </c>
      <c r="C2026" s="2" t="s">
        <v>6247</v>
      </c>
      <c r="D2026" s="2" t="s">
        <v>64</v>
      </c>
      <c r="E2026" s="2" t="s">
        <v>43</v>
      </c>
      <c r="F2026" s="2" t="s">
        <v>58</v>
      </c>
      <c r="G2026" s="2" t="s">
        <v>67</v>
      </c>
      <c r="H2026" s="2" t="s">
        <v>2318</v>
      </c>
      <c r="I2026" s="2" t="s">
        <v>47</v>
      </c>
      <c r="J2026" s="2" t="s">
        <v>48</v>
      </c>
      <c r="K2026" s="2" t="s">
        <v>6320</v>
      </c>
      <c r="L2026" s="2" t="s">
        <v>190</v>
      </c>
      <c r="M2026" s="2" t="s">
        <v>805</v>
      </c>
      <c r="N2026" s="16">
        <v>2.1600000000000001E-2</v>
      </c>
      <c r="O2026" s="17">
        <f>N2026*'Financial Inputs'!$B$3</f>
        <v>2160000</v>
      </c>
      <c r="P2026" s="18">
        <f>IF(I2026="L",'Financial Inputs'!$B$4,IF(I2026="M",'Financial Inputs'!$B$5,'Financial Inputs'!$B$6))</f>
        <v>0.4</v>
      </c>
      <c r="Q2026" s="17">
        <f>O2026*P2026</f>
        <v>864000</v>
      </c>
      <c r="R2026" s="16">
        <f>'Financial Inputs'!$B$7</f>
        <v>0.35</v>
      </c>
      <c r="S2026" s="17">
        <f>Q2026*(1-R2026)</f>
        <v>561600</v>
      </c>
      <c r="T2026" s="18">
        <f>S2026/'Financial Inputs'!$B$3</f>
        <v>5.6160000000000003E-3</v>
      </c>
      <c r="U2026" s="9" t="s">
        <v>52</v>
      </c>
      <c r="V2026" s="3" t="s">
        <v>53</v>
      </c>
    </row>
    <row r="2027" spans="1:22">
      <c r="A2027" s="2" t="s">
        <v>6321</v>
      </c>
      <c r="B2027" s="2" t="s">
        <v>6322</v>
      </c>
      <c r="C2027" s="2" t="s">
        <v>6247</v>
      </c>
      <c r="D2027" s="2" t="s">
        <v>127</v>
      </c>
      <c r="E2027" s="2" t="s">
        <v>193</v>
      </c>
      <c r="F2027" s="2" t="s">
        <v>104</v>
      </c>
      <c r="G2027" s="2" t="s">
        <v>45</v>
      </c>
      <c r="H2027" s="2" t="s">
        <v>2318</v>
      </c>
      <c r="I2027" s="2" t="s">
        <v>47</v>
      </c>
      <c r="J2027" s="2" t="s">
        <v>48</v>
      </c>
      <c r="K2027" s="2" t="s">
        <v>6323</v>
      </c>
      <c r="L2027" s="2" t="s">
        <v>195</v>
      </c>
      <c r="M2027" s="2" t="s">
        <v>805</v>
      </c>
      <c r="N2027" s="16">
        <v>1.44E-2</v>
      </c>
      <c r="O2027" s="17">
        <f>N2027*'Financial Inputs'!$B$3</f>
        <v>1440000</v>
      </c>
      <c r="P2027" s="18">
        <f>IF(I2027="L",'Financial Inputs'!$B$4,IF(I2027="M",'Financial Inputs'!$B$5,'Financial Inputs'!$B$6))</f>
        <v>0.4</v>
      </c>
      <c r="Q2027" s="17">
        <f>O2027*P2027</f>
        <v>576000</v>
      </c>
      <c r="R2027" s="16">
        <f>'Financial Inputs'!$B$7</f>
        <v>0.35</v>
      </c>
      <c r="S2027" s="17">
        <f>Q2027*(1-R2027)</f>
        <v>374400</v>
      </c>
      <c r="T2027" s="18">
        <f>S2027/'Financial Inputs'!$B$3</f>
        <v>3.7439999999999999E-3</v>
      </c>
      <c r="U2027" s="9" t="s">
        <v>52</v>
      </c>
      <c r="V2027" s="3" t="s">
        <v>53</v>
      </c>
    </row>
    <row r="2028" spans="1:22">
      <c r="A2028" s="2" t="s">
        <v>6324</v>
      </c>
      <c r="B2028" s="2" t="s">
        <v>6325</v>
      </c>
      <c r="C2028" s="2" t="s">
        <v>6247</v>
      </c>
      <c r="D2028" s="2" t="s">
        <v>133</v>
      </c>
      <c r="E2028" s="2" t="s">
        <v>198</v>
      </c>
      <c r="F2028" s="2" t="s">
        <v>110</v>
      </c>
      <c r="G2028" s="2" t="s">
        <v>59</v>
      </c>
      <c r="H2028" s="2" t="s">
        <v>2318</v>
      </c>
      <c r="I2028" s="2" t="s">
        <v>47</v>
      </c>
      <c r="J2028" s="2" t="s">
        <v>48</v>
      </c>
      <c r="K2028" s="2" t="s">
        <v>6326</v>
      </c>
      <c r="L2028" s="2" t="s">
        <v>200</v>
      </c>
      <c r="M2028" s="2" t="s">
        <v>805</v>
      </c>
      <c r="N2028" s="16">
        <v>1.6199999999999999E-2</v>
      </c>
      <c r="O2028" s="17">
        <f>N2028*'Financial Inputs'!$B$3</f>
        <v>1620000</v>
      </c>
      <c r="P2028" s="18">
        <f>IF(I2028="L",'Financial Inputs'!$B$4,IF(I2028="M",'Financial Inputs'!$B$5,'Financial Inputs'!$B$6))</f>
        <v>0.4</v>
      </c>
      <c r="Q2028" s="17">
        <f>O2028*P2028</f>
        <v>648000</v>
      </c>
      <c r="R2028" s="16">
        <f>'Financial Inputs'!$B$7</f>
        <v>0.35</v>
      </c>
      <c r="S2028" s="17">
        <f>Q2028*(1-R2028)</f>
        <v>421200</v>
      </c>
      <c r="T2028" s="18">
        <f>S2028/'Financial Inputs'!$B$3</f>
        <v>4.2119999999999996E-3</v>
      </c>
      <c r="U2028" s="9" t="s">
        <v>52</v>
      </c>
      <c r="V2028" s="3" t="s">
        <v>53</v>
      </c>
    </row>
    <row r="2029" spans="1:22">
      <c r="A2029" s="2" t="s">
        <v>6327</v>
      </c>
      <c r="B2029" s="2" t="s">
        <v>6328</v>
      </c>
      <c r="C2029" s="2" t="s">
        <v>6247</v>
      </c>
      <c r="D2029" s="2" t="s">
        <v>88</v>
      </c>
      <c r="E2029" s="2" t="s">
        <v>148</v>
      </c>
      <c r="F2029" s="2" t="s">
        <v>117</v>
      </c>
      <c r="G2029" s="2" t="s">
        <v>67</v>
      </c>
      <c r="H2029" s="2" t="s">
        <v>2318</v>
      </c>
      <c r="I2029" s="2" t="s">
        <v>47</v>
      </c>
      <c r="J2029" s="2" t="s">
        <v>48</v>
      </c>
      <c r="K2029" s="2" t="s">
        <v>6329</v>
      </c>
      <c r="L2029" s="2" t="s">
        <v>204</v>
      </c>
      <c r="M2029" s="2" t="s">
        <v>805</v>
      </c>
      <c r="N2029" s="16">
        <v>1.7999999999999999E-2</v>
      </c>
      <c r="O2029" s="17">
        <f>N2029*'Financial Inputs'!$B$3</f>
        <v>1799999.9999999998</v>
      </c>
      <c r="P2029" s="18">
        <f>IF(I2029="L",'Financial Inputs'!$B$4,IF(I2029="M",'Financial Inputs'!$B$5,'Financial Inputs'!$B$6))</f>
        <v>0.4</v>
      </c>
      <c r="Q2029" s="17">
        <f>O2029*P2029</f>
        <v>720000</v>
      </c>
      <c r="R2029" s="16">
        <f>'Financial Inputs'!$B$7</f>
        <v>0.35</v>
      </c>
      <c r="S2029" s="17">
        <f>Q2029*(1-R2029)</f>
        <v>468000</v>
      </c>
      <c r="T2029" s="18">
        <f>S2029/'Financial Inputs'!$B$3</f>
        <v>4.6800000000000001E-3</v>
      </c>
      <c r="U2029" s="9" t="s">
        <v>52</v>
      </c>
      <c r="V2029" s="3" t="s">
        <v>53</v>
      </c>
    </row>
    <row r="2030" spans="1:22">
      <c r="A2030" s="2" t="s">
        <v>6330</v>
      </c>
      <c r="B2030" s="2" t="s">
        <v>6331</v>
      </c>
      <c r="C2030" s="2" t="s">
        <v>6247</v>
      </c>
      <c r="D2030" s="2" t="s">
        <v>95</v>
      </c>
      <c r="E2030" s="2" t="s">
        <v>153</v>
      </c>
      <c r="F2030" s="2" t="s">
        <v>90</v>
      </c>
      <c r="G2030" s="2" t="s">
        <v>75</v>
      </c>
      <c r="H2030" s="2" t="s">
        <v>2318</v>
      </c>
      <c r="I2030" s="2" t="s">
        <v>47</v>
      </c>
      <c r="J2030" s="2" t="s">
        <v>48</v>
      </c>
      <c r="K2030" s="2" t="s">
        <v>6332</v>
      </c>
      <c r="L2030" s="2" t="s">
        <v>208</v>
      </c>
      <c r="M2030" s="2" t="s">
        <v>805</v>
      </c>
      <c r="N2030" s="16">
        <v>1.9800000000000002E-2</v>
      </c>
      <c r="O2030" s="17">
        <f>N2030*'Financial Inputs'!$B$3</f>
        <v>1980000.0000000002</v>
      </c>
      <c r="P2030" s="18">
        <f>IF(I2030="L",'Financial Inputs'!$B$4,IF(I2030="M",'Financial Inputs'!$B$5,'Financial Inputs'!$B$6))</f>
        <v>0.4</v>
      </c>
      <c r="Q2030" s="17">
        <f>O2030*P2030</f>
        <v>792000.00000000012</v>
      </c>
      <c r="R2030" s="16">
        <f>'Financial Inputs'!$B$7</f>
        <v>0.35</v>
      </c>
      <c r="S2030" s="17">
        <f>Q2030*(1-R2030)</f>
        <v>514800.00000000012</v>
      </c>
      <c r="T2030" s="18">
        <f>S2030/'Financial Inputs'!$B$3</f>
        <v>5.1480000000000015E-3</v>
      </c>
      <c r="U2030" s="9" t="s">
        <v>52</v>
      </c>
      <c r="V2030" s="3" t="s">
        <v>53</v>
      </c>
    </row>
    <row r="2031" spans="1:22">
      <c r="A2031" s="2" t="s">
        <v>6333</v>
      </c>
      <c r="B2031" s="2" t="s">
        <v>6334</v>
      </c>
      <c r="C2031" s="2" t="s">
        <v>6247</v>
      </c>
      <c r="D2031" s="2" t="s">
        <v>102</v>
      </c>
      <c r="E2031" s="2" t="s">
        <v>89</v>
      </c>
      <c r="F2031" s="2" t="s">
        <v>97</v>
      </c>
      <c r="G2031" s="2" t="s">
        <v>83</v>
      </c>
      <c r="H2031" s="2" t="s">
        <v>2318</v>
      </c>
      <c r="I2031" s="2" t="s">
        <v>47</v>
      </c>
      <c r="J2031" s="2" t="s">
        <v>48</v>
      </c>
      <c r="K2031" s="2" t="s">
        <v>6335</v>
      </c>
      <c r="L2031" s="2" t="s">
        <v>212</v>
      </c>
      <c r="M2031" s="2" t="s">
        <v>805</v>
      </c>
      <c r="N2031" s="16">
        <v>2.1600000000000001E-2</v>
      </c>
      <c r="O2031" s="17">
        <f>N2031*'Financial Inputs'!$B$3</f>
        <v>2160000</v>
      </c>
      <c r="P2031" s="18">
        <f>IF(I2031="L",'Financial Inputs'!$B$4,IF(I2031="M",'Financial Inputs'!$B$5,'Financial Inputs'!$B$6))</f>
        <v>0.4</v>
      </c>
      <c r="Q2031" s="17">
        <f>O2031*P2031</f>
        <v>864000</v>
      </c>
      <c r="R2031" s="16">
        <f>'Financial Inputs'!$B$7</f>
        <v>0.35</v>
      </c>
      <c r="S2031" s="17">
        <f>Q2031*(1-R2031)</f>
        <v>561600</v>
      </c>
      <c r="T2031" s="18">
        <f>S2031/'Financial Inputs'!$B$3</f>
        <v>5.6160000000000003E-3</v>
      </c>
      <c r="U2031" s="9" t="s">
        <v>52</v>
      </c>
      <c r="V2031" s="3" t="s">
        <v>53</v>
      </c>
    </row>
    <row r="2032" spans="1:22">
      <c r="A2032" s="2" t="s">
        <v>6336</v>
      </c>
      <c r="B2032" s="2" t="s">
        <v>6337</v>
      </c>
      <c r="C2032" s="2" t="s">
        <v>6247</v>
      </c>
      <c r="D2032" s="2" t="s">
        <v>64</v>
      </c>
      <c r="E2032" s="2" t="s">
        <v>215</v>
      </c>
      <c r="F2032" s="2" t="s">
        <v>74</v>
      </c>
      <c r="G2032" s="2" t="s">
        <v>67</v>
      </c>
      <c r="H2032" s="2" t="s">
        <v>2318</v>
      </c>
      <c r="I2032" s="2" t="s">
        <v>47</v>
      </c>
      <c r="J2032" s="2" t="s">
        <v>48</v>
      </c>
      <c r="K2032" s="2" t="s">
        <v>6338</v>
      </c>
      <c r="L2032" s="2" t="s">
        <v>217</v>
      </c>
      <c r="M2032" s="2" t="s">
        <v>805</v>
      </c>
      <c r="N2032" s="16">
        <v>1.44E-2</v>
      </c>
      <c r="O2032" s="17">
        <f>N2032*'Financial Inputs'!$B$3</f>
        <v>1440000</v>
      </c>
      <c r="P2032" s="18">
        <f>IF(I2032="L",'Financial Inputs'!$B$4,IF(I2032="M",'Financial Inputs'!$B$5,'Financial Inputs'!$B$6))</f>
        <v>0.4</v>
      </c>
      <c r="Q2032" s="17">
        <f>O2032*P2032</f>
        <v>576000</v>
      </c>
      <c r="R2032" s="16">
        <f>'Financial Inputs'!$B$7</f>
        <v>0.35</v>
      </c>
      <c r="S2032" s="17">
        <f>Q2032*(1-R2032)</f>
        <v>374400</v>
      </c>
      <c r="T2032" s="18">
        <f>S2032/'Financial Inputs'!$B$3</f>
        <v>3.7439999999999999E-3</v>
      </c>
      <c r="U2032" s="9" t="s">
        <v>52</v>
      </c>
      <c r="V2032" s="3" t="s">
        <v>53</v>
      </c>
    </row>
    <row r="2033" spans="1:22">
      <c r="A2033" s="2" t="s">
        <v>6339</v>
      </c>
      <c r="B2033" s="2" t="s">
        <v>6340</v>
      </c>
      <c r="C2033" s="2" t="s">
        <v>6247</v>
      </c>
      <c r="D2033" s="2" t="s">
        <v>72</v>
      </c>
      <c r="E2033" s="2" t="s">
        <v>220</v>
      </c>
      <c r="F2033" s="2" t="s">
        <v>82</v>
      </c>
      <c r="G2033" s="2" t="s">
        <v>75</v>
      </c>
      <c r="H2033" s="2" t="s">
        <v>2318</v>
      </c>
      <c r="I2033" s="2" t="s">
        <v>47</v>
      </c>
      <c r="J2033" s="2" t="s">
        <v>48</v>
      </c>
      <c r="K2033" s="2" t="s">
        <v>6341</v>
      </c>
      <c r="L2033" s="2" t="s">
        <v>222</v>
      </c>
      <c r="M2033" s="2" t="s">
        <v>805</v>
      </c>
      <c r="N2033" s="16">
        <v>1.6199999999999999E-2</v>
      </c>
      <c r="O2033" s="17">
        <f>N2033*'Financial Inputs'!$B$3</f>
        <v>1620000</v>
      </c>
      <c r="P2033" s="18">
        <f>IF(I2033="L",'Financial Inputs'!$B$4,IF(I2033="M",'Financial Inputs'!$B$5,'Financial Inputs'!$B$6))</f>
        <v>0.4</v>
      </c>
      <c r="Q2033" s="17">
        <f>O2033*P2033</f>
        <v>648000</v>
      </c>
      <c r="R2033" s="16">
        <f>'Financial Inputs'!$B$7</f>
        <v>0.35</v>
      </c>
      <c r="S2033" s="17">
        <f>Q2033*(1-R2033)</f>
        <v>421200</v>
      </c>
      <c r="T2033" s="18">
        <f>S2033/'Financial Inputs'!$B$3</f>
        <v>4.2119999999999996E-3</v>
      </c>
      <c r="U2033" s="9" t="s">
        <v>52</v>
      </c>
      <c r="V2033" s="3" t="s">
        <v>53</v>
      </c>
    </row>
    <row r="2034" spans="1:22">
      <c r="A2034" s="2" t="s">
        <v>6342</v>
      </c>
      <c r="B2034" s="2" t="s">
        <v>6343</v>
      </c>
      <c r="C2034" s="2" t="s">
        <v>6247</v>
      </c>
      <c r="D2034" s="2" t="s">
        <v>80</v>
      </c>
      <c r="E2034" s="2" t="s">
        <v>171</v>
      </c>
      <c r="F2034" s="2" t="s">
        <v>44</v>
      </c>
      <c r="G2034" s="2" t="s">
        <v>83</v>
      </c>
      <c r="H2034" s="2" t="s">
        <v>2318</v>
      </c>
      <c r="I2034" s="2" t="s">
        <v>47</v>
      </c>
      <c r="J2034" s="2" t="s">
        <v>48</v>
      </c>
      <c r="K2034" s="2" t="s">
        <v>6344</v>
      </c>
      <c r="L2034" s="2" t="s">
        <v>226</v>
      </c>
      <c r="M2034" s="2" t="s">
        <v>805</v>
      </c>
      <c r="N2034" s="16">
        <v>1.7999999999999999E-2</v>
      </c>
      <c r="O2034" s="17">
        <f>N2034*'Financial Inputs'!$B$3</f>
        <v>1799999.9999999998</v>
      </c>
      <c r="P2034" s="18">
        <f>IF(I2034="L",'Financial Inputs'!$B$4,IF(I2034="M",'Financial Inputs'!$B$5,'Financial Inputs'!$B$6))</f>
        <v>0.4</v>
      </c>
      <c r="Q2034" s="17">
        <f>O2034*P2034</f>
        <v>720000</v>
      </c>
      <c r="R2034" s="16">
        <f>'Financial Inputs'!$B$7</f>
        <v>0.35</v>
      </c>
      <c r="S2034" s="17">
        <f>Q2034*(1-R2034)</f>
        <v>468000</v>
      </c>
      <c r="T2034" s="18">
        <f>S2034/'Financial Inputs'!$B$3</f>
        <v>4.6800000000000001E-3</v>
      </c>
      <c r="U2034" s="9" t="s">
        <v>52</v>
      </c>
      <c r="V2034" s="3" t="s">
        <v>53</v>
      </c>
    </row>
    <row r="2035" spans="1:22">
      <c r="A2035" s="2" t="s">
        <v>6345</v>
      </c>
      <c r="B2035" s="2" t="s">
        <v>6346</v>
      </c>
      <c r="C2035" s="2" t="s">
        <v>6247</v>
      </c>
      <c r="D2035" s="2" t="s">
        <v>127</v>
      </c>
      <c r="E2035" s="2" t="s">
        <v>176</v>
      </c>
      <c r="F2035" s="2" t="s">
        <v>58</v>
      </c>
      <c r="G2035" s="2" t="s">
        <v>111</v>
      </c>
      <c r="H2035" s="2" t="s">
        <v>2318</v>
      </c>
      <c r="I2035" s="2" t="s">
        <v>47</v>
      </c>
      <c r="J2035" s="2" t="s">
        <v>48</v>
      </c>
      <c r="K2035" s="2" t="s">
        <v>6347</v>
      </c>
      <c r="L2035" s="2" t="s">
        <v>230</v>
      </c>
      <c r="M2035" s="2" t="s">
        <v>805</v>
      </c>
      <c r="N2035" s="16">
        <v>1.9800000000000002E-2</v>
      </c>
      <c r="O2035" s="17">
        <f>N2035*'Financial Inputs'!$B$3</f>
        <v>1980000.0000000002</v>
      </c>
      <c r="P2035" s="18">
        <f>IF(I2035="L",'Financial Inputs'!$B$4,IF(I2035="M",'Financial Inputs'!$B$5,'Financial Inputs'!$B$6))</f>
        <v>0.4</v>
      </c>
      <c r="Q2035" s="17">
        <f>O2035*P2035</f>
        <v>792000.00000000012</v>
      </c>
      <c r="R2035" s="16">
        <f>'Financial Inputs'!$B$7</f>
        <v>0.35</v>
      </c>
      <c r="S2035" s="17">
        <f>Q2035*(1-R2035)</f>
        <v>514800.00000000012</v>
      </c>
      <c r="T2035" s="18">
        <f>S2035/'Financial Inputs'!$B$3</f>
        <v>5.1480000000000015E-3</v>
      </c>
      <c r="U2035" s="9" t="s">
        <v>52</v>
      </c>
      <c r="V2035" s="3" t="s">
        <v>53</v>
      </c>
    </row>
    <row r="2036" spans="1:22">
      <c r="A2036" s="2" t="s">
        <v>6348</v>
      </c>
      <c r="B2036" s="2" t="s">
        <v>6349</v>
      </c>
      <c r="C2036" s="2" t="s">
        <v>6247</v>
      </c>
      <c r="D2036" s="2" t="s">
        <v>133</v>
      </c>
      <c r="E2036" s="2" t="s">
        <v>122</v>
      </c>
      <c r="F2036" s="2" t="s">
        <v>66</v>
      </c>
      <c r="G2036" s="2" t="s">
        <v>56</v>
      </c>
      <c r="H2036" s="2" t="s">
        <v>2318</v>
      </c>
      <c r="I2036" s="2" t="s">
        <v>47</v>
      </c>
      <c r="J2036" s="2" t="s">
        <v>48</v>
      </c>
      <c r="K2036" s="2" t="s">
        <v>6350</v>
      </c>
      <c r="L2036" s="2" t="s">
        <v>234</v>
      </c>
      <c r="M2036" s="2" t="s">
        <v>805</v>
      </c>
      <c r="N2036" s="16">
        <v>2.1600000000000001E-2</v>
      </c>
      <c r="O2036" s="17">
        <f>N2036*'Financial Inputs'!$B$3</f>
        <v>2160000</v>
      </c>
      <c r="P2036" s="18">
        <f>IF(I2036="L",'Financial Inputs'!$B$4,IF(I2036="M",'Financial Inputs'!$B$5,'Financial Inputs'!$B$6))</f>
        <v>0.4</v>
      </c>
      <c r="Q2036" s="17">
        <f>O2036*P2036</f>
        <v>864000</v>
      </c>
      <c r="R2036" s="16">
        <f>'Financial Inputs'!$B$7</f>
        <v>0.35</v>
      </c>
      <c r="S2036" s="17">
        <f>Q2036*(1-R2036)</f>
        <v>561600</v>
      </c>
      <c r="T2036" s="18">
        <f>S2036/'Financial Inputs'!$B$3</f>
        <v>5.6160000000000003E-3</v>
      </c>
      <c r="U2036" s="9" t="s">
        <v>52</v>
      </c>
      <c r="V2036" s="3" t="s">
        <v>53</v>
      </c>
    </row>
    <row r="2037" spans="1:22">
      <c r="A2037" s="2" t="s">
        <v>6351</v>
      </c>
      <c r="B2037" s="2" t="s">
        <v>6352</v>
      </c>
      <c r="C2037" s="2" t="s">
        <v>6247</v>
      </c>
      <c r="D2037" s="2" t="s">
        <v>102</v>
      </c>
      <c r="E2037" s="2" t="s">
        <v>73</v>
      </c>
      <c r="F2037" s="2" t="s">
        <v>110</v>
      </c>
      <c r="G2037" s="2" t="s">
        <v>83</v>
      </c>
      <c r="H2037" s="2" t="s">
        <v>2318</v>
      </c>
      <c r="I2037" s="2" t="s">
        <v>47</v>
      </c>
      <c r="J2037" s="2" t="s">
        <v>48</v>
      </c>
      <c r="K2037" s="2" t="s">
        <v>6353</v>
      </c>
      <c r="L2037" s="2" t="s">
        <v>238</v>
      </c>
      <c r="M2037" s="2" t="s">
        <v>805</v>
      </c>
      <c r="N2037" s="16">
        <v>1.44E-2</v>
      </c>
      <c r="O2037" s="17">
        <f>N2037*'Financial Inputs'!$B$3</f>
        <v>1440000</v>
      </c>
      <c r="P2037" s="18">
        <f>IF(I2037="L",'Financial Inputs'!$B$4,IF(I2037="M",'Financial Inputs'!$B$5,'Financial Inputs'!$B$6))</f>
        <v>0.4</v>
      </c>
      <c r="Q2037" s="17">
        <f>O2037*P2037</f>
        <v>576000</v>
      </c>
      <c r="R2037" s="16">
        <f>'Financial Inputs'!$B$7</f>
        <v>0.35</v>
      </c>
      <c r="S2037" s="17">
        <f>Q2037*(1-R2037)</f>
        <v>374400</v>
      </c>
      <c r="T2037" s="18">
        <f>S2037/'Financial Inputs'!$B$3</f>
        <v>3.7439999999999999E-3</v>
      </c>
      <c r="U2037" s="9" t="s">
        <v>52</v>
      </c>
      <c r="V2037" s="3" t="s">
        <v>53</v>
      </c>
    </row>
    <row r="2038" spans="1:22">
      <c r="A2038" s="2" t="s">
        <v>6354</v>
      </c>
      <c r="B2038" s="2" t="s">
        <v>6355</v>
      </c>
      <c r="C2038" s="2" t="s">
        <v>6247</v>
      </c>
      <c r="D2038" s="2" t="s">
        <v>42</v>
      </c>
      <c r="E2038" s="2" t="s">
        <v>81</v>
      </c>
      <c r="F2038" s="2" t="s">
        <v>117</v>
      </c>
      <c r="G2038" s="2" t="s">
        <v>111</v>
      </c>
      <c r="H2038" s="2" t="s">
        <v>2318</v>
      </c>
      <c r="I2038" s="2" t="s">
        <v>47</v>
      </c>
      <c r="J2038" s="2" t="s">
        <v>48</v>
      </c>
      <c r="K2038" s="2" t="s">
        <v>6356</v>
      </c>
      <c r="L2038" s="2" t="s">
        <v>242</v>
      </c>
      <c r="M2038" s="2" t="s">
        <v>805</v>
      </c>
      <c r="N2038" s="16">
        <v>1.6199999999999999E-2</v>
      </c>
      <c r="O2038" s="17">
        <f>N2038*'Financial Inputs'!$B$3</f>
        <v>1620000</v>
      </c>
      <c r="P2038" s="18">
        <f>IF(I2038="L",'Financial Inputs'!$B$4,IF(I2038="M",'Financial Inputs'!$B$5,'Financial Inputs'!$B$6))</f>
        <v>0.4</v>
      </c>
      <c r="Q2038" s="17">
        <f>O2038*P2038</f>
        <v>648000</v>
      </c>
      <c r="R2038" s="16">
        <f>'Financial Inputs'!$B$7</f>
        <v>0.35</v>
      </c>
      <c r="S2038" s="17">
        <f>Q2038*(1-R2038)</f>
        <v>421200</v>
      </c>
      <c r="T2038" s="18">
        <f>S2038/'Financial Inputs'!$B$3</f>
        <v>4.2119999999999996E-3</v>
      </c>
      <c r="U2038" s="9" t="s">
        <v>52</v>
      </c>
      <c r="V2038" s="3" t="s">
        <v>53</v>
      </c>
    </row>
    <row r="2039" spans="1:22">
      <c r="A2039" s="2" t="s">
        <v>6357</v>
      </c>
      <c r="B2039" s="2" t="s">
        <v>6358</v>
      </c>
      <c r="C2039" s="2" t="s">
        <v>6247</v>
      </c>
      <c r="D2039" s="2" t="s">
        <v>56</v>
      </c>
      <c r="E2039" s="2" t="s">
        <v>193</v>
      </c>
      <c r="F2039" s="2" t="s">
        <v>90</v>
      </c>
      <c r="G2039" s="2" t="s">
        <v>56</v>
      </c>
      <c r="H2039" s="2" t="s">
        <v>2318</v>
      </c>
      <c r="I2039" s="2" t="s">
        <v>47</v>
      </c>
      <c r="J2039" s="2" t="s">
        <v>48</v>
      </c>
      <c r="K2039" s="2" t="s">
        <v>6359</v>
      </c>
      <c r="L2039" s="2" t="s">
        <v>246</v>
      </c>
      <c r="M2039" s="2" t="s">
        <v>805</v>
      </c>
      <c r="N2039" s="16">
        <v>1.7999999999999999E-2</v>
      </c>
      <c r="O2039" s="17">
        <f>N2039*'Financial Inputs'!$B$3</f>
        <v>1799999.9999999998</v>
      </c>
      <c r="P2039" s="18">
        <f>IF(I2039="L",'Financial Inputs'!$B$4,IF(I2039="M",'Financial Inputs'!$B$5,'Financial Inputs'!$B$6))</f>
        <v>0.4</v>
      </c>
      <c r="Q2039" s="17">
        <f>O2039*P2039</f>
        <v>720000</v>
      </c>
      <c r="R2039" s="16">
        <f>'Financial Inputs'!$B$7</f>
        <v>0.35</v>
      </c>
      <c r="S2039" s="17">
        <f>Q2039*(1-R2039)</f>
        <v>468000</v>
      </c>
      <c r="T2039" s="18">
        <f>S2039/'Financial Inputs'!$B$3</f>
        <v>4.6800000000000001E-3</v>
      </c>
      <c r="U2039" s="9" t="s">
        <v>52</v>
      </c>
      <c r="V2039" s="3" t="s">
        <v>53</v>
      </c>
    </row>
    <row r="2040" spans="1:22">
      <c r="A2040" s="2" t="s">
        <v>6360</v>
      </c>
      <c r="B2040" s="2" t="s">
        <v>6361</v>
      </c>
      <c r="C2040" s="2" t="s">
        <v>6247</v>
      </c>
      <c r="D2040" s="2" t="s">
        <v>64</v>
      </c>
      <c r="E2040" s="2" t="s">
        <v>198</v>
      </c>
      <c r="F2040" s="2" t="s">
        <v>97</v>
      </c>
      <c r="G2040" s="2" t="s">
        <v>138</v>
      </c>
      <c r="H2040" s="2" t="s">
        <v>2318</v>
      </c>
      <c r="I2040" s="2" t="s">
        <v>47</v>
      </c>
      <c r="J2040" s="2" t="s">
        <v>48</v>
      </c>
      <c r="K2040" s="2" t="s">
        <v>6362</v>
      </c>
      <c r="L2040" s="2" t="s">
        <v>250</v>
      </c>
      <c r="M2040" s="2" t="s">
        <v>805</v>
      </c>
      <c r="N2040" s="16">
        <v>1.9800000000000002E-2</v>
      </c>
      <c r="O2040" s="17">
        <f>N2040*'Financial Inputs'!$B$3</f>
        <v>1980000.0000000002</v>
      </c>
      <c r="P2040" s="18">
        <f>IF(I2040="L",'Financial Inputs'!$B$4,IF(I2040="M",'Financial Inputs'!$B$5,'Financial Inputs'!$B$6))</f>
        <v>0.4</v>
      </c>
      <c r="Q2040" s="17">
        <f>O2040*P2040</f>
        <v>792000.00000000012</v>
      </c>
      <c r="R2040" s="16">
        <f>'Financial Inputs'!$B$7</f>
        <v>0.35</v>
      </c>
      <c r="S2040" s="17">
        <f>Q2040*(1-R2040)</f>
        <v>514800.00000000012</v>
      </c>
      <c r="T2040" s="18">
        <f>S2040/'Financial Inputs'!$B$3</f>
        <v>5.1480000000000015E-3</v>
      </c>
      <c r="U2040" s="9" t="s">
        <v>52</v>
      </c>
      <c r="V2040" s="3" t="s">
        <v>53</v>
      </c>
    </row>
    <row r="2041" spans="1:22">
      <c r="A2041" s="2" t="s">
        <v>6363</v>
      </c>
      <c r="B2041" s="2" t="s">
        <v>6364</v>
      </c>
      <c r="C2041" s="2" t="s">
        <v>6247</v>
      </c>
      <c r="D2041" s="2" t="s">
        <v>72</v>
      </c>
      <c r="E2041" s="2" t="s">
        <v>148</v>
      </c>
      <c r="F2041" s="2" t="s">
        <v>104</v>
      </c>
      <c r="G2041" s="2" t="s">
        <v>143</v>
      </c>
      <c r="H2041" s="2" t="s">
        <v>2318</v>
      </c>
      <c r="I2041" s="2" t="s">
        <v>47</v>
      </c>
      <c r="J2041" s="2" t="s">
        <v>48</v>
      </c>
      <c r="K2041" s="2" t="s">
        <v>6365</v>
      </c>
      <c r="L2041" s="2" t="s">
        <v>254</v>
      </c>
      <c r="M2041" s="2" t="s">
        <v>805</v>
      </c>
      <c r="N2041" s="16">
        <v>2.1600000000000001E-2</v>
      </c>
      <c r="O2041" s="17">
        <f>N2041*'Financial Inputs'!$B$3</f>
        <v>2160000</v>
      </c>
      <c r="P2041" s="18">
        <f>IF(I2041="L",'Financial Inputs'!$B$4,IF(I2041="M",'Financial Inputs'!$B$5,'Financial Inputs'!$B$6))</f>
        <v>0.4</v>
      </c>
      <c r="Q2041" s="17">
        <f>O2041*P2041</f>
        <v>864000</v>
      </c>
      <c r="R2041" s="16">
        <f>'Financial Inputs'!$B$7</f>
        <v>0.35</v>
      </c>
      <c r="S2041" s="17">
        <f>Q2041*(1-R2041)</f>
        <v>561600</v>
      </c>
      <c r="T2041" s="18">
        <f>S2041/'Financial Inputs'!$B$3</f>
        <v>5.6160000000000003E-3</v>
      </c>
      <c r="U2041" s="9" t="s">
        <v>52</v>
      </c>
      <c r="V2041" s="3" t="s">
        <v>53</v>
      </c>
    </row>
    <row r="2042" spans="1:22">
      <c r="A2042" s="2" t="s">
        <v>6366</v>
      </c>
      <c r="B2042" s="2" t="s">
        <v>6367</v>
      </c>
      <c r="C2042" s="2" t="s">
        <v>6247</v>
      </c>
      <c r="D2042" s="2" t="s">
        <v>133</v>
      </c>
      <c r="E2042" s="2" t="s">
        <v>109</v>
      </c>
      <c r="F2042" s="2" t="s">
        <v>82</v>
      </c>
      <c r="G2042" s="2" t="s">
        <v>56</v>
      </c>
      <c r="H2042" s="2" t="s">
        <v>2318</v>
      </c>
      <c r="I2042" s="2" t="s">
        <v>47</v>
      </c>
      <c r="J2042" s="2" t="s">
        <v>48</v>
      </c>
      <c r="K2042" s="2" t="s">
        <v>6368</v>
      </c>
      <c r="L2042" s="2" t="s">
        <v>258</v>
      </c>
      <c r="M2042" s="2" t="s">
        <v>805</v>
      </c>
      <c r="N2042" s="16">
        <v>1.44E-2</v>
      </c>
      <c r="O2042" s="17">
        <f>N2042*'Financial Inputs'!$B$3</f>
        <v>1440000</v>
      </c>
      <c r="P2042" s="18">
        <f>IF(I2042="L",'Financial Inputs'!$B$4,IF(I2042="M",'Financial Inputs'!$B$5,'Financial Inputs'!$B$6))</f>
        <v>0.4</v>
      </c>
      <c r="Q2042" s="17">
        <f>O2042*P2042</f>
        <v>576000</v>
      </c>
      <c r="R2042" s="16">
        <f>'Financial Inputs'!$B$7</f>
        <v>0.35</v>
      </c>
      <c r="S2042" s="17">
        <f>Q2042*(1-R2042)</f>
        <v>374400</v>
      </c>
      <c r="T2042" s="18">
        <f>S2042/'Financial Inputs'!$B$3</f>
        <v>3.7439999999999999E-3</v>
      </c>
      <c r="U2042" s="9" t="s">
        <v>52</v>
      </c>
      <c r="V2042" s="3" t="s">
        <v>53</v>
      </c>
    </row>
    <row r="2043" spans="1:22">
      <c r="A2043" s="2" t="s">
        <v>6369</v>
      </c>
      <c r="B2043" s="2" t="s">
        <v>6370</v>
      </c>
      <c r="C2043" s="2" t="s">
        <v>6247</v>
      </c>
      <c r="D2043" s="2" t="s">
        <v>88</v>
      </c>
      <c r="E2043" s="2" t="s">
        <v>116</v>
      </c>
      <c r="F2043" s="2" t="s">
        <v>44</v>
      </c>
      <c r="G2043" s="2" t="s">
        <v>138</v>
      </c>
      <c r="H2043" s="2" t="s">
        <v>2318</v>
      </c>
      <c r="I2043" s="2" t="s">
        <v>47</v>
      </c>
      <c r="J2043" s="2" t="s">
        <v>48</v>
      </c>
      <c r="K2043" s="2" t="s">
        <v>6371</v>
      </c>
      <c r="L2043" s="2" t="s">
        <v>262</v>
      </c>
      <c r="M2043" s="2" t="s">
        <v>805</v>
      </c>
      <c r="N2043" s="16">
        <v>1.6199999999999999E-2</v>
      </c>
      <c r="O2043" s="17">
        <f>N2043*'Financial Inputs'!$B$3</f>
        <v>1620000</v>
      </c>
      <c r="P2043" s="18">
        <f>IF(I2043="L",'Financial Inputs'!$B$4,IF(I2043="M",'Financial Inputs'!$B$5,'Financial Inputs'!$B$6))</f>
        <v>0.4</v>
      </c>
      <c r="Q2043" s="17">
        <f>O2043*P2043</f>
        <v>648000</v>
      </c>
      <c r="R2043" s="16">
        <f>'Financial Inputs'!$B$7</f>
        <v>0.35</v>
      </c>
      <c r="S2043" s="17">
        <f>Q2043*(1-R2043)</f>
        <v>421200</v>
      </c>
      <c r="T2043" s="18">
        <f>S2043/'Financial Inputs'!$B$3</f>
        <v>4.2119999999999996E-3</v>
      </c>
      <c r="U2043" s="9" t="s">
        <v>52</v>
      </c>
      <c r="V2043" s="3" t="s">
        <v>53</v>
      </c>
    </row>
    <row r="2044" spans="1:22">
      <c r="A2044" s="2" t="s">
        <v>6372</v>
      </c>
      <c r="B2044" s="2" t="s">
        <v>6373</v>
      </c>
      <c r="C2044" s="2" t="s">
        <v>6247</v>
      </c>
      <c r="D2044" s="2" t="s">
        <v>95</v>
      </c>
      <c r="E2044" s="2" t="s">
        <v>215</v>
      </c>
      <c r="F2044" s="2" t="s">
        <v>58</v>
      </c>
      <c r="G2044" s="2" t="s">
        <v>143</v>
      </c>
      <c r="H2044" s="2" t="s">
        <v>2318</v>
      </c>
      <c r="I2044" s="2" t="s">
        <v>47</v>
      </c>
      <c r="J2044" s="2" t="s">
        <v>48</v>
      </c>
      <c r="K2044" s="2" t="s">
        <v>6374</v>
      </c>
      <c r="L2044" s="2" t="s">
        <v>266</v>
      </c>
      <c r="M2044" s="2" t="s">
        <v>805</v>
      </c>
      <c r="N2044" s="16">
        <v>1.7999999999999999E-2</v>
      </c>
      <c r="O2044" s="17">
        <f>N2044*'Financial Inputs'!$B$3</f>
        <v>1799999.9999999998</v>
      </c>
      <c r="P2044" s="18">
        <f>IF(I2044="L",'Financial Inputs'!$B$4,IF(I2044="M",'Financial Inputs'!$B$5,'Financial Inputs'!$B$6))</f>
        <v>0.4</v>
      </c>
      <c r="Q2044" s="17">
        <f>O2044*P2044</f>
        <v>720000</v>
      </c>
      <c r="R2044" s="16">
        <f>'Financial Inputs'!$B$7</f>
        <v>0.35</v>
      </c>
      <c r="S2044" s="17">
        <f>Q2044*(1-R2044)</f>
        <v>468000</v>
      </c>
      <c r="T2044" s="18">
        <f>S2044/'Financial Inputs'!$B$3</f>
        <v>4.6800000000000001E-3</v>
      </c>
      <c r="U2044" s="9" t="s">
        <v>52</v>
      </c>
      <c r="V2044" s="3" t="s">
        <v>53</v>
      </c>
    </row>
    <row r="2045" spans="1:22">
      <c r="A2045" s="2" t="s">
        <v>6375</v>
      </c>
      <c r="B2045" s="2" t="s">
        <v>6376</v>
      </c>
      <c r="C2045" s="2" t="s">
        <v>6247</v>
      </c>
      <c r="D2045" s="2" t="s">
        <v>102</v>
      </c>
      <c r="E2045" s="2" t="s">
        <v>220</v>
      </c>
      <c r="F2045" s="2" t="s">
        <v>66</v>
      </c>
      <c r="G2045" s="2" t="s">
        <v>162</v>
      </c>
      <c r="H2045" s="2" t="s">
        <v>2318</v>
      </c>
      <c r="I2045" s="2" t="s">
        <v>47</v>
      </c>
      <c r="J2045" s="2" t="s">
        <v>48</v>
      </c>
      <c r="K2045" s="2" t="s">
        <v>6377</v>
      </c>
      <c r="L2045" s="2" t="s">
        <v>270</v>
      </c>
      <c r="M2045" s="2" t="s">
        <v>805</v>
      </c>
      <c r="N2045" s="16">
        <v>1.9800000000000002E-2</v>
      </c>
      <c r="O2045" s="17">
        <f>N2045*'Financial Inputs'!$B$3</f>
        <v>1980000.0000000002</v>
      </c>
      <c r="P2045" s="18">
        <f>IF(I2045="L",'Financial Inputs'!$B$4,IF(I2045="M",'Financial Inputs'!$B$5,'Financial Inputs'!$B$6))</f>
        <v>0.4</v>
      </c>
      <c r="Q2045" s="17">
        <f>O2045*P2045</f>
        <v>792000.00000000012</v>
      </c>
      <c r="R2045" s="16">
        <f>'Financial Inputs'!$B$7</f>
        <v>0.35</v>
      </c>
      <c r="S2045" s="17">
        <f>Q2045*(1-R2045)</f>
        <v>514800.00000000012</v>
      </c>
      <c r="T2045" s="18">
        <f>S2045/'Financial Inputs'!$B$3</f>
        <v>5.1480000000000015E-3</v>
      </c>
      <c r="U2045" s="9" t="s">
        <v>52</v>
      </c>
      <c r="V2045" s="3" t="s">
        <v>53</v>
      </c>
    </row>
    <row r="2046" spans="1:22">
      <c r="A2046" s="2" t="s">
        <v>6378</v>
      </c>
      <c r="B2046" s="2" t="s">
        <v>6379</v>
      </c>
      <c r="C2046" s="2" t="s">
        <v>6247</v>
      </c>
      <c r="D2046" s="2" t="s">
        <v>42</v>
      </c>
      <c r="E2046" s="2" t="s">
        <v>171</v>
      </c>
      <c r="F2046" s="2" t="s">
        <v>74</v>
      </c>
      <c r="G2046" s="2" t="s">
        <v>45</v>
      </c>
      <c r="H2046" s="2" t="s">
        <v>2318</v>
      </c>
      <c r="I2046" s="2" t="s">
        <v>47</v>
      </c>
      <c r="J2046" s="2" t="s">
        <v>48</v>
      </c>
      <c r="K2046" s="2" t="s">
        <v>6380</v>
      </c>
      <c r="L2046" s="2" t="s">
        <v>274</v>
      </c>
      <c r="M2046" s="2" t="s">
        <v>805</v>
      </c>
      <c r="N2046" s="16">
        <v>2.1600000000000001E-2</v>
      </c>
      <c r="O2046" s="17">
        <f>N2046*'Financial Inputs'!$B$3</f>
        <v>2160000</v>
      </c>
      <c r="P2046" s="18">
        <f>IF(I2046="L",'Financial Inputs'!$B$4,IF(I2046="M",'Financial Inputs'!$B$5,'Financial Inputs'!$B$6))</f>
        <v>0.4</v>
      </c>
      <c r="Q2046" s="17">
        <f>O2046*P2046</f>
        <v>864000</v>
      </c>
      <c r="R2046" s="16">
        <f>'Financial Inputs'!$B$7</f>
        <v>0.35</v>
      </c>
      <c r="S2046" s="17">
        <f>Q2046*(1-R2046)</f>
        <v>561600</v>
      </c>
      <c r="T2046" s="18">
        <f>S2046/'Financial Inputs'!$B$3</f>
        <v>5.6160000000000003E-3</v>
      </c>
      <c r="U2046" s="9" t="s">
        <v>52</v>
      </c>
      <c r="V2046" s="3" t="s">
        <v>53</v>
      </c>
    </row>
    <row r="2047" spans="1:22">
      <c r="A2047" s="2" t="s">
        <v>6381</v>
      </c>
      <c r="B2047" s="2" t="s">
        <v>6382</v>
      </c>
      <c r="C2047" s="2" t="s">
        <v>6247</v>
      </c>
      <c r="D2047" s="2" t="s">
        <v>72</v>
      </c>
      <c r="E2047" s="2" t="s">
        <v>57</v>
      </c>
      <c r="F2047" s="2" t="s">
        <v>117</v>
      </c>
      <c r="G2047" s="2" t="s">
        <v>143</v>
      </c>
      <c r="H2047" s="2" t="s">
        <v>2318</v>
      </c>
      <c r="I2047" s="2" t="s">
        <v>47</v>
      </c>
      <c r="J2047" s="2" t="s">
        <v>48</v>
      </c>
      <c r="K2047" s="2" t="s">
        <v>6383</v>
      </c>
      <c r="L2047" s="2" t="s">
        <v>278</v>
      </c>
      <c r="M2047" s="2" t="s">
        <v>805</v>
      </c>
      <c r="N2047" s="16">
        <v>1.44E-2</v>
      </c>
      <c r="O2047" s="17">
        <f>N2047*'Financial Inputs'!$B$3</f>
        <v>1440000</v>
      </c>
      <c r="P2047" s="18">
        <f>IF(I2047="L",'Financial Inputs'!$B$4,IF(I2047="M",'Financial Inputs'!$B$5,'Financial Inputs'!$B$6))</f>
        <v>0.4</v>
      </c>
      <c r="Q2047" s="17">
        <f>O2047*P2047</f>
        <v>576000</v>
      </c>
      <c r="R2047" s="16">
        <f>'Financial Inputs'!$B$7</f>
        <v>0.35</v>
      </c>
      <c r="S2047" s="17">
        <f>Q2047*(1-R2047)</f>
        <v>374400</v>
      </c>
      <c r="T2047" s="18">
        <f>S2047/'Financial Inputs'!$B$3</f>
        <v>3.7439999999999999E-3</v>
      </c>
      <c r="U2047" s="9" t="s">
        <v>52</v>
      </c>
      <c r="V2047" s="3" t="s">
        <v>53</v>
      </c>
    </row>
    <row r="2048" spans="1:22">
      <c r="A2048" s="2" t="s">
        <v>6384</v>
      </c>
      <c r="B2048" s="2" t="s">
        <v>6385</v>
      </c>
      <c r="C2048" s="2" t="s">
        <v>6247</v>
      </c>
      <c r="D2048" s="2" t="s">
        <v>80</v>
      </c>
      <c r="E2048" s="2" t="s">
        <v>65</v>
      </c>
      <c r="F2048" s="2" t="s">
        <v>90</v>
      </c>
      <c r="G2048" s="2" t="s">
        <v>162</v>
      </c>
      <c r="H2048" s="2" t="s">
        <v>2318</v>
      </c>
      <c r="I2048" s="2" t="s">
        <v>47</v>
      </c>
      <c r="J2048" s="2" t="s">
        <v>48</v>
      </c>
      <c r="K2048" s="2" t="s">
        <v>6386</v>
      </c>
      <c r="L2048" s="2" t="s">
        <v>282</v>
      </c>
      <c r="M2048" s="2" t="s">
        <v>805</v>
      </c>
      <c r="N2048" s="16">
        <v>1.6199999999999999E-2</v>
      </c>
      <c r="O2048" s="17">
        <f>N2048*'Financial Inputs'!$B$3</f>
        <v>1620000</v>
      </c>
      <c r="P2048" s="18">
        <f>IF(I2048="L",'Financial Inputs'!$B$4,IF(I2048="M",'Financial Inputs'!$B$5,'Financial Inputs'!$B$6))</f>
        <v>0.4</v>
      </c>
      <c r="Q2048" s="17">
        <f>O2048*P2048</f>
        <v>648000</v>
      </c>
      <c r="R2048" s="16">
        <f>'Financial Inputs'!$B$7</f>
        <v>0.35</v>
      </c>
      <c r="S2048" s="17">
        <f>Q2048*(1-R2048)</f>
        <v>421200</v>
      </c>
      <c r="T2048" s="18">
        <f>S2048/'Financial Inputs'!$B$3</f>
        <v>4.2119999999999996E-3</v>
      </c>
      <c r="U2048" s="9" t="s">
        <v>52</v>
      </c>
      <c r="V2048" s="3" t="s">
        <v>53</v>
      </c>
    </row>
    <row r="2049" spans="1:22">
      <c r="A2049" s="2" t="s">
        <v>6387</v>
      </c>
      <c r="B2049" s="2" t="s">
        <v>6388</v>
      </c>
      <c r="C2049" s="2" t="s">
        <v>6247</v>
      </c>
      <c r="D2049" s="2" t="s">
        <v>127</v>
      </c>
      <c r="E2049" s="2" t="s">
        <v>73</v>
      </c>
      <c r="F2049" s="2" t="s">
        <v>97</v>
      </c>
      <c r="G2049" s="2" t="s">
        <v>45</v>
      </c>
      <c r="H2049" s="2" t="s">
        <v>2318</v>
      </c>
      <c r="I2049" s="2" t="s">
        <v>47</v>
      </c>
      <c r="J2049" s="2" t="s">
        <v>48</v>
      </c>
      <c r="K2049" s="2" t="s">
        <v>6389</v>
      </c>
      <c r="L2049" s="2" t="s">
        <v>286</v>
      </c>
      <c r="M2049" s="2" t="s">
        <v>805</v>
      </c>
      <c r="N2049" s="16">
        <v>1.7999999999999999E-2</v>
      </c>
      <c r="O2049" s="17">
        <f>N2049*'Financial Inputs'!$B$3</f>
        <v>1799999.9999999998</v>
      </c>
      <c r="P2049" s="18">
        <f>IF(I2049="L",'Financial Inputs'!$B$4,IF(I2049="M",'Financial Inputs'!$B$5,'Financial Inputs'!$B$6))</f>
        <v>0.4</v>
      </c>
      <c r="Q2049" s="17">
        <f>O2049*P2049</f>
        <v>720000</v>
      </c>
      <c r="R2049" s="16">
        <f>'Financial Inputs'!$B$7</f>
        <v>0.35</v>
      </c>
      <c r="S2049" s="17">
        <f>Q2049*(1-R2049)</f>
        <v>468000</v>
      </c>
      <c r="T2049" s="18">
        <f>S2049/'Financial Inputs'!$B$3</f>
        <v>4.6800000000000001E-3</v>
      </c>
      <c r="U2049" s="9" t="s">
        <v>52</v>
      </c>
      <c r="V2049" s="3" t="s">
        <v>53</v>
      </c>
    </row>
    <row r="2050" spans="1:22">
      <c r="A2050" s="2" t="s">
        <v>6390</v>
      </c>
      <c r="B2050" s="2" t="s">
        <v>6391</v>
      </c>
      <c r="C2050" s="2" t="s">
        <v>6247</v>
      </c>
      <c r="D2050" s="2" t="s">
        <v>133</v>
      </c>
      <c r="E2050" s="2" t="s">
        <v>81</v>
      </c>
      <c r="F2050" s="2" t="s">
        <v>104</v>
      </c>
      <c r="G2050" s="2" t="s">
        <v>59</v>
      </c>
      <c r="H2050" s="2" t="s">
        <v>2318</v>
      </c>
      <c r="I2050" s="2" t="s">
        <v>47</v>
      </c>
      <c r="J2050" s="2" t="s">
        <v>48</v>
      </c>
      <c r="K2050" s="2" t="s">
        <v>6392</v>
      </c>
      <c r="L2050" s="2" t="s">
        <v>290</v>
      </c>
      <c r="M2050" s="2" t="s">
        <v>805</v>
      </c>
      <c r="N2050" s="16">
        <v>1.9800000000000002E-2</v>
      </c>
      <c r="O2050" s="17">
        <f>N2050*'Financial Inputs'!$B$3</f>
        <v>1980000.0000000002</v>
      </c>
      <c r="P2050" s="18">
        <f>IF(I2050="L",'Financial Inputs'!$B$4,IF(I2050="M",'Financial Inputs'!$B$5,'Financial Inputs'!$B$6))</f>
        <v>0.4</v>
      </c>
      <c r="Q2050" s="17">
        <f>O2050*P2050</f>
        <v>792000.00000000012</v>
      </c>
      <c r="R2050" s="16">
        <f>'Financial Inputs'!$B$7</f>
        <v>0.35</v>
      </c>
      <c r="S2050" s="17">
        <f>Q2050*(1-R2050)</f>
        <v>514800.00000000012</v>
      </c>
      <c r="T2050" s="18">
        <f>S2050/'Financial Inputs'!$B$3</f>
        <v>5.1480000000000015E-3</v>
      </c>
      <c r="U2050" s="9" t="s">
        <v>52</v>
      </c>
      <c r="V2050" s="3" t="s">
        <v>53</v>
      </c>
    </row>
    <row r="2051" spans="1:22">
      <c r="A2051" s="2" t="s">
        <v>6393</v>
      </c>
      <c r="B2051" s="2" t="s">
        <v>6394</v>
      </c>
      <c r="C2051" s="2" t="s">
        <v>6247</v>
      </c>
      <c r="D2051" s="2" t="s">
        <v>88</v>
      </c>
      <c r="E2051" s="2" t="s">
        <v>193</v>
      </c>
      <c r="F2051" s="2" t="s">
        <v>110</v>
      </c>
      <c r="G2051" s="2" t="s">
        <v>67</v>
      </c>
      <c r="H2051" s="2" t="s">
        <v>2318</v>
      </c>
      <c r="I2051" s="2" t="s">
        <v>47</v>
      </c>
      <c r="J2051" s="2" t="s">
        <v>48</v>
      </c>
      <c r="K2051" s="2" t="s">
        <v>6395</v>
      </c>
      <c r="L2051" s="2" t="s">
        <v>294</v>
      </c>
      <c r="M2051" s="2" t="s">
        <v>805</v>
      </c>
      <c r="N2051" s="16">
        <v>2.1600000000000001E-2</v>
      </c>
      <c r="O2051" s="17">
        <f>N2051*'Financial Inputs'!$B$3</f>
        <v>2160000</v>
      </c>
      <c r="P2051" s="18">
        <f>IF(I2051="L",'Financial Inputs'!$B$4,IF(I2051="M",'Financial Inputs'!$B$5,'Financial Inputs'!$B$6))</f>
        <v>0.4</v>
      </c>
      <c r="Q2051" s="17">
        <f>O2051*P2051</f>
        <v>864000</v>
      </c>
      <c r="R2051" s="16">
        <f>'Financial Inputs'!$B$7</f>
        <v>0.35</v>
      </c>
      <c r="S2051" s="17">
        <f>Q2051*(1-R2051)</f>
        <v>561600</v>
      </c>
      <c r="T2051" s="18">
        <f>S2051/'Financial Inputs'!$B$3</f>
        <v>5.6160000000000003E-3</v>
      </c>
      <c r="U2051" s="9" t="s">
        <v>52</v>
      </c>
      <c r="V2051" s="3" t="s">
        <v>53</v>
      </c>
    </row>
    <row r="2052" spans="1:22">
      <c r="A2052" s="2" t="s">
        <v>6396</v>
      </c>
      <c r="B2052" s="2" t="s">
        <v>6397</v>
      </c>
      <c r="C2052" s="2" t="s">
        <v>6247</v>
      </c>
      <c r="D2052" s="2" t="s">
        <v>42</v>
      </c>
      <c r="E2052" s="2" t="s">
        <v>96</v>
      </c>
      <c r="F2052" s="2" t="s">
        <v>44</v>
      </c>
      <c r="G2052" s="2" t="s">
        <v>45</v>
      </c>
      <c r="H2052" s="2" t="s">
        <v>2318</v>
      </c>
      <c r="I2052" s="2" t="s">
        <v>47</v>
      </c>
      <c r="J2052" s="2" t="s">
        <v>48</v>
      </c>
      <c r="K2052" s="2" t="s">
        <v>6398</v>
      </c>
      <c r="L2052" s="2" t="s">
        <v>298</v>
      </c>
      <c r="M2052" s="2" t="s">
        <v>805</v>
      </c>
      <c r="N2052" s="16">
        <v>1.44E-2</v>
      </c>
      <c r="O2052" s="17">
        <f>N2052*'Financial Inputs'!$B$3</f>
        <v>1440000</v>
      </c>
      <c r="P2052" s="18">
        <f>IF(I2052="L",'Financial Inputs'!$B$4,IF(I2052="M",'Financial Inputs'!$B$5,'Financial Inputs'!$B$6))</f>
        <v>0.4</v>
      </c>
      <c r="Q2052" s="17">
        <f>O2052*P2052</f>
        <v>576000</v>
      </c>
      <c r="R2052" s="16">
        <f>'Financial Inputs'!$B$7</f>
        <v>0.35</v>
      </c>
      <c r="S2052" s="17">
        <f>Q2052*(1-R2052)</f>
        <v>374400</v>
      </c>
      <c r="T2052" s="18">
        <f>S2052/'Financial Inputs'!$B$3</f>
        <v>3.7439999999999999E-3</v>
      </c>
      <c r="U2052" s="9" t="s">
        <v>52</v>
      </c>
      <c r="V2052" s="3" t="s">
        <v>53</v>
      </c>
    </row>
    <row r="2053" spans="1:22">
      <c r="A2053" s="2" t="s">
        <v>6399</v>
      </c>
      <c r="B2053" s="2" t="s">
        <v>6400</v>
      </c>
      <c r="C2053" s="2" t="s">
        <v>6247</v>
      </c>
      <c r="D2053" s="2" t="s">
        <v>56</v>
      </c>
      <c r="E2053" s="2" t="s">
        <v>103</v>
      </c>
      <c r="F2053" s="2" t="s">
        <v>58</v>
      </c>
      <c r="G2053" s="2" t="s">
        <v>59</v>
      </c>
      <c r="H2053" s="2" t="s">
        <v>2318</v>
      </c>
      <c r="I2053" s="2" t="s">
        <v>47</v>
      </c>
      <c r="J2053" s="2" t="s">
        <v>48</v>
      </c>
      <c r="K2053" s="2" t="s">
        <v>6401</v>
      </c>
      <c r="L2053" s="2" t="s">
        <v>302</v>
      </c>
      <c r="M2053" s="2" t="s">
        <v>805</v>
      </c>
      <c r="N2053" s="16">
        <v>1.6199999999999999E-2</v>
      </c>
      <c r="O2053" s="17">
        <f>N2053*'Financial Inputs'!$B$3</f>
        <v>1620000</v>
      </c>
      <c r="P2053" s="18">
        <f>IF(I2053="L",'Financial Inputs'!$B$4,IF(I2053="M",'Financial Inputs'!$B$5,'Financial Inputs'!$B$6))</f>
        <v>0.4</v>
      </c>
      <c r="Q2053" s="17">
        <f>O2053*P2053</f>
        <v>648000</v>
      </c>
      <c r="R2053" s="16">
        <f>'Financial Inputs'!$B$7</f>
        <v>0.35</v>
      </c>
      <c r="S2053" s="17">
        <f>Q2053*(1-R2053)</f>
        <v>421200</v>
      </c>
      <c r="T2053" s="18">
        <f>S2053/'Financial Inputs'!$B$3</f>
        <v>4.2119999999999996E-3</v>
      </c>
      <c r="U2053" s="9" t="s">
        <v>52</v>
      </c>
      <c r="V2053" s="3" t="s">
        <v>53</v>
      </c>
    </row>
    <row r="2054" spans="1:22">
      <c r="A2054" s="2" t="s">
        <v>6402</v>
      </c>
      <c r="B2054" s="2" t="s">
        <v>6403</v>
      </c>
      <c r="C2054" s="2" t="s">
        <v>6247</v>
      </c>
      <c r="D2054" s="2" t="s">
        <v>64</v>
      </c>
      <c r="E2054" s="2" t="s">
        <v>109</v>
      </c>
      <c r="F2054" s="2" t="s">
        <v>66</v>
      </c>
      <c r="G2054" s="2" t="s">
        <v>67</v>
      </c>
      <c r="H2054" s="2" t="s">
        <v>2318</v>
      </c>
      <c r="I2054" s="2" t="s">
        <v>47</v>
      </c>
      <c r="J2054" s="2" t="s">
        <v>48</v>
      </c>
      <c r="K2054" s="2" t="s">
        <v>6404</v>
      </c>
      <c r="L2054" s="2" t="s">
        <v>306</v>
      </c>
      <c r="M2054" s="2" t="s">
        <v>805</v>
      </c>
      <c r="N2054" s="16">
        <v>1.7999999999999999E-2</v>
      </c>
      <c r="O2054" s="17">
        <f>N2054*'Financial Inputs'!$B$3</f>
        <v>1799999.9999999998</v>
      </c>
      <c r="P2054" s="18">
        <f>IF(I2054="L",'Financial Inputs'!$B$4,IF(I2054="M",'Financial Inputs'!$B$5,'Financial Inputs'!$B$6))</f>
        <v>0.4</v>
      </c>
      <c r="Q2054" s="17">
        <f>O2054*P2054</f>
        <v>720000</v>
      </c>
      <c r="R2054" s="16">
        <f>'Financial Inputs'!$B$7</f>
        <v>0.35</v>
      </c>
      <c r="S2054" s="17">
        <f>Q2054*(1-R2054)</f>
        <v>468000</v>
      </c>
      <c r="T2054" s="18">
        <f>S2054/'Financial Inputs'!$B$3</f>
        <v>4.6800000000000001E-3</v>
      </c>
      <c r="U2054" s="9" t="s">
        <v>52</v>
      </c>
      <c r="V2054" s="3" t="s">
        <v>53</v>
      </c>
    </row>
    <row r="2055" spans="1:22">
      <c r="A2055" s="2" t="s">
        <v>6405</v>
      </c>
      <c r="B2055" s="2" t="s">
        <v>6406</v>
      </c>
      <c r="C2055" s="2" t="s">
        <v>6247</v>
      </c>
      <c r="D2055" s="2" t="s">
        <v>72</v>
      </c>
      <c r="E2055" s="2" t="s">
        <v>116</v>
      </c>
      <c r="F2055" s="2" t="s">
        <v>74</v>
      </c>
      <c r="G2055" s="2" t="s">
        <v>75</v>
      </c>
      <c r="H2055" s="2" t="s">
        <v>2318</v>
      </c>
      <c r="I2055" s="2" t="s">
        <v>47</v>
      </c>
      <c r="J2055" s="2" t="s">
        <v>48</v>
      </c>
      <c r="K2055" s="2" t="s">
        <v>6407</v>
      </c>
      <c r="L2055" s="2" t="s">
        <v>310</v>
      </c>
      <c r="M2055" s="2" t="s">
        <v>805</v>
      </c>
      <c r="N2055" s="16">
        <v>1.9800000000000002E-2</v>
      </c>
      <c r="O2055" s="17">
        <f>N2055*'Financial Inputs'!$B$3</f>
        <v>1980000.0000000002</v>
      </c>
      <c r="P2055" s="18">
        <f>IF(I2055="L",'Financial Inputs'!$B$4,IF(I2055="M",'Financial Inputs'!$B$5,'Financial Inputs'!$B$6))</f>
        <v>0.4</v>
      </c>
      <c r="Q2055" s="17">
        <f>O2055*P2055</f>
        <v>792000.00000000012</v>
      </c>
      <c r="R2055" s="16">
        <f>'Financial Inputs'!$B$7</f>
        <v>0.35</v>
      </c>
      <c r="S2055" s="17">
        <f>Q2055*(1-R2055)</f>
        <v>514800.00000000012</v>
      </c>
      <c r="T2055" s="18">
        <f>S2055/'Financial Inputs'!$B$3</f>
        <v>5.1480000000000015E-3</v>
      </c>
      <c r="U2055" s="9" t="s">
        <v>52</v>
      </c>
      <c r="V2055" s="3" t="s">
        <v>53</v>
      </c>
    </row>
    <row r="2056" spans="1:22">
      <c r="A2056" s="2" t="s">
        <v>6408</v>
      </c>
      <c r="B2056" s="2" t="s">
        <v>6409</v>
      </c>
      <c r="C2056" s="2" t="s">
        <v>6247</v>
      </c>
      <c r="D2056" s="2" t="s">
        <v>80</v>
      </c>
      <c r="E2056" s="2" t="s">
        <v>215</v>
      </c>
      <c r="F2056" s="2" t="s">
        <v>82</v>
      </c>
      <c r="G2056" s="2" t="s">
        <v>83</v>
      </c>
      <c r="H2056" s="2" t="s">
        <v>2318</v>
      </c>
      <c r="I2056" s="2" t="s">
        <v>47</v>
      </c>
      <c r="J2056" s="2" t="s">
        <v>48</v>
      </c>
      <c r="K2056" s="2" t="s">
        <v>6410</v>
      </c>
      <c r="L2056" s="2" t="s">
        <v>314</v>
      </c>
      <c r="M2056" s="2" t="s">
        <v>805</v>
      </c>
      <c r="N2056" s="16">
        <v>2.1600000000000001E-2</v>
      </c>
      <c r="O2056" s="17">
        <f>N2056*'Financial Inputs'!$B$3</f>
        <v>2160000</v>
      </c>
      <c r="P2056" s="18">
        <f>IF(I2056="L",'Financial Inputs'!$B$4,IF(I2056="M",'Financial Inputs'!$B$5,'Financial Inputs'!$B$6))</f>
        <v>0.4</v>
      </c>
      <c r="Q2056" s="17">
        <f>O2056*P2056</f>
        <v>864000</v>
      </c>
      <c r="R2056" s="16">
        <f>'Financial Inputs'!$B$7</f>
        <v>0.35</v>
      </c>
      <c r="S2056" s="17">
        <f>Q2056*(1-R2056)</f>
        <v>561600</v>
      </c>
      <c r="T2056" s="18">
        <f>S2056/'Financial Inputs'!$B$3</f>
        <v>5.6160000000000003E-3</v>
      </c>
      <c r="U2056" s="9" t="s">
        <v>52</v>
      </c>
      <c r="V2056" s="3" t="s">
        <v>53</v>
      </c>
    </row>
    <row r="2057" spans="1:22">
      <c r="A2057" s="2" t="s">
        <v>6411</v>
      </c>
      <c r="B2057" s="2" t="s">
        <v>6412</v>
      </c>
      <c r="C2057" s="2" t="s">
        <v>6247</v>
      </c>
      <c r="D2057" s="2" t="s">
        <v>88</v>
      </c>
      <c r="E2057" s="2" t="s">
        <v>128</v>
      </c>
      <c r="F2057" s="2" t="s">
        <v>90</v>
      </c>
      <c r="G2057" s="2" t="s">
        <v>67</v>
      </c>
      <c r="H2057" s="2" t="s">
        <v>2318</v>
      </c>
      <c r="I2057" s="2" t="s">
        <v>47</v>
      </c>
      <c r="J2057" s="2" t="s">
        <v>48</v>
      </c>
      <c r="K2057" s="2" t="s">
        <v>6413</v>
      </c>
      <c r="L2057" s="2" t="s">
        <v>318</v>
      </c>
      <c r="M2057" s="2" t="s">
        <v>805</v>
      </c>
      <c r="N2057" s="16">
        <v>1.44E-2</v>
      </c>
      <c r="O2057" s="17">
        <f>N2057*'Financial Inputs'!$B$3</f>
        <v>1440000</v>
      </c>
      <c r="P2057" s="18">
        <f>IF(I2057="L",'Financial Inputs'!$B$4,IF(I2057="M",'Financial Inputs'!$B$5,'Financial Inputs'!$B$6))</f>
        <v>0.4</v>
      </c>
      <c r="Q2057" s="17">
        <f>O2057*P2057</f>
        <v>576000</v>
      </c>
      <c r="R2057" s="16">
        <f>'Financial Inputs'!$B$7</f>
        <v>0.35</v>
      </c>
      <c r="S2057" s="17">
        <f>Q2057*(1-R2057)</f>
        <v>374400</v>
      </c>
      <c r="T2057" s="18">
        <f>S2057/'Financial Inputs'!$B$3</f>
        <v>3.7439999999999999E-3</v>
      </c>
      <c r="U2057" s="9" t="s">
        <v>52</v>
      </c>
      <c r="V2057" s="3" t="s">
        <v>53</v>
      </c>
    </row>
    <row r="2058" spans="1:22">
      <c r="A2058" s="2" t="s">
        <v>6414</v>
      </c>
      <c r="B2058" s="2" t="s">
        <v>6415</v>
      </c>
      <c r="C2058" s="2" t="s">
        <v>6247</v>
      </c>
      <c r="D2058" s="2" t="s">
        <v>95</v>
      </c>
      <c r="E2058" s="2" t="s">
        <v>43</v>
      </c>
      <c r="F2058" s="2" t="s">
        <v>97</v>
      </c>
      <c r="G2058" s="2" t="s">
        <v>75</v>
      </c>
      <c r="H2058" s="2" t="s">
        <v>2318</v>
      </c>
      <c r="I2058" s="2" t="s">
        <v>47</v>
      </c>
      <c r="J2058" s="2" t="s">
        <v>48</v>
      </c>
      <c r="K2058" s="2" t="s">
        <v>6416</v>
      </c>
      <c r="L2058" s="2" t="s">
        <v>322</v>
      </c>
      <c r="M2058" s="2" t="s">
        <v>805</v>
      </c>
      <c r="N2058" s="16">
        <v>1.6199999999999999E-2</v>
      </c>
      <c r="O2058" s="17">
        <f>N2058*'Financial Inputs'!$B$3</f>
        <v>1620000</v>
      </c>
      <c r="P2058" s="18">
        <f>IF(I2058="L",'Financial Inputs'!$B$4,IF(I2058="M",'Financial Inputs'!$B$5,'Financial Inputs'!$B$6))</f>
        <v>0.4</v>
      </c>
      <c r="Q2058" s="17">
        <f>O2058*P2058</f>
        <v>648000</v>
      </c>
      <c r="R2058" s="16">
        <f>'Financial Inputs'!$B$7</f>
        <v>0.35</v>
      </c>
      <c r="S2058" s="17">
        <f>Q2058*(1-R2058)</f>
        <v>421200</v>
      </c>
      <c r="T2058" s="18">
        <f>S2058/'Financial Inputs'!$B$3</f>
        <v>4.2119999999999996E-3</v>
      </c>
      <c r="U2058" s="9" t="s">
        <v>52</v>
      </c>
      <c r="V2058" s="3" t="s">
        <v>53</v>
      </c>
    </row>
    <row r="2059" spans="1:22">
      <c r="A2059" s="2" t="s">
        <v>6417</v>
      </c>
      <c r="B2059" s="2" t="s">
        <v>6418</v>
      </c>
      <c r="C2059" s="2" t="s">
        <v>6247</v>
      </c>
      <c r="D2059" s="2" t="s">
        <v>102</v>
      </c>
      <c r="E2059" s="2" t="s">
        <v>57</v>
      </c>
      <c r="F2059" s="2" t="s">
        <v>104</v>
      </c>
      <c r="G2059" s="2" t="s">
        <v>83</v>
      </c>
      <c r="H2059" s="2" t="s">
        <v>2318</v>
      </c>
      <c r="I2059" s="2" t="s">
        <v>47</v>
      </c>
      <c r="J2059" s="2" t="s">
        <v>48</v>
      </c>
      <c r="K2059" s="2" t="s">
        <v>6419</v>
      </c>
      <c r="L2059" s="2" t="s">
        <v>326</v>
      </c>
      <c r="M2059" s="2" t="s">
        <v>805</v>
      </c>
      <c r="N2059" s="16">
        <v>1.7999999999999999E-2</v>
      </c>
      <c r="O2059" s="17">
        <f>N2059*'Financial Inputs'!$B$3</f>
        <v>1799999.9999999998</v>
      </c>
      <c r="P2059" s="18">
        <f>IF(I2059="L",'Financial Inputs'!$B$4,IF(I2059="M",'Financial Inputs'!$B$5,'Financial Inputs'!$B$6))</f>
        <v>0.4</v>
      </c>
      <c r="Q2059" s="17">
        <f>O2059*P2059</f>
        <v>720000</v>
      </c>
      <c r="R2059" s="16">
        <f>'Financial Inputs'!$B$7</f>
        <v>0.35</v>
      </c>
      <c r="S2059" s="17">
        <f>Q2059*(1-R2059)</f>
        <v>468000</v>
      </c>
      <c r="T2059" s="18">
        <f>S2059/'Financial Inputs'!$B$3</f>
        <v>4.6800000000000001E-3</v>
      </c>
      <c r="U2059" s="9" t="s">
        <v>52</v>
      </c>
      <c r="V2059" s="3" t="s">
        <v>53</v>
      </c>
    </row>
    <row r="2060" spans="1:22">
      <c r="A2060" s="2" t="s">
        <v>6420</v>
      </c>
      <c r="B2060" s="2" t="s">
        <v>6421</v>
      </c>
      <c r="C2060" s="2" t="s">
        <v>6247</v>
      </c>
      <c r="D2060" s="2" t="s">
        <v>42</v>
      </c>
      <c r="E2060" s="2" t="s">
        <v>65</v>
      </c>
      <c r="F2060" s="2" t="s">
        <v>110</v>
      </c>
      <c r="G2060" s="2" t="s">
        <v>111</v>
      </c>
      <c r="H2060" s="2" t="s">
        <v>2318</v>
      </c>
      <c r="I2060" s="2" t="s">
        <v>47</v>
      </c>
      <c r="J2060" s="2" t="s">
        <v>48</v>
      </c>
      <c r="K2060" s="2" t="s">
        <v>6422</v>
      </c>
      <c r="L2060" s="2" t="s">
        <v>330</v>
      </c>
      <c r="M2060" s="2" t="s">
        <v>805</v>
      </c>
      <c r="N2060" s="16">
        <v>1.9800000000000002E-2</v>
      </c>
      <c r="O2060" s="17">
        <f>N2060*'Financial Inputs'!$B$3</f>
        <v>1980000.0000000002</v>
      </c>
      <c r="P2060" s="18">
        <f>IF(I2060="L",'Financial Inputs'!$B$4,IF(I2060="M",'Financial Inputs'!$B$5,'Financial Inputs'!$B$6))</f>
        <v>0.4</v>
      </c>
      <c r="Q2060" s="17">
        <f>O2060*P2060</f>
        <v>792000.00000000012</v>
      </c>
      <c r="R2060" s="16">
        <f>'Financial Inputs'!$B$7</f>
        <v>0.35</v>
      </c>
      <c r="S2060" s="17">
        <f>Q2060*(1-R2060)</f>
        <v>514800.00000000012</v>
      </c>
      <c r="T2060" s="18">
        <f>S2060/'Financial Inputs'!$B$3</f>
        <v>5.1480000000000015E-3</v>
      </c>
      <c r="U2060" s="9" t="s">
        <v>52</v>
      </c>
      <c r="V2060" s="3" t="s">
        <v>53</v>
      </c>
    </row>
    <row r="2061" spans="1:22">
      <c r="A2061" s="2" t="s">
        <v>6423</v>
      </c>
      <c r="B2061" s="2" t="s">
        <v>6424</v>
      </c>
      <c r="C2061" s="2" t="s">
        <v>6247</v>
      </c>
      <c r="D2061" s="2" t="s">
        <v>56</v>
      </c>
      <c r="E2061" s="2" t="s">
        <v>73</v>
      </c>
      <c r="F2061" s="2" t="s">
        <v>117</v>
      </c>
      <c r="G2061" s="2" t="s">
        <v>56</v>
      </c>
      <c r="H2061" s="2" t="s">
        <v>2318</v>
      </c>
      <c r="I2061" s="2" t="s">
        <v>47</v>
      </c>
      <c r="J2061" s="2" t="s">
        <v>48</v>
      </c>
      <c r="K2061" s="2" t="s">
        <v>6425</v>
      </c>
      <c r="L2061" s="2" t="s">
        <v>334</v>
      </c>
      <c r="M2061" s="2" t="s">
        <v>805</v>
      </c>
      <c r="N2061" s="16">
        <v>2.1600000000000001E-2</v>
      </c>
      <c r="O2061" s="17">
        <f>N2061*'Financial Inputs'!$B$3</f>
        <v>2160000</v>
      </c>
      <c r="P2061" s="18">
        <f>IF(I2061="L",'Financial Inputs'!$B$4,IF(I2061="M",'Financial Inputs'!$B$5,'Financial Inputs'!$B$6))</f>
        <v>0.4</v>
      </c>
      <c r="Q2061" s="17">
        <f>O2061*P2061</f>
        <v>864000</v>
      </c>
      <c r="R2061" s="16">
        <f>'Financial Inputs'!$B$7</f>
        <v>0.35</v>
      </c>
      <c r="S2061" s="17">
        <f>Q2061*(1-R2061)</f>
        <v>561600</v>
      </c>
      <c r="T2061" s="18">
        <f>S2061/'Financial Inputs'!$B$3</f>
        <v>5.6160000000000003E-3</v>
      </c>
      <c r="U2061" s="9" t="s">
        <v>52</v>
      </c>
      <c r="V2061" s="3" t="s">
        <v>53</v>
      </c>
    </row>
    <row r="2062" spans="1:22">
      <c r="A2062" s="2" t="s">
        <v>6426</v>
      </c>
      <c r="B2062" s="2" t="s">
        <v>6427</v>
      </c>
      <c r="C2062" s="2" t="s">
        <v>6247</v>
      </c>
      <c r="D2062" s="2" t="s">
        <v>80</v>
      </c>
      <c r="E2062" s="2" t="s">
        <v>153</v>
      </c>
      <c r="F2062" s="2" t="s">
        <v>58</v>
      </c>
      <c r="G2062" s="2" t="s">
        <v>83</v>
      </c>
      <c r="H2062" s="2" t="s">
        <v>2318</v>
      </c>
      <c r="I2062" s="2" t="s">
        <v>47</v>
      </c>
      <c r="J2062" s="2" t="s">
        <v>48</v>
      </c>
      <c r="K2062" s="2" t="s">
        <v>6428</v>
      </c>
      <c r="L2062" s="2" t="s">
        <v>338</v>
      </c>
      <c r="M2062" s="2" t="s">
        <v>805</v>
      </c>
      <c r="N2062" s="16">
        <v>1.44E-2</v>
      </c>
      <c r="O2062" s="17">
        <f>N2062*'Financial Inputs'!$B$3</f>
        <v>1440000</v>
      </c>
      <c r="P2062" s="18">
        <f>IF(I2062="L",'Financial Inputs'!$B$4,IF(I2062="M",'Financial Inputs'!$B$5,'Financial Inputs'!$B$6))</f>
        <v>0.4</v>
      </c>
      <c r="Q2062" s="17">
        <f>O2062*P2062</f>
        <v>576000</v>
      </c>
      <c r="R2062" s="16">
        <f>'Financial Inputs'!$B$7</f>
        <v>0.35</v>
      </c>
      <c r="S2062" s="17">
        <f>Q2062*(1-R2062)</f>
        <v>374400</v>
      </c>
      <c r="T2062" s="18">
        <f>S2062/'Financial Inputs'!$B$3</f>
        <v>3.7439999999999999E-3</v>
      </c>
      <c r="U2062" s="9" t="s">
        <v>52</v>
      </c>
      <c r="V2062" s="3" t="s">
        <v>53</v>
      </c>
    </row>
    <row r="2063" spans="1:22">
      <c r="A2063" s="2" t="s">
        <v>6429</v>
      </c>
      <c r="B2063" s="2" t="s">
        <v>6430</v>
      </c>
      <c r="C2063" s="2" t="s">
        <v>6247</v>
      </c>
      <c r="D2063" s="2" t="s">
        <v>127</v>
      </c>
      <c r="E2063" s="2" t="s">
        <v>89</v>
      </c>
      <c r="F2063" s="2" t="s">
        <v>66</v>
      </c>
      <c r="G2063" s="2" t="s">
        <v>111</v>
      </c>
      <c r="H2063" s="2" t="s">
        <v>2318</v>
      </c>
      <c r="I2063" s="2" t="s">
        <v>47</v>
      </c>
      <c r="J2063" s="2" t="s">
        <v>48</v>
      </c>
      <c r="K2063" s="2" t="s">
        <v>6431</v>
      </c>
      <c r="L2063" s="2" t="s">
        <v>342</v>
      </c>
      <c r="M2063" s="2" t="s">
        <v>805</v>
      </c>
      <c r="N2063" s="16">
        <v>1.6199999999999999E-2</v>
      </c>
      <c r="O2063" s="17">
        <f>N2063*'Financial Inputs'!$B$3</f>
        <v>1620000</v>
      </c>
      <c r="P2063" s="18">
        <f>IF(I2063="L",'Financial Inputs'!$B$4,IF(I2063="M",'Financial Inputs'!$B$5,'Financial Inputs'!$B$6))</f>
        <v>0.4</v>
      </c>
      <c r="Q2063" s="17">
        <f>O2063*P2063</f>
        <v>648000</v>
      </c>
      <c r="R2063" s="16">
        <f>'Financial Inputs'!$B$7</f>
        <v>0.35</v>
      </c>
      <c r="S2063" s="17">
        <f>Q2063*(1-R2063)</f>
        <v>421200</v>
      </c>
      <c r="T2063" s="18">
        <f>S2063/'Financial Inputs'!$B$3</f>
        <v>4.2119999999999996E-3</v>
      </c>
      <c r="U2063" s="9" t="s">
        <v>52</v>
      </c>
      <c r="V2063" s="3" t="s">
        <v>53</v>
      </c>
    </row>
    <row r="2064" spans="1:22">
      <c r="A2064" s="2" t="s">
        <v>6432</v>
      </c>
      <c r="B2064" s="2" t="s">
        <v>6433</v>
      </c>
      <c r="C2064" s="2" t="s">
        <v>6247</v>
      </c>
      <c r="D2064" s="2" t="s">
        <v>133</v>
      </c>
      <c r="E2064" s="2" t="s">
        <v>96</v>
      </c>
      <c r="F2064" s="2" t="s">
        <v>74</v>
      </c>
      <c r="G2064" s="2" t="s">
        <v>56</v>
      </c>
      <c r="H2064" s="2" t="s">
        <v>2318</v>
      </c>
      <c r="I2064" s="2" t="s">
        <v>47</v>
      </c>
      <c r="J2064" s="2" t="s">
        <v>48</v>
      </c>
      <c r="K2064" s="2" t="s">
        <v>6434</v>
      </c>
      <c r="L2064" s="2" t="s">
        <v>346</v>
      </c>
      <c r="M2064" s="2" t="s">
        <v>805</v>
      </c>
      <c r="N2064" s="16">
        <v>1.7999999999999999E-2</v>
      </c>
      <c r="O2064" s="17">
        <f>N2064*'Financial Inputs'!$B$3</f>
        <v>1799999.9999999998</v>
      </c>
      <c r="P2064" s="18">
        <f>IF(I2064="L",'Financial Inputs'!$B$4,IF(I2064="M",'Financial Inputs'!$B$5,'Financial Inputs'!$B$6))</f>
        <v>0.4</v>
      </c>
      <c r="Q2064" s="17">
        <f>O2064*P2064</f>
        <v>720000</v>
      </c>
      <c r="R2064" s="16">
        <f>'Financial Inputs'!$B$7</f>
        <v>0.35</v>
      </c>
      <c r="S2064" s="17">
        <f>Q2064*(1-R2064)</f>
        <v>468000</v>
      </c>
      <c r="T2064" s="18">
        <f>S2064/'Financial Inputs'!$B$3</f>
        <v>4.6800000000000001E-3</v>
      </c>
      <c r="U2064" s="9" t="s">
        <v>52</v>
      </c>
      <c r="V2064" s="3" t="s">
        <v>53</v>
      </c>
    </row>
    <row r="2065" spans="1:22">
      <c r="A2065" s="2" t="s">
        <v>6435</v>
      </c>
      <c r="B2065" s="2" t="s">
        <v>6436</v>
      </c>
      <c r="C2065" s="2" t="s">
        <v>6247</v>
      </c>
      <c r="D2065" s="2" t="s">
        <v>88</v>
      </c>
      <c r="E2065" s="2" t="s">
        <v>103</v>
      </c>
      <c r="F2065" s="2" t="s">
        <v>82</v>
      </c>
      <c r="G2065" s="2" t="s">
        <v>138</v>
      </c>
      <c r="H2065" s="2" t="s">
        <v>2318</v>
      </c>
      <c r="I2065" s="2" t="s">
        <v>47</v>
      </c>
      <c r="J2065" s="2" t="s">
        <v>48</v>
      </c>
      <c r="K2065" s="2" t="s">
        <v>6437</v>
      </c>
      <c r="L2065" s="2" t="s">
        <v>350</v>
      </c>
      <c r="M2065" s="2" t="s">
        <v>805</v>
      </c>
      <c r="N2065" s="16">
        <v>1.9800000000000002E-2</v>
      </c>
      <c r="O2065" s="17">
        <f>N2065*'Financial Inputs'!$B$3</f>
        <v>1980000.0000000002</v>
      </c>
      <c r="P2065" s="18">
        <f>IF(I2065="L",'Financial Inputs'!$B$4,IF(I2065="M",'Financial Inputs'!$B$5,'Financial Inputs'!$B$6))</f>
        <v>0.4</v>
      </c>
      <c r="Q2065" s="17">
        <f>O2065*P2065</f>
        <v>792000.00000000012</v>
      </c>
      <c r="R2065" s="16">
        <f>'Financial Inputs'!$B$7</f>
        <v>0.35</v>
      </c>
      <c r="S2065" s="17">
        <f>Q2065*(1-R2065)</f>
        <v>514800.00000000012</v>
      </c>
      <c r="T2065" s="18">
        <f>S2065/'Financial Inputs'!$B$3</f>
        <v>5.1480000000000015E-3</v>
      </c>
      <c r="U2065" s="9" t="s">
        <v>52</v>
      </c>
      <c r="V2065" s="3" t="s">
        <v>53</v>
      </c>
    </row>
    <row r="2066" spans="1:22">
      <c r="A2066" s="2" t="s">
        <v>6438</v>
      </c>
      <c r="B2066" s="2" t="s">
        <v>6439</v>
      </c>
      <c r="C2066" s="2" t="s">
        <v>6247</v>
      </c>
      <c r="D2066" s="2" t="s">
        <v>95</v>
      </c>
      <c r="E2066" s="2" t="s">
        <v>109</v>
      </c>
      <c r="F2066" s="2" t="s">
        <v>44</v>
      </c>
      <c r="G2066" s="2" t="s">
        <v>143</v>
      </c>
      <c r="H2066" s="2" t="s">
        <v>2318</v>
      </c>
      <c r="I2066" s="2" t="s">
        <v>47</v>
      </c>
      <c r="J2066" s="2" t="s">
        <v>48</v>
      </c>
      <c r="K2066" s="2" t="s">
        <v>6440</v>
      </c>
      <c r="L2066" s="2" t="s">
        <v>354</v>
      </c>
      <c r="M2066" s="2" t="s">
        <v>805</v>
      </c>
      <c r="N2066" s="16">
        <v>2.1600000000000001E-2</v>
      </c>
      <c r="O2066" s="17">
        <f>N2066*'Financial Inputs'!$B$3</f>
        <v>2160000</v>
      </c>
      <c r="P2066" s="18">
        <f>IF(I2066="L",'Financial Inputs'!$B$4,IF(I2066="M",'Financial Inputs'!$B$5,'Financial Inputs'!$B$6))</f>
        <v>0.4</v>
      </c>
      <c r="Q2066" s="17">
        <f>O2066*P2066</f>
        <v>864000</v>
      </c>
      <c r="R2066" s="16">
        <f>'Financial Inputs'!$B$7</f>
        <v>0.35</v>
      </c>
      <c r="S2066" s="17">
        <f>Q2066*(1-R2066)</f>
        <v>561600</v>
      </c>
      <c r="T2066" s="18">
        <f>S2066/'Financial Inputs'!$B$3</f>
        <v>5.6160000000000003E-3</v>
      </c>
      <c r="U2066" s="9" t="s">
        <v>52</v>
      </c>
      <c r="V2066" s="3" t="s">
        <v>53</v>
      </c>
    </row>
    <row r="2067" spans="1:22">
      <c r="A2067" s="2" t="s">
        <v>6441</v>
      </c>
      <c r="B2067" s="2" t="s">
        <v>6442</v>
      </c>
      <c r="C2067" s="2" t="s">
        <v>6247</v>
      </c>
      <c r="D2067" s="2" t="s">
        <v>56</v>
      </c>
      <c r="E2067" s="2" t="s">
        <v>176</v>
      </c>
      <c r="F2067" s="2" t="s">
        <v>97</v>
      </c>
      <c r="G2067" s="2" t="s">
        <v>56</v>
      </c>
      <c r="H2067" s="2" t="s">
        <v>2318</v>
      </c>
      <c r="I2067" s="2" t="s">
        <v>47</v>
      </c>
      <c r="J2067" s="2" t="s">
        <v>48</v>
      </c>
      <c r="K2067" s="2" t="s">
        <v>6443</v>
      </c>
      <c r="L2067" s="2" t="s">
        <v>358</v>
      </c>
      <c r="M2067" s="2" t="s">
        <v>805</v>
      </c>
      <c r="N2067" s="16">
        <v>1.44E-2</v>
      </c>
      <c r="O2067" s="17">
        <f>N2067*'Financial Inputs'!$B$3</f>
        <v>1440000</v>
      </c>
      <c r="P2067" s="18">
        <f>IF(I2067="L",'Financial Inputs'!$B$4,IF(I2067="M",'Financial Inputs'!$B$5,'Financial Inputs'!$B$6))</f>
        <v>0.4</v>
      </c>
      <c r="Q2067" s="17">
        <f>O2067*P2067</f>
        <v>576000</v>
      </c>
      <c r="R2067" s="16">
        <f>'Financial Inputs'!$B$7</f>
        <v>0.35</v>
      </c>
      <c r="S2067" s="17">
        <f>Q2067*(1-R2067)</f>
        <v>374400</v>
      </c>
      <c r="T2067" s="18">
        <f>S2067/'Financial Inputs'!$B$3</f>
        <v>3.7439999999999999E-3</v>
      </c>
      <c r="U2067" s="9" t="s">
        <v>52</v>
      </c>
      <c r="V2067" s="3" t="s">
        <v>53</v>
      </c>
    </row>
    <row r="2068" spans="1:22">
      <c r="A2068" s="2" t="s">
        <v>6444</v>
      </c>
      <c r="B2068" s="2" t="s">
        <v>6445</v>
      </c>
      <c r="C2068" s="2" t="s">
        <v>6247</v>
      </c>
      <c r="D2068" s="2" t="s">
        <v>64</v>
      </c>
      <c r="E2068" s="2" t="s">
        <v>122</v>
      </c>
      <c r="F2068" s="2" t="s">
        <v>104</v>
      </c>
      <c r="G2068" s="2" t="s">
        <v>138</v>
      </c>
      <c r="H2068" s="2" t="s">
        <v>2318</v>
      </c>
      <c r="I2068" s="2" t="s">
        <v>47</v>
      </c>
      <c r="J2068" s="2" t="s">
        <v>48</v>
      </c>
      <c r="K2068" s="2" t="s">
        <v>6446</v>
      </c>
      <c r="L2068" s="2" t="s">
        <v>362</v>
      </c>
      <c r="M2068" s="2" t="s">
        <v>805</v>
      </c>
      <c r="N2068" s="16">
        <v>1.6199999999999999E-2</v>
      </c>
      <c r="O2068" s="17">
        <f>N2068*'Financial Inputs'!$B$3</f>
        <v>1620000</v>
      </c>
      <c r="P2068" s="18">
        <f>IF(I2068="L",'Financial Inputs'!$B$4,IF(I2068="M",'Financial Inputs'!$B$5,'Financial Inputs'!$B$6))</f>
        <v>0.4</v>
      </c>
      <c r="Q2068" s="17">
        <f>O2068*P2068</f>
        <v>648000</v>
      </c>
      <c r="R2068" s="16">
        <f>'Financial Inputs'!$B$7</f>
        <v>0.35</v>
      </c>
      <c r="S2068" s="17">
        <f>Q2068*(1-R2068)</f>
        <v>421200</v>
      </c>
      <c r="T2068" s="18">
        <f>S2068/'Financial Inputs'!$B$3</f>
        <v>4.2119999999999996E-3</v>
      </c>
      <c r="U2068" s="9" t="s">
        <v>52</v>
      </c>
      <c r="V2068" s="3" t="s">
        <v>53</v>
      </c>
    </row>
    <row r="2069" spans="1:22">
      <c r="A2069" s="2" t="s">
        <v>6447</v>
      </c>
      <c r="B2069" s="2" t="s">
        <v>6448</v>
      </c>
      <c r="C2069" s="2" t="s">
        <v>6247</v>
      </c>
      <c r="D2069" s="2" t="s">
        <v>72</v>
      </c>
      <c r="E2069" s="2" t="s">
        <v>128</v>
      </c>
      <c r="F2069" s="2" t="s">
        <v>110</v>
      </c>
      <c r="G2069" s="2" t="s">
        <v>143</v>
      </c>
      <c r="H2069" s="2" t="s">
        <v>2318</v>
      </c>
      <c r="I2069" s="2" t="s">
        <v>47</v>
      </c>
      <c r="J2069" s="2" t="s">
        <v>48</v>
      </c>
      <c r="K2069" s="2" t="s">
        <v>6449</v>
      </c>
      <c r="L2069" s="2" t="s">
        <v>366</v>
      </c>
      <c r="M2069" s="2" t="s">
        <v>805</v>
      </c>
      <c r="N2069" s="16">
        <v>1.7999999999999999E-2</v>
      </c>
      <c r="O2069" s="17">
        <f>N2069*'Financial Inputs'!$B$3</f>
        <v>1799999.9999999998</v>
      </c>
      <c r="P2069" s="18">
        <f>IF(I2069="L",'Financial Inputs'!$B$4,IF(I2069="M",'Financial Inputs'!$B$5,'Financial Inputs'!$B$6))</f>
        <v>0.4</v>
      </c>
      <c r="Q2069" s="17">
        <f>O2069*P2069</f>
        <v>720000</v>
      </c>
      <c r="R2069" s="16">
        <f>'Financial Inputs'!$B$7</f>
        <v>0.35</v>
      </c>
      <c r="S2069" s="17">
        <f>Q2069*(1-R2069)</f>
        <v>468000</v>
      </c>
      <c r="T2069" s="18">
        <f>S2069/'Financial Inputs'!$B$3</f>
        <v>4.6800000000000001E-3</v>
      </c>
      <c r="U2069" s="9" t="s">
        <v>52</v>
      </c>
      <c r="V2069" s="3" t="s">
        <v>53</v>
      </c>
    </row>
    <row r="2070" spans="1:22">
      <c r="A2070" s="2" t="s">
        <v>6450</v>
      </c>
      <c r="B2070" s="2" t="s">
        <v>6451</v>
      </c>
      <c r="C2070" s="2" t="s">
        <v>6247</v>
      </c>
      <c r="D2070" s="2" t="s">
        <v>80</v>
      </c>
      <c r="E2070" s="2" t="s">
        <v>43</v>
      </c>
      <c r="F2070" s="2" t="s">
        <v>117</v>
      </c>
      <c r="G2070" s="2" t="s">
        <v>162</v>
      </c>
      <c r="H2070" s="2" t="s">
        <v>2318</v>
      </c>
      <c r="I2070" s="2" t="s">
        <v>47</v>
      </c>
      <c r="J2070" s="2" t="s">
        <v>48</v>
      </c>
      <c r="K2070" s="2" t="s">
        <v>6452</v>
      </c>
      <c r="L2070" s="2" t="s">
        <v>370</v>
      </c>
      <c r="M2070" s="2" t="s">
        <v>805</v>
      </c>
      <c r="N2070" s="16">
        <v>1.9800000000000002E-2</v>
      </c>
      <c r="O2070" s="17">
        <f>N2070*'Financial Inputs'!$B$3</f>
        <v>1980000.0000000002</v>
      </c>
      <c r="P2070" s="18">
        <f>IF(I2070="L",'Financial Inputs'!$B$4,IF(I2070="M",'Financial Inputs'!$B$5,'Financial Inputs'!$B$6))</f>
        <v>0.4</v>
      </c>
      <c r="Q2070" s="17">
        <f>O2070*P2070</f>
        <v>792000.00000000012</v>
      </c>
      <c r="R2070" s="16">
        <f>'Financial Inputs'!$B$7</f>
        <v>0.35</v>
      </c>
      <c r="S2070" s="17">
        <f>Q2070*(1-R2070)</f>
        <v>514800.00000000012</v>
      </c>
      <c r="T2070" s="18">
        <f>S2070/'Financial Inputs'!$B$3</f>
        <v>5.1480000000000015E-3</v>
      </c>
      <c r="U2070" s="9" t="s">
        <v>52</v>
      </c>
      <c r="V2070" s="3" t="s">
        <v>53</v>
      </c>
    </row>
    <row r="2071" spans="1:22">
      <c r="A2071" s="2" t="s">
        <v>6453</v>
      </c>
      <c r="B2071" s="2" t="s">
        <v>6454</v>
      </c>
      <c r="C2071" s="2" t="s">
        <v>6247</v>
      </c>
      <c r="D2071" s="2" t="s">
        <v>127</v>
      </c>
      <c r="E2071" s="2" t="s">
        <v>57</v>
      </c>
      <c r="F2071" s="2" t="s">
        <v>90</v>
      </c>
      <c r="G2071" s="2" t="s">
        <v>45</v>
      </c>
      <c r="H2071" s="2" t="s">
        <v>2318</v>
      </c>
      <c r="I2071" s="2" t="s">
        <v>47</v>
      </c>
      <c r="J2071" s="2" t="s">
        <v>48</v>
      </c>
      <c r="K2071" s="2" t="s">
        <v>6455</v>
      </c>
      <c r="L2071" s="2" t="s">
        <v>374</v>
      </c>
      <c r="M2071" s="2" t="s">
        <v>805</v>
      </c>
      <c r="N2071" s="16">
        <v>2.1600000000000001E-2</v>
      </c>
      <c r="O2071" s="17">
        <f>N2071*'Financial Inputs'!$B$3</f>
        <v>2160000</v>
      </c>
      <c r="P2071" s="18">
        <f>IF(I2071="L",'Financial Inputs'!$B$4,IF(I2071="M",'Financial Inputs'!$B$5,'Financial Inputs'!$B$6))</f>
        <v>0.4</v>
      </c>
      <c r="Q2071" s="17">
        <f>O2071*P2071</f>
        <v>864000</v>
      </c>
      <c r="R2071" s="16">
        <f>'Financial Inputs'!$B$7</f>
        <v>0.35</v>
      </c>
      <c r="S2071" s="17">
        <f>Q2071*(1-R2071)</f>
        <v>561600</v>
      </c>
      <c r="T2071" s="18">
        <f>S2071/'Financial Inputs'!$B$3</f>
        <v>5.6160000000000003E-3</v>
      </c>
      <c r="U2071" s="9" t="s">
        <v>52</v>
      </c>
      <c r="V2071" s="3" t="s">
        <v>53</v>
      </c>
    </row>
    <row r="2072" spans="1:22">
      <c r="A2072" s="2" t="s">
        <v>6456</v>
      </c>
      <c r="B2072" s="2" t="s">
        <v>6457</v>
      </c>
      <c r="C2072" s="2" t="s">
        <v>6247</v>
      </c>
      <c r="D2072" s="2" t="s">
        <v>95</v>
      </c>
      <c r="E2072" s="2" t="s">
        <v>198</v>
      </c>
      <c r="F2072" s="2" t="s">
        <v>66</v>
      </c>
      <c r="G2072" s="2" t="s">
        <v>143</v>
      </c>
      <c r="H2072" s="2" t="s">
        <v>2318</v>
      </c>
      <c r="I2072" s="2" t="s">
        <v>47</v>
      </c>
      <c r="J2072" s="2" t="s">
        <v>48</v>
      </c>
      <c r="K2072" s="2" t="s">
        <v>6458</v>
      </c>
      <c r="L2072" s="2" t="s">
        <v>378</v>
      </c>
      <c r="M2072" s="2" t="s">
        <v>805</v>
      </c>
      <c r="N2072" s="16">
        <v>1.44E-2</v>
      </c>
      <c r="O2072" s="17">
        <f>N2072*'Financial Inputs'!$B$3</f>
        <v>1440000</v>
      </c>
      <c r="P2072" s="18">
        <f>IF(I2072="L",'Financial Inputs'!$B$4,IF(I2072="M",'Financial Inputs'!$B$5,'Financial Inputs'!$B$6))</f>
        <v>0.4</v>
      </c>
      <c r="Q2072" s="17">
        <f>O2072*P2072</f>
        <v>576000</v>
      </c>
      <c r="R2072" s="16">
        <f>'Financial Inputs'!$B$7</f>
        <v>0.35</v>
      </c>
      <c r="S2072" s="17">
        <f>Q2072*(1-R2072)</f>
        <v>374400</v>
      </c>
      <c r="T2072" s="18">
        <f>S2072/'Financial Inputs'!$B$3</f>
        <v>3.7439999999999999E-3</v>
      </c>
      <c r="U2072" s="9" t="s">
        <v>52</v>
      </c>
      <c r="V2072" s="3" t="s">
        <v>53</v>
      </c>
    </row>
    <row r="2073" spans="1:22">
      <c r="A2073" s="2" t="s">
        <v>6459</v>
      </c>
      <c r="B2073" s="2" t="s">
        <v>6460</v>
      </c>
      <c r="C2073" s="2" t="s">
        <v>6247</v>
      </c>
      <c r="D2073" s="2" t="s">
        <v>102</v>
      </c>
      <c r="E2073" s="2" t="s">
        <v>148</v>
      </c>
      <c r="F2073" s="2" t="s">
        <v>74</v>
      </c>
      <c r="G2073" s="2" t="s">
        <v>162</v>
      </c>
      <c r="H2073" s="2" t="s">
        <v>2318</v>
      </c>
      <c r="I2073" s="2" t="s">
        <v>47</v>
      </c>
      <c r="J2073" s="2" t="s">
        <v>48</v>
      </c>
      <c r="K2073" s="2" t="s">
        <v>6461</v>
      </c>
      <c r="L2073" s="2" t="s">
        <v>382</v>
      </c>
      <c r="M2073" s="2" t="s">
        <v>805</v>
      </c>
      <c r="N2073" s="16">
        <v>1.6199999999999999E-2</v>
      </c>
      <c r="O2073" s="17">
        <f>N2073*'Financial Inputs'!$B$3</f>
        <v>1620000</v>
      </c>
      <c r="P2073" s="18">
        <f>IF(I2073="L",'Financial Inputs'!$B$4,IF(I2073="M",'Financial Inputs'!$B$5,'Financial Inputs'!$B$6))</f>
        <v>0.4</v>
      </c>
      <c r="Q2073" s="17">
        <f>O2073*P2073</f>
        <v>648000</v>
      </c>
      <c r="R2073" s="16">
        <f>'Financial Inputs'!$B$7</f>
        <v>0.35</v>
      </c>
      <c r="S2073" s="17">
        <f>Q2073*(1-R2073)</f>
        <v>421200</v>
      </c>
      <c r="T2073" s="18">
        <f>S2073/'Financial Inputs'!$B$3</f>
        <v>4.2119999999999996E-3</v>
      </c>
      <c r="U2073" s="9" t="s">
        <v>52</v>
      </c>
      <c r="V2073" s="3" t="s">
        <v>53</v>
      </c>
    </row>
    <row r="2074" spans="1:22">
      <c r="A2074" s="2" t="s">
        <v>6462</v>
      </c>
      <c r="B2074" s="2" t="s">
        <v>6463</v>
      </c>
      <c r="C2074" s="2" t="s">
        <v>6247</v>
      </c>
      <c r="D2074" s="2" t="s">
        <v>42</v>
      </c>
      <c r="E2074" s="2" t="s">
        <v>153</v>
      </c>
      <c r="F2074" s="2" t="s">
        <v>82</v>
      </c>
      <c r="G2074" s="2" t="s">
        <v>45</v>
      </c>
      <c r="H2074" s="2" t="s">
        <v>2318</v>
      </c>
      <c r="I2074" s="2" t="s">
        <v>47</v>
      </c>
      <c r="J2074" s="2" t="s">
        <v>48</v>
      </c>
      <c r="K2074" s="2" t="s">
        <v>6464</v>
      </c>
      <c r="L2074" s="2" t="s">
        <v>386</v>
      </c>
      <c r="M2074" s="2" t="s">
        <v>805</v>
      </c>
      <c r="N2074" s="16">
        <v>1.7999999999999999E-2</v>
      </c>
      <c r="O2074" s="17">
        <f>N2074*'Financial Inputs'!$B$3</f>
        <v>1799999.9999999998</v>
      </c>
      <c r="P2074" s="18">
        <f>IF(I2074="L",'Financial Inputs'!$B$4,IF(I2074="M",'Financial Inputs'!$B$5,'Financial Inputs'!$B$6))</f>
        <v>0.4</v>
      </c>
      <c r="Q2074" s="17">
        <f>O2074*P2074</f>
        <v>720000</v>
      </c>
      <c r="R2074" s="16">
        <f>'Financial Inputs'!$B$7</f>
        <v>0.35</v>
      </c>
      <c r="S2074" s="17">
        <f>Q2074*(1-R2074)</f>
        <v>468000</v>
      </c>
      <c r="T2074" s="18">
        <f>S2074/'Financial Inputs'!$B$3</f>
        <v>4.6800000000000001E-3</v>
      </c>
      <c r="U2074" s="9" t="s">
        <v>52</v>
      </c>
      <c r="V2074" s="3" t="s">
        <v>53</v>
      </c>
    </row>
    <row r="2075" spans="1:22">
      <c r="A2075" s="2" t="s">
        <v>6465</v>
      </c>
      <c r="B2075" s="2" t="s">
        <v>6466</v>
      </c>
      <c r="C2075" s="2" t="s">
        <v>6247</v>
      </c>
      <c r="D2075" s="2" t="s">
        <v>56</v>
      </c>
      <c r="E2075" s="2" t="s">
        <v>89</v>
      </c>
      <c r="F2075" s="2" t="s">
        <v>44</v>
      </c>
      <c r="G2075" s="2" t="s">
        <v>59</v>
      </c>
      <c r="H2075" s="2" t="s">
        <v>2318</v>
      </c>
      <c r="I2075" s="2" t="s">
        <v>47</v>
      </c>
      <c r="J2075" s="2" t="s">
        <v>48</v>
      </c>
      <c r="K2075" s="2" t="s">
        <v>6467</v>
      </c>
      <c r="L2075" s="2" t="s">
        <v>390</v>
      </c>
      <c r="M2075" s="2" t="s">
        <v>805</v>
      </c>
      <c r="N2075" s="16">
        <v>1.9800000000000002E-2</v>
      </c>
      <c r="O2075" s="17">
        <f>N2075*'Financial Inputs'!$B$3</f>
        <v>1980000.0000000002</v>
      </c>
      <c r="P2075" s="18">
        <f>IF(I2075="L",'Financial Inputs'!$B$4,IF(I2075="M",'Financial Inputs'!$B$5,'Financial Inputs'!$B$6))</f>
        <v>0.4</v>
      </c>
      <c r="Q2075" s="17">
        <f>O2075*P2075</f>
        <v>792000.00000000012</v>
      </c>
      <c r="R2075" s="16">
        <f>'Financial Inputs'!$B$7</f>
        <v>0.35</v>
      </c>
      <c r="S2075" s="17">
        <f>Q2075*(1-R2075)</f>
        <v>514800.00000000012</v>
      </c>
      <c r="T2075" s="18">
        <f>S2075/'Financial Inputs'!$B$3</f>
        <v>5.1480000000000015E-3</v>
      </c>
      <c r="U2075" s="9" t="s">
        <v>52</v>
      </c>
      <c r="V2075" s="3" t="s">
        <v>53</v>
      </c>
    </row>
    <row r="2076" spans="1:22">
      <c r="A2076" s="2" t="s">
        <v>6468</v>
      </c>
      <c r="B2076" s="2" t="s">
        <v>6469</v>
      </c>
      <c r="C2076" s="2" t="s">
        <v>6247</v>
      </c>
      <c r="D2076" s="2" t="s">
        <v>64</v>
      </c>
      <c r="E2076" s="2" t="s">
        <v>96</v>
      </c>
      <c r="F2076" s="2" t="s">
        <v>58</v>
      </c>
      <c r="G2076" s="2" t="s">
        <v>67</v>
      </c>
      <c r="H2076" s="2" t="s">
        <v>2318</v>
      </c>
      <c r="I2076" s="2" t="s">
        <v>47</v>
      </c>
      <c r="J2076" s="2" t="s">
        <v>48</v>
      </c>
      <c r="K2076" s="2" t="s">
        <v>6470</v>
      </c>
      <c r="L2076" s="2" t="s">
        <v>394</v>
      </c>
      <c r="M2076" s="2" t="s">
        <v>805</v>
      </c>
      <c r="N2076" s="16">
        <v>2.1600000000000001E-2</v>
      </c>
      <c r="O2076" s="17">
        <f>N2076*'Financial Inputs'!$B$3</f>
        <v>2160000</v>
      </c>
      <c r="P2076" s="18">
        <f>IF(I2076="L",'Financial Inputs'!$B$4,IF(I2076="M",'Financial Inputs'!$B$5,'Financial Inputs'!$B$6))</f>
        <v>0.4</v>
      </c>
      <c r="Q2076" s="17">
        <f>O2076*P2076</f>
        <v>864000</v>
      </c>
      <c r="R2076" s="16">
        <f>'Financial Inputs'!$B$7</f>
        <v>0.35</v>
      </c>
      <c r="S2076" s="17">
        <f>Q2076*(1-R2076)</f>
        <v>561600</v>
      </c>
      <c r="T2076" s="18">
        <f>S2076/'Financial Inputs'!$B$3</f>
        <v>5.6160000000000003E-3</v>
      </c>
      <c r="U2076" s="9" t="s">
        <v>52</v>
      </c>
      <c r="V2076" s="3" t="s">
        <v>53</v>
      </c>
    </row>
    <row r="2077" spans="1:22">
      <c r="A2077" s="2" t="s">
        <v>6471</v>
      </c>
      <c r="B2077" s="2" t="s">
        <v>6472</v>
      </c>
      <c r="C2077" s="2" t="s">
        <v>6247</v>
      </c>
      <c r="D2077" s="2" t="s">
        <v>127</v>
      </c>
      <c r="E2077" s="2" t="s">
        <v>220</v>
      </c>
      <c r="F2077" s="2" t="s">
        <v>104</v>
      </c>
      <c r="G2077" s="2" t="s">
        <v>45</v>
      </c>
      <c r="H2077" s="2" t="s">
        <v>2318</v>
      </c>
      <c r="I2077" s="2" t="s">
        <v>47</v>
      </c>
      <c r="J2077" s="2" t="s">
        <v>48</v>
      </c>
      <c r="K2077" s="2" t="s">
        <v>6473</v>
      </c>
      <c r="L2077" s="2" t="s">
        <v>398</v>
      </c>
      <c r="M2077" s="2" t="s">
        <v>805</v>
      </c>
      <c r="N2077" s="16">
        <v>1.44E-2</v>
      </c>
      <c r="O2077" s="17">
        <f>N2077*'Financial Inputs'!$B$3</f>
        <v>1440000</v>
      </c>
      <c r="P2077" s="18">
        <f>IF(I2077="L",'Financial Inputs'!$B$4,IF(I2077="M",'Financial Inputs'!$B$5,'Financial Inputs'!$B$6))</f>
        <v>0.4</v>
      </c>
      <c r="Q2077" s="17">
        <f>O2077*P2077</f>
        <v>576000</v>
      </c>
      <c r="R2077" s="16">
        <f>'Financial Inputs'!$B$7</f>
        <v>0.35</v>
      </c>
      <c r="S2077" s="17">
        <f>Q2077*(1-R2077)</f>
        <v>374400</v>
      </c>
      <c r="T2077" s="18">
        <f>S2077/'Financial Inputs'!$B$3</f>
        <v>3.7439999999999999E-3</v>
      </c>
      <c r="U2077" s="9" t="s">
        <v>52</v>
      </c>
      <c r="V2077" s="3" t="s">
        <v>53</v>
      </c>
    </row>
    <row r="2078" spans="1:22">
      <c r="A2078" s="2" t="s">
        <v>6474</v>
      </c>
      <c r="B2078" s="2" t="s">
        <v>6475</v>
      </c>
      <c r="C2078" s="2" t="s">
        <v>6247</v>
      </c>
      <c r="D2078" s="2" t="s">
        <v>133</v>
      </c>
      <c r="E2078" s="2" t="s">
        <v>171</v>
      </c>
      <c r="F2078" s="2" t="s">
        <v>110</v>
      </c>
      <c r="G2078" s="2" t="s">
        <v>59</v>
      </c>
      <c r="H2078" s="2" t="s">
        <v>2318</v>
      </c>
      <c r="I2078" s="2" t="s">
        <v>47</v>
      </c>
      <c r="J2078" s="2" t="s">
        <v>48</v>
      </c>
      <c r="K2078" s="2" t="s">
        <v>6476</v>
      </c>
      <c r="L2078" s="2" t="s">
        <v>402</v>
      </c>
      <c r="M2078" s="2" t="s">
        <v>805</v>
      </c>
      <c r="N2078" s="16">
        <v>1.6199999999999999E-2</v>
      </c>
      <c r="O2078" s="17">
        <f>N2078*'Financial Inputs'!$B$3</f>
        <v>1620000</v>
      </c>
      <c r="P2078" s="18">
        <f>IF(I2078="L",'Financial Inputs'!$B$4,IF(I2078="M",'Financial Inputs'!$B$5,'Financial Inputs'!$B$6))</f>
        <v>0.4</v>
      </c>
      <c r="Q2078" s="17">
        <f>O2078*P2078</f>
        <v>648000</v>
      </c>
      <c r="R2078" s="16">
        <f>'Financial Inputs'!$B$7</f>
        <v>0.35</v>
      </c>
      <c r="S2078" s="17">
        <f>Q2078*(1-R2078)</f>
        <v>421200</v>
      </c>
      <c r="T2078" s="18">
        <f>S2078/'Financial Inputs'!$B$3</f>
        <v>4.2119999999999996E-3</v>
      </c>
      <c r="U2078" s="9" t="s">
        <v>52</v>
      </c>
      <c r="V2078" s="3" t="s">
        <v>53</v>
      </c>
    </row>
    <row r="2079" spans="1:22">
      <c r="A2079" s="2" t="s">
        <v>6477</v>
      </c>
      <c r="B2079" s="2" t="s">
        <v>6478</v>
      </c>
      <c r="C2079" s="2" t="s">
        <v>6247</v>
      </c>
      <c r="D2079" s="2" t="s">
        <v>88</v>
      </c>
      <c r="E2079" s="2" t="s">
        <v>176</v>
      </c>
      <c r="F2079" s="2" t="s">
        <v>117</v>
      </c>
      <c r="G2079" s="2" t="s">
        <v>67</v>
      </c>
      <c r="H2079" s="2" t="s">
        <v>2318</v>
      </c>
      <c r="I2079" s="2" t="s">
        <v>47</v>
      </c>
      <c r="J2079" s="2" t="s">
        <v>48</v>
      </c>
      <c r="K2079" s="2" t="s">
        <v>6479</v>
      </c>
      <c r="L2079" s="2" t="s">
        <v>406</v>
      </c>
      <c r="M2079" s="2" t="s">
        <v>805</v>
      </c>
      <c r="N2079" s="16">
        <v>1.7999999999999999E-2</v>
      </c>
      <c r="O2079" s="17">
        <f>N2079*'Financial Inputs'!$B$3</f>
        <v>1799999.9999999998</v>
      </c>
      <c r="P2079" s="18">
        <f>IF(I2079="L",'Financial Inputs'!$B$4,IF(I2079="M",'Financial Inputs'!$B$5,'Financial Inputs'!$B$6))</f>
        <v>0.4</v>
      </c>
      <c r="Q2079" s="17">
        <f>O2079*P2079</f>
        <v>720000</v>
      </c>
      <c r="R2079" s="16">
        <f>'Financial Inputs'!$B$7</f>
        <v>0.35</v>
      </c>
      <c r="S2079" s="17">
        <f>Q2079*(1-R2079)</f>
        <v>468000</v>
      </c>
      <c r="T2079" s="18">
        <f>S2079/'Financial Inputs'!$B$3</f>
        <v>4.6800000000000001E-3</v>
      </c>
      <c r="U2079" s="9" t="s">
        <v>52</v>
      </c>
      <c r="V2079" s="3" t="s">
        <v>53</v>
      </c>
    </row>
    <row r="2080" spans="1:22">
      <c r="A2080" s="2" t="s">
        <v>6480</v>
      </c>
      <c r="B2080" s="2" t="s">
        <v>6481</v>
      </c>
      <c r="C2080" s="2" t="s">
        <v>6247</v>
      </c>
      <c r="D2080" s="2" t="s">
        <v>95</v>
      </c>
      <c r="E2080" s="2" t="s">
        <v>122</v>
      </c>
      <c r="F2080" s="2" t="s">
        <v>90</v>
      </c>
      <c r="G2080" s="2" t="s">
        <v>75</v>
      </c>
      <c r="H2080" s="2" t="s">
        <v>2318</v>
      </c>
      <c r="I2080" s="2" t="s">
        <v>47</v>
      </c>
      <c r="J2080" s="2" t="s">
        <v>48</v>
      </c>
      <c r="K2080" s="2" t="s">
        <v>6482</v>
      </c>
      <c r="L2080" s="2" t="s">
        <v>410</v>
      </c>
      <c r="M2080" s="2" t="s">
        <v>805</v>
      </c>
      <c r="N2080" s="16">
        <v>1.9800000000000002E-2</v>
      </c>
      <c r="O2080" s="17">
        <f>N2080*'Financial Inputs'!$B$3</f>
        <v>1980000.0000000002</v>
      </c>
      <c r="P2080" s="18">
        <f>IF(I2080="L",'Financial Inputs'!$B$4,IF(I2080="M",'Financial Inputs'!$B$5,'Financial Inputs'!$B$6))</f>
        <v>0.4</v>
      </c>
      <c r="Q2080" s="17">
        <f>O2080*P2080</f>
        <v>792000.00000000012</v>
      </c>
      <c r="R2080" s="16">
        <f>'Financial Inputs'!$B$7</f>
        <v>0.35</v>
      </c>
      <c r="S2080" s="17">
        <f>Q2080*(1-R2080)</f>
        <v>514800.00000000012</v>
      </c>
      <c r="T2080" s="18">
        <f>S2080/'Financial Inputs'!$B$3</f>
        <v>5.1480000000000015E-3</v>
      </c>
      <c r="U2080" s="9" t="s">
        <v>52</v>
      </c>
      <c r="V2080" s="3" t="s">
        <v>53</v>
      </c>
    </row>
    <row r="2081" spans="1:22">
      <c r="A2081" s="2" t="s">
        <v>6483</v>
      </c>
      <c r="B2081" s="2" t="s">
        <v>6484</v>
      </c>
      <c r="C2081" s="2" t="s">
        <v>6247</v>
      </c>
      <c r="D2081" s="2" t="s">
        <v>102</v>
      </c>
      <c r="E2081" s="2" t="s">
        <v>128</v>
      </c>
      <c r="F2081" s="2" t="s">
        <v>97</v>
      </c>
      <c r="G2081" s="2" t="s">
        <v>83</v>
      </c>
      <c r="H2081" s="2" t="s">
        <v>2318</v>
      </c>
      <c r="I2081" s="2" t="s">
        <v>47</v>
      </c>
      <c r="J2081" s="2" t="s">
        <v>48</v>
      </c>
      <c r="K2081" s="2" t="s">
        <v>6485</v>
      </c>
      <c r="L2081" s="2" t="s">
        <v>414</v>
      </c>
      <c r="M2081" s="2" t="s">
        <v>805</v>
      </c>
      <c r="N2081" s="16">
        <v>2.1600000000000001E-2</v>
      </c>
      <c r="O2081" s="17">
        <f>N2081*'Financial Inputs'!$B$3</f>
        <v>2160000</v>
      </c>
      <c r="P2081" s="18">
        <f>IF(I2081="L",'Financial Inputs'!$B$4,IF(I2081="M",'Financial Inputs'!$B$5,'Financial Inputs'!$B$6))</f>
        <v>0.4</v>
      </c>
      <c r="Q2081" s="17">
        <f>O2081*P2081</f>
        <v>864000</v>
      </c>
      <c r="R2081" s="16">
        <f>'Financial Inputs'!$B$7</f>
        <v>0.35</v>
      </c>
      <c r="S2081" s="17">
        <f>Q2081*(1-R2081)</f>
        <v>561600</v>
      </c>
      <c r="T2081" s="18">
        <f>S2081/'Financial Inputs'!$B$3</f>
        <v>5.6160000000000003E-3</v>
      </c>
      <c r="U2081" s="9" t="s">
        <v>52</v>
      </c>
      <c r="V2081" s="3" t="s">
        <v>53</v>
      </c>
    </row>
    <row r="2082" spans="1:22">
      <c r="A2082" s="2" t="s">
        <v>6486</v>
      </c>
      <c r="B2082" s="2" t="s">
        <v>6487</v>
      </c>
      <c r="C2082" s="2" t="s">
        <v>6247</v>
      </c>
      <c r="D2082" s="2" t="s">
        <v>64</v>
      </c>
      <c r="E2082" s="2" t="s">
        <v>81</v>
      </c>
      <c r="F2082" s="2" t="s">
        <v>74</v>
      </c>
      <c r="G2082" s="2" t="s">
        <v>67</v>
      </c>
      <c r="H2082" s="2" t="s">
        <v>2318</v>
      </c>
      <c r="I2082" s="2" t="s">
        <v>47</v>
      </c>
      <c r="J2082" s="2" t="s">
        <v>48</v>
      </c>
      <c r="K2082" s="2" t="s">
        <v>6488</v>
      </c>
      <c r="L2082" s="2" t="s">
        <v>418</v>
      </c>
      <c r="M2082" s="2" t="s">
        <v>805</v>
      </c>
      <c r="N2082" s="16">
        <v>1.44E-2</v>
      </c>
      <c r="O2082" s="17">
        <f>N2082*'Financial Inputs'!$B$3</f>
        <v>1440000</v>
      </c>
      <c r="P2082" s="18">
        <f>IF(I2082="L",'Financial Inputs'!$B$4,IF(I2082="M",'Financial Inputs'!$B$5,'Financial Inputs'!$B$6))</f>
        <v>0.4</v>
      </c>
      <c r="Q2082" s="17">
        <f>O2082*P2082</f>
        <v>576000</v>
      </c>
      <c r="R2082" s="16">
        <f>'Financial Inputs'!$B$7</f>
        <v>0.35</v>
      </c>
      <c r="S2082" s="17">
        <f>Q2082*(1-R2082)</f>
        <v>374400</v>
      </c>
      <c r="T2082" s="18">
        <f>S2082/'Financial Inputs'!$B$3</f>
        <v>3.7439999999999999E-3</v>
      </c>
      <c r="U2082" s="9" t="s">
        <v>52</v>
      </c>
      <c r="V2082" s="3" t="s">
        <v>53</v>
      </c>
    </row>
    <row r="2083" spans="1:22">
      <c r="A2083" s="2" t="s">
        <v>6489</v>
      </c>
      <c r="B2083" s="2" t="s">
        <v>6490</v>
      </c>
      <c r="C2083" s="2" t="s">
        <v>6247</v>
      </c>
      <c r="D2083" s="2" t="s">
        <v>72</v>
      </c>
      <c r="E2083" s="2" t="s">
        <v>193</v>
      </c>
      <c r="F2083" s="2" t="s">
        <v>82</v>
      </c>
      <c r="G2083" s="2" t="s">
        <v>75</v>
      </c>
      <c r="H2083" s="2" t="s">
        <v>2318</v>
      </c>
      <c r="I2083" s="2" t="s">
        <v>47</v>
      </c>
      <c r="J2083" s="2" t="s">
        <v>48</v>
      </c>
      <c r="K2083" s="2" t="s">
        <v>6491</v>
      </c>
      <c r="L2083" s="2" t="s">
        <v>422</v>
      </c>
      <c r="M2083" s="2" t="s">
        <v>805</v>
      </c>
      <c r="N2083" s="16">
        <v>1.6199999999999999E-2</v>
      </c>
      <c r="O2083" s="17">
        <f>N2083*'Financial Inputs'!$B$3</f>
        <v>1620000</v>
      </c>
      <c r="P2083" s="18">
        <f>IF(I2083="L",'Financial Inputs'!$B$4,IF(I2083="M",'Financial Inputs'!$B$5,'Financial Inputs'!$B$6))</f>
        <v>0.4</v>
      </c>
      <c r="Q2083" s="17">
        <f>O2083*P2083</f>
        <v>648000</v>
      </c>
      <c r="R2083" s="16">
        <f>'Financial Inputs'!$B$7</f>
        <v>0.35</v>
      </c>
      <c r="S2083" s="17">
        <f>Q2083*(1-R2083)</f>
        <v>421200</v>
      </c>
      <c r="T2083" s="18">
        <f>S2083/'Financial Inputs'!$B$3</f>
        <v>4.2119999999999996E-3</v>
      </c>
      <c r="U2083" s="9" t="s">
        <v>52</v>
      </c>
      <c r="V2083" s="3" t="s">
        <v>53</v>
      </c>
    </row>
    <row r="2084" spans="1:22">
      <c r="A2084" s="2" t="s">
        <v>6492</v>
      </c>
      <c r="B2084" s="2" t="s">
        <v>6493</v>
      </c>
      <c r="C2084" s="2" t="s">
        <v>6247</v>
      </c>
      <c r="D2084" s="2" t="s">
        <v>80</v>
      </c>
      <c r="E2084" s="2" t="s">
        <v>198</v>
      </c>
      <c r="F2084" s="2" t="s">
        <v>44</v>
      </c>
      <c r="G2084" s="2" t="s">
        <v>83</v>
      </c>
      <c r="H2084" s="2" t="s">
        <v>2318</v>
      </c>
      <c r="I2084" s="2" t="s">
        <v>47</v>
      </c>
      <c r="J2084" s="2" t="s">
        <v>48</v>
      </c>
      <c r="K2084" s="2" t="s">
        <v>6494</v>
      </c>
      <c r="L2084" s="2" t="s">
        <v>426</v>
      </c>
      <c r="M2084" s="2" t="s">
        <v>805</v>
      </c>
      <c r="N2084" s="16">
        <v>1.7999999999999999E-2</v>
      </c>
      <c r="O2084" s="17">
        <f>N2084*'Financial Inputs'!$B$3</f>
        <v>1799999.9999999998</v>
      </c>
      <c r="P2084" s="18">
        <f>IF(I2084="L",'Financial Inputs'!$B$4,IF(I2084="M",'Financial Inputs'!$B$5,'Financial Inputs'!$B$6))</f>
        <v>0.4</v>
      </c>
      <c r="Q2084" s="17">
        <f>O2084*P2084</f>
        <v>720000</v>
      </c>
      <c r="R2084" s="16">
        <f>'Financial Inputs'!$B$7</f>
        <v>0.35</v>
      </c>
      <c r="S2084" s="17">
        <f>Q2084*(1-R2084)</f>
        <v>468000</v>
      </c>
      <c r="T2084" s="18">
        <f>S2084/'Financial Inputs'!$B$3</f>
        <v>4.6800000000000001E-3</v>
      </c>
      <c r="U2084" s="9" t="s">
        <v>52</v>
      </c>
      <c r="V2084" s="3" t="s">
        <v>53</v>
      </c>
    </row>
    <row r="2085" spans="1:22">
      <c r="A2085" s="2" t="s">
        <v>6495</v>
      </c>
      <c r="B2085" s="2" t="s">
        <v>6496</v>
      </c>
      <c r="C2085" s="2" t="s">
        <v>6247</v>
      </c>
      <c r="D2085" s="2" t="s">
        <v>127</v>
      </c>
      <c r="E2085" s="2" t="s">
        <v>148</v>
      </c>
      <c r="F2085" s="2" t="s">
        <v>58</v>
      </c>
      <c r="G2085" s="2" t="s">
        <v>111</v>
      </c>
      <c r="H2085" s="2" t="s">
        <v>2318</v>
      </c>
      <c r="I2085" s="2" t="s">
        <v>47</v>
      </c>
      <c r="J2085" s="2" t="s">
        <v>48</v>
      </c>
      <c r="K2085" s="2" t="s">
        <v>6497</v>
      </c>
      <c r="L2085" s="2" t="s">
        <v>430</v>
      </c>
      <c r="M2085" s="2" t="s">
        <v>805</v>
      </c>
      <c r="N2085" s="16">
        <v>1.9800000000000002E-2</v>
      </c>
      <c r="O2085" s="17">
        <f>N2085*'Financial Inputs'!$B$3</f>
        <v>1980000.0000000002</v>
      </c>
      <c r="P2085" s="18">
        <f>IF(I2085="L",'Financial Inputs'!$B$4,IF(I2085="M",'Financial Inputs'!$B$5,'Financial Inputs'!$B$6))</f>
        <v>0.4</v>
      </c>
      <c r="Q2085" s="17">
        <f>O2085*P2085</f>
        <v>792000.00000000012</v>
      </c>
      <c r="R2085" s="16">
        <f>'Financial Inputs'!$B$7</f>
        <v>0.35</v>
      </c>
      <c r="S2085" s="17">
        <f>Q2085*(1-R2085)</f>
        <v>514800.00000000012</v>
      </c>
      <c r="T2085" s="18">
        <f>S2085/'Financial Inputs'!$B$3</f>
        <v>5.1480000000000015E-3</v>
      </c>
      <c r="U2085" s="9" t="s">
        <v>52</v>
      </c>
      <c r="V2085" s="3" t="s">
        <v>53</v>
      </c>
    </row>
    <row r="2086" spans="1:22">
      <c r="A2086" s="2" t="s">
        <v>6498</v>
      </c>
      <c r="B2086" s="2" t="s">
        <v>6499</v>
      </c>
      <c r="C2086" s="2" t="s">
        <v>6247</v>
      </c>
      <c r="D2086" s="2" t="s">
        <v>133</v>
      </c>
      <c r="E2086" s="2" t="s">
        <v>153</v>
      </c>
      <c r="F2086" s="2" t="s">
        <v>66</v>
      </c>
      <c r="G2086" s="2" t="s">
        <v>56</v>
      </c>
      <c r="H2086" s="2" t="s">
        <v>2318</v>
      </c>
      <c r="I2086" s="2" t="s">
        <v>47</v>
      </c>
      <c r="J2086" s="2" t="s">
        <v>48</v>
      </c>
      <c r="K2086" s="2" t="s">
        <v>6500</v>
      </c>
      <c r="L2086" s="2" t="s">
        <v>434</v>
      </c>
      <c r="M2086" s="2" t="s">
        <v>805</v>
      </c>
      <c r="N2086" s="16">
        <v>2.1600000000000001E-2</v>
      </c>
      <c r="O2086" s="17">
        <f>N2086*'Financial Inputs'!$B$3</f>
        <v>2160000</v>
      </c>
      <c r="P2086" s="18">
        <f>IF(I2086="L",'Financial Inputs'!$B$4,IF(I2086="M",'Financial Inputs'!$B$5,'Financial Inputs'!$B$6))</f>
        <v>0.4</v>
      </c>
      <c r="Q2086" s="17">
        <f>O2086*P2086</f>
        <v>864000</v>
      </c>
      <c r="R2086" s="16">
        <f>'Financial Inputs'!$B$7</f>
        <v>0.35</v>
      </c>
      <c r="S2086" s="17">
        <f>Q2086*(1-R2086)</f>
        <v>561600</v>
      </c>
      <c r="T2086" s="18">
        <f>S2086/'Financial Inputs'!$B$3</f>
        <v>5.6160000000000003E-3</v>
      </c>
      <c r="U2086" s="9" t="s">
        <v>52</v>
      </c>
      <c r="V2086" s="3" t="s">
        <v>53</v>
      </c>
    </row>
    <row r="2087" spans="1:22">
      <c r="A2087" s="2" t="s">
        <v>6501</v>
      </c>
      <c r="B2087" s="2" t="s">
        <v>6502</v>
      </c>
      <c r="C2087" s="2" t="s">
        <v>6247</v>
      </c>
      <c r="D2087" s="2" t="s">
        <v>102</v>
      </c>
      <c r="E2087" s="2" t="s">
        <v>116</v>
      </c>
      <c r="F2087" s="2" t="s">
        <v>110</v>
      </c>
      <c r="G2087" s="2" t="s">
        <v>83</v>
      </c>
      <c r="H2087" s="2" t="s">
        <v>2318</v>
      </c>
      <c r="I2087" s="2" t="s">
        <v>47</v>
      </c>
      <c r="J2087" s="2" t="s">
        <v>48</v>
      </c>
      <c r="K2087" s="2" t="s">
        <v>6503</v>
      </c>
      <c r="L2087" s="2" t="s">
        <v>438</v>
      </c>
      <c r="M2087" s="2" t="s">
        <v>805</v>
      </c>
      <c r="N2087" s="16">
        <v>1.44E-2</v>
      </c>
      <c r="O2087" s="17">
        <f>N2087*'Financial Inputs'!$B$3</f>
        <v>1440000</v>
      </c>
      <c r="P2087" s="18">
        <f>IF(I2087="L",'Financial Inputs'!$B$4,IF(I2087="M",'Financial Inputs'!$B$5,'Financial Inputs'!$B$6))</f>
        <v>0.4</v>
      </c>
      <c r="Q2087" s="17">
        <f>O2087*P2087</f>
        <v>576000</v>
      </c>
      <c r="R2087" s="16">
        <f>'Financial Inputs'!$B$7</f>
        <v>0.35</v>
      </c>
      <c r="S2087" s="17">
        <f>Q2087*(1-R2087)</f>
        <v>374400</v>
      </c>
      <c r="T2087" s="18">
        <f>S2087/'Financial Inputs'!$B$3</f>
        <v>3.7439999999999999E-3</v>
      </c>
      <c r="U2087" s="9" t="s">
        <v>52</v>
      </c>
      <c r="V2087" s="3" t="s">
        <v>53</v>
      </c>
    </row>
    <row r="2088" spans="1:22">
      <c r="A2088" s="2" t="s">
        <v>6504</v>
      </c>
      <c r="B2088" s="2" t="s">
        <v>6505</v>
      </c>
      <c r="C2088" s="2" t="s">
        <v>6247</v>
      </c>
      <c r="D2088" s="2" t="s">
        <v>42</v>
      </c>
      <c r="E2088" s="2" t="s">
        <v>215</v>
      </c>
      <c r="F2088" s="2" t="s">
        <v>117</v>
      </c>
      <c r="G2088" s="2" t="s">
        <v>111</v>
      </c>
      <c r="H2088" s="2" t="s">
        <v>2318</v>
      </c>
      <c r="I2088" s="2" t="s">
        <v>47</v>
      </c>
      <c r="J2088" s="2" t="s">
        <v>48</v>
      </c>
      <c r="K2088" s="2" t="s">
        <v>6506</v>
      </c>
      <c r="L2088" s="2" t="s">
        <v>442</v>
      </c>
      <c r="M2088" s="2" t="s">
        <v>805</v>
      </c>
      <c r="N2088" s="16">
        <v>1.6199999999999999E-2</v>
      </c>
      <c r="O2088" s="17">
        <f>N2088*'Financial Inputs'!$B$3</f>
        <v>1620000</v>
      </c>
      <c r="P2088" s="18">
        <f>IF(I2088="L",'Financial Inputs'!$B$4,IF(I2088="M",'Financial Inputs'!$B$5,'Financial Inputs'!$B$6))</f>
        <v>0.4</v>
      </c>
      <c r="Q2088" s="17">
        <f>O2088*P2088</f>
        <v>648000</v>
      </c>
      <c r="R2088" s="16">
        <f>'Financial Inputs'!$B$7</f>
        <v>0.35</v>
      </c>
      <c r="S2088" s="17">
        <f>Q2088*(1-R2088)</f>
        <v>421200</v>
      </c>
      <c r="T2088" s="18">
        <f>S2088/'Financial Inputs'!$B$3</f>
        <v>4.2119999999999996E-3</v>
      </c>
      <c r="U2088" s="9" t="s">
        <v>52</v>
      </c>
      <c r="V2088" s="3" t="s">
        <v>53</v>
      </c>
    </row>
    <row r="2089" spans="1:22">
      <c r="A2089" s="2" t="s">
        <v>6507</v>
      </c>
      <c r="B2089" s="2" t="s">
        <v>6508</v>
      </c>
      <c r="C2089" s="2" t="s">
        <v>6247</v>
      </c>
      <c r="D2089" s="2" t="s">
        <v>56</v>
      </c>
      <c r="E2089" s="2" t="s">
        <v>220</v>
      </c>
      <c r="F2089" s="2" t="s">
        <v>90</v>
      </c>
      <c r="G2089" s="2" t="s">
        <v>56</v>
      </c>
      <c r="H2089" s="2" t="s">
        <v>2318</v>
      </c>
      <c r="I2089" s="2" t="s">
        <v>47</v>
      </c>
      <c r="J2089" s="2" t="s">
        <v>48</v>
      </c>
      <c r="K2089" s="2" t="s">
        <v>6509</v>
      </c>
      <c r="L2089" s="2" t="s">
        <v>446</v>
      </c>
      <c r="M2089" s="2" t="s">
        <v>805</v>
      </c>
      <c r="N2089" s="16">
        <v>1.7999999999999999E-2</v>
      </c>
      <c r="O2089" s="17">
        <f>N2089*'Financial Inputs'!$B$3</f>
        <v>1799999.9999999998</v>
      </c>
      <c r="P2089" s="18">
        <f>IF(I2089="L",'Financial Inputs'!$B$4,IF(I2089="M",'Financial Inputs'!$B$5,'Financial Inputs'!$B$6))</f>
        <v>0.4</v>
      </c>
      <c r="Q2089" s="17">
        <f>O2089*P2089</f>
        <v>720000</v>
      </c>
      <c r="R2089" s="16">
        <f>'Financial Inputs'!$B$7</f>
        <v>0.35</v>
      </c>
      <c r="S2089" s="17">
        <f>Q2089*(1-R2089)</f>
        <v>468000</v>
      </c>
      <c r="T2089" s="18">
        <f>S2089/'Financial Inputs'!$B$3</f>
        <v>4.6800000000000001E-3</v>
      </c>
      <c r="U2089" s="9" t="s">
        <v>52</v>
      </c>
      <c r="V2089" s="3" t="s">
        <v>53</v>
      </c>
    </row>
    <row r="2090" spans="1:22">
      <c r="A2090" s="2" t="s">
        <v>6510</v>
      </c>
      <c r="B2090" s="2" t="s">
        <v>6511</v>
      </c>
      <c r="C2090" s="2" t="s">
        <v>6247</v>
      </c>
      <c r="D2090" s="2" t="s">
        <v>64</v>
      </c>
      <c r="E2090" s="2" t="s">
        <v>171</v>
      </c>
      <c r="F2090" s="2" t="s">
        <v>97</v>
      </c>
      <c r="G2090" s="2" t="s">
        <v>138</v>
      </c>
      <c r="H2090" s="2" t="s">
        <v>2318</v>
      </c>
      <c r="I2090" s="2" t="s">
        <v>47</v>
      </c>
      <c r="J2090" s="2" t="s">
        <v>48</v>
      </c>
      <c r="K2090" s="2" t="s">
        <v>6512</v>
      </c>
      <c r="L2090" s="2" t="s">
        <v>450</v>
      </c>
      <c r="M2090" s="2" t="s">
        <v>805</v>
      </c>
      <c r="N2090" s="16">
        <v>1.9800000000000002E-2</v>
      </c>
      <c r="O2090" s="17">
        <f>N2090*'Financial Inputs'!$B$3</f>
        <v>1980000.0000000002</v>
      </c>
      <c r="P2090" s="18">
        <f>IF(I2090="L",'Financial Inputs'!$B$4,IF(I2090="M",'Financial Inputs'!$B$5,'Financial Inputs'!$B$6))</f>
        <v>0.4</v>
      </c>
      <c r="Q2090" s="17">
        <f>O2090*P2090</f>
        <v>792000.00000000012</v>
      </c>
      <c r="R2090" s="16">
        <f>'Financial Inputs'!$B$7</f>
        <v>0.35</v>
      </c>
      <c r="S2090" s="17">
        <f>Q2090*(1-R2090)</f>
        <v>514800.00000000012</v>
      </c>
      <c r="T2090" s="18">
        <f>S2090/'Financial Inputs'!$B$3</f>
        <v>5.1480000000000015E-3</v>
      </c>
      <c r="U2090" s="9" t="s">
        <v>52</v>
      </c>
      <c r="V2090" s="3" t="s">
        <v>53</v>
      </c>
    </row>
    <row r="2091" spans="1:22">
      <c r="A2091" s="2" t="s">
        <v>6513</v>
      </c>
      <c r="B2091" s="2" t="s">
        <v>6514</v>
      </c>
      <c r="C2091" s="2" t="s">
        <v>6247</v>
      </c>
      <c r="D2091" s="2" t="s">
        <v>72</v>
      </c>
      <c r="E2091" s="2" t="s">
        <v>176</v>
      </c>
      <c r="F2091" s="2" t="s">
        <v>104</v>
      </c>
      <c r="G2091" s="2" t="s">
        <v>143</v>
      </c>
      <c r="H2091" s="2" t="s">
        <v>2318</v>
      </c>
      <c r="I2091" s="2" t="s">
        <v>47</v>
      </c>
      <c r="J2091" s="2" t="s">
        <v>48</v>
      </c>
      <c r="K2091" s="2" t="s">
        <v>6515</v>
      </c>
      <c r="L2091" s="2" t="s">
        <v>454</v>
      </c>
      <c r="M2091" s="2" t="s">
        <v>805</v>
      </c>
      <c r="N2091" s="16">
        <v>2.1600000000000001E-2</v>
      </c>
      <c r="O2091" s="17">
        <f>N2091*'Financial Inputs'!$B$3</f>
        <v>2160000</v>
      </c>
      <c r="P2091" s="18">
        <f>IF(I2091="L",'Financial Inputs'!$B$4,IF(I2091="M",'Financial Inputs'!$B$5,'Financial Inputs'!$B$6))</f>
        <v>0.4</v>
      </c>
      <c r="Q2091" s="17">
        <f>O2091*P2091</f>
        <v>864000</v>
      </c>
      <c r="R2091" s="16">
        <f>'Financial Inputs'!$B$7</f>
        <v>0.35</v>
      </c>
      <c r="S2091" s="17">
        <f>Q2091*(1-R2091)</f>
        <v>561600</v>
      </c>
      <c r="T2091" s="18">
        <f>S2091/'Financial Inputs'!$B$3</f>
        <v>5.6160000000000003E-3</v>
      </c>
      <c r="U2091" s="9" t="s">
        <v>52</v>
      </c>
      <c r="V2091" s="3" t="s">
        <v>53</v>
      </c>
    </row>
    <row r="2092" spans="1:22">
      <c r="A2092" s="2" t="s">
        <v>6516</v>
      </c>
      <c r="B2092" s="2" t="s">
        <v>6517</v>
      </c>
      <c r="C2092" s="2" t="s">
        <v>6247</v>
      </c>
      <c r="D2092" s="2" t="s">
        <v>133</v>
      </c>
      <c r="E2092" s="2" t="s">
        <v>65</v>
      </c>
      <c r="F2092" s="2" t="s">
        <v>82</v>
      </c>
      <c r="G2092" s="2" t="s">
        <v>56</v>
      </c>
      <c r="H2092" s="2" t="s">
        <v>2318</v>
      </c>
      <c r="I2092" s="2" t="s">
        <v>47</v>
      </c>
      <c r="J2092" s="2" t="s">
        <v>48</v>
      </c>
      <c r="K2092" s="2" t="s">
        <v>6518</v>
      </c>
      <c r="L2092" s="2" t="s">
        <v>458</v>
      </c>
      <c r="M2092" s="2" t="s">
        <v>805</v>
      </c>
      <c r="N2092" s="16">
        <v>1.44E-2</v>
      </c>
      <c r="O2092" s="17">
        <f>N2092*'Financial Inputs'!$B$3</f>
        <v>1440000</v>
      </c>
      <c r="P2092" s="18">
        <f>IF(I2092="L",'Financial Inputs'!$B$4,IF(I2092="M",'Financial Inputs'!$B$5,'Financial Inputs'!$B$6))</f>
        <v>0.4</v>
      </c>
      <c r="Q2092" s="17">
        <f>O2092*P2092</f>
        <v>576000</v>
      </c>
      <c r="R2092" s="16">
        <f>'Financial Inputs'!$B$7</f>
        <v>0.35</v>
      </c>
      <c r="S2092" s="17">
        <f>Q2092*(1-R2092)</f>
        <v>374400</v>
      </c>
      <c r="T2092" s="18">
        <f>S2092/'Financial Inputs'!$B$3</f>
        <v>3.7439999999999999E-3</v>
      </c>
      <c r="U2092" s="9" t="s">
        <v>52</v>
      </c>
      <c r="V2092" s="3" t="s">
        <v>53</v>
      </c>
    </row>
    <row r="2093" spans="1:22">
      <c r="A2093" s="2" t="s">
        <v>6519</v>
      </c>
      <c r="B2093" s="2" t="s">
        <v>6520</v>
      </c>
      <c r="C2093" s="2" t="s">
        <v>6247</v>
      </c>
      <c r="D2093" s="2" t="s">
        <v>88</v>
      </c>
      <c r="E2093" s="2" t="s">
        <v>73</v>
      </c>
      <c r="F2093" s="2" t="s">
        <v>44</v>
      </c>
      <c r="G2093" s="2" t="s">
        <v>138</v>
      </c>
      <c r="H2093" s="2" t="s">
        <v>2318</v>
      </c>
      <c r="I2093" s="2" t="s">
        <v>47</v>
      </c>
      <c r="J2093" s="2" t="s">
        <v>48</v>
      </c>
      <c r="K2093" s="2" t="s">
        <v>6521</v>
      </c>
      <c r="L2093" s="2" t="s">
        <v>462</v>
      </c>
      <c r="M2093" s="2" t="s">
        <v>805</v>
      </c>
      <c r="N2093" s="16">
        <v>1.6199999999999999E-2</v>
      </c>
      <c r="O2093" s="17">
        <f>N2093*'Financial Inputs'!$B$3</f>
        <v>1620000</v>
      </c>
      <c r="P2093" s="18">
        <f>IF(I2093="L",'Financial Inputs'!$B$4,IF(I2093="M",'Financial Inputs'!$B$5,'Financial Inputs'!$B$6))</f>
        <v>0.4</v>
      </c>
      <c r="Q2093" s="17">
        <f>O2093*P2093</f>
        <v>648000</v>
      </c>
      <c r="R2093" s="16">
        <f>'Financial Inputs'!$B$7</f>
        <v>0.35</v>
      </c>
      <c r="S2093" s="17">
        <f>Q2093*(1-R2093)</f>
        <v>421200</v>
      </c>
      <c r="T2093" s="18">
        <f>S2093/'Financial Inputs'!$B$3</f>
        <v>4.2119999999999996E-3</v>
      </c>
      <c r="U2093" s="9" t="s">
        <v>52</v>
      </c>
      <c r="V2093" s="3" t="s">
        <v>53</v>
      </c>
    </row>
    <row r="2094" spans="1:22">
      <c r="A2094" s="2" t="s">
        <v>6522</v>
      </c>
      <c r="B2094" s="2" t="s">
        <v>6523</v>
      </c>
      <c r="C2094" s="2" t="s">
        <v>6247</v>
      </c>
      <c r="D2094" s="2" t="s">
        <v>95</v>
      </c>
      <c r="E2094" s="2" t="s">
        <v>81</v>
      </c>
      <c r="F2094" s="2" t="s">
        <v>58</v>
      </c>
      <c r="G2094" s="2" t="s">
        <v>143</v>
      </c>
      <c r="H2094" s="2" t="s">
        <v>2318</v>
      </c>
      <c r="I2094" s="2" t="s">
        <v>47</v>
      </c>
      <c r="J2094" s="2" t="s">
        <v>48</v>
      </c>
      <c r="K2094" s="2" t="s">
        <v>6524</v>
      </c>
      <c r="L2094" s="2" t="s">
        <v>466</v>
      </c>
      <c r="M2094" s="2" t="s">
        <v>805</v>
      </c>
      <c r="N2094" s="16">
        <v>1.7999999999999999E-2</v>
      </c>
      <c r="O2094" s="17">
        <f>N2094*'Financial Inputs'!$B$3</f>
        <v>1799999.9999999998</v>
      </c>
      <c r="P2094" s="18">
        <f>IF(I2094="L",'Financial Inputs'!$B$4,IF(I2094="M",'Financial Inputs'!$B$5,'Financial Inputs'!$B$6))</f>
        <v>0.4</v>
      </c>
      <c r="Q2094" s="17">
        <f>O2094*P2094</f>
        <v>720000</v>
      </c>
      <c r="R2094" s="16">
        <f>'Financial Inputs'!$B$7</f>
        <v>0.35</v>
      </c>
      <c r="S2094" s="17">
        <f>Q2094*(1-R2094)</f>
        <v>468000</v>
      </c>
      <c r="T2094" s="18">
        <f>S2094/'Financial Inputs'!$B$3</f>
        <v>4.6800000000000001E-3</v>
      </c>
      <c r="U2094" s="9" t="s">
        <v>52</v>
      </c>
      <c r="V2094" s="3" t="s">
        <v>53</v>
      </c>
    </row>
    <row r="2095" spans="1:22">
      <c r="A2095" s="2" t="s">
        <v>6525</v>
      </c>
      <c r="B2095" s="2" t="s">
        <v>6526</v>
      </c>
      <c r="C2095" s="2" t="s">
        <v>6247</v>
      </c>
      <c r="D2095" s="2" t="s">
        <v>102</v>
      </c>
      <c r="E2095" s="2" t="s">
        <v>193</v>
      </c>
      <c r="F2095" s="2" t="s">
        <v>66</v>
      </c>
      <c r="G2095" s="2" t="s">
        <v>162</v>
      </c>
      <c r="H2095" s="2" t="s">
        <v>2318</v>
      </c>
      <c r="I2095" s="2" t="s">
        <v>47</v>
      </c>
      <c r="J2095" s="2" t="s">
        <v>48</v>
      </c>
      <c r="K2095" s="2" t="s">
        <v>6527</v>
      </c>
      <c r="L2095" s="2" t="s">
        <v>470</v>
      </c>
      <c r="M2095" s="2" t="s">
        <v>805</v>
      </c>
      <c r="N2095" s="16">
        <v>1.9800000000000002E-2</v>
      </c>
      <c r="O2095" s="17">
        <f>N2095*'Financial Inputs'!$B$3</f>
        <v>1980000.0000000002</v>
      </c>
      <c r="P2095" s="18">
        <f>IF(I2095="L",'Financial Inputs'!$B$4,IF(I2095="M",'Financial Inputs'!$B$5,'Financial Inputs'!$B$6))</f>
        <v>0.4</v>
      </c>
      <c r="Q2095" s="17">
        <f>O2095*P2095</f>
        <v>792000.00000000012</v>
      </c>
      <c r="R2095" s="16">
        <f>'Financial Inputs'!$B$7</f>
        <v>0.35</v>
      </c>
      <c r="S2095" s="17">
        <f>Q2095*(1-R2095)</f>
        <v>514800.00000000012</v>
      </c>
      <c r="T2095" s="18">
        <f>S2095/'Financial Inputs'!$B$3</f>
        <v>5.1480000000000015E-3</v>
      </c>
      <c r="U2095" s="9" t="s">
        <v>52</v>
      </c>
      <c r="V2095" s="3" t="s">
        <v>53</v>
      </c>
    </row>
    <row r="2096" spans="1:22">
      <c r="A2096" s="2" t="s">
        <v>6528</v>
      </c>
      <c r="B2096" s="2" t="s">
        <v>6529</v>
      </c>
      <c r="C2096" s="2" t="s">
        <v>6247</v>
      </c>
      <c r="D2096" s="2" t="s">
        <v>42</v>
      </c>
      <c r="E2096" s="2" t="s">
        <v>198</v>
      </c>
      <c r="F2096" s="2" t="s">
        <v>74</v>
      </c>
      <c r="G2096" s="2" t="s">
        <v>45</v>
      </c>
      <c r="H2096" s="2" t="s">
        <v>2318</v>
      </c>
      <c r="I2096" s="2" t="s">
        <v>47</v>
      </c>
      <c r="J2096" s="2" t="s">
        <v>48</v>
      </c>
      <c r="K2096" s="2" t="s">
        <v>6530</v>
      </c>
      <c r="L2096" s="2" t="s">
        <v>474</v>
      </c>
      <c r="M2096" s="2" t="s">
        <v>805</v>
      </c>
      <c r="N2096" s="16">
        <v>2.1600000000000001E-2</v>
      </c>
      <c r="O2096" s="17">
        <f>N2096*'Financial Inputs'!$B$3</f>
        <v>2160000</v>
      </c>
      <c r="P2096" s="18">
        <f>IF(I2096="L",'Financial Inputs'!$B$4,IF(I2096="M",'Financial Inputs'!$B$5,'Financial Inputs'!$B$6))</f>
        <v>0.4</v>
      </c>
      <c r="Q2096" s="17">
        <f>O2096*P2096</f>
        <v>864000</v>
      </c>
      <c r="R2096" s="16">
        <f>'Financial Inputs'!$B$7</f>
        <v>0.35</v>
      </c>
      <c r="S2096" s="17">
        <f>Q2096*(1-R2096)</f>
        <v>561600</v>
      </c>
      <c r="T2096" s="18">
        <f>S2096/'Financial Inputs'!$B$3</f>
        <v>5.6160000000000003E-3</v>
      </c>
      <c r="U2096" s="9" t="s">
        <v>52</v>
      </c>
      <c r="V2096" s="3" t="s">
        <v>53</v>
      </c>
    </row>
    <row r="2097" spans="1:22">
      <c r="A2097" s="2" t="s">
        <v>6531</v>
      </c>
      <c r="B2097" s="2" t="s">
        <v>6532</v>
      </c>
      <c r="C2097" s="2" t="s">
        <v>6247</v>
      </c>
      <c r="D2097" s="2" t="s">
        <v>72</v>
      </c>
      <c r="E2097" s="2" t="s">
        <v>103</v>
      </c>
      <c r="F2097" s="2" t="s">
        <v>117</v>
      </c>
      <c r="G2097" s="2" t="s">
        <v>143</v>
      </c>
      <c r="H2097" s="2" t="s">
        <v>2318</v>
      </c>
      <c r="I2097" s="2" t="s">
        <v>47</v>
      </c>
      <c r="J2097" s="2" t="s">
        <v>48</v>
      </c>
      <c r="K2097" s="2" t="s">
        <v>6533</v>
      </c>
      <c r="L2097" s="2" t="s">
        <v>478</v>
      </c>
      <c r="M2097" s="2" t="s">
        <v>805</v>
      </c>
      <c r="N2097" s="16">
        <v>1.44E-2</v>
      </c>
      <c r="O2097" s="17">
        <f>N2097*'Financial Inputs'!$B$3</f>
        <v>1440000</v>
      </c>
      <c r="P2097" s="18">
        <f>IF(I2097="L",'Financial Inputs'!$B$4,IF(I2097="M",'Financial Inputs'!$B$5,'Financial Inputs'!$B$6))</f>
        <v>0.4</v>
      </c>
      <c r="Q2097" s="17">
        <f>O2097*P2097</f>
        <v>576000</v>
      </c>
      <c r="R2097" s="16">
        <f>'Financial Inputs'!$B$7</f>
        <v>0.35</v>
      </c>
      <c r="S2097" s="17">
        <f>Q2097*(1-R2097)</f>
        <v>374400</v>
      </c>
      <c r="T2097" s="18">
        <f>S2097/'Financial Inputs'!$B$3</f>
        <v>3.7439999999999999E-3</v>
      </c>
      <c r="U2097" s="9" t="s">
        <v>52</v>
      </c>
      <c r="V2097" s="3" t="s">
        <v>53</v>
      </c>
    </row>
    <row r="2098" spans="1:22">
      <c r="A2098" s="2" t="s">
        <v>6534</v>
      </c>
      <c r="B2098" s="2" t="s">
        <v>6535</v>
      </c>
      <c r="C2098" s="2" t="s">
        <v>6247</v>
      </c>
      <c r="D2098" s="2" t="s">
        <v>80</v>
      </c>
      <c r="E2098" s="2" t="s">
        <v>109</v>
      </c>
      <c r="F2098" s="2" t="s">
        <v>90</v>
      </c>
      <c r="G2098" s="2" t="s">
        <v>162</v>
      </c>
      <c r="H2098" s="2" t="s">
        <v>2318</v>
      </c>
      <c r="I2098" s="2" t="s">
        <v>47</v>
      </c>
      <c r="J2098" s="2" t="s">
        <v>48</v>
      </c>
      <c r="K2098" s="2" t="s">
        <v>6536</v>
      </c>
      <c r="L2098" s="2" t="s">
        <v>482</v>
      </c>
      <c r="M2098" s="2" t="s">
        <v>805</v>
      </c>
      <c r="N2098" s="16">
        <v>1.6199999999999999E-2</v>
      </c>
      <c r="O2098" s="17">
        <f>N2098*'Financial Inputs'!$B$3</f>
        <v>1620000</v>
      </c>
      <c r="P2098" s="18">
        <f>IF(I2098="L",'Financial Inputs'!$B$4,IF(I2098="M",'Financial Inputs'!$B$5,'Financial Inputs'!$B$6))</f>
        <v>0.4</v>
      </c>
      <c r="Q2098" s="17">
        <f>O2098*P2098</f>
        <v>648000</v>
      </c>
      <c r="R2098" s="16">
        <f>'Financial Inputs'!$B$7</f>
        <v>0.35</v>
      </c>
      <c r="S2098" s="17">
        <f>Q2098*(1-R2098)</f>
        <v>421200</v>
      </c>
      <c r="T2098" s="18">
        <f>S2098/'Financial Inputs'!$B$3</f>
        <v>4.2119999999999996E-3</v>
      </c>
      <c r="U2098" s="9" t="s">
        <v>52</v>
      </c>
      <c r="V2098" s="3" t="s">
        <v>53</v>
      </c>
    </row>
    <row r="2099" spans="1:22">
      <c r="A2099" s="2" t="s">
        <v>6537</v>
      </c>
      <c r="B2099" s="2" t="s">
        <v>6538</v>
      </c>
      <c r="C2099" s="2" t="s">
        <v>6247</v>
      </c>
      <c r="D2099" s="2" t="s">
        <v>127</v>
      </c>
      <c r="E2099" s="2" t="s">
        <v>116</v>
      </c>
      <c r="F2099" s="2" t="s">
        <v>97</v>
      </c>
      <c r="G2099" s="2" t="s">
        <v>45</v>
      </c>
      <c r="H2099" s="2" t="s">
        <v>2318</v>
      </c>
      <c r="I2099" s="2" t="s">
        <v>47</v>
      </c>
      <c r="J2099" s="2" t="s">
        <v>48</v>
      </c>
      <c r="K2099" s="2" t="s">
        <v>6539</v>
      </c>
      <c r="L2099" s="2" t="s">
        <v>486</v>
      </c>
      <c r="M2099" s="2" t="s">
        <v>805</v>
      </c>
      <c r="N2099" s="16">
        <v>1.7999999999999999E-2</v>
      </c>
      <c r="O2099" s="17">
        <f>N2099*'Financial Inputs'!$B$3</f>
        <v>1799999.9999999998</v>
      </c>
      <c r="P2099" s="18">
        <f>IF(I2099="L",'Financial Inputs'!$B$4,IF(I2099="M",'Financial Inputs'!$B$5,'Financial Inputs'!$B$6))</f>
        <v>0.4</v>
      </c>
      <c r="Q2099" s="17">
        <f>O2099*P2099</f>
        <v>720000</v>
      </c>
      <c r="R2099" s="16">
        <f>'Financial Inputs'!$B$7</f>
        <v>0.35</v>
      </c>
      <c r="S2099" s="17">
        <f>Q2099*(1-R2099)</f>
        <v>468000</v>
      </c>
      <c r="T2099" s="18">
        <f>S2099/'Financial Inputs'!$B$3</f>
        <v>4.6800000000000001E-3</v>
      </c>
      <c r="U2099" s="9" t="s">
        <v>52</v>
      </c>
      <c r="V2099" s="3" t="s">
        <v>53</v>
      </c>
    </row>
    <row r="2100" spans="1:22">
      <c r="A2100" s="2" t="s">
        <v>6540</v>
      </c>
      <c r="B2100" s="2" t="s">
        <v>6541</v>
      </c>
      <c r="C2100" s="2" t="s">
        <v>6247</v>
      </c>
      <c r="D2100" s="2" t="s">
        <v>133</v>
      </c>
      <c r="E2100" s="2" t="s">
        <v>215</v>
      </c>
      <c r="F2100" s="2" t="s">
        <v>104</v>
      </c>
      <c r="G2100" s="2" t="s">
        <v>59</v>
      </c>
      <c r="H2100" s="2" t="s">
        <v>2318</v>
      </c>
      <c r="I2100" s="2" t="s">
        <v>47</v>
      </c>
      <c r="J2100" s="2" t="s">
        <v>48</v>
      </c>
      <c r="K2100" s="2" t="s">
        <v>6542</v>
      </c>
      <c r="L2100" s="2" t="s">
        <v>490</v>
      </c>
      <c r="M2100" s="2" t="s">
        <v>805</v>
      </c>
      <c r="N2100" s="16">
        <v>1.9800000000000002E-2</v>
      </c>
      <c r="O2100" s="17">
        <f>N2100*'Financial Inputs'!$B$3</f>
        <v>1980000.0000000002</v>
      </c>
      <c r="P2100" s="18">
        <f>IF(I2100="L",'Financial Inputs'!$B$4,IF(I2100="M",'Financial Inputs'!$B$5,'Financial Inputs'!$B$6))</f>
        <v>0.4</v>
      </c>
      <c r="Q2100" s="17">
        <f>O2100*P2100</f>
        <v>792000.00000000012</v>
      </c>
      <c r="R2100" s="16">
        <f>'Financial Inputs'!$B$7</f>
        <v>0.35</v>
      </c>
      <c r="S2100" s="17">
        <f>Q2100*(1-R2100)</f>
        <v>514800.00000000012</v>
      </c>
      <c r="T2100" s="18">
        <f>S2100/'Financial Inputs'!$B$3</f>
        <v>5.1480000000000015E-3</v>
      </c>
      <c r="U2100" s="9" t="s">
        <v>52</v>
      </c>
      <c r="V2100" s="3" t="s">
        <v>53</v>
      </c>
    </row>
    <row r="2101" spans="1:22">
      <c r="A2101" s="2" t="s">
        <v>6543</v>
      </c>
      <c r="B2101" s="2" t="s">
        <v>6544</v>
      </c>
      <c r="C2101" s="2" t="s">
        <v>6247</v>
      </c>
      <c r="D2101" s="2" t="s">
        <v>88</v>
      </c>
      <c r="E2101" s="2" t="s">
        <v>220</v>
      </c>
      <c r="F2101" s="2" t="s">
        <v>110</v>
      </c>
      <c r="G2101" s="2" t="s">
        <v>67</v>
      </c>
      <c r="H2101" s="2" t="s">
        <v>2318</v>
      </c>
      <c r="I2101" s="2" t="s">
        <v>47</v>
      </c>
      <c r="J2101" s="2" t="s">
        <v>48</v>
      </c>
      <c r="K2101" s="2" t="s">
        <v>6545</v>
      </c>
      <c r="L2101" s="2" t="s">
        <v>494</v>
      </c>
      <c r="M2101" s="2" t="s">
        <v>805</v>
      </c>
      <c r="N2101" s="16">
        <v>2.1600000000000001E-2</v>
      </c>
      <c r="O2101" s="17">
        <f>N2101*'Financial Inputs'!$B$3</f>
        <v>2160000</v>
      </c>
      <c r="P2101" s="18">
        <f>IF(I2101="L",'Financial Inputs'!$B$4,IF(I2101="M",'Financial Inputs'!$B$5,'Financial Inputs'!$B$6))</f>
        <v>0.4</v>
      </c>
      <c r="Q2101" s="17">
        <f>O2101*P2101</f>
        <v>864000</v>
      </c>
      <c r="R2101" s="16">
        <f>'Financial Inputs'!$B$7</f>
        <v>0.35</v>
      </c>
      <c r="S2101" s="17">
        <f>Q2101*(1-R2101)</f>
        <v>561600</v>
      </c>
      <c r="T2101" s="18">
        <f>S2101/'Financial Inputs'!$B$3</f>
        <v>5.6160000000000003E-3</v>
      </c>
      <c r="U2101" s="9" t="s">
        <v>52</v>
      </c>
      <c r="V2101" s="3" t="s">
        <v>53</v>
      </c>
    </row>
    <row r="2102" spans="1:22">
      <c r="A2102" s="2" t="s">
        <v>6546</v>
      </c>
      <c r="B2102" s="2" t="s">
        <v>6547</v>
      </c>
      <c r="C2102" s="2" t="s">
        <v>6548</v>
      </c>
      <c r="D2102" s="2" t="s">
        <v>42</v>
      </c>
      <c r="E2102" s="2" t="s">
        <v>43</v>
      </c>
      <c r="F2102" s="2" t="s">
        <v>44</v>
      </c>
      <c r="G2102" s="2" t="s">
        <v>45</v>
      </c>
      <c r="H2102" s="2" t="s">
        <v>46</v>
      </c>
      <c r="I2102" s="2" t="s">
        <v>47</v>
      </c>
      <c r="J2102" s="2" t="s">
        <v>48</v>
      </c>
      <c r="K2102" s="2" t="s">
        <v>6549</v>
      </c>
      <c r="L2102" s="2" t="s">
        <v>50</v>
      </c>
      <c r="M2102" s="2" t="s">
        <v>6550</v>
      </c>
      <c r="N2102" s="16">
        <v>1.44E-2</v>
      </c>
      <c r="O2102" s="17">
        <f>N2102*'Financial Inputs'!$B$3</f>
        <v>1440000</v>
      </c>
      <c r="P2102" s="18">
        <f>IF(I2102="L",'Financial Inputs'!$B$4,IF(I2102="M",'Financial Inputs'!$B$5,'Financial Inputs'!$B$6))</f>
        <v>0.4</v>
      </c>
      <c r="Q2102" s="17">
        <f>O2102*P2102</f>
        <v>576000</v>
      </c>
      <c r="R2102" s="16">
        <f>'Financial Inputs'!$B$7</f>
        <v>0.35</v>
      </c>
      <c r="S2102" s="17">
        <f>Q2102*(1-R2102)</f>
        <v>374400</v>
      </c>
      <c r="T2102" s="18">
        <f>S2102/'Financial Inputs'!$B$3</f>
        <v>3.7439999999999999E-3</v>
      </c>
      <c r="U2102" s="9" t="s">
        <v>52</v>
      </c>
      <c r="V2102" s="3" t="s">
        <v>53</v>
      </c>
    </row>
    <row r="2103" spans="1:22">
      <c r="A2103" s="2" t="s">
        <v>6551</v>
      </c>
      <c r="B2103" s="2" t="s">
        <v>6552</v>
      </c>
      <c r="C2103" s="2" t="s">
        <v>6548</v>
      </c>
      <c r="D2103" s="2" t="s">
        <v>56</v>
      </c>
      <c r="E2103" s="2" t="s">
        <v>57</v>
      </c>
      <c r="F2103" s="2" t="s">
        <v>58</v>
      </c>
      <c r="G2103" s="2" t="s">
        <v>59</v>
      </c>
      <c r="H2103" s="2" t="s">
        <v>46</v>
      </c>
      <c r="I2103" s="2" t="s">
        <v>47</v>
      </c>
      <c r="J2103" s="2" t="s">
        <v>48</v>
      </c>
      <c r="K2103" s="2" t="s">
        <v>6553</v>
      </c>
      <c r="L2103" s="2" t="s">
        <v>61</v>
      </c>
      <c r="M2103" s="2" t="s">
        <v>6550</v>
      </c>
      <c r="N2103" s="16">
        <v>1.6199999999999999E-2</v>
      </c>
      <c r="O2103" s="17">
        <f>N2103*'Financial Inputs'!$B$3</f>
        <v>1620000</v>
      </c>
      <c r="P2103" s="18">
        <f>IF(I2103="L",'Financial Inputs'!$B$4,IF(I2103="M",'Financial Inputs'!$B$5,'Financial Inputs'!$B$6))</f>
        <v>0.4</v>
      </c>
      <c r="Q2103" s="17">
        <f>O2103*P2103</f>
        <v>648000</v>
      </c>
      <c r="R2103" s="16">
        <f>'Financial Inputs'!$B$7</f>
        <v>0.35</v>
      </c>
      <c r="S2103" s="17">
        <f>Q2103*(1-R2103)</f>
        <v>421200</v>
      </c>
      <c r="T2103" s="18">
        <f>S2103/'Financial Inputs'!$B$3</f>
        <v>4.2119999999999996E-3</v>
      </c>
      <c r="U2103" s="9" t="s">
        <v>52</v>
      </c>
      <c r="V2103" s="3" t="s">
        <v>53</v>
      </c>
    </row>
    <row r="2104" spans="1:22">
      <c r="A2104" s="2" t="s">
        <v>6554</v>
      </c>
      <c r="B2104" s="2" t="s">
        <v>6555</v>
      </c>
      <c r="C2104" s="2" t="s">
        <v>6548</v>
      </c>
      <c r="D2104" s="2" t="s">
        <v>64</v>
      </c>
      <c r="E2104" s="2" t="s">
        <v>65</v>
      </c>
      <c r="F2104" s="2" t="s">
        <v>66</v>
      </c>
      <c r="G2104" s="2" t="s">
        <v>67</v>
      </c>
      <c r="H2104" s="2" t="s">
        <v>46</v>
      </c>
      <c r="I2104" s="2" t="s">
        <v>47</v>
      </c>
      <c r="J2104" s="2" t="s">
        <v>48</v>
      </c>
      <c r="K2104" s="2" t="s">
        <v>6556</v>
      </c>
      <c r="L2104" s="2" t="s">
        <v>69</v>
      </c>
      <c r="M2104" s="2" t="s">
        <v>6550</v>
      </c>
      <c r="N2104" s="16">
        <v>1.7999999999999999E-2</v>
      </c>
      <c r="O2104" s="17">
        <f>N2104*'Financial Inputs'!$B$3</f>
        <v>1799999.9999999998</v>
      </c>
      <c r="P2104" s="18">
        <f>IF(I2104="L",'Financial Inputs'!$B$4,IF(I2104="M",'Financial Inputs'!$B$5,'Financial Inputs'!$B$6))</f>
        <v>0.4</v>
      </c>
      <c r="Q2104" s="17">
        <f>O2104*P2104</f>
        <v>720000</v>
      </c>
      <c r="R2104" s="16">
        <f>'Financial Inputs'!$B$7</f>
        <v>0.35</v>
      </c>
      <c r="S2104" s="17">
        <f>Q2104*(1-R2104)</f>
        <v>468000</v>
      </c>
      <c r="T2104" s="18">
        <f>S2104/'Financial Inputs'!$B$3</f>
        <v>4.6800000000000001E-3</v>
      </c>
      <c r="U2104" s="9" t="s">
        <v>52</v>
      </c>
      <c r="V2104" s="3" t="s">
        <v>53</v>
      </c>
    </row>
    <row r="2105" spans="1:22">
      <c r="A2105" s="2" t="s">
        <v>6557</v>
      </c>
      <c r="B2105" s="2" t="s">
        <v>6558</v>
      </c>
      <c r="C2105" s="2" t="s">
        <v>6548</v>
      </c>
      <c r="D2105" s="2" t="s">
        <v>72</v>
      </c>
      <c r="E2105" s="2" t="s">
        <v>73</v>
      </c>
      <c r="F2105" s="2" t="s">
        <v>74</v>
      </c>
      <c r="G2105" s="2" t="s">
        <v>75</v>
      </c>
      <c r="H2105" s="2" t="s">
        <v>46</v>
      </c>
      <c r="I2105" s="2" t="s">
        <v>47</v>
      </c>
      <c r="J2105" s="2" t="s">
        <v>48</v>
      </c>
      <c r="K2105" s="2" t="s">
        <v>6559</v>
      </c>
      <c r="L2105" s="2" t="s">
        <v>77</v>
      </c>
      <c r="M2105" s="2" t="s">
        <v>6550</v>
      </c>
      <c r="N2105" s="16">
        <v>1.9800000000000002E-2</v>
      </c>
      <c r="O2105" s="17">
        <f>N2105*'Financial Inputs'!$B$3</f>
        <v>1980000.0000000002</v>
      </c>
      <c r="P2105" s="18">
        <f>IF(I2105="L",'Financial Inputs'!$B$4,IF(I2105="M",'Financial Inputs'!$B$5,'Financial Inputs'!$B$6))</f>
        <v>0.4</v>
      </c>
      <c r="Q2105" s="17">
        <f>O2105*P2105</f>
        <v>792000.00000000012</v>
      </c>
      <c r="R2105" s="16">
        <f>'Financial Inputs'!$B$7</f>
        <v>0.35</v>
      </c>
      <c r="S2105" s="17">
        <f>Q2105*(1-R2105)</f>
        <v>514800.00000000012</v>
      </c>
      <c r="T2105" s="18">
        <f>S2105/'Financial Inputs'!$B$3</f>
        <v>5.1480000000000015E-3</v>
      </c>
      <c r="U2105" s="9" t="s">
        <v>52</v>
      </c>
      <c r="V2105" s="3" t="s">
        <v>53</v>
      </c>
    </row>
    <row r="2106" spans="1:22">
      <c r="A2106" s="2" t="s">
        <v>6560</v>
      </c>
      <c r="B2106" s="2" t="s">
        <v>6561</v>
      </c>
      <c r="C2106" s="2" t="s">
        <v>6548</v>
      </c>
      <c r="D2106" s="2" t="s">
        <v>80</v>
      </c>
      <c r="E2106" s="2" t="s">
        <v>81</v>
      </c>
      <c r="F2106" s="2" t="s">
        <v>82</v>
      </c>
      <c r="G2106" s="2" t="s">
        <v>83</v>
      </c>
      <c r="H2106" s="2" t="s">
        <v>46</v>
      </c>
      <c r="I2106" s="2" t="s">
        <v>47</v>
      </c>
      <c r="J2106" s="2" t="s">
        <v>48</v>
      </c>
      <c r="K2106" s="2" t="s">
        <v>6562</v>
      </c>
      <c r="L2106" s="2" t="s">
        <v>85</v>
      </c>
      <c r="M2106" s="2" t="s">
        <v>6550</v>
      </c>
      <c r="N2106" s="16">
        <v>2.1600000000000001E-2</v>
      </c>
      <c r="O2106" s="17">
        <f>N2106*'Financial Inputs'!$B$3</f>
        <v>2160000</v>
      </c>
      <c r="P2106" s="18">
        <f>IF(I2106="L",'Financial Inputs'!$B$4,IF(I2106="M",'Financial Inputs'!$B$5,'Financial Inputs'!$B$6))</f>
        <v>0.4</v>
      </c>
      <c r="Q2106" s="17">
        <f>O2106*P2106</f>
        <v>864000</v>
      </c>
      <c r="R2106" s="16">
        <f>'Financial Inputs'!$B$7</f>
        <v>0.35</v>
      </c>
      <c r="S2106" s="17">
        <f>Q2106*(1-R2106)</f>
        <v>561600</v>
      </c>
      <c r="T2106" s="18">
        <f>S2106/'Financial Inputs'!$B$3</f>
        <v>5.6160000000000003E-3</v>
      </c>
      <c r="U2106" s="9" t="s">
        <v>52</v>
      </c>
      <c r="V2106" s="3" t="s">
        <v>53</v>
      </c>
    </row>
    <row r="2107" spans="1:22">
      <c r="A2107" s="2" t="s">
        <v>6563</v>
      </c>
      <c r="B2107" s="2" t="s">
        <v>6564</v>
      </c>
      <c r="C2107" s="2" t="s">
        <v>6548</v>
      </c>
      <c r="D2107" s="2" t="s">
        <v>88</v>
      </c>
      <c r="E2107" s="2" t="s">
        <v>89</v>
      </c>
      <c r="F2107" s="2" t="s">
        <v>90</v>
      </c>
      <c r="G2107" s="2" t="s">
        <v>67</v>
      </c>
      <c r="H2107" s="2" t="s">
        <v>46</v>
      </c>
      <c r="I2107" s="2" t="s">
        <v>47</v>
      </c>
      <c r="J2107" s="2" t="s">
        <v>48</v>
      </c>
      <c r="K2107" s="2" t="s">
        <v>6565</v>
      </c>
      <c r="L2107" s="2" t="s">
        <v>92</v>
      </c>
      <c r="M2107" s="2" t="s">
        <v>6550</v>
      </c>
      <c r="N2107" s="16">
        <v>1.44E-2</v>
      </c>
      <c r="O2107" s="17">
        <f>N2107*'Financial Inputs'!$B$3</f>
        <v>1440000</v>
      </c>
      <c r="P2107" s="18">
        <f>IF(I2107="L",'Financial Inputs'!$B$4,IF(I2107="M",'Financial Inputs'!$B$5,'Financial Inputs'!$B$6))</f>
        <v>0.4</v>
      </c>
      <c r="Q2107" s="17">
        <f>O2107*P2107</f>
        <v>576000</v>
      </c>
      <c r="R2107" s="16">
        <f>'Financial Inputs'!$B$7</f>
        <v>0.35</v>
      </c>
      <c r="S2107" s="17">
        <f>Q2107*(1-R2107)</f>
        <v>374400</v>
      </c>
      <c r="T2107" s="18">
        <f>S2107/'Financial Inputs'!$B$3</f>
        <v>3.7439999999999999E-3</v>
      </c>
      <c r="U2107" s="9" t="s">
        <v>52</v>
      </c>
      <c r="V2107" s="3" t="s">
        <v>53</v>
      </c>
    </row>
    <row r="2108" spans="1:22">
      <c r="A2108" s="2" t="s">
        <v>6566</v>
      </c>
      <c r="B2108" s="2" t="s">
        <v>6567</v>
      </c>
      <c r="C2108" s="2" t="s">
        <v>6548</v>
      </c>
      <c r="D2108" s="2" t="s">
        <v>95</v>
      </c>
      <c r="E2108" s="2" t="s">
        <v>96</v>
      </c>
      <c r="F2108" s="2" t="s">
        <v>97</v>
      </c>
      <c r="G2108" s="2" t="s">
        <v>75</v>
      </c>
      <c r="H2108" s="2" t="s">
        <v>46</v>
      </c>
      <c r="I2108" s="2" t="s">
        <v>47</v>
      </c>
      <c r="J2108" s="2" t="s">
        <v>48</v>
      </c>
      <c r="K2108" s="2" t="s">
        <v>6568</v>
      </c>
      <c r="L2108" s="2" t="s">
        <v>99</v>
      </c>
      <c r="M2108" s="2" t="s">
        <v>6550</v>
      </c>
      <c r="N2108" s="16">
        <v>1.6199999999999999E-2</v>
      </c>
      <c r="O2108" s="17">
        <f>N2108*'Financial Inputs'!$B$3</f>
        <v>1620000</v>
      </c>
      <c r="P2108" s="18">
        <f>IF(I2108="L",'Financial Inputs'!$B$4,IF(I2108="M",'Financial Inputs'!$B$5,'Financial Inputs'!$B$6))</f>
        <v>0.4</v>
      </c>
      <c r="Q2108" s="17">
        <f>O2108*P2108</f>
        <v>648000</v>
      </c>
      <c r="R2108" s="16">
        <f>'Financial Inputs'!$B$7</f>
        <v>0.35</v>
      </c>
      <c r="S2108" s="17">
        <f>Q2108*(1-R2108)</f>
        <v>421200</v>
      </c>
      <c r="T2108" s="18">
        <f>S2108/'Financial Inputs'!$B$3</f>
        <v>4.2119999999999996E-3</v>
      </c>
      <c r="U2108" s="9" t="s">
        <v>52</v>
      </c>
      <c r="V2108" s="3" t="s">
        <v>53</v>
      </c>
    </row>
    <row r="2109" spans="1:22">
      <c r="A2109" s="2" t="s">
        <v>6569</v>
      </c>
      <c r="B2109" s="2" t="s">
        <v>6570</v>
      </c>
      <c r="C2109" s="2" t="s">
        <v>6548</v>
      </c>
      <c r="D2109" s="2" t="s">
        <v>102</v>
      </c>
      <c r="E2109" s="2" t="s">
        <v>103</v>
      </c>
      <c r="F2109" s="2" t="s">
        <v>104</v>
      </c>
      <c r="G2109" s="2" t="s">
        <v>83</v>
      </c>
      <c r="H2109" s="2" t="s">
        <v>46</v>
      </c>
      <c r="I2109" s="2" t="s">
        <v>47</v>
      </c>
      <c r="J2109" s="2" t="s">
        <v>48</v>
      </c>
      <c r="K2109" s="2" t="s">
        <v>6571</v>
      </c>
      <c r="L2109" s="2" t="s">
        <v>106</v>
      </c>
      <c r="M2109" s="2" t="s">
        <v>6550</v>
      </c>
      <c r="N2109" s="16">
        <v>1.7999999999999999E-2</v>
      </c>
      <c r="O2109" s="17">
        <f>N2109*'Financial Inputs'!$B$3</f>
        <v>1799999.9999999998</v>
      </c>
      <c r="P2109" s="18">
        <f>IF(I2109="L",'Financial Inputs'!$B$4,IF(I2109="M",'Financial Inputs'!$B$5,'Financial Inputs'!$B$6))</f>
        <v>0.4</v>
      </c>
      <c r="Q2109" s="17">
        <f>O2109*P2109</f>
        <v>720000</v>
      </c>
      <c r="R2109" s="16">
        <f>'Financial Inputs'!$B$7</f>
        <v>0.35</v>
      </c>
      <c r="S2109" s="17">
        <f>Q2109*(1-R2109)</f>
        <v>468000</v>
      </c>
      <c r="T2109" s="18">
        <f>S2109/'Financial Inputs'!$B$3</f>
        <v>4.6800000000000001E-3</v>
      </c>
      <c r="U2109" s="9" t="s">
        <v>52</v>
      </c>
      <c r="V2109" s="3" t="s">
        <v>53</v>
      </c>
    </row>
    <row r="2110" spans="1:22">
      <c r="A2110" s="2" t="s">
        <v>6572</v>
      </c>
      <c r="B2110" s="2" t="s">
        <v>6573</v>
      </c>
      <c r="C2110" s="2" t="s">
        <v>6548</v>
      </c>
      <c r="D2110" s="2" t="s">
        <v>42</v>
      </c>
      <c r="E2110" s="2" t="s">
        <v>109</v>
      </c>
      <c r="F2110" s="2" t="s">
        <v>110</v>
      </c>
      <c r="G2110" s="2" t="s">
        <v>111</v>
      </c>
      <c r="H2110" s="2" t="s">
        <v>46</v>
      </c>
      <c r="I2110" s="2" t="s">
        <v>47</v>
      </c>
      <c r="J2110" s="2" t="s">
        <v>48</v>
      </c>
      <c r="K2110" s="2" t="s">
        <v>6574</v>
      </c>
      <c r="L2110" s="2" t="s">
        <v>113</v>
      </c>
      <c r="M2110" s="2" t="s">
        <v>6550</v>
      </c>
      <c r="N2110" s="16">
        <v>1.9800000000000002E-2</v>
      </c>
      <c r="O2110" s="17">
        <f>N2110*'Financial Inputs'!$B$3</f>
        <v>1980000.0000000002</v>
      </c>
      <c r="P2110" s="18">
        <f>IF(I2110="L",'Financial Inputs'!$B$4,IF(I2110="M",'Financial Inputs'!$B$5,'Financial Inputs'!$B$6))</f>
        <v>0.4</v>
      </c>
      <c r="Q2110" s="17">
        <f>O2110*P2110</f>
        <v>792000.00000000012</v>
      </c>
      <c r="R2110" s="16">
        <f>'Financial Inputs'!$B$7</f>
        <v>0.35</v>
      </c>
      <c r="S2110" s="17">
        <f>Q2110*(1-R2110)</f>
        <v>514800.00000000012</v>
      </c>
      <c r="T2110" s="18">
        <f>S2110/'Financial Inputs'!$B$3</f>
        <v>5.1480000000000015E-3</v>
      </c>
      <c r="U2110" s="9" t="s">
        <v>52</v>
      </c>
      <c r="V2110" s="3" t="s">
        <v>53</v>
      </c>
    </row>
    <row r="2111" spans="1:22">
      <c r="A2111" s="2" t="s">
        <v>6575</v>
      </c>
      <c r="B2111" s="2" t="s">
        <v>6576</v>
      </c>
      <c r="C2111" s="2" t="s">
        <v>6548</v>
      </c>
      <c r="D2111" s="2" t="s">
        <v>56</v>
      </c>
      <c r="E2111" s="2" t="s">
        <v>116</v>
      </c>
      <c r="F2111" s="2" t="s">
        <v>117</v>
      </c>
      <c r="G2111" s="2" t="s">
        <v>56</v>
      </c>
      <c r="H2111" s="2" t="s">
        <v>46</v>
      </c>
      <c r="I2111" s="2" t="s">
        <v>47</v>
      </c>
      <c r="J2111" s="2" t="s">
        <v>48</v>
      </c>
      <c r="K2111" s="2" t="s">
        <v>6577</v>
      </c>
      <c r="L2111" s="2" t="s">
        <v>119</v>
      </c>
      <c r="M2111" s="2" t="s">
        <v>6550</v>
      </c>
      <c r="N2111" s="16">
        <v>2.1600000000000001E-2</v>
      </c>
      <c r="O2111" s="17">
        <f>N2111*'Financial Inputs'!$B$3</f>
        <v>2160000</v>
      </c>
      <c r="P2111" s="18">
        <f>IF(I2111="L",'Financial Inputs'!$B$4,IF(I2111="M",'Financial Inputs'!$B$5,'Financial Inputs'!$B$6))</f>
        <v>0.4</v>
      </c>
      <c r="Q2111" s="17">
        <f>O2111*P2111</f>
        <v>864000</v>
      </c>
      <c r="R2111" s="16">
        <f>'Financial Inputs'!$B$7</f>
        <v>0.35</v>
      </c>
      <c r="S2111" s="17">
        <f>Q2111*(1-R2111)</f>
        <v>561600</v>
      </c>
      <c r="T2111" s="18">
        <f>S2111/'Financial Inputs'!$B$3</f>
        <v>5.6160000000000003E-3</v>
      </c>
      <c r="U2111" s="9" t="s">
        <v>52</v>
      </c>
      <c r="V2111" s="3" t="s">
        <v>53</v>
      </c>
    </row>
    <row r="2112" spans="1:22">
      <c r="A2112" s="2" t="s">
        <v>6578</v>
      </c>
      <c r="B2112" s="2" t="s">
        <v>6579</v>
      </c>
      <c r="C2112" s="2" t="s">
        <v>6548</v>
      </c>
      <c r="D2112" s="2" t="s">
        <v>80</v>
      </c>
      <c r="E2112" s="2" t="s">
        <v>122</v>
      </c>
      <c r="F2112" s="2" t="s">
        <v>58</v>
      </c>
      <c r="G2112" s="2" t="s">
        <v>83</v>
      </c>
      <c r="H2112" s="2" t="s">
        <v>46</v>
      </c>
      <c r="I2112" s="2" t="s">
        <v>47</v>
      </c>
      <c r="J2112" s="2" t="s">
        <v>48</v>
      </c>
      <c r="K2112" s="2" t="s">
        <v>6580</v>
      </c>
      <c r="L2112" s="2" t="s">
        <v>124</v>
      </c>
      <c r="M2112" s="2" t="s">
        <v>6550</v>
      </c>
      <c r="N2112" s="16">
        <v>1.44E-2</v>
      </c>
      <c r="O2112" s="17">
        <f>N2112*'Financial Inputs'!$B$3</f>
        <v>1440000</v>
      </c>
      <c r="P2112" s="18">
        <f>IF(I2112="L",'Financial Inputs'!$B$4,IF(I2112="M",'Financial Inputs'!$B$5,'Financial Inputs'!$B$6))</f>
        <v>0.4</v>
      </c>
      <c r="Q2112" s="17">
        <f>O2112*P2112</f>
        <v>576000</v>
      </c>
      <c r="R2112" s="16">
        <f>'Financial Inputs'!$B$7</f>
        <v>0.35</v>
      </c>
      <c r="S2112" s="17">
        <f>Q2112*(1-R2112)</f>
        <v>374400</v>
      </c>
      <c r="T2112" s="18">
        <f>S2112/'Financial Inputs'!$B$3</f>
        <v>3.7439999999999999E-3</v>
      </c>
      <c r="U2112" s="9" t="s">
        <v>52</v>
      </c>
      <c r="V2112" s="3" t="s">
        <v>53</v>
      </c>
    </row>
    <row r="2113" spans="1:22">
      <c r="A2113" s="2" t="s">
        <v>6581</v>
      </c>
      <c r="B2113" s="2" t="s">
        <v>6582</v>
      </c>
      <c r="C2113" s="2" t="s">
        <v>6548</v>
      </c>
      <c r="D2113" s="2" t="s">
        <v>127</v>
      </c>
      <c r="E2113" s="2" t="s">
        <v>128</v>
      </c>
      <c r="F2113" s="2" t="s">
        <v>66</v>
      </c>
      <c r="G2113" s="2" t="s">
        <v>111</v>
      </c>
      <c r="H2113" s="2" t="s">
        <v>46</v>
      </c>
      <c r="I2113" s="2" t="s">
        <v>47</v>
      </c>
      <c r="J2113" s="2" t="s">
        <v>48</v>
      </c>
      <c r="K2113" s="2" t="s">
        <v>6583</v>
      </c>
      <c r="L2113" s="2" t="s">
        <v>130</v>
      </c>
      <c r="M2113" s="2" t="s">
        <v>6550</v>
      </c>
      <c r="N2113" s="16">
        <v>1.6199999999999999E-2</v>
      </c>
      <c r="O2113" s="17">
        <f>N2113*'Financial Inputs'!$B$3</f>
        <v>1620000</v>
      </c>
      <c r="P2113" s="18">
        <f>IF(I2113="L",'Financial Inputs'!$B$4,IF(I2113="M",'Financial Inputs'!$B$5,'Financial Inputs'!$B$6))</f>
        <v>0.4</v>
      </c>
      <c r="Q2113" s="17">
        <f>O2113*P2113</f>
        <v>648000</v>
      </c>
      <c r="R2113" s="16">
        <f>'Financial Inputs'!$B$7</f>
        <v>0.35</v>
      </c>
      <c r="S2113" s="17">
        <f>Q2113*(1-R2113)</f>
        <v>421200</v>
      </c>
      <c r="T2113" s="18">
        <f>S2113/'Financial Inputs'!$B$3</f>
        <v>4.2119999999999996E-3</v>
      </c>
      <c r="U2113" s="9" t="s">
        <v>52</v>
      </c>
      <c r="V2113" s="3" t="s">
        <v>53</v>
      </c>
    </row>
    <row r="2114" spans="1:22">
      <c r="A2114" s="2" t="s">
        <v>6584</v>
      </c>
      <c r="B2114" s="2" t="s">
        <v>6585</v>
      </c>
      <c r="C2114" s="2" t="s">
        <v>6548</v>
      </c>
      <c r="D2114" s="2" t="s">
        <v>133</v>
      </c>
      <c r="E2114" s="2" t="s">
        <v>43</v>
      </c>
      <c r="F2114" s="2" t="s">
        <v>74</v>
      </c>
      <c r="G2114" s="2" t="s">
        <v>56</v>
      </c>
      <c r="H2114" s="2" t="s">
        <v>46</v>
      </c>
      <c r="I2114" s="2" t="s">
        <v>47</v>
      </c>
      <c r="J2114" s="2" t="s">
        <v>48</v>
      </c>
      <c r="K2114" s="2" t="s">
        <v>6586</v>
      </c>
      <c r="L2114" s="2" t="s">
        <v>135</v>
      </c>
      <c r="M2114" s="2" t="s">
        <v>6550</v>
      </c>
      <c r="N2114" s="16">
        <v>1.7999999999999999E-2</v>
      </c>
      <c r="O2114" s="17">
        <f>N2114*'Financial Inputs'!$B$3</f>
        <v>1799999.9999999998</v>
      </c>
      <c r="P2114" s="18">
        <f>IF(I2114="L",'Financial Inputs'!$B$4,IF(I2114="M",'Financial Inputs'!$B$5,'Financial Inputs'!$B$6))</f>
        <v>0.4</v>
      </c>
      <c r="Q2114" s="17">
        <f>O2114*P2114</f>
        <v>720000</v>
      </c>
      <c r="R2114" s="16">
        <f>'Financial Inputs'!$B$7</f>
        <v>0.35</v>
      </c>
      <c r="S2114" s="17">
        <f>Q2114*(1-R2114)</f>
        <v>468000</v>
      </c>
      <c r="T2114" s="18">
        <f>S2114/'Financial Inputs'!$B$3</f>
        <v>4.6800000000000001E-3</v>
      </c>
      <c r="U2114" s="9" t="s">
        <v>52</v>
      </c>
      <c r="V2114" s="3" t="s">
        <v>53</v>
      </c>
    </row>
    <row r="2115" spans="1:22">
      <c r="A2115" s="2" t="s">
        <v>6587</v>
      </c>
      <c r="B2115" s="2" t="s">
        <v>6588</v>
      </c>
      <c r="C2115" s="2" t="s">
        <v>6548</v>
      </c>
      <c r="D2115" s="2" t="s">
        <v>88</v>
      </c>
      <c r="E2115" s="2" t="s">
        <v>57</v>
      </c>
      <c r="F2115" s="2" t="s">
        <v>82</v>
      </c>
      <c r="G2115" s="2" t="s">
        <v>138</v>
      </c>
      <c r="H2115" s="2" t="s">
        <v>46</v>
      </c>
      <c r="I2115" s="2" t="s">
        <v>47</v>
      </c>
      <c r="J2115" s="2" t="s">
        <v>48</v>
      </c>
      <c r="K2115" s="2" t="s">
        <v>6589</v>
      </c>
      <c r="L2115" s="2" t="s">
        <v>140</v>
      </c>
      <c r="M2115" s="2" t="s">
        <v>6550</v>
      </c>
      <c r="N2115" s="16">
        <v>1.9800000000000002E-2</v>
      </c>
      <c r="O2115" s="17">
        <f>N2115*'Financial Inputs'!$B$3</f>
        <v>1980000.0000000002</v>
      </c>
      <c r="P2115" s="18">
        <f>IF(I2115="L",'Financial Inputs'!$B$4,IF(I2115="M",'Financial Inputs'!$B$5,'Financial Inputs'!$B$6))</f>
        <v>0.4</v>
      </c>
      <c r="Q2115" s="17">
        <f>O2115*P2115</f>
        <v>792000.00000000012</v>
      </c>
      <c r="R2115" s="16">
        <f>'Financial Inputs'!$B$7</f>
        <v>0.35</v>
      </c>
      <c r="S2115" s="17">
        <f>Q2115*(1-R2115)</f>
        <v>514800.00000000012</v>
      </c>
      <c r="T2115" s="18">
        <f>S2115/'Financial Inputs'!$B$3</f>
        <v>5.1480000000000015E-3</v>
      </c>
      <c r="U2115" s="9" t="s">
        <v>52</v>
      </c>
      <c r="V2115" s="3" t="s">
        <v>53</v>
      </c>
    </row>
    <row r="2116" spans="1:22">
      <c r="A2116" s="2" t="s">
        <v>6590</v>
      </c>
      <c r="B2116" s="2" t="s">
        <v>6591</v>
      </c>
      <c r="C2116" s="2" t="s">
        <v>6548</v>
      </c>
      <c r="D2116" s="2" t="s">
        <v>95</v>
      </c>
      <c r="E2116" s="2" t="s">
        <v>65</v>
      </c>
      <c r="F2116" s="2" t="s">
        <v>44</v>
      </c>
      <c r="G2116" s="2" t="s">
        <v>143</v>
      </c>
      <c r="H2116" s="2" t="s">
        <v>46</v>
      </c>
      <c r="I2116" s="2" t="s">
        <v>47</v>
      </c>
      <c r="J2116" s="2" t="s">
        <v>48</v>
      </c>
      <c r="K2116" s="2" t="s">
        <v>6592</v>
      </c>
      <c r="L2116" s="2" t="s">
        <v>145</v>
      </c>
      <c r="M2116" s="2" t="s">
        <v>6550</v>
      </c>
      <c r="N2116" s="16">
        <v>2.1600000000000001E-2</v>
      </c>
      <c r="O2116" s="17">
        <f>N2116*'Financial Inputs'!$B$3</f>
        <v>2160000</v>
      </c>
      <c r="P2116" s="18">
        <f>IF(I2116="L",'Financial Inputs'!$B$4,IF(I2116="M",'Financial Inputs'!$B$5,'Financial Inputs'!$B$6))</f>
        <v>0.4</v>
      </c>
      <c r="Q2116" s="17">
        <f>O2116*P2116</f>
        <v>864000</v>
      </c>
      <c r="R2116" s="16">
        <f>'Financial Inputs'!$B$7</f>
        <v>0.35</v>
      </c>
      <c r="S2116" s="17">
        <f>Q2116*(1-R2116)</f>
        <v>561600</v>
      </c>
      <c r="T2116" s="18">
        <f>S2116/'Financial Inputs'!$B$3</f>
        <v>5.6160000000000003E-3</v>
      </c>
      <c r="U2116" s="9" t="s">
        <v>52</v>
      </c>
      <c r="V2116" s="3" t="s">
        <v>53</v>
      </c>
    </row>
    <row r="2117" spans="1:22">
      <c r="A2117" s="2" t="s">
        <v>6593</v>
      </c>
      <c r="B2117" s="2" t="s">
        <v>6594</v>
      </c>
      <c r="C2117" s="2" t="s">
        <v>6548</v>
      </c>
      <c r="D2117" s="2" t="s">
        <v>56</v>
      </c>
      <c r="E2117" s="2" t="s">
        <v>148</v>
      </c>
      <c r="F2117" s="2" t="s">
        <v>97</v>
      </c>
      <c r="G2117" s="2" t="s">
        <v>56</v>
      </c>
      <c r="H2117" s="2" t="s">
        <v>46</v>
      </c>
      <c r="I2117" s="2" t="s">
        <v>47</v>
      </c>
      <c r="J2117" s="2" t="s">
        <v>48</v>
      </c>
      <c r="K2117" s="2" t="s">
        <v>6595</v>
      </c>
      <c r="L2117" s="2" t="s">
        <v>150</v>
      </c>
      <c r="M2117" s="2" t="s">
        <v>6550</v>
      </c>
      <c r="N2117" s="16">
        <v>1.44E-2</v>
      </c>
      <c r="O2117" s="17">
        <f>N2117*'Financial Inputs'!$B$3</f>
        <v>1440000</v>
      </c>
      <c r="P2117" s="18">
        <f>IF(I2117="L",'Financial Inputs'!$B$4,IF(I2117="M",'Financial Inputs'!$B$5,'Financial Inputs'!$B$6))</f>
        <v>0.4</v>
      </c>
      <c r="Q2117" s="17">
        <f>O2117*P2117</f>
        <v>576000</v>
      </c>
      <c r="R2117" s="16">
        <f>'Financial Inputs'!$B$7</f>
        <v>0.35</v>
      </c>
      <c r="S2117" s="17">
        <f>Q2117*(1-R2117)</f>
        <v>374400</v>
      </c>
      <c r="T2117" s="18">
        <f>S2117/'Financial Inputs'!$B$3</f>
        <v>3.7439999999999999E-3</v>
      </c>
      <c r="U2117" s="9" t="s">
        <v>52</v>
      </c>
      <c r="V2117" s="3" t="s">
        <v>53</v>
      </c>
    </row>
    <row r="2118" spans="1:22">
      <c r="A2118" s="2" t="s">
        <v>6596</v>
      </c>
      <c r="B2118" s="2" t="s">
        <v>6597</v>
      </c>
      <c r="C2118" s="2" t="s">
        <v>6548</v>
      </c>
      <c r="D2118" s="2" t="s">
        <v>64</v>
      </c>
      <c r="E2118" s="2" t="s">
        <v>153</v>
      </c>
      <c r="F2118" s="2" t="s">
        <v>104</v>
      </c>
      <c r="G2118" s="2" t="s">
        <v>138</v>
      </c>
      <c r="H2118" s="2" t="s">
        <v>46</v>
      </c>
      <c r="I2118" s="2" t="s">
        <v>47</v>
      </c>
      <c r="J2118" s="2" t="s">
        <v>48</v>
      </c>
      <c r="K2118" s="2" t="s">
        <v>6598</v>
      </c>
      <c r="L2118" s="2" t="s">
        <v>155</v>
      </c>
      <c r="M2118" s="2" t="s">
        <v>6550</v>
      </c>
      <c r="N2118" s="16">
        <v>1.6199999999999999E-2</v>
      </c>
      <c r="O2118" s="17">
        <f>N2118*'Financial Inputs'!$B$3</f>
        <v>1620000</v>
      </c>
      <c r="P2118" s="18">
        <f>IF(I2118="L",'Financial Inputs'!$B$4,IF(I2118="M",'Financial Inputs'!$B$5,'Financial Inputs'!$B$6))</f>
        <v>0.4</v>
      </c>
      <c r="Q2118" s="17">
        <f>O2118*P2118</f>
        <v>648000</v>
      </c>
      <c r="R2118" s="16">
        <f>'Financial Inputs'!$B$7</f>
        <v>0.35</v>
      </c>
      <c r="S2118" s="17">
        <f>Q2118*(1-R2118)</f>
        <v>421200</v>
      </c>
      <c r="T2118" s="18">
        <f>S2118/'Financial Inputs'!$B$3</f>
        <v>4.2119999999999996E-3</v>
      </c>
      <c r="U2118" s="9" t="s">
        <v>52</v>
      </c>
      <c r="V2118" s="3" t="s">
        <v>53</v>
      </c>
    </row>
    <row r="2119" spans="1:22">
      <c r="A2119" s="2" t="s">
        <v>6599</v>
      </c>
      <c r="B2119" s="2" t="s">
        <v>6600</v>
      </c>
      <c r="C2119" s="2" t="s">
        <v>6548</v>
      </c>
      <c r="D2119" s="2" t="s">
        <v>72</v>
      </c>
      <c r="E2119" s="2" t="s">
        <v>89</v>
      </c>
      <c r="F2119" s="2" t="s">
        <v>110</v>
      </c>
      <c r="G2119" s="2" t="s">
        <v>143</v>
      </c>
      <c r="H2119" s="2" t="s">
        <v>46</v>
      </c>
      <c r="I2119" s="2" t="s">
        <v>47</v>
      </c>
      <c r="J2119" s="2" t="s">
        <v>48</v>
      </c>
      <c r="K2119" s="2" t="s">
        <v>6601</v>
      </c>
      <c r="L2119" s="2" t="s">
        <v>159</v>
      </c>
      <c r="M2119" s="2" t="s">
        <v>6550</v>
      </c>
      <c r="N2119" s="16">
        <v>1.7999999999999999E-2</v>
      </c>
      <c r="O2119" s="17">
        <f>N2119*'Financial Inputs'!$B$3</f>
        <v>1799999.9999999998</v>
      </c>
      <c r="P2119" s="18">
        <f>IF(I2119="L",'Financial Inputs'!$B$4,IF(I2119="M",'Financial Inputs'!$B$5,'Financial Inputs'!$B$6))</f>
        <v>0.4</v>
      </c>
      <c r="Q2119" s="17">
        <f>O2119*P2119</f>
        <v>720000</v>
      </c>
      <c r="R2119" s="16">
        <f>'Financial Inputs'!$B$7</f>
        <v>0.35</v>
      </c>
      <c r="S2119" s="17">
        <f>Q2119*(1-R2119)</f>
        <v>468000</v>
      </c>
      <c r="T2119" s="18">
        <f>S2119/'Financial Inputs'!$B$3</f>
        <v>4.6800000000000001E-3</v>
      </c>
      <c r="U2119" s="9" t="s">
        <v>52</v>
      </c>
      <c r="V2119" s="3" t="s">
        <v>53</v>
      </c>
    </row>
    <row r="2120" spans="1:22">
      <c r="A2120" s="2" t="s">
        <v>6602</v>
      </c>
      <c r="B2120" s="2" t="s">
        <v>6603</v>
      </c>
      <c r="C2120" s="2" t="s">
        <v>6548</v>
      </c>
      <c r="D2120" s="2" t="s">
        <v>80</v>
      </c>
      <c r="E2120" s="2" t="s">
        <v>96</v>
      </c>
      <c r="F2120" s="2" t="s">
        <v>117</v>
      </c>
      <c r="G2120" s="2" t="s">
        <v>162</v>
      </c>
      <c r="H2120" s="2" t="s">
        <v>46</v>
      </c>
      <c r="I2120" s="2" t="s">
        <v>47</v>
      </c>
      <c r="J2120" s="2" t="s">
        <v>48</v>
      </c>
      <c r="K2120" s="2" t="s">
        <v>6604</v>
      </c>
      <c r="L2120" s="2" t="s">
        <v>164</v>
      </c>
      <c r="M2120" s="2" t="s">
        <v>6550</v>
      </c>
      <c r="N2120" s="16">
        <v>1.9800000000000002E-2</v>
      </c>
      <c r="O2120" s="17">
        <f>N2120*'Financial Inputs'!$B$3</f>
        <v>1980000.0000000002</v>
      </c>
      <c r="P2120" s="18">
        <f>IF(I2120="L",'Financial Inputs'!$B$4,IF(I2120="M",'Financial Inputs'!$B$5,'Financial Inputs'!$B$6))</f>
        <v>0.4</v>
      </c>
      <c r="Q2120" s="17">
        <f>O2120*P2120</f>
        <v>792000.00000000012</v>
      </c>
      <c r="R2120" s="16">
        <f>'Financial Inputs'!$B$7</f>
        <v>0.35</v>
      </c>
      <c r="S2120" s="17">
        <f>Q2120*(1-R2120)</f>
        <v>514800.00000000012</v>
      </c>
      <c r="T2120" s="18">
        <f>S2120/'Financial Inputs'!$B$3</f>
        <v>5.1480000000000015E-3</v>
      </c>
      <c r="U2120" s="9" t="s">
        <v>52</v>
      </c>
      <c r="V2120" s="3" t="s">
        <v>53</v>
      </c>
    </row>
    <row r="2121" spans="1:22">
      <c r="A2121" s="2" t="s">
        <v>6605</v>
      </c>
      <c r="B2121" s="2" t="s">
        <v>6606</v>
      </c>
      <c r="C2121" s="2" t="s">
        <v>6548</v>
      </c>
      <c r="D2121" s="2" t="s">
        <v>127</v>
      </c>
      <c r="E2121" s="2" t="s">
        <v>103</v>
      </c>
      <c r="F2121" s="2" t="s">
        <v>90</v>
      </c>
      <c r="G2121" s="2" t="s">
        <v>45</v>
      </c>
      <c r="H2121" s="2" t="s">
        <v>46</v>
      </c>
      <c r="I2121" s="2" t="s">
        <v>47</v>
      </c>
      <c r="J2121" s="2" t="s">
        <v>48</v>
      </c>
      <c r="K2121" s="2" t="s">
        <v>6607</v>
      </c>
      <c r="L2121" s="2" t="s">
        <v>168</v>
      </c>
      <c r="M2121" s="2" t="s">
        <v>6550</v>
      </c>
      <c r="N2121" s="16">
        <v>2.1600000000000001E-2</v>
      </c>
      <c r="O2121" s="17">
        <f>N2121*'Financial Inputs'!$B$3</f>
        <v>2160000</v>
      </c>
      <c r="P2121" s="18">
        <f>IF(I2121="L",'Financial Inputs'!$B$4,IF(I2121="M",'Financial Inputs'!$B$5,'Financial Inputs'!$B$6))</f>
        <v>0.4</v>
      </c>
      <c r="Q2121" s="17">
        <f>O2121*P2121</f>
        <v>864000</v>
      </c>
      <c r="R2121" s="16">
        <f>'Financial Inputs'!$B$7</f>
        <v>0.35</v>
      </c>
      <c r="S2121" s="17">
        <f>Q2121*(1-R2121)</f>
        <v>561600</v>
      </c>
      <c r="T2121" s="18">
        <f>S2121/'Financial Inputs'!$B$3</f>
        <v>5.6160000000000003E-3</v>
      </c>
      <c r="U2121" s="9" t="s">
        <v>52</v>
      </c>
      <c r="V2121" s="3" t="s">
        <v>53</v>
      </c>
    </row>
    <row r="2122" spans="1:22">
      <c r="A2122" s="2" t="s">
        <v>6608</v>
      </c>
      <c r="B2122" s="2" t="s">
        <v>6609</v>
      </c>
      <c r="C2122" s="2" t="s">
        <v>6548</v>
      </c>
      <c r="D2122" s="2" t="s">
        <v>95</v>
      </c>
      <c r="E2122" s="2" t="s">
        <v>171</v>
      </c>
      <c r="F2122" s="2" t="s">
        <v>66</v>
      </c>
      <c r="G2122" s="2" t="s">
        <v>143</v>
      </c>
      <c r="H2122" s="2" t="s">
        <v>46</v>
      </c>
      <c r="I2122" s="2" t="s">
        <v>47</v>
      </c>
      <c r="J2122" s="2" t="s">
        <v>48</v>
      </c>
      <c r="K2122" s="2" t="s">
        <v>6610</v>
      </c>
      <c r="L2122" s="2" t="s">
        <v>173</v>
      </c>
      <c r="M2122" s="2" t="s">
        <v>6550</v>
      </c>
      <c r="N2122" s="16">
        <v>1.44E-2</v>
      </c>
      <c r="O2122" s="17">
        <f>N2122*'Financial Inputs'!$B$3</f>
        <v>1440000</v>
      </c>
      <c r="P2122" s="18">
        <f>IF(I2122="L",'Financial Inputs'!$B$4,IF(I2122="M",'Financial Inputs'!$B$5,'Financial Inputs'!$B$6))</f>
        <v>0.4</v>
      </c>
      <c r="Q2122" s="17">
        <f>O2122*P2122</f>
        <v>576000</v>
      </c>
      <c r="R2122" s="16">
        <f>'Financial Inputs'!$B$7</f>
        <v>0.35</v>
      </c>
      <c r="S2122" s="17">
        <f>Q2122*(1-R2122)</f>
        <v>374400</v>
      </c>
      <c r="T2122" s="18">
        <f>S2122/'Financial Inputs'!$B$3</f>
        <v>3.7439999999999999E-3</v>
      </c>
      <c r="U2122" s="9" t="s">
        <v>52</v>
      </c>
      <c r="V2122" s="3" t="s">
        <v>53</v>
      </c>
    </row>
    <row r="2123" spans="1:22">
      <c r="A2123" s="2" t="s">
        <v>6611</v>
      </c>
      <c r="B2123" s="2" t="s">
        <v>6612</v>
      </c>
      <c r="C2123" s="2" t="s">
        <v>6548</v>
      </c>
      <c r="D2123" s="2" t="s">
        <v>102</v>
      </c>
      <c r="E2123" s="2" t="s">
        <v>176</v>
      </c>
      <c r="F2123" s="2" t="s">
        <v>74</v>
      </c>
      <c r="G2123" s="2" t="s">
        <v>162</v>
      </c>
      <c r="H2123" s="2" t="s">
        <v>46</v>
      </c>
      <c r="I2123" s="2" t="s">
        <v>47</v>
      </c>
      <c r="J2123" s="2" t="s">
        <v>48</v>
      </c>
      <c r="K2123" s="2" t="s">
        <v>6613</v>
      </c>
      <c r="L2123" s="2" t="s">
        <v>178</v>
      </c>
      <c r="M2123" s="2" t="s">
        <v>6550</v>
      </c>
      <c r="N2123" s="16">
        <v>1.6199999999999999E-2</v>
      </c>
      <c r="O2123" s="17">
        <f>N2123*'Financial Inputs'!$B$3</f>
        <v>1620000</v>
      </c>
      <c r="P2123" s="18">
        <f>IF(I2123="L",'Financial Inputs'!$B$4,IF(I2123="M",'Financial Inputs'!$B$5,'Financial Inputs'!$B$6))</f>
        <v>0.4</v>
      </c>
      <c r="Q2123" s="17">
        <f>O2123*P2123</f>
        <v>648000</v>
      </c>
      <c r="R2123" s="16">
        <f>'Financial Inputs'!$B$7</f>
        <v>0.35</v>
      </c>
      <c r="S2123" s="17">
        <f>Q2123*(1-R2123)</f>
        <v>421200</v>
      </c>
      <c r="T2123" s="18">
        <f>S2123/'Financial Inputs'!$B$3</f>
        <v>4.2119999999999996E-3</v>
      </c>
      <c r="U2123" s="9" t="s">
        <v>52</v>
      </c>
      <c r="V2123" s="3" t="s">
        <v>53</v>
      </c>
    </row>
    <row r="2124" spans="1:22">
      <c r="A2124" s="2" t="s">
        <v>6614</v>
      </c>
      <c r="B2124" s="2" t="s">
        <v>6615</v>
      </c>
      <c r="C2124" s="2" t="s">
        <v>6548</v>
      </c>
      <c r="D2124" s="2" t="s">
        <v>42</v>
      </c>
      <c r="E2124" s="2" t="s">
        <v>122</v>
      </c>
      <c r="F2124" s="2" t="s">
        <v>82</v>
      </c>
      <c r="G2124" s="2" t="s">
        <v>45</v>
      </c>
      <c r="H2124" s="2" t="s">
        <v>46</v>
      </c>
      <c r="I2124" s="2" t="s">
        <v>47</v>
      </c>
      <c r="J2124" s="2" t="s">
        <v>48</v>
      </c>
      <c r="K2124" s="2" t="s">
        <v>6616</v>
      </c>
      <c r="L2124" s="2" t="s">
        <v>182</v>
      </c>
      <c r="M2124" s="2" t="s">
        <v>6550</v>
      </c>
      <c r="N2124" s="16">
        <v>1.7999999999999999E-2</v>
      </c>
      <c r="O2124" s="17">
        <f>N2124*'Financial Inputs'!$B$3</f>
        <v>1799999.9999999998</v>
      </c>
      <c r="P2124" s="18">
        <f>IF(I2124="L",'Financial Inputs'!$B$4,IF(I2124="M",'Financial Inputs'!$B$5,'Financial Inputs'!$B$6))</f>
        <v>0.4</v>
      </c>
      <c r="Q2124" s="17">
        <f>O2124*P2124</f>
        <v>720000</v>
      </c>
      <c r="R2124" s="16">
        <f>'Financial Inputs'!$B$7</f>
        <v>0.35</v>
      </c>
      <c r="S2124" s="17">
        <f>Q2124*(1-R2124)</f>
        <v>468000</v>
      </c>
      <c r="T2124" s="18">
        <f>S2124/'Financial Inputs'!$B$3</f>
        <v>4.6800000000000001E-3</v>
      </c>
      <c r="U2124" s="9" t="s">
        <v>52</v>
      </c>
      <c r="V2124" s="3" t="s">
        <v>53</v>
      </c>
    </row>
    <row r="2125" spans="1:22">
      <c r="A2125" s="2" t="s">
        <v>6617</v>
      </c>
      <c r="B2125" s="2" t="s">
        <v>6618</v>
      </c>
      <c r="C2125" s="2" t="s">
        <v>6548</v>
      </c>
      <c r="D2125" s="2" t="s">
        <v>56</v>
      </c>
      <c r="E2125" s="2" t="s">
        <v>128</v>
      </c>
      <c r="F2125" s="2" t="s">
        <v>44</v>
      </c>
      <c r="G2125" s="2" t="s">
        <v>59</v>
      </c>
      <c r="H2125" s="2" t="s">
        <v>46</v>
      </c>
      <c r="I2125" s="2" t="s">
        <v>47</v>
      </c>
      <c r="J2125" s="2" t="s">
        <v>48</v>
      </c>
      <c r="K2125" s="2" t="s">
        <v>6619</v>
      </c>
      <c r="L2125" s="2" t="s">
        <v>186</v>
      </c>
      <c r="M2125" s="2" t="s">
        <v>6550</v>
      </c>
      <c r="N2125" s="16">
        <v>1.9800000000000002E-2</v>
      </c>
      <c r="O2125" s="17">
        <f>N2125*'Financial Inputs'!$B$3</f>
        <v>1980000.0000000002</v>
      </c>
      <c r="P2125" s="18">
        <f>IF(I2125="L",'Financial Inputs'!$B$4,IF(I2125="M",'Financial Inputs'!$B$5,'Financial Inputs'!$B$6))</f>
        <v>0.4</v>
      </c>
      <c r="Q2125" s="17">
        <f>O2125*P2125</f>
        <v>792000.00000000012</v>
      </c>
      <c r="R2125" s="16">
        <f>'Financial Inputs'!$B$7</f>
        <v>0.35</v>
      </c>
      <c r="S2125" s="17">
        <f>Q2125*(1-R2125)</f>
        <v>514800.00000000012</v>
      </c>
      <c r="T2125" s="18">
        <f>S2125/'Financial Inputs'!$B$3</f>
        <v>5.1480000000000015E-3</v>
      </c>
      <c r="U2125" s="9" t="s">
        <v>52</v>
      </c>
      <c r="V2125" s="3" t="s">
        <v>53</v>
      </c>
    </row>
    <row r="2126" spans="1:22">
      <c r="A2126" s="2" t="s">
        <v>6620</v>
      </c>
      <c r="B2126" s="2" t="s">
        <v>6621</v>
      </c>
      <c r="C2126" s="2" t="s">
        <v>6548</v>
      </c>
      <c r="D2126" s="2" t="s">
        <v>64</v>
      </c>
      <c r="E2126" s="2" t="s">
        <v>43</v>
      </c>
      <c r="F2126" s="2" t="s">
        <v>58</v>
      </c>
      <c r="G2126" s="2" t="s">
        <v>67</v>
      </c>
      <c r="H2126" s="2" t="s">
        <v>46</v>
      </c>
      <c r="I2126" s="2" t="s">
        <v>47</v>
      </c>
      <c r="J2126" s="2" t="s">
        <v>48</v>
      </c>
      <c r="K2126" s="2" t="s">
        <v>6622</v>
      </c>
      <c r="L2126" s="2" t="s">
        <v>190</v>
      </c>
      <c r="M2126" s="2" t="s">
        <v>6550</v>
      </c>
      <c r="N2126" s="16">
        <v>2.1600000000000001E-2</v>
      </c>
      <c r="O2126" s="17">
        <f>N2126*'Financial Inputs'!$B$3</f>
        <v>2160000</v>
      </c>
      <c r="P2126" s="18">
        <f>IF(I2126="L",'Financial Inputs'!$B$4,IF(I2126="M",'Financial Inputs'!$B$5,'Financial Inputs'!$B$6))</f>
        <v>0.4</v>
      </c>
      <c r="Q2126" s="17">
        <f>O2126*P2126</f>
        <v>864000</v>
      </c>
      <c r="R2126" s="16">
        <f>'Financial Inputs'!$B$7</f>
        <v>0.35</v>
      </c>
      <c r="S2126" s="17">
        <f>Q2126*(1-R2126)</f>
        <v>561600</v>
      </c>
      <c r="T2126" s="18">
        <f>S2126/'Financial Inputs'!$B$3</f>
        <v>5.6160000000000003E-3</v>
      </c>
      <c r="U2126" s="9" t="s">
        <v>52</v>
      </c>
      <c r="V2126" s="3" t="s">
        <v>53</v>
      </c>
    </row>
    <row r="2127" spans="1:22">
      <c r="A2127" s="2" t="s">
        <v>6623</v>
      </c>
      <c r="B2127" s="2" t="s">
        <v>6624</v>
      </c>
      <c r="C2127" s="2" t="s">
        <v>6548</v>
      </c>
      <c r="D2127" s="2" t="s">
        <v>127</v>
      </c>
      <c r="E2127" s="2" t="s">
        <v>193</v>
      </c>
      <c r="F2127" s="2" t="s">
        <v>104</v>
      </c>
      <c r="G2127" s="2" t="s">
        <v>45</v>
      </c>
      <c r="H2127" s="2" t="s">
        <v>46</v>
      </c>
      <c r="I2127" s="2" t="s">
        <v>47</v>
      </c>
      <c r="J2127" s="2" t="s">
        <v>48</v>
      </c>
      <c r="K2127" s="2" t="s">
        <v>6625</v>
      </c>
      <c r="L2127" s="2" t="s">
        <v>195</v>
      </c>
      <c r="M2127" s="2" t="s">
        <v>6550</v>
      </c>
      <c r="N2127" s="16">
        <v>1.44E-2</v>
      </c>
      <c r="O2127" s="17">
        <f>N2127*'Financial Inputs'!$B$3</f>
        <v>1440000</v>
      </c>
      <c r="P2127" s="18">
        <f>IF(I2127="L",'Financial Inputs'!$B$4,IF(I2127="M",'Financial Inputs'!$B$5,'Financial Inputs'!$B$6))</f>
        <v>0.4</v>
      </c>
      <c r="Q2127" s="17">
        <f>O2127*P2127</f>
        <v>576000</v>
      </c>
      <c r="R2127" s="16">
        <f>'Financial Inputs'!$B$7</f>
        <v>0.35</v>
      </c>
      <c r="S2127" s="17">
        <f>Q2127*(1-R2127)</f>
        <v>374400</v>
      </c>
      <c r="T2127" s="18">
        <f>S2127/'Financial Inputs'!$B$3</f>
        <v>3.7439999999999999E-3</v>
      </c>
      <c r="U2127" s="9" t="s">
        <v>52</v>
      </c>
      <c r="V2127" s="3" t="s">
        <v>53</v>
      </c>
    </row>
    <row r="2128" spans="1:22">
      <c r="A2128" s="2" t="s">
        <v>6626</v>
      </c>
      <c r="B2128" s="2" t="s">
        <v>6627</v>
      </c>
      <c r="C2128" s="2" t="s">
        <v>6548</v>
      </c>
      <c r="D2128" s="2" t="s">
        <v>133</v>
      </c>
      <c r="E2128" s="2" t="s">
        <v>198</v>
      </c>
      <c r="F2128" s="2" t="s">
        <v>110</v>
      </c>
      <c r="G2128" s="2" t="s">
        <v>59</v>
      </c>
      <c r="H2128" s="2" t="s">
        <v>46</v>
      </c>
      <c r="I2128" s="2" t="s">
        <v>47</v>
      </c>
      <c r="J2128" s="2" t="s">
        <v>48</v>
      </c>
      <c r="K2128" s="2" t="s">
        <v>6628</v>
      </c>
      <c r="L2128" s="2" t="s">
        <v>200</v>
      </c>
      <c r="M2128" s="2" t="s">
        <v>6550</v>
      </c>
      <c r="N2128" s="16">
        <v>1.6199999999999999E-2</v>
      </c>
      <c r="O2128" s="17">
        <f>N2128*'Financial Inputs'!$B$3</f>
        <v>1620000</v>
      </c>
      <c r="P2128" s="18">
        <f>IF(I2128="L",'Financial Inputs'!$B$4,IF(I2128="M",'Financial Inputs'!$B$5,'Financial Inputs'!$B$6))</f>
        <v>0.4</v>
      </c>
      <c r="Q2128" s="17">
        <f>O2128*P2128</f>
        <v>648000</v>
      </c>
      <c r="R2128" s="16">
        <f>'Financial Inputs'!$B$7</f>
        <v>0.35</v>
      </c>
      <c r="S2128" s="17">
        <f>Q2128*(1-R2128)</f>
        <v>421200</v>
      </c>
      <c r="T2128" s="18">
        <f>S2128/'Financial Inputs'!$B$3</f>
        <v>4.2119999999999996E-3</v>
      </c>
      <c r="U2128" s="9" t="s">
        <v>52</v>
      </c>
      <c r="V2128" s="3" t="s">
        <v>53</v>
      </c>
    </row>
    <row r="2129" spans="1:22">
      <c r="A2129" s="2" t="s">
        <v>6629</v>
      </c>
      <c r="B2129" s="2" t="s">
        <v>6630</v>
      </c>
      <c r="C2129" s="2" t="s">
        <v>6548</v>
      </c>
      <c r="D2129" s="2" t="s">
        <v>88</v>
      </c>
      <c r="E2129" s="2" t="s">
        <v>148</v>
      </c>
      <c r="F2129" s="2" t="s">
        <v>117</v>
      </c>
      <c r="G2129" s="2" t="s">
        <v>67</v>
      </c>
      <c r="H2129" s="2" t="s">
        <v>46</v>
      </c>
      <c r="I2129" s="2" t="s">
        <v>47</v>
      </c>
      <c r="J2129" s="2" t="s">
        <v>48</v>
      </c>
      <c r="K2129" s="2" t="s">
        <v>6631</v>
      </c>
      <c r="L2129" s="2" t="s">
        <v>204</v>
      </c>
      <c r="M2129" s="2" t="s">
        <v>6550</v>
      </c>
      <c r="N2129" s="16">
        <v>1.7999999999999999E-2</v>
      </c>
      <c r="O2129" s="17">
        <f>N2129*'Financial Inputs'!$B$3</f>
        <v>1799999.9999999998</v>
      </c>
      <c r="P2129" s="18">
        <f>IF(I2129="L",'Financial Inputs'!$B$4,IF(I2129="M",'Financial Inputs'!$B$5,'Financial Inputs'!$B$6))</f>
        <v>0.4</v>
      </c>
      <c r="Q2129" s="17">
        <f>O2129*P2129</f>
        <v>720000</v>
      </c>
      <c r="R2129" s="16">
        <f>'Financial Inputs'!$B$7</f>
        <v>0.35</v>
      </c>
      <c r="S2129" s="17">
        <f>Q2129*(1-R2129)</f>
        <v>468000</v>
      </c>
      <c r="T2129" s="18">
        <f>S2129/'Financial Inputs'!$B$3</f>
        <v>4.6800000000000001E-3</v>
      </c>
      <c r="U2129" s="9" t="s">
        <v>52</v>
      </c>
      <c r="V2129" s="3" t="s">
        <v>53</v>
      </c>
    </row>
    <row r="2130" spans="1:22">
      <c r="A2130" s="2" t="s">
        <v>6632</v>
      </c>
      <c r="B2130" s="2" t="s">
        <v>6633</v>
      </c>
      <c r="C2130" s="2" t="s">
        <v>6548</v>
      </c>
      <c r="D2130" s="2" t="s">
        <v>95</v>
      </c>
      <c r="E2130" s="2" t="s">
        <v>153</v>
      </c>
      <c r="F2130" s="2" t="s">
        <v>90</v>
      </c>
      <c r="G2130" s="2" t="s">
        <v>75</v>
      </c>
      <c r="H2130" s="2" t="s">
        <v>46</v>
      </c>
      <c r="I2130" s="2" t="s">
        <v>47</v>
      </c>
      <c r="J2130" s="2" t="s">
        <v>48</v>
      </c>
      <c r="K2130" s="2" t="s">
        <v>6634</v>
      </c>
      <c r="L2130" s="2" t="s">
        <v>208</v>
      </c>
      <c r="M2130" s="2" t="s">
        <v>6550</v>
      </c>
      <c r="N2130" s="16">
        <v>1.9800000000000002E-2</v>
      </c>
      <c r="O2130" s="17">
        <f>N2130*'Financial Inputs'!$B$3</f>
        <v>1980000.0000000002</v>
      </c>
      <c r="P2130" s="18">
        <f>IF(I2130="L",'Financial Inputs'!$B$4,IF(I2130="M",'Financial Inputs'!$B$5,'Financial Inputs'!$B$6))</f>
        <v>0.4</v>
      </c>
      <c r="Q2130" s="17">
        <f>O2130*P2130</f>
        <v>792000.00000000012</v>
      </c>
      <c r="R2130" s="16">
        <f>'Financial Inputs'!$B$7</f>
        <v>0.35</v>
      </c>
      <c r="S2130" s="17">
        <f>Q2130*(1-R2130)</f>
        <v>514800.00000000012</v>
      </c>
      <c r="T2130" s="18">
        <f>S2130/'Financial Inputs'!$B$3</f>
        <v>5.1480000000000015E-3</v>
      </c>
      <c r="U2130" s="9" t="s">
        <v>52</v>
      </c>
      <c r="V2130" s="3" t="s">
        <v>53</v>
      </c>
    </row>
    <row r="2131" spans="1:22">
      <c r="A2131" s="2" t="s">
        <v>6635</v>
      </c>
      <c r="B2131" s="2" t="s">
        <v>6636</v>
      </c>
      <c r="C2131" s="2" t="s">
        <v>6548</v>
      </c>
      <c r="D2131" s="2" t="s">
        <v>102</v>
      </c>
      <c r="E2131" s="2" t="s">
        <v>89</v>
      </c>
      <c r="F2131" s="2" t="s">
        <v>97</v>
      </c>
      <c r="G2131" s="2" t="s">
        <v>83</v>
      </c>
      <c r="H2131" s="2" t="s">
        <v>46</v>
      </c>
      <c r="I2131" s="2" t="s">
        <v>47</v>
      </c>
      <c r="J2131" s="2" t="s">
        <v>48</v>
      </c>
      <c r="K2131" s="2" t="s">
        <v>6637</v>
      </c>
      <c r="L2131" s="2" t="s">
        <v>212</v>
      </c>
      <c r="M2131" s="2" t="s">
        <v>6550</v>
      </c>
      <c r="N2131" s="16">
        <v>2.1600000000000001E-2</v>
      </c>
      <c r="O2131" s="17">
        <f>N2131*'Financial Inputs'!$B$3</f>
        <v>2160000</v>
      </c>
      <c r="P2131" s="18">
        <f>IF(I2131="L",'Financial Inputs'!$B$4,IF(I2131="M",'Financial Inputs'!$B$5,'Financial Inputs'!$B$6))</f>
        <v>0.4</v>
      </c>
      <c r="Q2131" s="17">
        <f>O2131*P2131</f>
        <v>864000</v>
      </c>
      <c r="R2131" s="16">
        <f>'Financial Inputs'!$B$7</f>
        <v>0.35</v>
      </c>
      <c r="S2131" s="17">
        <f>Q2131*(1-R2131)</f>
        <v>561600</v>
      </c>
      <c r="T2131" s="18">
        <f>S2131/'Financial Inputs'!$B$3</f>
        <v>5.6160000000000003E-3</v>
      </c>
      <c r="U2131" s="9" t="s">
        <v>52</v>
      </c>
      <c r="V2131" s="3" t="s">
        <v>53</v>
      </c>
    </row>
    <row r="2132" spans="1:22">
      <c r="A2132" s="2" t="s">
        <v>6638</v>
      </c>
      <c r="B2132" s="2" t="s">
        <v>6639</v>
      </c>
      <c r="C2132" s="2" t="s">
        <v>6548</v>
      </c>
      <c r="D2132" s="2" t="s">
        <v>64</v>
      </c>
      <c r="E2132" s="2" t="s">
        <v>215</v>
      </c>
      <c r="F2132" s="2" t="s">
        <v>74</v>
      </c>
      <c r="G2132" s="2" t="s">
        <v>67</v>
      </c>
      <c r="H2132" s="2" t="s">
        <v>46</v>
      </c>
      <c r="I2132" s="2" t="s">
        <v>47</v>
      </c>
      <c r="J2132" s="2" t="s">
        <v>48</v>
      </c>
      <c r="K2132" s="2" t="s">
        <v>6640</v>
      </c>
      <c r="L2132" s="2" t="s">
        <v>217</v>
      </c>
      <c r="M2132" s="2" t="s">
        <v>6550</v>
      </c>
      <c r="N2132" s="16">
        <v>1.44E-2</v>
      </c>
      <c r="O2132" s="17">
        <f>N2132*'Financial Inputs'!$B$3</f>
        <v>1440000</v>
      </c>
      <c r="P2132" s="18">
        <f>IF(I2132="L",'Financial Inputs'!$B$4,IF(I2132="M",'Financial Inputs'!$B$5,'Financial Inputs'!$B$6))</f>
        <v>0.4</v>
      </c>
      <c r="Q2132" s="17">
        <f>O2132*P2132</f>
        <v>576000</v>
      </c>
      <c r="R2132" s="16">
        <f>'Financial Inputs'!$B$7</f>
        <v>0.35</v>
      </c>
      <c r="S2132" s="17">
        <f>Q2132*(1-R2132)</f>
        <v>374400</v>
      </c>
      <c r="T2132" s="18">
        <f>S2132/'Financial Inputs'!$B$3</f>
        <v>3.7439999999999999E-3</v>
      </c>
      <c r="U2132" s="9" t="s">
        <v>52</v>
      </c>
      <c r="V2132" s="3" t="s">
        <v>53</v>
      </c>
    </row>
    <row r="2133" spans="1:22">
      <c r="A2133" s="2" t="s">
        <v>6641</v>
      </c>
      <c r="B2133" s="2" t="s">
        <v>6642</v>
      </c>
      <c r="C2133" s="2" t="s">
        <v>6548</v>
      </c>
      <c r="D2133" s="2" t="s">
        <v>72</v>
      </c>
      <c r="E2133" s="2" t="s">
        <v>220</v>
      </c>
      <c r="F2133" s="2" t="s">
        <v>82</v>
      </c>
      <c r="G2133" s="2" t="s">
        <v>75</v>
      </c>
      <c r="H2133" s="2" t="s">
        <v>46</v>
      </c>
      <c r="I2133" s="2" t="s">
        <v>47</v>
      </c>
      <c r="J2133" s="2" t="s">
        <v>48</v>
      </c>
      <c r="K2133" s="2" t="s">
        <v>6643</v>
      </c>
      <c r="L2133" s="2" t="s">
        <v>222</v>
      </c>
      <c r="M2133" s="2" t="s">
        <v>6550</v>
      </c>
      <c r="N2133" s="16">
        <v>1.6199999999999999E-2</v>
      </c>
      <c r="O2133" s="17">
        <f>N2133*'Financial Inputs'!$B$3</f>
        <v>1620000</v>
      </c>
      <c r="P2133" s="18">
        <f>IF(I2133="L",'Financial Inputs'!$B$4,IF(I2133="M",'Financial Inputs'!$B$5,'Financial Inputs'!$B$6))</f>
        <v>0.4</v>
      </c>
      <c r="Q2133" s="17">
        <f>O2133*P2133</f>
        <v>648000</v>
      </c>
      <c r="R2133" s="16">
        <f>'Financial Inputs'!$B$7</f>
        <v>0.35</v>
      </c>
      <c r="S2133" s="17">
        <f>Q2133*(1-R2133)</f>
        <v>421200</v>
      </c>
      <c r="T2133" s="18">
        <f>S2133/'Financial Inputs'!$B$3</f>
        <v>4.2119999999999996E-3</v>
      </c>
      <c r="U2133" s="9" t="s">
        <v>52</v>
      </c>
      <c r="V2133" s="3" t="s">
        <v>53</v>
      </c>
    </row>
    <row r="2134" spans="1:22">
      <c r="A2134" s="2" t="s">
        <v>6644</v>
      </c>
      <c r="B2134" s="2" t="s">
        <v>6645</v>
      </c>
      <c r="C2134" s="2" t="s">
        <v>6548</v>
      </c>
      <c r="D2134" s="2" t="s">
        <v>80</v>
      </c>
      <c r="E2134" s="2" t="s">
        <v>171</v>
      </c>
      <c r="F2134" s="2" t="s">
        <v>44</v>
      </c>
      <c r="G2134" s="2" t="s">
        <v>83</v>
      </c>
      <c r="H2134" s="2" t="s">
        <v>46</v>
      </c>
      <c r="I2134" s="2" t="s">
        <v>47</v>
      </c>
      <c r="J2134" s="2" t="s">
        <v>48</v>
      </c>
      <c r="K2134" s="2" t="s">
        <v>6646</v>
      </c>
      <c r="L2134" s="2" t="s">
        <v>226</v>
      </c>
      <c r="M2134" s="2" t="s">
        <v>6550</v>
      </c>
      <c r="N2134" s="16">
        <v>1.7999999999999999E-2</v>
      </c>
      <c r="O2134" s="17">
        <f>N2134*'Financial Inputs'!$B$3</f>
        <v>1799999.9999999998</v>
      </c>
      <c r="P2134" s="18">
        <f>IF(I2134="L",'Financial Inputs'!$B$4,IF(I2134="M",'Financial Inputs'!$B$5,'Financial Inputs'!$B$6))</f>
        <v>0.4</v>
      </c>
      <c r="Q2134" s="17">
        <f>O2134*P2134</f>
        <v>720000</v>
      </c>
      <c r="R2134" s="16">
        <f>'Financial Inputs'!$B$7</f>
        <v>0.35</v>
      </c>
      <c r="S2134" s="17">
        <f>Q2134*(1-R2134)</f>
        <v>468000</v>
      </c>
      <c r="T2134" s="18">
        <f>S2134/'Financial Inputs'!$B$3</f>
        <v>4.6800000000000001E-3</v>
      </c>
      <c r="U2134" s="9" t="s">
        <v>52</v>
      </c>
      <c r="V2134" s="3" t="s">
        <v>53</v>
      </c>
    </row>
    <row r="2135" spans="1:22">
      <c r="A2135" s="2" t="s">
        <v>6647</v>
      </c>
      <c r="B2135" s="2" t="s">
        <v>6648</v>
      </c>
      <c r="C2135" s="2" t="s">
        <v>6548</v>
      </c>
      <c r="D2135" s="2" t="s">
        <v>127</v>
      </c>
      <c r="E2135" s="2" t="s">
        <v>176</v>
      </c>
      <c r="F2135" s="2" t="s">
        <v>58</v>
      </c>
      <c r="G2135" s="2" t="s">
        <v>111</v>
      </c>
      <c r="H2135" s="2" t="s">
        <v>46</v>
      </c>
      <c r="I2135" s="2" t="s">
        <v>47</v>
      </c>
      <c r="J2135" s="2" t="s">
        <v>48</v>
      </c>
      <c r="K2135" s="2" t="s">
        <v>6649</v>
      </c>
      <c r="L2135" s="2" t="s">
        <v>230</v>
      </c>
      <c r="M2135" s="2" t="s">
        <v>6550</v>
      </c>
      <c r="N2135" s="16">
        <v>1.9800000000000002E-2</v>
      </c>
      <c r="O2135" s="17">
        <f>N2135*'Financial Inputs'!$B$3</f>
        <v>1980000.0000000002</v>
      </c>
      <c r="P2135" s="18">
        <f>IF(I2135="L",'Financial Inputs'!$B$4,IF(I2135="M",'Financial Inputs'!$B$5,'Financial Inputs'!$B$6))</f>
        <v>0.4</v>
      </c>
      <c r="Q2135" s="17">
        <f>O2135*P2135</f>
        <v>792000.00000000012</v>
      </c>
      <c r="R2135" s="16">
        <f>'Financial Inputs'!$B$7</f>
        <v>0.35</v>
      </c>
      <c r="S2135" s="17">
        <f>Q2135*(1-R2135)</f>
        <v>514800.00000000012</v>
      </c>
      <c r="T2135" s="18">
        <f>S2135/'Financial Inputs'!$B$3</f>
        <v>5.1480000000000015E-3</v>
      </c>
      <c r="U2135" s="9" t="s">
        <v>52</v>
      </c>
      <c r="V2135" s="3" t="s">
        <v>53</v>
      </c>
    </row>
    <row r="2136" spans="1:22">
      <c r="A2136" s="2" t="s">
        <v>6650</v>
      </c>
      <c r="B2136" s="2" t="s">
        <v>6651</v>
      </c>
      <c r="C2136" s="2" t="s">
        <v>6548</v>
      </c>
      <c r="D2136" s="2" t="s">
        <v>133</v>
      </c>
      <c r="E2136" s="2" t="s">
        <v>122</v>
      </c>
      <c r="F2136" s="2" t="s">
        <v>66</v>
      </c>
      <c r="G2136" s="2" t="s">
        <v>56</v>
      </c>
      <c r="H2136" s="2" t="s">
        <v>46</v>
      </c>
      <c r="I2136" s="2" t="s">
        <v>47</v>
      </c>
      <c r="J2136" s="2" t="s">
        <v>48</v>
      </c>
      <c r="K2136" s="2" t="s">
        <v>6652</v>
      </c>
      <c r="L2136" s="2" t="s">
        <v>234</v>
      </c>
      <c r="M2136" s="2" t="s">
        <v>6550</v>
      </c>
      <c r="N2136" s="16">
        <v>2.1600000000000001E-2</v>
      </c>
      <c r="O2136" s="17">
        <f>N2136*'Financial Inputs'!$B$3</f>
        <v>2160000</v>
      </c>
      <c r="P2136" s="18">
        <f>IF(I2136="L",'Financial Inputs'!$B$4,IF(I2136="M",'Financial Inputs'!$B$5,'Financial Inputs'!$B$6))</f>
        <v>0.4</v>
      </c>
      <c r="Q2136" s="17">
        <f>O2136*P2136</f>
        <v>864000</v>
      </c>
      <c r="R2136" s="16">
        <f>'Financial Inputs'!$B$7</f>
        <v>0.35</v>
      </c>
      <c r="S2136" s="17">
        <f>Q2136*(1-R2136)</f>
        <v>561600</v>
      </c>
      <c r="T2136" s="18">
        <f>S2136/'Financial Inputs'!$B$3</f>
        <v>5.6160000000000003E-3</v>
      </c>
      <c r="U2136" s="9" t="s">
        <v>52</v>
      </c>
      <c r="V2136" s="3" t="s">
        <v>53</v>
      </c>
    </row>
    <row r="2137" spans="1:22">
      <c r="A2137" s="2" t="s">
        <v>6653</v>
      </c>
      <c r="B2137" s="2" t="s">
        <v>6654</v>
      </c>
      <c r="C2137" s="2" t="s">
        <v>6548</v>
      </c>
      <c r="D2137" s="2" t="s">
        <v>102</v>
      </c>
      <c r="E2137" s="2" t="s">
        <v>73</v>
      </c>
      <c r="F2137" s="2" t="s">
        <v>110</v>
      </c>
      <c r="G2137" s="2" t="s">
        <v>83</v>
      </c>
      <c r="H2137" s="2" t="s">
        <v>46</v>
      </c>
      <c r="I2137" s="2" t="s">
        <v>47</v>
      </c>
      <c r="J2137" s="2" t="s">
        <v>48</v>
      </c>
      <c r="K2137" s="2" t="s">
        <v>6655</v>
      </c>
      <c r="L2137" s="2" t="s">
        <v>238</v>
      </c>
      <c r="M2137" s="2" t="s">
        <v>6550</v>
      </c>
      <c r="N2137" s="16">
        <v>1.44E-2</v>
      </c>
      <c r="O2137" s="17">
        <f>N2137*'Financial Inputs'!$B$3</f>
        <v>1440000</v>
      </c>
      <c r="P2137" s="18">
        <f>IF(I2137="L",'Financial Inputs'!$B$4,IF(I2137="M",'Financial Inputs'!$B$5,'Financial Inputs'!$B$6))</f>
        <v>0.4</v>
      </c>
      <c r="Q2137" s="17">
        <f>O2137*P2137</f>
        <v>576000</v>
      </c>
      <c r="R2137" s="16">
        <f>'Financial Inputs'!$B$7</f>
        <v>0.35</v>
      </c>
      <c r="S2137" s="17">
        <f>Q2137*(1-R2137)</f>
        <v>374400</v>
      </c>
      <c r="T2137" s="18">
        <f>S2137/'Financial Inputs'!$B$3</f>
        <v>3.7439999999999999E-3</v>
      </c>
      <c r="U2137" s="9" t="s">
        <v>52</v>
      </c>
      <c r="V2137" s="3" t="s">
        <v>53</v>
      </c>
    </row>
    <row r="2138" spans="1:22">
      <c r="A2138" s="2" t="s">
        <v>6656</v>
      </c>
      <c r="B2138" s="2" t="s">
        <v>6657</v>
      </c>
      <c r="C2138" s="2" t="s">
        <v>6548</v>
      </c>
      <c r="D2138" s="2" t="s">
        <v>42</v>
      </c>
      <c r="E2138" s="2" t="s">
        <v>81</v>
      </c>
      <c r="F2138" s="2" t="s">
        <v>117</v>
      </c>
      <c r="G2138" s="2" t="s">
        <v>111</v>
      </c>
      <c r="H2138" s="2" t="s">
        <v>46</v>
      </c>
      <c r="I2138" s="2" t="s">
        <v>47</v>
      </c>
      <c r="J2138" s="2" t="s">
        <v>48</v>
      </c>
      <c r="K2138" s="2" t="s">
        <v>6658</v>
      </c>
      <c r="L2138" s="2" t="s">
        <v>242</v>
      </c>
      <c r="M2138" s="2" t="s">
        <v>6550</v>
      </c>
      <c r="N2138" s="16">
        <v>1.6199999999999999E-2</v>
      </c>
      <c r="O2138" s="17">
        <f>N2138*'Financial Inputs'!$B$3</f>
        <v>1620000</v>
      </c>
      <c r="P2138" s="18">
        <f>IF(I2138="L",'Financial Inputs'!$B$4,IF(I2138="M",'Financial Inputs'!$B$5,'Financial Inputs'!$B$6))</f>
        <v>0.4</v>
      </c>
      <c r="Q2138" s="17">
        <f>O2138*P2138</f>
        <v>648000</v>
      </c>
      <c r="R2138" s="16">
        <f>'Financial Inputs'!$B$7</f>
        <v>0.35</v>
      </c>
      <c r="S2138" s="17">
        <f>Q2138*(1-R2138)</f>
        <v>421200</v>
      </c>
      <c r="T2138" s="18">
        <f>S2138/'Financial Inputs'!$B$3</f>
        <v>4.2119999999999996E-3</v>
      </c>
      <c r="U2138" s="9" t="s">
        <v>52</v>
      </c>
      <c r="V2138" s="3" t="s">
        <v>53</v>
      </c>
    </row>
    <row r="2139" spans="1:22">
      <c r="A2139" s="2" t="s">
        <v>6659</v>
      </c>
      <c r="B2139" s="2" t="s">
        <v>6660</v>
      </c>
      <c r="C2139" s="2" t="s">
        <v>6548</v>
      </c>
      <c r="D2139" s="2" t="s">
        <v>56</v>
      </c>
      <c r="E2139" s="2" t="s">
        <v>193</v>
      </c>
      <c r="F2139" s="2" t="s">
        <v>90</v>
      </c>
      <c r="G2139" s="2" t="s">
        <v>56</v>
      </c>
      <c r="H2139" s="2" t="s">
        <v>46</v>
      </c>
      <c r="I2139" s="2" t="s">
        <v>47</v>
      </c>
      <c r="J2139" s="2" t="s">
        <v>48</v>
      </c>
      <c r="K2139" s="2" t="s">
        <v>6661</v>
      </c>
      <c r="L2139" s="2" t="s">
        <v>246</v>
      </c>
      <c r="M2139" s="2" t="s">
        <v>6550</v>
      </c>
      <c r="N2139" s="16">
        <v>1.7999999999999999E-2</v>
      </c>
      <c r="O2139" s="17">
        <f>N2139*'Financial Inputs'!$B$3</f>
        <v>1799999.9999999998</v>
      </c>
      <c r="P2139" s="18">
        <f>IF(I2139="L",'Financial Inputs'!$B$4,IF(I2139="M",'Financial Inputs'!$B$5,'Financial Inputs'!$B$6))</f>
        <v>0.4</v>
      </c>
      <c r="Q2139" s="17">
        <f>O2139*P2139</f>
        <v>720000</v>
      </c>
      <c r="R2139" s="16">
        <f>'Financial Inputs'!$B$7</f>
        <v>0.35</v>
      </c>
      <c r="S2139" s="17">
        <f>Q2139*(1-R2139)</f>
        <v>468000</v>
      </c>
      <c r="T2139" s="18">
        <f>S2139/'Financial Inputs'!$B$3</f>
        <v>4.6800000000000001E-3</v>
      </c>
      <c r="U2139" s="9" t="s">
        <v>52</v>
      </c>
      <c r="V2139" s="3" t="s">
        <v>53</v>
      </c>
    </row>
    <row r="2140" spans="1:22">
      <c r="A2140" s="2" t="s">
        <v>6662</v>
      </c>
      <c r="B2140" s="2" t="s">
        <v>6663</v>
      </c>
      <c r="C2140" s="2" t="s">
        <v>6548</v>
      </c>
      <c r="D2140" s="2" t="s">
        <v>64</v>
      </c>
      <c r="E2140" s="2" t="s">
        <v>198</v>
      </c>
      <c r="F2140" s="2" t="s">
        <v>97</v>
      </c>
      <c r="G2140" s="2" t="s">
        <v>138</v>
      </c>
      <c r="H2140" s="2" t="s">
        <v>46</v>
      </c>
      <c r="I2140" s="2" t="s">
        <v>47</v>
      </c>
      <c r="J2140" s="2" t="s">
        <v>48</v>
      </c>
      <c r="K2140" s="2" t="s">
        <v>6664</v>
      </c>
      <c r="L2140" s="2" t="s">
        <v>250</v>
      </c>
      <c r="M2140" s="2" t="s">
        <v>6550</v>
      </c>
      <c r="N2140" s="16">
        <v>1.9800000000000002E-2</v>
      </c>
      <c r="O2140" s="17">
        <f>N2140*'Financial Inputs'!$B$3</f>
        <v>1980000.0000000002</v>
      </c>
      <c r="P2140" s="18">
        <f>IF(I2140="L",'Financial Inputs'!$B$4,IF(I2140="M",'Financial Inputs'!$B$5,'Financial Inputs'!$B$6))</f>
        <v>0.4</v>
      </c>
      <c r="Q2140" s="17">
        <f>O2140*P2140</f>
        <v>792000.00000000012</v>
      </c>
      <c r="R2140" s="16">
        <f>'Financial Inputs'!$B$7</f>
        <v>0.35</v>
      </c>
      <c r="S2140" s="17">
        <f>Q2140*(1-R2140)</f>
        <v>514800.00000000012</v>
      </c>
      <c r="T2140" s="18">
        <f>S2140/'Financial Inputs'!$B$3</f>
        <v>5.1480000000000015E-3</v>
      </c>
      <c r="U2140" s="9" t="s">
        <v>52</v>
      </c>
      <c r="V2140" s="3" t="s">
        <v>53</v>
      </c>
    </row>
    <row r="2141" spans="1:22">
      <c r="A2141" s="2" t="s">
        <v>6665</v>
      </c>
      <c r="B2141" s="2" t="s">
        <v>6666</v>
      </c>
      <c r="C2141" s="2" t="s">
        <v>6548</v>
      </c>
      <c r="D2141" s="2" t="s">
        <v>72</v>
      </c>
      <c r="E2141" s="2" t="s">
        <v>148</v>
      </c>
      <c r="F2141" s="2" t="s">
        <v>104</v>
      </c>
      <c r="G2141" s="2" t="s">
        <v>143</v>
      </c>
      <c r="H2141" s="2" t="s">
        <v>46</v>
      </c>
      <c r="I2141" s="2" t="s">
        <v>47</v>
      </c>
      <c r="J2141" s="2" t="s">
        <v>48</v>
      </c>
      <c r="K2141" s="2" t="s">
        <v>6667</v>
      </c>
      <c r="L2141" s="2" t="s">
        <v>254</v>
      </c>
      <c r="M2141" s="2" t="s">
        <v>6550</v>
      </c>
      <c r="N2141" s="16">
        <v>2.1600000000000001E-2</v>
      </c>
      <c r="O2141" s="17">
        <f>N2141*'Financial Inputs'!$B$3</f>
        <v>2160000</v>
      </c>
      <c r="P2141" s="18">
        <f>IF(I2141="L",'Financial Inputs'!$B$4,IF(I2141="M",'Financial Inputs'!$B$5,'Financial Inputs'!$B$6))</f>
        <v>0.4</v>
      </c>
      <c r="Q2141" s="17">
        <f>O2141*P2141</f>
        <v>864000</v>
      </c>
      <c r="R2141" s="16">
        <f>'Financial Inputs'!$B$7</f>
        <v>0.35</v>
      </c>
      <c r="S2141" s="17">
        <f>Q2141*(1-R2141)</f>
        <v>561600</v>
      </c>
      <c r="T2141" s="18">
        <f>S2141/'Financial Inputs'!$B$3</f>
        <v>5.6160000000000003E-3</v>
      </c>
      <c r="U2141" s="9" t="s">
        <v>52</v>
      </c>
      <c r="V2141" s="3" t="s">
        <v>53</v>
      </c>
    </row>
    <row r="2142" spans="1:22">
      <c r="A2142" s="2" t="s">
        <v>6668</v>
      </c>
      <c r="B2142" s="2" t="s">
        <v>6669</v>
      </c>
      <c r="C2142" s="2" t="s">
        <v>6548</v>
      </c>
      <c r="D2142" s="2" t="s">
        <v>133</v>
      </c>
      <c r="E2142" s="2" t="s">
        <v>109</v>
      </c>
      <c r="F2142" s="2" t="s">
        <v>82</v>
      </c>
      <c r="G2142" s="2" t="s">
        <v>56</v>
      </c>
      <c r="H2142" s="2" t="s">
        <v>46</v>
      </c>
      <c r="I2142" s="2" t="s">
        <v>47</v>
      </c>
      <c r="J2142" s="2" t="s">
        <v>48</v>
      </c>
      <c r="K2142" s="2" t="s">
        <v>6670</v>
      </c>
      <c r="L2142" s="2" t="s">
        <v>258</v>
      </c>
      <c r="M2142" s="2" t="s">
        <v>6550</v>
      </c>
      <c r="N2142" s="16">
        <v>1.44E-2</v>
      </c>
      <c r="O2142" s="17">
        <f>N2142*'Financial Inputs'!$B$3</f>
        <v>1440000</v>
      </c>
      <c r="P2142" s="18">
        <f>IF(I2142="L",'Financial Inputs'!$B$4,IF(I2142="M",'Financial Inputs'!$B$5,'Financial Inputs'!$B$6))</f>
        <v>0.4</v>
      </c>
      <c r="Q2142" s="17">
        <f>O2142*P2142</f>
        <v>576000</v>
      </c>
      <c r="R2142" s="16">
        <f>'Financial Inputs'!$B$7</f>
        <v>0.35</v>
      </c>
      <c r="S2142" s="17">
        <f>Q2142*(1-R2142)</f>
        <v>374400</v>
      </c>
      <c r="T2142" s="18">
        <f>S2142/'Financial Inputs'!$B$3</f>
        <v>3.7439999999999999E-3</v>
      </c>
      <c r="U2142" s="9" t="s">
        <v>52</v>
      </c>
      <c r="V2142" s="3" t="s">
        <v>53</v>
      </c>
    </row>
    <row r="2143" spans="1:22">
      <c r="A2143" s="2" t="s">
        <v>6671</v>
      </c>
      <c r="B2143" s="2" t="s">
        <v>6672</v>
      </c>
      <c r="C2143" s="2" t="s">
        <v>6548</v>
      </c>
      <c r="D2143" s="2" t="s">
        <v>88</v>
      </c>
      <c r="E2143" s="2" t="s">
        <v>116</v>
      </c>
      <c r="F2143" s="2" t="s">
        <v>44</v>
      </c>
      <c r="G2143" s="2" t="s">
        <v>138</v>
      </c>
      <c r="H2143" s="2" t="s">
        <v>46</v>
      </c>
      <c r="I2143" s="2" t="s">
        <v>47</v>
      </c>
      <c r="J2143" s="2" t="s">
        <v>48</v>
      </c>
      <c r="K2143" s="2" t="s">
        <v>6673</v>
      </c>
      <c r="L2143" s="2" t="s">
        <v>262</v>
      </c>
      <c r="M2143" s="2" t="s">
        <v>6550</v>
      </c>
      <c r="N2143" s="16">
        <v>1.6199999999999999E-2</v>
      </c>
      <c r="O2143" s="17">
        <f>N2143*'Financial Inputs'!$B$3</f>
        <v>1620000</v>
      </c>
      <c r="P2143" s="18">
        <f>IF(I2143="L",'Financial Inputs'!$B$4,IF(I2143="M",'Financial Inputs'!$B$5,'Financial Inputs'!$B$6))</f>
        <v>0.4</v>
      </c>
      <c r="Q2143" s="17">
        <f>O2143*P2143</f>
        <v>648000</v>
      </c>
      <c r="R2143" s="16">
        <f>'Financial Inputs'!$B$7</f>
        <v>0.35</v>
      </c>
      <c r="S2143" s="17">
        <f>Q2143*(1-R2143)</f>
        <v>421200</v>
      </c>
      <c r="T2143" s="18">
        <f>S2143/'Financial Inputs'!$B$3</f>
        <v>4.2119999999999996E-3</v>
      </c>
      <c r="U2143" s="9" t="s">
        <v>52</v>
      </c>
      <c r="V2143" s="3" t="s">
        <v>53</v>
      </c>
    </row>
    <row r="2144" spans="1:22">
      <c r="A2144" s="2" t="s">
        <v>6674</v>
      </c>
      <c r="B2144" s="2" t="s">
        <v>6675</v>
      </c>
      <c r="C2144" s="2" t="s">
        <v>6548</v>
      </c>
      <c r="D2144" s="2" t="s">
        <v>95</v>
      </c>
      <c r="E2144" s="2" t="s">
        <v>215</v>
      </c>
      <c r="F2144" s="2" t="s">
        <v>58</v>
      </c>
      <c r="G2144" s="2" t="s">
        <v>143</v>
      </c>
      <c r="H2144" s="2" t="s">
        <v>46</v>
      </c>
      <c r="I2144" s="2" t="s">
        <v>47</v>
      </c>
      <c r="J2144" s="2" t="s">
        <v>48</v>
      </c>
      <c r="K2144" s="2" t="s">
        <v>6676</v>
      </c>
      <c r="L2144" s="2" t="s">
        <v>266</v>
      </c>
      <c r="M2144" s="2" t="s">
        <v>6550</v>
      </c>
      <c r="N2144" s="16">
        <v>1.7999999999999999E-2</v>
      </c>
      <c r="O2144" s="17">
        <f>N2144*'Financial Inputs'!$B$3</f>
        <v>1799999.9999999998</v>
      </c>
      <c r="P2144" s="18">
        <f>IF(I2144="L",'Financial Inputs'!$B$4,IF(I2144="M",'Financial Inputs'!$B$5,'Financial Inputs'!$B$6))</f>
        <v>0.4</v>
      </c>
      <c r="Q2144" s="17">
        <f>O2144*P2144</f>
        <v>720000</v>
      </c>
      <c r="R2144" s="16">
        <f>'Financial Inputs'!$B$7</f>
        <v>0.35</v>
      </c>
      <c r="S2144" s="17">
        <f>Q2144*(1-R2144)</f>
        <v>468000</v>
      </c>
      <c r="T2144" s="18">
        <f>S2144/'Financial Inputs'!$B$3</f>
        <v>4.6800000000000001E-3</v>
      </c>
      <c r="U2144" s="9" t="s">
        <v>52</v>
      </c>
      <c r="V2144" s="3" t="s">
        <v>53</v>
      </c>
    </row>
    <row r="2145" spans="1:22">
      <c r="A2145" s="2" t="s">
        <v>6677</v>
      </c>
      <c r="B2145" s="2" t="s">
        <v>6678</v>
      </c>
      <c r="C2145" s="2" t="s">
        <v>6548</v>
      </c>
      <c r="D2145" s="2" t="s">
        <v>102</v>
      </c>
      <c r="E2145" s="2" t="s">
        <v>220</v>
      </c>
      <c r="F2145" s="2" t="s">
        <v>66</v>
      </c>
      <c r="G2145" s="2" t="s">
        <v>162</v>
      </c>
      <c r="H2145" s="2" t="s">
        <v>46</v>
      </c>
      <c r="I2145" s="2" t="s">
        <v>47</v>
      </c>
      <c r="J2145" s="2" t="s">
        <v>48</v>
      </c>
      <c r="K2145" s="2" t="s">
        <v>6679</v>
      </c>
      <c r="L2145" s="2" t="s">
        <v>270</v>
      </c>
      <c r="M2145" s="2" t="s">
        <v>6550</v>
      </c>
      <c r="N2145" s="16">
        <v>1.9800000000000002E-2</v>
      </c>
      <c r="O2145" s="17">
        <f>N2145*'Financial Inputs'!$B$3</f>
        <v>1980000.0000000002</v>
      </c>
      <c r="P2145" s="18">
        <f>IF(I2145="L",'Financial Inputs'!$B$4,IF(I2145="M",'Financial Inputs'!$B$5,'Financial Inputs'!$B$6))</f>
        <v>0.4</v>
      </c>
      <c r="Q2145" s="17">
        <f>O2145*P2145</f>
        <v>792000.00000000012</v>
      </c>
      <c r="R2145" s="16">
        <f>'Financial Inputs'!$B$7</f>
        <v>0.35</v>
      </c>
      <c r="S2145" s="17">
        <f>Q2145*(1-R2145)</f>
        <v>514800.00000000012</v>
      </c>
      <c r="T2145" s="18">
        <f>S2145/'Financial Inputs'!$B$3</f>
        <v>5.1480000000000015E-3</v>
      </c>
      <c r="U2145" s="9" t="s">
        <v>52</v>
      </c>
      <c r="V2145" s="3" t="s">
        <v>53</v>
      </c>
    </row>
    <row r="2146" spans="1:22">
      <c r="A2146" s="2" t="s">
        <v>6680</v>
      </c>
      <c r="B2146" s="2" t="s">
        <v>6681</v>
      </c>
      <c r="C2146" s="2" t="s">
        <v>6548</v>
      </c>
      <c r="D2146" s="2" t="s">
        <v>42</v>
      </c>
      <c r="E2146" s="2" t="s">
        <v>171</v>
      </c>
      <c r="F2146" s="2" t="s">
        <v>74</v>
      </c>
      <c r="G2146" s="2" t="s">
        <v>45</v>
      </c>
      <c r="H2146" s="2" t="s">
        <v>46</v>
      </c>
      <c r="I2146" s="2" t="s">
        <v>47</v>
      </c>
      <c r="J2146" s="2" t="s">
        <v>48</v>
      </c>
      <c r="K2146" s="2" t="s">
        <v>6682</v>
      </c>
      <c r="L2146" s="2" t="s">
        <v>274</v>
      </c>
      <c r="M2146" s="2" t="s">
        <v>6550</v>
      </c>
      <c r="N2146" s="16">
        <v>2.1600000000000001E-2</v>
      </c>
      <c r="O2146" s="17">
        <f>N2146*'Financial Inputs'!$B$3</f>
        <v>2160000</v>
      </c>
      <c r="P2146" s="18">
        <f>IF(I2146="L",'Financial Inputs'!$B$4,IF(I2146="M",'Financial Inputs'!$B$5,'Financial Inputs'!$B$6))</f>
        <v>0.4</v>
      </c>
      <c r="Q2146" s="17">
        <f>O2146*P2146</f>
        <v>864000</v>
      </c>
      <c r="R2146" s="16">
        <f>'Financial Inputs'!$B$7</f>
        <v>0.35</v>
      </c>
      <c r="S2146" s="17">
        <f>Q2146*(1-R2146)</f>
        <v>561600</v>
      </c>
      <c r="T2146" s="18">
        <f>S2146/'Financial Inputs'!$B$3</f>
        <v>5.6160000000000003E-3</v>
      </c>
      <c r="U2146" s="9" t="s">
        <v>52</v>
      </c>
      <c r="V2146" s="3" t="s">
        <v>53</v>
      </c>
    </row>
    <row r="2147" spans="1:22">
      <c r="A2147" s="2" t="s">
        <v>6683</v>
      </c>
      <c r="B2147" s="2" t="s">
        <v>6684</v>
      </c>
      <c r="C2147" s="2" t="s">
        <v>6548</v>
      </c>
      <c r="D2147" s="2" t="s">
        <v>72</v>
      </c>
      <c r="E2147" s="2" t="s">
        <v>57</v>
      </c>
      <c r="F2147" s="2" t="s">
        <v>117</v>
      </c>
      <c r="G2147" s="2" t="s">
        <v>143</v>
      </c>
      <c r="H2147" s="2" t="s">
        <v>46</v>
      </c>
      <c r="I2147" s="2" t="s">
        <v>47</v>
      </c>
      <c r="J2147" s="2" t="s">
        <v>48</v>
      </c>
      <c r="K2147" s="2" t="s">
        <v>6685</v>
      </c>
      <c r="L2147" s="2" t="s">
        <v>278</v>
      </c>
      <c r="M2147" s="2" t="s">
        <v>6550</v>
      </c>
      <c r="N2147" s="16">
        <v>1.44E-2</v>
      </c>
      <c r="O2147" s="17">
        <f>N2147*'Financial Inputs'!$B$3</f>
        <v>1440000</v>
      </c>
      <c r="P2147" s="18">
        <f>IF(I2147="L",'Financial Inputs'!$B$4,IF(I2147="M",'Financial Inputs'!$B$5,'Financial Inputs'!$B$6))</f>
        <v>0.4</v>
      </c>
      <c r="Q2147" s="17">
        <f>O2147*P2147</f>
        <v>576000</v>
      </c>
      <c r="R2147" s="16">
        <f>'Financial Inputs'!$B$7</f>
        <v>0.35</v>
      </c>
      <c r="S2147" s="17">
        <f>Q2147*(1-R2147)</f>
        <v>374400</v>
      </c>
      <c r="T2147" s="18">
        <f>S2147/'Financial Inputs'!$B$3</f>
        <v>3.7439999999999999E-3</v>
      </c>
      <c r="U2147" s="9" t="s">
        <v>52</v>
      </c>
      <c r="V2147" s="3" t="s">
        <v>53</v>
      </c>
    </row>
    <row r="2148" spans="1:22">
      <c r="A2148" s="2" t="s">
        <v>6686</v>
      </c>
      <c r="B2148" s="2" t="s">
        <v>6687</v>
      </c>
      <c r="C2148" s="2" t="s">
        <v>6548</v>
      </c>
      <c r="D2148" s="2" t="s">
        <v>80</v>
      </c>
      <c r="E2148" s="2" t="s">
        <v>65</v>
      </c>
      <c r="F2148" s="2" t="s">
        <v>90</v>
      </c>
      <c r="G2148" s="2" t="s">
        <v>162</v>
      </c>
      <c r="H2148" s="2" t="s">
        <v>46</v>
      </c>
      <c r="I2148" s="2" t="s">
        <v>47</v>
      </c>
      <c r="J2148" s="2" t="s">
        <v>48</v>
      </c>
      <c r="K2148" s="2" t="s">
        <v>6688</v>
      </c>
      <c r="L2148" s="2" t="s">
        <v>282</v>
      </c>
      <c r="M2148" s="2" t="s">
        <v>6550</v>
      </c>
      <c r="N2148" s="16">
        <v>1.6199999999999999E-2</v>
      </c>
      <c r="O2148" s="17">
        <f>N2148*'Financial Inputs'!$B$3</f>
        <v>1620000</v>
      </c>
      <c r="P2148" s="18">
        <f>IF(I2148="L",'Financial Inputs'!$B$4,IF(I2148="M",'Financial Inputs'!$B$5,'Financial Inputs'!$B$6))</f>
        <v>0.4</v>
      </c>
      <c r="Q2148" s="17">
        <f>O2148*P2148</f>
        <v>648000</v>
      </c>
      <c r="R2148" s="16">
        <f>'Financial Inputs'!$B$7</f>
        <v>0.35</v>
      </c>
      <c r="S2148" s="17">
        <f>Q2148*(1-R2148)</f>
        <v>421200</v>
      </c>
      <c r="T2148" s="18">
        <f>S2148/'Financial Inputs'!$B$3</f>
        <v>4.2119999999999996E-3</v>
      </c>
      <c r="U2148" s="9" t="s">
        <v>52</v>
      </c>
      <c r="V2148" s="3" t="s">
        <v>53</v>
      </c>
    </row>
    <row r="2149" spans="1:22">
      <c r="A2149" s="2" t="s">
        <v>6689</v>
      </c>
      <c r="B2149" s="2" t="s">
        <v>6690</v>
      </c>
      <c r="C2149" s="2" t="s">
        <v>6548</v>
      </c>
      <c r="D2149" s="2" t="s">
        <v>127</v>
      </c>
      <c r="E2149" s="2" t="s">
        <v>73</v>
      </c>
      <c r="F2149" s="2" t="s">
        <v>97</v>
      </c>
      <c r="G2149" s="2" t="s">
        <v>45</v>
      </c>
      <c r="H2149" s="2" t="s">
        <v>46</v>
      </c>
      <c r="I2149" s="2" t="s">
        <v>47</v>
      </c>
      <c r="J2149" s="2" t="s">
        <v>48</v>
      </c>
      <c r="K2149" s="2" t="s">
        <v>6691</v>
      </c>
      <c r="L2149" s="2" t="s">
        <v>286</v>
      </c>
      <c r="M2149" s="2" t="s">
        <v>6550</v>
      </c>
      <c r="N2149" s="16">
        <v>1.7999999999999999E-2</v>
      </c>
      <c r="O2149" s="17">
        <f>N2149*'Financial Inputs'!$B$3</f>
        <v>1799999.9999999998</v>
      </c>
      <c r="P2149" s="18">
        <f>IF(I2149="L",'Financial Inputs'!$B$4,IF(I2149="M",'Financial Inputs'!$B$5,'Financial Inputs'!$B$6))</f>
        <v>0.4</v>
      </c>
      <c r="Q2149" s="17">
        <f>O2149*P2149</f>
        <v>720000</v>
      </c>
      <c r="R2149" s="16">
        <f>'Financial Inputs'!$B$7</f>
        <v>0.35</v>
      </c>
      <c r="S2149" s="17">
        <f>Q2149*(1-R2149)</f>
        <v>468000</v>
      </c>
      <c r="T2149" s="18">
        <f>S2149/'Financial Inputs'!$B$3</f>
        <v>4.6800000000000001E-3</v>
      </c>
      <c r="U2149" s="9" t="s">
        <v>52</v>
      </c>
      <c r="V2149" s="3" t="s">
        <v>53</v>
      </c>
    </row>
    <row r="2150" spans="1:22">
      <c r="A2150" s="2" t="s">
        <v>6692</v>
      </c>
      <c r="B2150" s="2" t="s">
        <v>6693</v>
      </c>
      <c r="C2150" s="2" t="s">
        <v>6548</v>
      </c>
      <c r="D2150" s="2" t="s">
        <v>133</v>
      </c>
      <c r="E2150" s="2" t="s">
        <v>81</v>
      </c>
      <c r="F2150" s="2" t="s">
        <v>104</v>
      </c>
      <c r="G2150" s="2" t="s">
        <v>59</v>
      </c>
      <c r="H2150" s="2" t="s">
        <v>46</v>
      </c>
      <c r="I2150" s="2" t="s">
        <v>47</v>
      </c>
      <c r="J2150" s="2" t="s">
        <v>48</v>
      </c>
      <c r="K2150" s="2" t="s">
        <v>6694</v>
      </c>
      <c r="L2150" s="2" t="s">
        <v>290</v>
      </c>
      <c r="M2150" s="2" t="s">
        <v>6550</v>
      </c>
      <c r="N2150" s="16">
        <v>1.9800000000000002E-2</v>
      </c>
      <c r="O2150" s="17">
        <f>N2150*'Financial Inputs'!$B$3</f>
        <v>1980000.0000000002</v>
      </c>
      <c r="P2150" s="18">
        <f>IF(I2150="L",'Financial Inputs'!$B$4,IF(I2150="M",'Financial Inputs'!$B$5,'Financial Inputs'!$B$6))</f>
        <v>0.4</v>
      </c>
      <c r="Q2150" s="17">
        <f>O2150*P2150</f>
        <v>792000.00000000012</v>
      </c>
      <c r="R2150" s="16">
        <f>'Financial Inputs'!$B$7</f>
        <v>0.35</v>
      </c>
      <c r="S2150" s="17">
        <f>Q2150*(1-R2150)</f>
        <v>514800.00000000012</v>
      </c>
      <c r="T2150" s="18">
        <f>S2150/'Financial Inputs'!$B$3</f>
        <v>5.1480000000000015E-3</v>
      </c>
      <c r="U2150" s="9" t="s">
        <v>52</v>
      </c>
      <c r="V2150" s="3" t="s">
        <v>53</v>
      </c>
    </row>
    <row r="2151" spans="1:22">
      <c r="A2151" s="2" t="s">
        <v>6695</v>
      </c>
      <c r="B2151" s="2" t="s">
        <v>6696</v>
      </c>
      <c r="C2151" s="2" t="s">
        <v>6548</v>
      </c>
      <c r="D2151" s="2" t="s">
        <v>88</v>
      </c>
      <c r="E2151" s="2" t="s">
        <v>193</v>
      </c>
      <c r="F2151" s="2" t="s">
        <v>110</v>
      </c>
      <c r="G2151" s="2" t="s">
        <v>67</v>
      </c>
      <c r="H2151" s="2" t="s">
        <v>46</v>
      </c>
      <c r="I2151" s="2" t="s">
        <v>47</v>
      </c>
      <c r="J2151" s="2" t="s">
        <v>48</v>
      </c>
      <c r="K2151" s="2" t="s">
        <v>6697</v>
      </c>
      <c r="L2151" s="2" t="s">
        <v>294</v>
      </c>
      <c r="M2151" s="2" t="s">
        <v>6550</v>
      </c>
      <c r="N2151" s="16">
        <v>2.1600000000000001E-2</v>
      </c>
      <c r="O2151" s="17">
        <f>N2151*'Financial Inputs'!$B$3</f>
        <v>2160000</v>
      </c>
      <c r="P2151" s="18">
        <f>IF(I2151="L",'Financial Inputs'!$B$4,IF(I2151="M",'Financial Inputs'!$B$5,'Financial Inputs'!$B$6))</f>
        <v>0.4</v>
      </c>
      <c r="Q2151" s="17">
        <f>O2151*P2151</f>
        <v>864000</v>
      </c>
      <c r="R2151" s="16">
        <f>'Financial Inputs'!$B$7</f>
        <v>0.35</v>
      </c>
      <c r="S2151" s="17">
        <f>Q2151*(1-R2151)</f>
        <v>561600</v>
      </c>
      <c r="T2151" s="18">
        <f>S2151/'Financial Inputs'!$B$3</f>
        <v>5.6160000000000003E-3</v>
      </c>
      <c r="U2151" s="9" t="s">
        <v>52</v>
      </c>
      <c r="V2151" s="3" t="s">
        <v>53</v>
      </c>
    </row>
    <row r="2152" spans="1:22">
      <c r="A2152" s="2" t="s">
        <v>6698</v>
      </c>
      <c r="B2152" s="2" t="s">
        <v>6699</v>
      </c>
      <c r="C2152" s="2" t="s">
        <v>6548</v>
      </c>
      <c r="D2152" s="2" t="s">
        <v>42</v>
      </c>
      <c r="E2152" s="2" t="s">
        <v>96</v>
      </c>
      <c r="F2152" s="2" t="s">
        <v>44</v>
      </c>
      <c r="G2152" s="2" t="s">
        <v>45</v>
      </c>
      <c r="H2152" s="2" t="s">
        <v>46</v>
      </c>
      <c r="I2152" s="2" t="s">
        <v>47</v>
      </c>
      <c r="J2152" s="2" t="s">
        <v>48</v>
      </c>
      <c r="K2152" s="2" t="s">
        <v>6700</v>
      </c>
      <c r="L2152" s="2" t="s">
        <v>298</v>
      </c>
      <c r="M2152" s="2" t="s">
        <v>6550</v>
      </c>
      <c r="N2152" s="16">
        <v>1.44E-2</v>
      </c>
      <c r="O2152" s="17">
        <f>N2152*'Financial Inputs'!$B$3</f>
        <v>1440000</v>
      </c>
      <c r="P2152" s="18">
        <f>IF(I2152="L",'Financial Inputs'!$B$4,IF(I2152="M",'Financial Inputs'!$B$5,'Financial Inputs'!$B$6))</f>
        <v>0.4</v>
      </c>
      <c r="Q2152" s="17">
        <f>O2152*P2152</f>
        <v>576000</v>
      </c>
      <c r="R2152" s="16">
        <f>'Financial Inputs'!$B$7</f>
        <v>0.35</v>
      </c>
      <c r="S2152" s="17">
        <f>Q2152*(1-R2152)</f>
        <v>374400</v>
      </c>
      <c r="T2152" s="18">
        <f>S2152/'Financial Inputs'!$B$3</f>
        <v>3.7439999999999999E-3</v>
      </c>
      <c r="U2152" s="9" t="s">
        <v>52</v>
      </c>
      <c r="V2152" s="3" t="s">
        <v>53</v>
      </c>
    </row>
    <row r="2153" spans="1:22">
      <c r="A2153" s="2" t="s">
        <v>6701</v>
      </c>
      <c r="B2153" s="2" t="s">
        <v>6702</v>
      </c>
      <c r="C2153" s="2" t="s">
        <v>6548</v>
      </c>
      <c r="D2153" s="2" t="s">
        <v>56</v>
      </c>
      <c r="E2153" s="2" t="s">
        <v>103</v>
      </c>
      <c r="F2153" s="2" t="s">
        <v>58</v>
      </c>
      <c r="G2153" s="2" t="s">
        <v>59</v>
      </c>
      <c r="H2153" s="2" t="s">
        <v>46</v>
      </c>
      <c r="I2153" s="2" t="s">
        <v>47</v>
      </c>
      <c r="J2153" s="2" t="s">
        <v>48</v>
      </c>
      <c r="K2153" s="2" t="s">
        <v>6703</v>
      </c>
      <c r="L2153" s="2" t="s">
        <v>302</v>
      </c>
      <c r="M2153" s="2" t="s">
        <v>6550</v>
      </c>
      <c r="N2153" s="16">
        <v>1.6199999999999999E-2</v>
      </c>
      <c r="O2153" s="17">
        <f>N2153*'Financial Inputs'!$B$3</f>
        <v>1620000</v>
      </c>
      <c r="P2153" s="18">
        <f>IF(I2153="L",'Financial Inputs'!$B$4,IF(I2153="M",'Financial Inputs'!$B$5,'Financial Inputs'!$B$6))</f>
        <v>0.4</v>
      </c>
      <c r="Q2153" s="17">
        <f>O2153*P2153</f>
        <v>648000</v>
      </c>
      <c r="R2153" s="16">
        <f>'Financial Inputs'!$B$7</f>
        <v>0.35</v>
      </c>
      <c r="S2153" s="17">
        <f>Q2153*(1-R2153)</f>
        <v>421200</v>
      </c>
      <c r="T2153" s="18">
        <f>S2153/'Financial Inputs'!$B$3</f>
        <v>4.2119999999999996E-3</v>
      </c>
      <c r="U2153" s="9" t="s">
        <v>52</v>
      </c>
      <c r="V2153" s="3" t="s">
        <v>53</v>
      </c>
    </row>
    <row r="2154" spans="1:22">
      <c r="A2154" s="2" t="s">
        <v>6704</v>
      </c>
      <c r="B2154" s="2" t="s">
        <v>6705</v>
      </c>
      <c r="C2154" s="2" t="s">
        <v>6548</v>
      </c>
      <c r="D2154" s="2" t="s">
        <v>64</v>
      </c>
      <c r="E2154" s="2" t="s">
        <v>109</v>
      </c>
      <c r="F2154" s="2" t="s">
        <v>66</v>
      </c>
      <c r="G2154" s="2" t="s">
        <v>67</v>
      </c>
      <c r="H2154" s="2" t="s">
        <v>46</v>
      </c>
      <c r="I2154" s="2" t="s">
        <v>47</v>
      </c>
      <c r="J2154" s="2" t="s">
        <v>48</v>
      </c>
      <c r="K2154" s="2" t="s">
        <v>6706</v>
      </c>
      <c r="L2154" s="2" t="s">
        <v>306</v>
      </c>
      <c r="M2154" s="2" t="s">
        <v>6550</v>
      </c>
      <c r="N2154" s="16">
        <v>1.7999999999999999E-2</v>
      </c>
      <c r="O2154" s="17">
        <f>N2154*'Financial Inputs'!$B$3</f>
        <v>1799999.9999999998</v>
      </c>
      <c r="P2154" s="18">
        <f>IF(I2154="L",'Financial Inputs'!$B$4,IF(I2154="M",'Financial Inputs'!$B$5,'Financial Inputs'!$B$6))</f>
        <v>0.4</v>
      </c>
      <c r="Q2154" s="17">
        <f>O2154*P2154</f>
        <v>720000</v>
      </c>
      <c r="R2154" s="16">
        <f>'Financial Inputs'!$B$7</f>
        <v>0.35</v>
      </c>
      <c r="S2154" s="17">
        <f>Q2154*(1-R2154)</f>
        <v>468000</v>
      </c>
      <c r="T2154" s="18">
        <f>S2154/'Financial Inputs'!$B$3</f>
        <v>4.6800000000000001E-3</v>
      </c>
      <c r="U2154" s="9" t="s">
        <v>52</v>
      </c>
      <c r="V2154" s="3" t="s">
        <v>53</v>
      </c>
    </row>
    <row r="2155" spans="1:22">
      <c r="A2155" s="2" t="s">
        <v>6707</v>
      </c>
      <c r="B2155" s="2" t="s">
        <v>6708</v>
      </c>
      <c r="C2155" s="2" t="s">
        <v>6548</v>
      </c>
      <c r="D2155" s="2" t="s">
        <v>72</v>
      </c>
      <c r="E2155" s="2" t="s">
        <v>116</v>
      </c>
      <c r="F2155" s="2" t="s">
        <v>74</v>
      </c>
      <c r="G2155" s="2" t="s">
        <v>75</v>
      </c>
      <c r="H2155" s="2" t="s">
        <v>46</v>
      </c>
      <c r="I2155" s="2" t="s">
        <v>47</v>
      </c>
      <c r="J2155" s="2" t="s">
        <v>48</v>
      </c>
      <c r="K2155" s="2" t="s">
        <v>6709</v>
      </c>
      <c r="L2155" s="2" t="s">
        <v>310</v>
      </c>
      <c r="M2155" s="2" t="s">
        <v>6550</v>
      </c>
      <c r="N2155" s="16">
        <v>1.9800000000000002E-2</v>
      </c>
      <c r="O2155" s="17">
        <f>N2155*'Financial Inputs'!$B$3</f>
        <v>1980000.0000000002</v>
      </c>
      <c r="P2155" s="18">
        <f>IF(I2155="L",'Financial Inputs'!$B$4,IF(I2155="M",'Financial Inputs'!$B$5,'Financial Inputs'!$B$6))</f>
        <v>0.4</v>
      </c>
      <c r="Q2155" s="17">
        <f>O2155*P2155</f>
        <v>792000.00000000012</v>
      </c>
      <c r="R2155" s="16">
        <f>'Financial Inputs'!$B$7</f>
        <v>0.35</v>
      </c>
      <c r="S2155" s="17">
        <f>Q2155*(1-R2155)</f>
        <v>514800.00000000012</v>
      </c>
      <c r="T2155" s="18">
        <f>S2155/'Financial Inputs'!$B$3</f>
        <v>5.1480000000000015E-3</v>
      </c>
      <c r="U2155" s="9" t="s">
        <v>52</v>
      </c>
      <c r="V2155" s="3" t="s">
        <v>53</v>
      </c>
    </row>
    <row r="2156" spans="1:22">
      <c r="A2156" s="2" t="s">
        <v>6710</v>
      </c>
      <c r="B2156" s="2" t="s">
        <v>6711</v>
      </c>
      <c r="C2156" s="2" t="s">
        <v>6548</v>
      </c>
      <c r="D2156" s="2" t="s">
        <v>80</v>
      </c>
      <c r="E2156" s="2" t="s">
        <v>215</v>
      </c>
      <c r="F2156" s="2" t="s">
        <v>82</v>
      </c>
      <c r="G2156" s="2" t="s">
        <v>83</v>
      </c>
      <c r="H2156" s="2" t="s">
        <v>46</v>
      </c>
      <c r="I2156" s="2" t="s">
        <v>47</v>
      </c>
      <c r="J2156" s="2" t="s">
        <v>48</v>
      </c>
      <c r="K2156" s="2" t="s">
        <v>6712</v>
      </c>
      <c r="L2156" s="2" t="s">
        <v>314</v>
      </c>
      <c r="M2156" s="2" t="s">
        <v>6550</v>
      </c>
      <c r="N2156" s="16">
        <v>2.1600000000000001E-2</v>
      </c>
      <c r="O2156" s="17">
        <f>N2156*'Financial Inputs'!$B$3</f>
        <v>2160000</v>
      </c>
      <c r="P2156" s="18">
        <f>IF(I2156="L",'Financial Inputs'!$B$4,IF(I2156="M",'Financial Inputs'!$B$5,'Financial Inputs'!$B$6))</f>
        <v>0.4</v>
      </c>
      <c r="Q2156" s="17">
        <f>O2156*P2156</f>
        <v>864000</v>
      </c>
      <c r="R2156" s="16">
        <f>'Financial Inputs'!$B$7</f>
        <v>0.35</v>
      </c>
      <c r="S2156" s="17">
        <f>Q2156*(1-R2156)</f>
        <v>561600</v>
      </c>
      <c r="T2156" s="18">
        <f>S2156/'Financial Inputs'!$B$3</f>
        <v>5.6160000000000003E-3</v>
      </c>
      <c r="U2156" s="9" t="s">
        <v>52</v>
      </c>
      <c r="V2156" s="3" t="s">
        <v>53</v>
      </c>
    </row>
    <row r="2157" spans="1:22">
      <c r="A2157" s="2" t="s">
        <v>6713</v>
      </c>
      <c r="B2157" s="2" t="s">
        <v>6714</v>
      </c>
      <c r="C2157" s="2" t="s">
        <v>6548</v>
      </c>
      <c r="D2157" s="2" t="s">
        <v>88</v>
      </c>
      <c r="E2157" s="2" t="s">
        <v>128</v>
      </c>
      <c r="F2157" s="2" t="s">
        <v>90</v>
      </c>
      <c r="G2157" s="2" t="s">
        <v>67</v>
      </c>
      <c r="H2157" s="2" t="s">
        <v>46</v>
      </c>
      <c r="I2157" s="2" t="s">
        <v>47</v>
      </c>
      <c r="J2157" s="2" t="s">
        <v>48</v>
      </c>
      <c r="K2157" s="2" t="s">
        <v>6715</v>
      </c>
      <c r="L2157" s="2" t="s">
        <v>318</v>
      </c>
      <c r="M2157" s="2" t="s">
        <v>6550</v>
      </c>
      <c r="N2157" s="16">
        <v>1.44E-2</v>
      </c>
      <c r="O2157" s="17">
        <f>N2157*'Financial Inputs'!$B$3</f>
        <v>1440000</v>
      </c>
      <c r="P2157" s="18">
        <f>IF(I2157="L",'Financial Inputs'!$B$4,IF(I2157="M",'Financial Inputs'!$B$5,'Financial Inputs'!$B$6))</f>
        <v>0.4</v>
      </c>
      <c r="Q2157" s="17">
        <f>O2157*P2157</f>
        <v>576000</v>
      </c>
      <c r="R2157" s="16">
        <f>'Financial Inputs'!$B$7</f>
        <v>0.35</v>
      </c>
      <c r="S2157" s="17">
        <f>Q2157*(1-R2157)</f>
        <v>374400</v>
      </c>
      <c r="T2157" s="18">
        <f>S2157/'Financial Inputs'!$B$3</f>
        <v>3.7439999999999999E-3</v>
      </c>
      <c r="U2157" s="9" t="s">
        <v>52</v>
      </c>
      <c r="V2157" s="3" t="s">
        <v>53</v>
      </c>
    </row>
    <row r="2158" spans="1:22">
      <c r="A2158" s="2" t="s">
        <v>6716</v>
      </c>
      <c r="B2158" s="2" t="s">
        <v>6717</v>
      </c>
      <c r="C2158" s="2" t="s">
        <v>6548</v>
      </c>
      <c r="D2158" s="2" t="s">
        <v>95</v>
      </c>
      <c r="E2158" s="2" t="s">
        <v>43</v>
      </c>
      <c r="F2158" s="2" t="s">
        <v>97</v>
      </c>
      <c r="G2158" s="2" t="s">
        <v>75</v>
      </c>
      <c r="H2158" s="2" t="s">
        <v>46</v>
      </c>
      <c r="I2158" s="2" t="s">
        <v>47</v>
      </c>
      <c r="J2158" s="2" t="s">
        <v>48</v>
      </c>
      <c r="K2158" s="2" t="s">
        <v>6718</v>
      </c>
      <c r="L2158" s="2" t="s">
        <v>322</v>
      </c>
      <c r="M2158" s="2" t="s">
        <v>6550</v>
      </c>
      <c r="N2158" s="16">
        <v>1.6199999999999999E-2</v>
      </c>
      <c r="O2158" s="17">
        <f>N2158*'Financial Inputs'!$B$3</f>
        <v>1620000</v>
      </c>
      <c r="P2158" s="18">
        <f>IF(I2158="L",'Financial Inputs'!$B$4,IF(I2158="M",'Financial Inputs'!$B$5,'Financial Inputs'!$B$6))</f>
        <v>0.4</v>
      </c>
      <c r="Q2158" s="17">
        <f>O2158*P2158</f>
        <v>648000</v>
      </c>
      <c r="R2158" s="16">
        <f>'Financial Inputs'!$B$7</f>
        <v>0.35</v>
      </c>
      <c r="S2158" s="17">
        <f>Q2158*(1-R2158)</f>
        <v>421200</v>
      </c>
      <c r="T2158" s="18">
        <f>S2158/'Financial Inputs'!$B$3</f>
        <v>4.2119999999999996E-3</v>
      </c>
      <c r="U2158" s="9" t="s">
        <v>52</v>
      </c>
      <c r="V2158" s="3" t="s">
        <v>53</v>
      </c>
    </row>
    <row r="2159" spans="1:22">
      <c r="A2159" s="2" t="s">
        <v>6719</v>
      </c>
      <c r="B2159" s="2" t="s">
        <v>6720</v>
      </c>
      <c r="C2159" s="2" t="s">
        <v>6548</v>
      </c>
      <c r="D2159" s="2" t="s">
        <v>102</v>
      </c>
      <c r="E2159" s="2" t="s">
        <v>57</v>
      </c>
      <c r="F2159" s="2" t="s">
        <v>104</v>
      </c>
      <c r="G2159" s="2" t="s">
        <v>83</v>
      </c>
      <c r="H2159" s="2" t="s">
        <v>46</v>
      </c>
      <c r="I2159" s="2" t="s">
        <v>47</v>
      </c>
      <c r="J2159" s="2" t="s">
        <v>48</v>
      </c>
      <c r="K2159" s="2" t="s">
        <v>6721</v>
      </c>
      <c r="L2159" s="2" t="s">
        <v>326</v>
      </c>
      <c r="M2159" s="2" t="s">
        <v>6550</v>
      </c>
      <c r="N2159" s="16">
        <v>1.7999999999999999E-2</v>
      </c>
      <c r="O2159" s="17">
        <f>N2159*'Financial Inputs'!$B$3</f>
        <v>1799999.9999999998</v>
      </c>
      <c r="P2159" s="18">
        <f>IF(I2159="L",'Financial Inputs'!$B$4,IF(I2159="M",'Financial Inputs'!$B$5,'Financial Inputs'!$B$6))</f>
        <v>0.4</v>
      </c>
      <c r="Q2159" s="17">
        <f>O2159*P2159</f>
        <v>720000</v>
      </c>
      <c r="R2159" s="16">
        <f>'Financial Inputs'!$B$7</f>
        <v>0.35</v>
      </c>
      <c r="S2159" s="17">
        <f>Q2159*(1-R2159)</f>
        <v>468000</v>
      </c>
      <c r="T2159" s="18">
        <f>S2159/'Financial Inputs'!$B$3</f>
        <v>4.6800000000000001E-3</v>
      </c>
      <c r="U2159" s="9" t="s">
        <v>52</v>
      </c>
      <c r="V2159" s="3" t="s">
        <v>53</v>
      </c>
    </row>
    <row r="2160" spans="1:22">
      <c r="A2160" s="2" t="s">
        <v>6722</v>
      </c>
      <c r="B2160" s="2" t="s">
        <v>6723</v>
      </c>
      <c r="C2160" s="2" t="s">
        <v>6548</v>
      </c>
      <c r="D2160" s="2" t="s">
        <v>42</v>
      </c>
      <c r="E2160" s="2" t="s">
        <v>65</v>
      </c>
      <c r="F2160" s="2" t="s">
        <v>110</v>
      </c>
      <c r="G2160" s="2" t="s">
        <v>111</v>
      </c>
      <c r="H2160" s="2" t="s">
        <v>46</v>
      </c>
      <c r="I2160" s="2" t="s">
        <v>47</v>
      </c>
      <c r="J2160" s="2" t="s">
        <v>48</v>
      </c>
      <c r="K2160" s="2" t="s">
        <v>6724</v>
      </c>
      <c r="L2160" s="2" t="s">
        <v>330</v>
      </c>
      <c r="M2160" s="2" t="s">
        <v>6550</v>
      </c>
      <c r="N2160" s="16">
        <v>1.9800000000000002E-2</v>
      </c>
      <c r="O2160" s="17">
        <f>N2160*'Financial Inputs'!$B$3</f>
        <v>1980000.0000000002</v>
      </c>
      <c r="P2160" s="18">
        <f>IF(I2160="L",'Financial Inputs'!$B$4,IF(I2160="M",'Financial Inputs'!$B$5,'Financial Inputs'!$B$6))</f>
        <v>0.4</v>
      </c>
      <c r="Q2160" s="17">
        <f>O2160*P2160</f>
        <v>792000.00000000012</v>
      </c>
      <c r="R2160" s="16">
        <f>'Financial Inputs'!$B$7</f>
        <v>0.35</v>
      </c>
      <c r="S2160" s="17">
        <f>Q2160*(1-R2160)</f>
        <v>514800.00000000012</v>
      </c>
      <c r="T2160" s="18">
        <f>S2160/'Financial Inputs'!$B$3</f>
        <v>5.1480000000000015E-3</v>
      </c>
      <c r="U2160" s="9" t="s">
        <v>52</v>
      </c>
      <c r="V2160" s="3" t="s">
        <v>53</v>
      </c>
    </row>
    <row r="2161" spans="1:22">
      <c r="A2161" s="2" t="s">
        <v>6725</v>
      </c>
      <c r="B2161" s="2" t="s">
        <v>6726</v>
      </c>
      <c r="C2161" s="2" t="s">
        <v>6548</v>
      </c>
      <c r="D2161" s="2" t="s">
        <v>56</v>
      </c>
      <c r="E2161" s="2" t="s">
        <v>73</v>
      </c>
      <c r="F2161" s="2" t="s">
        <v>117</v>
      </c>
      <c r="G2161" s="2" t="s">
        <v>56</v>
      </c>
      <c r="H2161" s="2" t="s">
        <v>46</v>
      </c>
      <c r="I2161" s="2" t="s">
        <v>47</v>
      </c>
      <c r="J2161" s="2" t="s">
        <v>48</v>
      </c>
      <c r="K2161" s="2" t="s">
        <v>6727</v>
      </c>
      <c r="L2161" s="2" t="s">
        <v>334</v>
      </c>
      <c r="M2161" s="2" t="s">
        <v>6550</v>
      </c>
      <c r="N2161" s="16">
        <v>2.1600000000000001E-2</v>
      </c>
      <c r="O2161" s="17">
        <f>N2161*'Financial Inputs'!$B$3</f>
        <v>2160000</v>
      </c>
      <c r="P2161" s="18">
        <f>IF(I2161="L",'Financial Inputs'!$B$4,IF(I2161="M",'Financial Inputs'!$B$5,'Financial Inputs'!$B$6))</f>
        <v>0.4</v>
      </c>
      <c r="Q2161" s="17">
        <f>O2161*P2161</f>
        <v>864000</v>
      </c>
      <c r="R2161" s="16">
        <f>'Financial Inputs'!$B$7</f>
        <v>0.35</v>
      </c>
      <c r="S2161" s="17">
        <f>Q2161*(1-R2161)</f>
        <v>561600</v>
      </c>
      <c r="T2161" s="18">
        <f>S2161/'Financial Inputs'!$B$3</f>
        <v>5.6160000000000003E-3</v>
      </c>
      <c r="U2161" s="9" t="s">
        <v>52</v>
      </c>
      <c r="V2161" s="3" t="s">
        <v>53</v>
      </c>
    </row>
    <row r="2162" spans="1:22">
      <c r="A2162" s="2" t="s">
        <v>6728</v>
      </c>
      <c r="B2162" s="2" t="s">
        <v>6729</v>
      </c>
      <c r="C2162" s="2" t="s">
        <v>6548</v>
      </c>
      <c r="D2162" s="2" t="s">
        <v>80</v>
      </c>
      <c r="E2162" s="2" t="s">
        <v>153</v>
      </c>
      <c r="F2162" s="2" t="s">
        <v>58</v>
      </c>
      <c r="G2162" s="2" t="s">
        <v>83</v>
      </c>
      <c r="H2162" s="2" t="s">
        <v>46</v>
      </c>
      <c r="I2162" s="2" t="s">
        <v>47</v>
      </c>
      <c r="J2162" s="2" t="s">
        <v>48</v>
      </c>
      <c r="K2162" s="2" t="s">
        <v>6730</v>
      </c>
      <c r="L2162" s="2" t="s">
        <v>338</v>
      </c>
      <c r="M2162" s="2" t="s">
        <v>6550</v>
      </c>
      <c r="N2162" s="16">
        <v>1.44E-2</v>
      </c>
      <c r="O2162" s="17">
        <f>N2162*'Financial Inputs'!$B$3</f>
        <v>1440000</v>
      </c>
      <c r="P2162" s="18">
        <f>IF(I2162="L",'Financial Inputs'!$B$4,IF(I2162="M",'Financial Inputs'!$B$5,'Financial Inputs'!$B$6))</f>
        <v>0.4</v>
      </c>
      <c r="Q2162" s="17">
        <f>O2162*P2162</f>
        <v>576000</v>
      </c>
      <c r="R2162" s="16">
        <f>'Financial Inputs'!$B$7</f>
        <v>0.35</v>
      </c>
      <c r="S2162" s="17">
        <f>Q2162*(1-R2162)</f>
        <v>374400</v>
      </c>
      <c r="T2162" s="18">
        <f>S2162/'Financial Inputs'!$B$3</f>
        <v>3.7439999999999999E-3</v>
      </c>
      <c r="U2162" s="9" t="s">
        <v>52</v>
      </c>
      <c r="V2162" s="3" t="s">
        <v>53</v>
      </c>
    </row>
    <row r="2163" spans="1:22">
      <c r="A2163" s="2" t="s">
        <v>6731</v>
      </c>
      <c r="B2163" s="2" t="s">
        <v>6732</v>
      </c>
      <c r="C2163" s="2" t="s">
        <v>6548</v>
      </c>
      <c r="D2163" s="2" t="s">
        <v>127</v>
      </c>
      <c r="E2163" s="2" t="s">
        <v>89</v>
      </c>
      <c r="F2163" s="2" t="s">
        <v>66</v>
      </c>
      <c r="G2163" s="2" t="s">
        <v>111</v>
      </c>
      <c r="H2163" s="2" t="s">
        <v>46</v>
      </c>
      <c r="I2163" s="2" t="s">
        <v>47</v>
      </c>
      <c r="J2163" s="2" t="s">
        <v>48</v>
      </c>
      <c r="K2163" s="2" t="s">
        <v>6733</v>
      </c>
      <c r="L2163" s="2" t="s">
        <v>342</v>
      </c>
      <c r="M2163" s="2" t="s">
        <v>6550</v>
      </c>
      <c r="N2163" s="16">
        <v>1.6199999999999999E-2</v>
      </c>
      <c r="O2163" s="17">
        <f>N2163*'Financial Inputs'!$B$3</f>
        <v>1620000</v>
      </c>
      <c r="P2163" s="18">
        <f>IF(I2163="L",'Financial Inputs'!$B$4,IF(I2163="M",'Financial Inputs'!$B$5,'Financial Inputs'!$B$6))</f>
        <v>0.4</v>
      </c>
      <c r="Q2163" s="17">
        <f>O2163*P2163</f>
        <v>648000</v>
      </c>
      <c r="R2163" s="16">
        <f>'Financial Inputs'!$B$7</f>
        <v>0.35</v>
      </c>
      <c r="S2163" s="17">
        <f>Q2163*(1-R2163)</f>
        <v>421200</v>
      </c>
      <c r="T2163" s="18">
        <f>S2163/'Financial Inputs'!$B$3</f>
        <v>4.2119999999999996E-3</v>
      </c>
      <c r="U2163" s="9" t="s">
        <v>52</v>
      </c>
      <c r="V2163" s="3" t="s">
        <v>53</v>
      </c>
    </row>
    <row r="2164" spans="1:22">
      <c r="A2164" s="2" t="s">
        <v>6734</v>
      </c>
      <c r="B2164" s="2" t="s">
        <v>6735</v>
      </c>
      <c r="C2164" s="2" t="s">
        <v>6548</v>
      </c>
      <c r="D2164" s="2" t="s">
        <v>133</v>
      </c>
      <c r="E2164" s="2" t="s">
        <v>96</v>
      </c>
      <c r="F2164" s="2" t="s">
        <v>74</v>
      </c>
      <c r="G2164" s="2" t="s">
        <v>56</v>
      </c>
      <c r="H2164" s="2" t="s">
        <v>46</v>
      </c>
      <c r="I2164" s="2" t="s">
        <v>47</v>
      </c>
      <c r="J2164" s="2" t="s">
        <v>48</v>
      </c>
      <c r="K2164" s="2" t="s">
        <v>6736</v>
      </c>
      <c r="L2164" s="2" t="s">
        <v>346</v>
      </c>
      <c r="M2164" s="2" t="s">
        <v>6550</v>
      </c>
      <c r="N2164" s="16">
        <v>1.7999999999999999E-2</v>
      </c>
      <c r="O2164" s="17">
        <f>N2164*'Financial Inputs'!$B$3</f>
        <v>1799999.9999999998</v>
      </c>
      <c r="P2164" s="18">
        <f>IF(I2164="L",'Financial Inputs'!$B$4,IF(I2164="M",'Financial Inputs'!$B$5,'Financial Inputs'!$B$6))</f>
        <v>0.4</v>
      </c>
      <c r="Q2164" s="17">
        <f>O2164*P2164</f>
        <v>720000</v>
      </c>
      <c r="R2164" s="16">
        <f>'Financial Inputs'!$B$7</f>
        <v>0.35</v>
      </c>
      <c r="S2164" s="17">
        <f>Q2164*(1-R2164)</f>
        <v>468000</v>
      </c>
      <c r="T2164" s="18">
        <f>S2164/'Financial Inputs'!$B$3</f>
        <v>4.6800000000000001E-3</v>
      </c>
      <c r="U2164" s="9" t="s">
        <v>52</v>
      </c>
      <c r="V2164" s="3" t="s">
        <v>53</v>
      </c>
    </row>
    <row r="2165" spans="1:22">
      <c r="A2165" s="2" t="s">
        <v>6737</v>
      </c>
      <c r="B2165" s="2" t="s">
        <v>6738</v>
      </c>
      <c r="C2165" s="2" t="s">
        <v>6548</v>
      </c>
      <c r="D2165" s="2" t="s">
        <v>88</v>
      </c>
      <c r="E2165" s="2" t="s">
        <v>103</v>
      </c>
      <c r="F2165" s="2" t="s">
        <v>82</v>
      </c>
      <c r="G2165" s="2" t="s">
        <v>138</v>
      </c>
      <c r="H2165" s="2" t="s">
        <v>46</v>
      </c>
      <c r="I2165" s="2" t="s">
        <v>47</v>
      </c>
      <c r="J2165" s="2" t="s">
        <v>48</v>
      </c>
      <c r="K2165" s="2" t="s">
        <v>6739</v>
      </c>
      <c r="L2165" s="2" t="s">
        <v>350</v>
      </c>
      <c r="M2165" s="2" t="s">
        <v>6550</v>
      </c>
      <c r="N2165" s="16">
        <v>1.9800000000000002E-2</v>
      </c>
      <c r="O2165" s="17">
        <f>N2165*'Financial Inputs'!$B$3</f>
        <v>1980000.0000000002</v>
      </c>
      <c r="P2165" s="18">
        <f>IF(I2165="L",'Financial Inputs'!$B$4,IF(I2165="M",'Financial Inputs'!$B$5,'Financial Inputs'!$B$6))</f>
        <v>0.4</v>
      </c>
      <c r="Q2165" s="17">
        <f>O2165*P2165</f>
        <v>792000.00000000012</v>
      </c>
      <c r="R2165" s="16">
        <f>'Financial Inputs'!$B$7</f>
        <v>0.35</v>
      </c>
      <c r="S2165" s="17">
        <f>Q2165*(1-R2165)</f>
        <v>514800.00000000012</v>
      </c>
      <c r="T2165" s="18">
        <f>S2165/'Financial Inputs'!$B$3</f>
        <v>5.1480000000000015E-3</v>
      </c>
      <c r="U2165" s="9" t="s">
        <v>52</v>
      </c>
      <c r="V2165" s="3" t="s">
        <v>53</v>
      </c>
    </row>
    <row r="2166" spans="1:22">
      <c r="A2166" s="2" t="s">
        <v>6740</v>
      </c>
      <c r="B2166" s="2" t="s">
        <v>6741</v>
      </c>
      <c r="C2166" s="2" t="s">
        <v>6548</v>
      </c>
      <c r="D2166" s="2" t="s">
        <v>95</v>
      </c>
      <c r="E2166" s="2" t="s">
        <v>109</v>
      </c>
      <c r="F2166" s="2" t="s">
        <v>44</v>
      </c>
      <c r="G2166" s="2" t="s">
        <v>143</v>
      </c>
      <c r="H2166" s="2" t="s">
        <v>46</v>
      </c>
      <c r="I2166" s="2" t="s">
        <v>47</v>
      </c>
      <c r="J2166" s="2" t="s">
        <v>48</v>
      </c>
      <c r="K2166" s="2" t="s">
        <v>6742</v>
      </c>
      <c r="L2166" s="2" t="s">
        <v>354</v>
      </c>
      <c r="M2166" s="2" t="s">
        <v>6550</v>
      </c>
      <c r="N2166" s="16">
        <v>2.1600000000000001E-2</v>
      </c>
      <c r="O2166" s="17">
        <f>N2166*'Financial Inputs'!$B$3</f>
        <v>2160000</v>
      </c>
      <c r="P2166" s="18">
        <f>IF(I2166="L",'Financial Inputs'!$B$4,IF(I2166="M",'Financial Inputs'!$B$5,'Financial Inputs'!$B$6))</f>
        <v>0.4</v>
      </c>
      <c r="Q2166" s="17">
        <f>O2166*P2166</f>
        <v>864000</v>
      </c>
      <c r="R2166" s="16">
        <f>'Financial Inputs'!$B$7</f>
        <v>0.35</v>
      </c>
      <c r="S2166" s="17">
        <f>Q2166*(1-R2166)</f>
        <v>561600</v>
      </c>
      <c r="T2166" s="18">
        <f>S2166/'Financial Inputs'!$B$3</f>
        <v>5.6160000000000003E-3</v>
      </c>
      <c r="U2166" s="9" t="s">
        <v>52</v>
      </c>
      <c r="V2166" s="3" t="s">
        <v>53</v>
      </c>
    </row>
    <row r="2167" spans="1:22">
      <c r="A2167" s="2" t="s">
        <v>6743</v>
      </c>
      <c r="B2167" s="2" t="s">
        <v>6744</v>
      </c>
      <c r="C2167" s="2" t="s">
        <v>6548</v>
      </c>
      <c r="D2167" s="2" t="s">
        <v>56</v>
      </c>
      <c r="E2167" s="2" t="s">
        <v>176</v>
      </c>
      <c r="F2167" s="2" t="s">
        <v>97</v>
      </c>
      <c r="G2167" s="2" t="s">
        <v>56</v>
      </c>
      <c r="H2167" s="2" t="s">
        <v>46</v>
      </c>
      <c r="I2167" s="2" t="s">
        <v>47</v>
      </c>
      <c r="J2167" s="2" t="s">
        <v>48</v>
      </c>
      <c r="K2167" s="2" t="s">
        <v>6745</v>
      </c>
      <c r="L2167" s="2" t="s">
        <v>358</v>
      </c>
      <c r="M2167" s="2" t="s">
        <v>6550</v>
      </c>
      <c r="N2167" s="16">
        <v>1.44E-2</v>
      </c>
      <c r="O2167" s="17">
        <f>N2167*'Financial Inputs'!$B$3</f>
        <v>1440000</v>
      </c>
      <c r="P2167" s="18">
        <f>IF(I2167="L",'Financial Inputs'!$B$4,IF(I2167="M",'Financial Inputs'!$B$5,'Financial Inputs'!$B$6))</f>
        <v>0.4</v>
      </c>
      <c r="Q2167" s="17">
        <f>O2167*P2167</f>
        <v>576000</v>
      </c>
      <c r="R2167" s="16">
        <f>'Financial Inputs'!$B$7</f>
        <v>0.35</v>
      </c>
      <c r="S2167" s="17">
        <f>Q2167*(1-R2167)</f>
        <v>374400</v>
      </c>
      <c r="T2167" s="18">
        <f>S2167/'Financial Inputs'!$B$3</f>
        <v>3.7439999999999999E-3</v>
      </c>
      <c r="U2167" s="9" t="s">
        <v>52</v>
      </c>
      <c r="V2167" s="3" t="s">
        <v>53</v>
      </c>
    </row>
    <row r="2168" spans="1:22">
      <c r="A2168" s="2" t="s">
        <v>6746</v>
      </c>
      <c r="B2168" s="2" t="s">
        <v>6747</v>
      </c>
      <c r="C2168" s="2" t="s">
        <v>6548</v>
      </c>
      <c r="D2168" s="2" t="s">
        <v>64</v>
      </c>
      <c r="E2168" s="2" t="s">
        <v>122</v>
      </c>
      <c r="F2168" s="2" t="s">
        <v>104</v>
      </c>
      <c r="G2168" s="2" t="s">
        <v>138</v>
      </c>
      <c r="H2168" s="2" t="s">
        <v>46</v>
      </c>
      <c r="I2168" s="2" t="s">
        <v>47</v>
      </c>
      <c r="J2168" s="2" t="s">
        <v>48</v>
      </c>
      <c r="K2168" s="2" t="s">
        <v>6748</v>
      </c>
      <c r="L2168" s="2" t="s">
        <v>362</v>
      </c>
      <c r="M2168" s="2" t="s">
        <v>6550</v>
      </c>
      <c r="N2168" s="16">
        <v>1.6199999999999999E-2</v>
      </c>
      <c r="O2168" s="17">
        <f>N2168*'Financial Inputs'!$B$3</f>
        <v>1620000</v>
      </c>
      <c r="P2168" s="18">
        <f>IF(I2168="L",'Financial Inputs'!$B$4,IF(I2168="M",'Financial Inputs'!$B$5,'Financial Inputs'!$B$6))</f>
        <v>0.4</v>
      </c>
      <c r="Q2168" s="17">
        <f>O2168*P2168</f>
        <v>648000</v>
      </c>
      <c r="R2168" s="16">
        <f>'Financial Inputs'!$B$7</f>
        <v>0.35</v>
      </c>
      <c r="S2168" s="17">
        <f>Q2168*(1-R2168)</f>
        <v>421200</v>
      </c>
      <c r="T2168" s="18">
        <f>S2168/'Financial Inputs'!$B$3</f>
        <v>4.2119999999999996E-3</v>
      </c>
      <c r="U2168" s="9" t="s">
        <v>52</v>
      </c>
      <c r="V2168" s="3" t="s">
        <v>53</v>
      </c>
    </row>
    <row r="2169" spans="1:22">
      <c r="A2169" s="2" t="s">
        <v>6749</v>
      </c>
      <c r="B2169" s="2" t="s">
        <v>6750</v>
      </c>
      <c r="C2169" s="2" t="s">
        <v>6548</v>
      </c>
      <c r="D2169" s="2" t="s">
        <v>72</v>
      </c>
      <c r="E2169" s="2" t="s">
        <v>128</v>
      </c>
      <c r="F2169" s="2" t="s">
        <v>110</v>
      </c>
      <c r="G2169" s="2" t="s">
        <v>143</v>
      </c>
      <c r="H2169" s="2" t="s">
        <v>46</v>
      </c>
      <c r="I2169" s="2" t="s">
        <v>47</v>
      </c>
      <c r="J2169" s="2" t="s">
        <v>48</v>
      </c>
      <c r="K2169" s="2" t="s">
        <v>6751</v>
      </c>
      <c r="L2169" s="2" t="s">
        <v>366</v>
      </c>
      <c r="M2169" s="2" t="s">
        <v>6550</v>
      </c>
      <c r="N2169" s="16">
        <v>1.7999999999999999E-2</v>
      </c>
      <c r="O2169" s="17">
        <f>N2169*'Financial Inputs'!$B$3</f>
        <v>1799999.9999999998</v>
      </c>
      <c r="P2169" s="18">
        <f>IF(I2169="L",'Financial Inputs'!$B$4,IF(I2169="M",'Financial Inputs'!$B$5,'Financial Inputs'!$B$6))</f>
        <v>0.4</v>
      </c>
      <c r="Q2169" s="17">
        <f>O2169*P2169</f>
        <v>720000</v>
      </c>
      <c r="R2169" s="16">
        <f>'Financial Inputs'!$B$7</f>
        <v>0.35</v>
      </c>
      <c r="S2169" s="17">
        <f>Q2169*(1-R2169)</f>
        <v>468000</v>
      </c>
      <c r="T2169" s="18">
        <f>S2169/'Financial Inputs'!$B$3</f>
        <v>4.6800000000000001E-3</v>
      </c>
      <c r="U2169" s="9" t="s">
        <v>52</v>
      </c>
      <c r="V2169" s="3" t="s">
        <v>53</v>
      </c>
    </row>
    <row r="2170" spans="1:22">
      <c r="A2170" s="2" t="s">
        <v>6752</v>
      </c>
      <c r="B2170" s="2" t="s">
        <v>6753</v>
      </c>
      <c r="C2170" s="2" t="s">
        <v>6548</v>
      </c>
      <c r="D2170" s="2" t="s">
        <v>80</v>
      </c>
      <c r="E2170" s="2" t="s">
        <v>43</v>
      </c>
      <c r="F2170" s="2" t="s">
        <v>117</v>
      </c>
      <c r="G2170" s="2" t="s">
        <v>162</v>
      </c>
      <c r="H2170" s="2" t="s">
        <v>46</v>
      </c>
      <c r="I2170" s="2" t="s">
        <v>47</v>
      </c>
      <c r="J2170" s="2" t="s">
        <v>48</v>
      </c>
      <c r="K2170" s="2" t="s">
        <v>6754</v>
      </c>
      <c r="L2170" s="2" t="s">
        <v>370</v>
      </c>
      <c r="M2170" s="2" t="s">
        <v>6550</v>
      </c>
      <c r="N2170" s="16">
        <v>1.9800000000000002E-2</v>
      </c>
      <c r="O2170" s="17">
        <f>N2170*'Financial Inputs'!$B$3</f>
        <v>1980000.0000000002</v>
      </c>
      <c r="P2170" s="18">
        <f>IF(I2170="L",'Financial Inputs'!$B$4,IF(I2170="M",'Financial Inputs'!$B$5,'Financial Inputs'!$B$6))</f>
        <v>0.4</v>
      </c>
      <c r="Q2170" s="17">
        <f>O2170*P2170</f>
        <v>792000.00000000012</v>
      </c>
      <c r="R2170" s="16">
        <f>'Financial Inputs'!$B$7</f>
        <v>0.35</v>
      </c>
      <c r="S2170" s="17">
        <f>Q2170*(1-R2170)</f>
        <v>514800.00000000012</v>
      </c>
      <c r="T2170" s="18">
        <f>S2170/'Financial Inputs'!$B$3</f>
        <v>5.1480000000000015E-3</v>
      </c>
      <c r="U2170" s="9" t="s">
        <v>52</v>
      </c>
      <c r="V2170" s="3" t="s">
        <v>53</v>
      </c>
    </row>
    <row r="2171" spans="1:22">
      <c r="A2171" s="2" t="s">
        <v>6755</v>
      </c>
      <c r="B2171" s="2" t="s">
        <v>6756</v>
      </c>
      <c r="C2171" s="2" t="s">
        <v>6548</v>
      </c>
      <c r="D2171" s="2" t="s">
        <v>127</v>
      </c>
      <c r="E2171" s="2" t="s">
        <v>57</v>
      </c>
      <c r="F2171" s="2" t="s">
        <v>90</v>
      </c>
      <c r="G2171" s="2" t="s">
        <v>45</v>
      </c>
      <c r="H2171" s="2" t="s">
        <v>46</v>
      </c>
      <c r="I2171" s="2" t="s">
        <v>47</v>
      </c>
      <c r="J2171" s="2" t="s">
        <v>48</v>
      </c>
      <c r="K2171" s="2" t="s">
        <v>6757</v>
      </c>
      <c r="L2171" s="2" t="s">
        <v>374</v>
      </c>
      <c r="M2171" s="2" t="s">
        <v>6550</v>
      </c>
      <c r="N2171" s="16">
        <v>2.1600000000000001E-2</v>
      </c>
      <c r="O2171" s="17">
        <f>N2171*'Financial Inputs'!$B$3</f>
        <v>2160000</v>
      </c>
      <c r="P2171" s="18">
        <f>IF(I2171="L",'Financial Inputs'!$B$4,IF(I2171="M",'Financial Inputs'!$B$5,'Financial Inputs'!$B$6))</f>
        <v>0.4</v>
      </c>
      <c r="Q2171" s="17">
        <f>O2171*P2171</f>
        <v>864000</v>
      </c>
      <c r="R2171" s="16">
        <f>'Financial Inputs'!$B$7</f>
        <v>0.35</v>
      </c>
      <c r="S2171" s="17">
        <f>Q2171*(1-R2171)</f>
        <v>561600</v>
      </c>
      <c r="T2171" s="18">
        <f>S2171/'Financial Inputs'!$B$3</f>
        <v>5.6160000000000003E-3</v>
      </c>
      <c r="U2171" s="9" t="s">
        <v>52</v>
      </c>
      <c r="V2171" s="3" t="s">
        <v>53</v>
      </c>
    </row>
    <row r="2172" spans="1:22">
      <c r="A2172" s="2" t="s">
        <v>6758</v>
      </c>
      <c r="B2172" s="2" t="s">
        <v>6759</v>
      </c>
      <c r="C2172" s="2" t="s">
        <v>6548</v>
      </c>
      <c r="D2172" s="2" t="s">
        <v>95</v>
      </c>
      <c r="E2172" s="2" t="s">
        <v>198</v>
      </c>
      <c r="F2172" s="2" t="s">
        <v>66</v>
      </c>
      <c r="G2172" s="2" t="s">
        <v>143</v>
      </c>
      <c r="H2172" s="2" t="s">
        <v>46</v>
      </c>
      <c r="I2172" s="2" t="s">
        <v>47</v>
      </c>
      <c r="J2172" s="2" t="s">
        <v>48</v>
      </c>
      <c r="K2172" s="2" t="s">
        <v>6760</v>
      </c>
      <c r="L2172" s="2" t="s">
        <v>378</v>
      </c>
      <c r="M2172" s="2" t="s">
        <v>6550</v>
      </c>
      <c r="N2172" s="16">
        <v>1.44E-2</v>
      </c>
      <c r="O2172" s="17">
        <f>N2172*'Financial Inputs'!$B$3</f>
        <v>1440000</v>
      </c>
      <c r="P2172" s="18">
        <f>IF(I2172="L",'Financial Inputs'!$B$4,IF(I2172="M",'Financial Inputs'!$B$5,'Financial Inputs'!$B$6))</f>
        <v>0.4</v>
      </c>
      <c r="Q2172" s="17">
        <f>O2172*P2172</f>
        <v>576000</v>
      </c>
      <c r="R2172" s="16">
        <f>'Financial Inputs'!$B$7</f>
        <v>0.35</v>
      </c>
      <c r="S2172" s="17">
        <f>Q2172*(1-R2172)</f>
        <v>374400</v>
      </c>
      <c r="T2172" s="18">
        <f>S2172/'Financial Inputs'!$B$3</f>
        <v>3.7439999999999999E-3</v>
      </c>
      <c r="U2172" s="9" t="s">
        <v>52</v>
      </c>
      <c r="V2172" s="3" t="s">
        <v>53</v>
      </c>
    </row>
    <row r="2173" spans="1:22">
      <c r="A2173" s="2" t="s">
        <v>6761</v>
      </c>
      <c r="B2173" s="2" t="s">
        <v>6762</v>
      </c>
      <c r="C2173" s="2" t="s">
        <v>6548</v>
      </c>
      <c r="D2173" s="2" t="s">
        <v>102</v>
      </c>
      <c r="E2173" s="2" t="s">
        <v>148</v>
      </c>
      <c r="F2173" s="2" t="s">
        <v>74</v>
      </c>
      <c r="G2173" s="2" t="s">
        <v>162</v>
      </c>
      <c r="H2173" s="2" t="s">
        <v>46</v>
      </c>
      <c r="I2173" s="2" t="s">
        <v>47</v>
      </c>
      <c r="J2173" s="2" t="s">
        <v>48</v>
      </c>
      <c r="K2173" s="2" t="s">
        <v>6763</v>
      </c>
      <c r="L2173" s="2" t="s">
        <v>382</v>
      </c>
      <c r="M2173" s="2" t="s">
        <v>6550</v>
      </c>
      <c r="N2173" s="16">
        <v>1.6199999999999999E-2</v>
      </c>
      <c r="O2173" s="17">
        <f>N2173*'Financial Inputs'!$B$3</f>
        <v>1620000</v>
      </c>
      <c r="P2173" s="18">
        <f>IF(I2173="L",'Financial Inputs'!$B$4,IF(I2173="M",'Financial Inputs'!$B$5,'Financial Inputs'!$B$6))</f>
        <v>0.4</v>
      </c>
      <c r="Q2173" s="17">
        <f>O2173*P2173</f>
        <v>648000</v>
      </c>
      <c r="R2173" s="16">
        <f>'Financial Inputs'!$B$7</f>
        <v>0.35</v>
      </c>
      <c r="S2173" s="17">
        <f>Q2173*(1-R2173)</f>
        <v>421200</v>
      </c>
      <c r="T2173" s="18">
        <f>S2173/'Financial Inputs'!$B$3</f>
        <v>4.2119999999999996E-3</v>
      </c>
      <c r="U2173" s="9" t="s">
        <v>52</v>
      </c>
      <c r="V2173" s="3" t="s">
        <v>53</v>
      </c>
    </row>
    <row r="2174" spans="1:22">
      <c r="A2174" s="2" t="s">
        <v>6764</v>
      </c>
      <c r="B2174" s="2" t="s">
        <v>6765</v>
      </c>
      <c r="C2174" s="2" t="s">
        <v>6548</v>
      </c>
      <c r="D2174" s="2" t="s">
        <v>42</v>
      </c>
      <c r="E2174" s="2" t="s">
        <v>153</v>
      </c>
      <c r="F2174" s="2" t="s">
        <v>82</v>
      </c>
      <c r="G2174" s="2" t="s">
        <v>45</v>
      </c>
      <c r="H2174" s="2" t="s">
        <v>46</v>
      </c>
      <c r="I2174" s="2" t="s">
        <v>47</v>
      </c>
      <c r="J2174" s="2" t="s">
        <v>48</v>
      </c>
      <c r="K2174" s="2" t="s">
        <v>6766</v>
      </c>
      <c r="L2174" s="2" t="s">
        <v>386</v>
      </c>
      <c r="M2174" s="2" t="s">
        <v>6550</v>
      </c>
      <c r="N2174" s="16">
        <v>1.7999999999999999E-2</v>
      </c>
      <c r="O2174" s="17">
        <f>N2174*'Financial Inputs'!$B$3</f>
        <v>1799999.9999999998</v>
      </c>
      <c r="P2174" s="18">
        <f>IF(I2174="L",'Financial Inputs'!$B$4,IF(I2174="M",'Financial Inputs'!$B$5,'Financial Inputs'!$B$6))</f>
        <v>0.4</v>
      </c>
      <c r="Q2174" s="17">
        <f>O2174*P2174</f>
        <v>720000</v>
      </c>
      <c r="R2174" s="16">
        <f>'Financial Inputs'!$B$7</f>
        <v>0.35</v>
      </c>
      <c r="S2174" s="17">
        <f>Q2174*(1-R2174)</f>
        <v>468000</v>
      </c>
      <c r="T2174" s="18">
        <f>S2174/'Financial Inputs'!$B$3</f>
        <v>4.6800000000000001E-3</v>
      </c>
      <c r="U2174" s="9" t="s">
        <v>52</v>
      </c>
      <c r="V2174" s="3" t="s">
        <v>53</v>
      </c>
    </row>
    <row r="2175" spans="1:22">
      <c r="A2175" s="2" t="s">
        <v>6767</v>
      </c>
      <c r="B2175" s="2" t="s">
        <v>6768</v>
      </c>
      <c r="C2175" s="2" t="s">
        <v>6548</v>
      </c>
      <c r="D2175" s="2" t="s">
        <v>56</v>
      </c>
      <c r="E2175" s="2" t="s">
        <v>89</v>
      </c>
      <c r="F2175" s="2" t="s">
        <v>44</v>
      </c>
      <c r="G2175" s="2" t="s">
        <v>59</v>
      </c>
      <c r="H2175" s="2" t="s">
        <v>46</v>
      </c>
      <c r="I2175" s="2" t="s">
        <v>47</v>
      </c>
      <c r="J2175" s="2" t="s">
        <v>48</v>
      </c>
      <c r="K2175" s="2" t="s">
        <v>6769</v>
      </c>
      <c r="L2175" s="2" t="s">
        <v>390</v>
      </c>
      <c r="M2175" s="2" t="s">
        <v>6550</v>
      </c>
      <c r="N2175" s="16">
        <v>1.9800000000000002E-2</v>
      </c>
      <c r="O2175" s="17">
        <f>N2175*'Financial Inputs'!$B$3</f>
        <v>1980000.0000000002</v>
      </c>
      <c r="P2175" s="18">
        <f>IF(I2175="L",'Financial Inputs'!$B$4,IF(I2175="M",'Financial Inputs'!$B$5,'Financial Inputs'!$B$6))</f>
        <v>0.4</v>
      </c>
      <c r="Q2175" s="17">
        <f>O2175*P2175</f>
        <v>792000.00000000012</v>
      </c>
      <c r="R2175" s="16">
        <f>'Financial Inputs'!$B$7</f>
        <v>0.35</v>
      </c>
      <c r="S2175" s="17">
        <f>Q2175*(1-R2175)</f>
        <v>514800.00000000012</v>
      </c>
      <c r="T2175" s="18">
        <f>S2175/'Financial Inputs'!$B$3</f>
        <v>5.1480000000000015E-3</v>
      </c>
      <c r="U2175" s="9" t="s">
        <v>52</v>
      </c>
      <c r="V2175" s="3" t="s">
        <v>53</v>
      </c>
    </row>
    <row r="2176" spans="1:22">
      <c r="A2176" s="2" t="s">
        <v>6770</v>
      </c>
      <c r="B2176" s="2" t="s">
        <v>6771</v>
      </c>
      <c r="C2176" s="2" t="s">
        <v>6548</v>
      </c>
      <c r="D2176" s="2" t="s">
        <v>64</v>
      </c>
      <c r="E2176" s="2" t="s">
        <v>96</v>
      </c>
      <c r="F2176" s="2" t="s">
        <v>58</v>
      </c>
      <c r="G2176" s="2" t="s">
        <v>67</v>
      </c>
      <c r="H2176" s="2" t="s">
        <v>46</v>
      </c>
      <c r="I2176" s="2" t="s">
        <v>47</v>
      </c>
      <c r="J2176" s="2" t="s">
        <v>48</v>
      </c>
      <c r="K2176" s="2" t="s">
        <v>6772</v>
      </c>
      <c r="L2176" s="2" t="s">
        <v>394</v>
      </c>
      <c r="M2176" s="2" t="s">
        <v>6550</v>
      </c>
      <c r="N2176" s="16">
        <v>2.1600000000000001E-2</v>
      </c>
      <c r="O2176" s="17">
        <f>N2176*'Financial Inputs'!$B$3</f>
        <v>2160000</v>
      </c>
      <c r="P2176" s="18">
        <f>IF(I2176="L",'Financial Inputs'!$B$4,IF(I2176="M",'Financial Inputs'!$B$5,'Financial Inputs'!$B$6))</f>
        <v>0.4</v>
      </c>
      <c r="Q2176" s="17">
        <f>O2176*P2176</f>
        <v>864000</v>
      </c>
      <c r="R2176" s="16">
        <f>'Financial Inputs'!$B$7</f>
        <v>0.35</v>
      </c>
      <c r="S2176" s="17">
        <f>Q2176*(1-R2176)</f>
        <v>561600</v>
      </c>
      <c r="T2176" s="18">
        <f>S2176/'Financial Inputs'!$B$3</f>
        <v>5.6160000000000003E-3</v>
      </c>
      <c r="U2176" s="9" t="s">
        <v>52</v>
      </c>
      <c r="V2176" s="3" t="s">
        <v>53</v>
      </c>
    </row>
    <row r="2177" spans="1:22">
      <c r="A2177" s="2" t="s">
        <v>6773</v>
      </c>
      <c r="B2177" s="2" t="s">
        <v>6774</v>
      </c>
      <c r="C2177" s="2" t="s">
        <v>6548</v>
      </c>
      <c r="D2177" s="2" t="s">
        <v>127</v>
      </c>
      <c r="E2177" s="2" t="s">
        <v>220</v>
      </c>
      <c r="F2177" s="2" t="s">
        <v>104</v>
      </c>
      <c r="G2177" s="2" t="s">
        <v>45</v>
      </c>
      <c r="H2177" s="2" t="s">
        <v>46</v>
      </c>
      <c r="I2177" s="2" t="s">
        <v>47</v>
      </c>
      <c r="J2177" s="2" t="s">
        <v>48</v>
      </c>
      <c r="K2177" s="2" t="s">
        <v>6775</v>
      </c>
      <c r="L2177" s="2" t="s">
        <v>398</v>
      </c>
      <c r="M2177" s="2" t="s">
        <v>6550</v>
      </c>
      <c r="N2177" s="16">
        <v>1.44E-2</v>
      </c>
      <c r="O2177" s="17">
        <f>N2177*'Financial Inputs'!$B$3</f>
        <v>1440000</v>
      </c>
      <c r="P2177" s="18">
        <f>IF(I2177="L",'Financial Inputs'!$B$4,IF(I2177="M",'Financial Inputs'!$B$5,'Financial Inputs'!$B$6))</f>
        <v>0.4</v>
      </c>
      <c r="Q2177" s="17">
        <f>O2177*P2177</f>
        <v>576000</v>
      </c>
      <c r="R2177" s="16">
        <f>'Financial Inputs'!$B$7</f>
        <v>0.35</v>
      </c>
      <c r="S2177" s="17">
        <f>Q2177*(1-R2177)</f>
        <v>374400</v>
      </c>
      <c r="T2177" s="18">
        <f>S2177/'Financial Inputs'!$B$3</f>
        <v>3.7439999999999999E-3</v>
      </c>
      <c r="U2177" s="9" t="s">
        <v>52</v>
      </c>
      <c r="V2177" s="3" t="s">
        <v>53</v>
      </c>
    </row>
    <row r="2178" spans="1:22">
      <c r="A2178" s="2" t="s">
        <v>6776</v>
      </c>
      <c r="B2178" s="2" t="s">
        <v>6777</v>
      </c>
      <c r="C2178" s="2" t="s">
        <v>6548</v>
      </c>
      <c r="D2178" s="2" t="s">
        <v>133</v>
      </c>
      <c r="E2178" s="2" t="s">
        <v>171</v>
      </c>
      <c r="F2178" s="2" t="s">
        <v>110</v>
      </c>
      <c r="G2178" s="2" t="s">
        <v>59</v>
      </c>
      <c r="H2178" s="2" t="s">
        <v>46</v>
      </c>
      <c r="I2178" s="2" t="s">
        <v>47</v>
      </c>
      <c r="J2178" s="2" t="s">
        <v>48</v>
      </c>
      <c r="K2178" s="2" t="s">
        <v>6778</v>
      </c>
      <c r="L2178" s="2" t="s">
        <v>402</v>
      </c>
      <c r="M2178" s="2" t="s">
        <v>6550</v>
      </c>
      <c r="N2178" s="16">
        <v>1.6199999999999999E-2</v>
      </c>
      <c r="O2178" s="17">
        <f>N2178*'Financial Inputs'!$B$3</f>
        <v>1620000</v>
      </c>
      <c r="P2178" s="18">
        <f>IF(I2178="L",'Financial Inputs'!$B$4,IF(I2178="M",'Financial Inputs'!$B$5,'Financial Inputs'!$B$6))</f>
        <v>0.4</v>
      </c>
      <c r="Q2178" s="17">
        <f>O2178*P2178</f>
        <v>648000</v>
      </c>
      <c r="R2178" s="16">
        <f>'Financial Inputs'!$B$7</f>
        <v>0.35</v>
      </c>
      <c r="S2178" s="17">
        <f>Q2178*(1-R2178)</f>
        <v>421200</v>
      </c>
      <c r="T2178" s="18">
        <f>S2178/'Financial Inputs'!$B$3</f>
        <v>4.2119999999999996E-3</v>
      </c>
      <c r="U2178" s="9" t="s">
        <v>52</v>
      </c>
      <c r="V2178" s="3" t="s">
        <v>53</v>
      </c>
    </row>
    <row r="2179" spans="1:22">
      <c r="A2179" s="2" t="s">
        <v>6779</v>
      </c>
      <c r="B2179" s="2" t="s">
        <v>6780</v>
      </c>
      <c r="C2179" s="2" t="s">
        <v>6548</v>
      </c>
      <c r="D2179" s="2" t="s">
        <v>88</v>
      </c>
      <c r="E2179" s="2" t="s">
        <v>176</v>
      </c>
      <c r="F2179" s="2" t="s">
        <v>117</v>
      </c>
      <c r="G2179" s="2" t="s">
        <v>67</v>
      </c>
      <c r="H2179" s="2" t="s">
        <v>46</v>
      </c>
      <c r="I2179" s="2" t="s">
        <v>47</v>
      </c>
      <c r="J2179" s="2" t="s">
        <v>48</v>
      </c>
      <c r="K2179" s="2" t="s">
        <v>6781</v>
      </c>
      <c r="L2179" s="2" t="s">
        <v>406</v>
      </c>
      <c r="M2179" s="2" t="s">
        <v>6550</v>
      </c>
      <c r="N2179" s="16">
        <v>1.7999999999999999E-2</v>
      </c>
      <c r="O2179" s="17">
        <f>N2179*'Financial Inputs'!$B$3</f>
        <v>1799999.9999999998</v>
      </c>
      <c r="P2179" s="18">
        <f>IF(I2179="L",'Financial Inputs'!$B$4,IF(I2179="M",'Financial Inputs'!$B$5,'Financial Inputs'!$B$6))</f>
        <v>0.4</v>
      </c>
      <c r="Q2179" s="17">
        <f>O2179*P2179</f>
        <v>720000</v>
      </c>
      <c r="R2179" s="16">
        <f>'Financial Inputs'!$B$7</f>
        <v>0.35</v>
      </c>
      <c r="S2179" s="17">
        <f>Q2179*(1-R2179)</f>
        <v>468000</v>
      </c>
      <c r="T2179" s="18">
        <f>S2179/'Financial Inputs'!$B$3</f>
        <v>4.6800000000000001E-3</v>
      </c>
      <c r="U2179" s="9" t="s">
        <v>52</v>
      </c>
      <c r="V2179" s="3" t="s">
        <v>53</v>
      </c>
    </row>
    <row r="2180" spans="1:22">
      <c r="A2180" s="2" t="s">
        <v>6782</v>
      </c>
      <c r="B2180" s="2" t="s">
        <v>6783</v>
      </c>
      <c r="C2180" s="2" t="s">
        <v>6548</v>
      </c>
      <c r="D2180" s="2" t="s">
        <v>95</v>
      </c>
      <c r="E2180" s="2" t="s">
        <v>122</v>
      </c>
      <c r="F2180" s="2" t="s">
        <v>90</v>
      </c>
      <c r="G2180" s="2" t="s">
        <v>75</v>
      </c>
      <c r="H2180" s="2" t="s">
        <v>46</v>
      </c>
      <c r="I2180" s="2" t="s">
        <v>47</v>
      </c>
      <c r="J2180" s="2" t="s">
        <v>48</v>
      </c>
      <c r="K2180" s="2" t="s">
        <v>6784</v>
      </c>
      <c r="L2180" s="2" t="s">
        <v>410</v>
      </c>
      <c r="M2180" s="2" t="s">
        <v>6550</v>
      </c>
      <c r="N2180" s="16">
        <v>1.9800000000000002E-2</v>
      </c>
      <c r="O2180" s="17">
        <f>N2180*'Financial Inputs'!$B$3</f>
        <v>1980000.0000000002</v>
      </c>
      <c r="P2180" s="18">
        <f>IF(I2180="L",'Financial Inputs'!$B$4,IF(I2180="M",'Financial Inputs'!$B$5,'Financial Inputs'!$B$6))</f>
        <v>0.4</v>
      </c>
      <c r="Q2180" s="17">
        <f>O2180*P2180</f>
        <v>792000.00000000012</v>
      </c>
      <c r="R2180" s="16">
        <f>'Financial Inputs'!$B$7</f>
        <v>0.35</v>
      </c>
      <c r="S2180" s="17">
        <f>Q2180*(1-R2180)</f>
        <v>514800.00000000012</v>
      </c>
      <c r="T2180" s="18">
        <f>S2180/'Financial Inputs'!$B$3</f>
        <v>5.1480000000000015E-3</v>
      </c>
      <c r="U2180" s="9" t="s">
        <v>52</v>
      </c>
      <c r="V2180" s="3" t="s">
        <v>53</v>
      </c>
    </row>
    <row r="2181" spans="1:22">
      <c r="A2181" s="2" t="s">
        <v>6785</v>
      </c>
      <c r="B2181" s="2" t="s">
        <v>6786</v>
      </c>
      <c r="C2181" s="2" t="s">
        <v>6548</v>
      </c>
      <c r="D2181" s="2" t="s">
        <v>102</v>
      </c>
      <c r="E2181" s="2" t="s">
        <v>128</v>
      </c>
      <c r="F2181" s="2" t="s">
        <v>97</v>
      </c>
      <c r="G2181" s="2" t="s">
        <v>83</v>
      </c>
      <c r="H2181" s="2" t="s">
        <v>46</v>
      </c>
      <c r="I2181" s="2" t="s">
        <v>47</v>
      </c>
      <c r="J2181" s="2" t="s">
        <v>48</v>
      </c>
      <c r="K2181" s="2" t="s">
        <v>6787</v>
      </c>
      <c r="L2181" s="2" t="s">
        <v>414</v>
      </c>
      <c r="M2181" s="2" t="s">
        <v>6550</v>
      </c>
      <c r="N2181" s="16">
        <v>2.1600000000000001E-2</v>
      </c>
      <c r="O2181" s="17">
        <f>N2181*'Financial Inputs'!$B$3</f>
        <v>2160000</v>
      </c>
      <c r="P2181" s="18">
        <f>IF(I2181="L",'Financial Inputs'!$B$4,IF(I2181="M",'Financial Inputs'!$B$5,'Financial Inputs'!$B$6))</f>
        <v>0.4</v>
      </c>
      <c r="Q2181" s="17">
        <f>O2181*P2181</f>
        <v>864000</v>
      </c>
      <c r="R2181" s="16">
        <f>'Financial Inputs'!$B$7</f>
        <v>0.35</v>
      </c>
      <c r="S2181" s="17">
        <f>Q2181*(1-R2181)</f>
        <v>561600</v>
      </c>
      <c r="T2181" s="18">
        <f>S2181/'Financial Inputs'!$B$3</f>
        <v>5.6160000000000003E-3</v>
      </c>
      <c r="U2181" s="9" t="s">
        <v>52</v>
      </c>
      <c r="V2181" s="3" t="s">
        <v>53</v>
      </c>
    </row>
    <row r="2182" spans="1:22">
      <c r="A2182" s="2" t="s">
        <v>6788</v>
      </c>
      <c r="B2182" s="2" t="s">
        <v>6789</v>
      </c>
      <c r="C2182" s="2" t="s">
        <v>6548</v>
      </c>
      <c r="D2182" s="2" t="s">
        <v>64</v>
      </c>
      <c r="E2182" s="2" t="s">
        <v>81</v>
      </c>
      <c r="F2182" s="2" t="s">
        <v>74</v>
      </c>
      <c r="G2182" s="2" t="s">
        <v>67</v>
      </c>
      <c r="H2182" s="2" t="s">
        <v>46</v>
      </c>
      <c r="I2182" s="2" t="s">
        <v>47</v>
      </c>
      <c r="J2182" s="2" t="s">
        <v>48</v>
      </c>
      <c r="K2182" s="2" t="s">
        <v>6790</v>
      </c>
      <c r="L2182" s="2" t="s">
        <v>418</v>
      </c>
      <c r="M2182" s="2" t="s">
        <v>6550</v>
      </c>
      <c r="N2182" s="16">
        <v>1.44E-2</v>
      </c>
      <c r="O2182" s="17">
        <f>N2182*'Financial Inputs'!$B$3</f>
        <v>1440000</v>
      </c>
      <c r="P2182" s="18">
        <f>IF(I2182="L",'Financial Inputs'!$B$4,IF(I2182="M",'Financial Inputs'!$B$5,'Financial Inputs'!$B$6))</f>
        <v>0.4</v>
      </c>
      <c r="Q2182" s="17">
        <f>O2182*P2182</f>
        <v>576000</v>
      </c>
      <c r="R2182" s="16">
        <f>'Financial Inputs'!$B$7</f>
        <v>0.35</v>
      </c>
      <c r="S2182" s="17">
        <f>Q2182*(1-R2182)</f>
        <v>374400</v>
      </c>
      <c r="T2182" s="18">
        <f>S2182/'Financial Inputs'!$B$3</f>
        <v>3.7439999999999999E-3</v>
      </c>
      <c r="U2182" s="9" t="s">
        <v>52</v>
      </c>
      <c r="V2182" s="3" t="s">
        <v>53</v>
      </c>
    </row>
    <row r="2183" spans="1:22">
      <c r="A2183" s="2" t="s">
        <v>6791</v>
      </c>
      <c r="B2183" s="2" t="s">
        <v>6792</v>
      </c>
      <c r="C2183" s="2" t="s">
        <v>6548</v>
      </c>
      <c r="D2183" s="2" t="s">
        <v>72</v>
      </c>
      <c r="E2183" s="2" t="s">
        <v>193</v>
      </c>
      <c r="F2183" s="2" t="s">
        <v>82</v>
      </c>
      <c r="G2183" s="2" t="s">
        <v>75</v>
      </c>
      <c r="H2183" s="2" t="s">
        <v>46</v>
      </c>
      <c r="I2183" s="2" t="s">
        <v>47</v>
      </c>
      <c r="J2183" s="2" t="s">
        <v>48</v>
      </c>
      <c r="K2183" s="2" t="s">
        <v>6793</v>
      </c>
      <c r="L2183" s="2" t="s">
        <v>422</v>
      </c>
      <c r="M2183" s="2" t="s">
        <v>6550</v>
      </c>
      <c r="N2183" s="16">
        <v>1.6199999999999999E-2</v>
      </c>
      <c r="O2183" s="17">
        <f>N2183*'Financial Inputs'!$B$3</f>
        <v>1620000</v>
      </c>
      <c r="P2183" s="18">
        <f>IF(I2183="L",'Financial Inputs'!$B$4,IF(I2183="M",'Financial Inputs'!$B$5,'Financial Inputs'!$B$6))</f>
        <v>0.4</v>
      </c>
      <c r="Q2183" s="17">
        <f>O2183*P2183</f>
        <v>648000</v>
      </c>
      <c r="R2183" s="16">
        <f>'Financial Inputs'!$B$7</f>
        <v>0.35</v>
      </c>
      <c r="S2183" s="17">
        <f>Q2183*(1-R2183)</f>
        <v>421200</v>
      </c>
      <c r="T2183" s="18">
        <f>S2183/'Financial Inputs'!$B$3</f>
        <v>4.2119999999999996E-3</v>
      </c>
      <c r="U2183" s="9" t="s">
        <v>52</v>
      </c>
      <c r="V2183" s="3" t="s">
        <v>53</v>
      </c>
    </row>
    <row r="2184" spans="1:22">
      <c r="A2184" s="2" t="s">
        <v>6794</v>
      </c>
      <c r="B2184" s="2" t="s">
        <v>6795</v>
      </c>
      <c r="C2184" s="2" t="s">
        <v>6548</v>
      </c>
      <c r="D2184" s="2" t="s">
        <v>80</v>
      </c>
      <c r="E2184" s="2" t="s">
        <v>198</v>
      </c>
      <c r="F2184" s="2" t="s">
        <v>44</v>
      </c>
      <c r="G2184" s="2" t="s">
        <v>83</v>
      </c>
      <c r="H2184" s="2" t="s">
        <v>46</v>
      </c>
      <c r="I2184" s="2" t="s">
        <v>47</v>
      </c>
      <c r="J2184" s="2" t="s">
        <v>48</v>
      </c>
      <c r="K2184" s="2" t="s">
        <v>6796</v>
      </c>
      <c r="L2184" s="2" t="s">
        <v>426</v>
      </c>
      <c r="M2184" s="2" t="s">
        <v>6550</v>
      </c>
      <c r="N2184" s="16">
        <v>1.7999999999999999E-2</v>
      </c>
      <c r="O2184" s="17">
        <f>N2184*'Financial Inputs'!$B$3</f>
        <v>1799999.9999999998</v>
      </c>
      <c r="P2184" s="18">
        <f>IF(I2184="L",'Financial Inputs'!$B$4,IF(I2184="M",'Financial Inputs'!$B$5,'Financial Inputs'!$B$6))</f>
        <v>0.4</v>
      </c>
      <c r="Q2184" s="17">
        <f>O2184*P2184</f>
        <v>720000</v>
      </c>
      <c r="R2184" s="16">
        <f>'Financial Inputs'!$B$7</f>
        <v>0.35</v>
      </c>
      <c r="S2184" s="17">
        <f>Q2184*(1-R2184)</f>
        <v>468000</v>
      </c>
      <c r="T2184" s="18">
        <f>S2184/'Financial Inputs'!$B$3</f>
        <v>4.6800000000000001E-3</v>
      </c>
      <c r="U2184" s="9" t="s">
        <v>52</v>
      </c>
      <c r="V2184" s="3" t="s">
        <v>53</v>
      </c>
    </row>
    <row r="2185" spans="1:22">
      <c r="A2185" s="2" t="s">
        <v>6797</v>
      </c>
      <c r="B2185" s="2" t="s">
        <v>6798</v>
      </c>
      <c r="C2185" s="2" t="s">
        <v>6548</v>
      </c>
      <c r="D2185" s="2" t="s">
        <v>127</v>
      </c>
      <c r="E2185" s="2" t="s">
        <v>148</v>
      </c>
      <c r="F2185" s="2" t="s">
        <v>58</v>
      </c>
      <c r="G2185" s="2" t="s">
        <v>111</v>
      </c>
      <c r="H2185" s="2" t="s">
        <v>46</v>
      </c>
      <c r="I2185" s="2" t="s">
        <v>47</v>
      </c>
      <c r="J2185" s="2" t="s">
        <v>48</v>
      </c>
      <c r="K2185" s="2" t="s">
        <v>6799</v>
      </c>
      <c r="L2185" s="2" t="s">
        <v>430</v>
      </c>
      <c r="M2185" s="2" t="s">
        <v>6550</v>
      </c>
      <c r="N2185" s="16">
        <v>1.9800000000000002E-2</v>
      </c>
      <c r="O2185" s="17">
        <f>N2185*'Financial Inputs'!$B$3</f>
        <v>1980000.0000000002</v>
      </c>
      <c r="P2185" s="18">
        <f>IF(I2185="L",'Financial Inputs'!$B$4,IF(I2185="M",'Financial Inputs'!$B$5,'Financial Inputs'!$B$6))</f>
        <v>0.4</v>
      </c>
      <c r="Q2185" s="17">
        <f>O2185*P2185</f>
        <v>792000.00000000012</v>
      </c>
      <c r="R2185" s="16">
        <f>'Financial Inputs'!$B$7</f>
        <v>0.35</v>
      </c>
      <c r="S2185" s="17">
        <f>Q2185*(1-R2185)</f>
        <v>514800.00000000012</v>
      </c>
      <c r="T2185" s="18">
        <f>S2185/'Financial Inputs'!$B$3</f>
        <v>5.1480000000000015E-3</v>
      </c>
      <c r="U2185" s="9" t="s">
        <v>52</v>
      </c>
      <c r="V2185" s="3" t="s">
        <v>53</v>
      </c>
    </row>
    <row r="2186" spans="1:22">
      <c r="A2186" s="2" t="s">
        <v>6800</v>
      </c>
      <c r="B2186" s="2" t="s">
        <v>6801</v>
      </c>
      <c r="C2186" s="2" t="s">
        <v>6548</v>
      </c>
      <c r="D2186" s="2" t="s">
        <v>133</v>
      </c>
      <c r="E2186" s="2" t="s">
        <v>153</v>
      </c>
      <c r="F2186" s="2" t="s">
        <v>66</v>
      </c>
      <c r="G2186" s="2" t="s">
        <v>56</v>
      </c>
      <c r="H2186" s="2" t="s">
        <v>46</v>
      </c>
      <c r="I2186" s="2" t="s">
        <v>47</v>
      </c>
      <c r="J2186" s="2" t="s">
        <v>48</v>
      </c>
      <c r="K2186" s="2" t="s">
        <v>6802</v>
      </c>
      <c r="L2186" s="2" t="s">
        <v>434</v>
      </c>
      <c r="M2186" s="2" t="s">
        <v>6550</v>
      </c>
      <c r="N2186" s="16">
        <v>2.1600000000000001E-2</v>
      </c>
      <c r="O2186" s="17">
        <f>N2186*'Financial Inputs'!$B$3</f>
        <v>2160000</v>
      </c>
      <c r="P2186" s="18">
        <f>IF(I2186="L",'Financial Inputs'!$B$4,IF(I2186="M",'Financial Inputs'!$B$5,'Financial Inputs'!$B$6))</f>
        <v>0.4</v>
      </c>
      <c r="Q2186" s="17">
        <f>O2186*P2186</f>
        <v>864000</v>
      </c>
      <c r="R2186" s="16">
        <f>'Financial Inputs'!$B$7</f>
        <v>0.35</v>
      </c>
      <c r="S2186" s="17">
        <f>Q2186*(1-R2186)</f>
        <v>561600</v>
      </c>
      <c r="T2186" s="18">
        <f>S2186/'Financial Inputs'!$B$3</f>
        <v>5.6160000000000003E-3</v>
      </c>
      <c r="U2186" s="9" t="s">
        <v>52</v>
      </c>
      <c r="V2186" s="3" t="s">
        <v>53</v>
      </c>
    </row>
    <row r="2187" spans="1:22">
      <c r="A2187" s="2" t="s">
        <v>6803</v>
      </c>
      <c r="B2187" s="2" t="s">
        <v>6804</v>
      </c>
      <c r="C2187" s="2" t="s">
        <v>6548</v>
      </c>
      <c r="D2187" s="2" t="s">
        <v>102</v>
      </c>
      <c r="E2187" s="2" t="s">
        <v>116</v>
      </c>
      <c r="F2187" s="2" t="s">
        <v>110</v>
      </c>
      <c r="G2187" s="2" t="s">
        <v>83</v>
      </c>
      <c r="H2187" s="2" t="s">
        <v>46</v>
      </c>
      <c r="I2187" s="2" t="s">
        <v>47</v>
      </c>
      <c r="J2187" s="2" t="s">
        <v>48</v>
      </c>
      <c r="K2187" s="2" t="s">
        <v>6805</v>
      </c>
      <c r="L2187" s="2" t="s">
        <v>438</v>
      </c>
      <c r="M2187" s="2" t="s">
        <v>6550</v>
      </c>
      <c r="N2187" s="16">
        <v>1.44E-2</v>
      </c>
      <c r="O2187" s="17">
        <f>N2187*'Financial Inputs'!$B$3</f>
        <v>1440000</v>
      </c>
      <c r="P2187" s="18">
        <f>IF(I2187="L",'Financial Inputs'!$B$4,IF(I2187="M",'Financial Inputs'!$B$5,'Financial Inputs'!$B$6))</f>
        <v>0.4</v>
      </c>
      <c r="Q2187" s="17">
        <f>O2187*P2187</f>
        <v>576000</v>
      </c>
      <c r="R2187" s="16">
        <f>'Financial Inputs'!$B$7</f>
        <v>0.35</v>
      </c>
      <c r="S2187" s="17">
        <f>Q2187*(1-R2187)</f>
        <v>374400</v>
      </c>
      <c r="T2187" s="18">
        <f>S2187/'Financial Inputs'!$B$3</f>
        <v>3.7439999999999999E-3</v>
      </c>
      <c r="U2187" s="9" t="s">
        <v>52</v>
      </c>
      <c r="V2187" s="3" t="s">
        <v>53</v>
      </c>
    </row>
    <row r="2188" spans="1:22">
      <c r="A2188" s="2" t="s">
        <v>6806</v>
      </c>
      <c r="B2188" s="2" t="s">
        <v>6807</v>
      </c>
      <c r="C2188" s="2" t="s">
        <v>6548</v>
      </c>
      <c r="D2188" s="2" t="s">
        <v>42</v>
      </c>
      <c r="E2188" s="2" t="s">
        <v>215</v>
      </c>
      <c r="F2188" s="2" t="s">
        <v>117</v>
      </c>
      <c r="G2188" s="2" t="s">
        <v>111</v>
      </c>
      <c r="H2188" s="2" t="s">
        <v>46</v>
      </c>
      <c r="I2188" s="2" t="s">
        <v>47</v>
      </c>
      <c r="J2188" s="2" t="s">
        <v>48</v>
      </c>
      <c r="K2188" s="2" t="s">
        <v>6808</v>
      </c>
      <c r="L2188" s="2" t="s">
        <v>442</v>
      </c>
      <c r="M2188" s="2" t="s">
        <v>6550</v>
      </c>
      <c r="N2188" s="16">
        <v>1.6199999999999999E-2</v>
      </c>
      <c r="O2188" s="17">
        <f>N2188*'Financial Inputs'!$B$3</f>
        <v>1620000</v>
      </c>
      <c r="P2188" s="18">
        <f>IF(I2188="L",'Financial Inputs'!$B$4,IF(I2188="M",'Financial Inputs'!$B$5,'Financial Inputs'!$B$6))</f>
        <v>0.4</v>
      </c>
      <c r="Q2188" s="17">
        <f>O2188*P2188</f>
        <v>648000</v>
      </c>
      <c r="R2188" s="16">
        <f>'Financial Inputs'!$B$7</f>
        <v>0.35</v>
      </c>
      <c r="S2188" s="17">
        <f>Q2188*(1-R2188)</f>
        <v>421200</v>
      </c>
      <c r="T2188" s="18">
        <f>S2188/'Financial Inputs'!$B$3</f>
        <v>4.2119999999999996E-3</v>
      </c>
      <c r="U2188" s="9" t="s">
        <v>52</v>
      </c>
      <c r="V2188" s="3" t="s">
        <v>53</v>
      </c>
    </row>
    <row r="2189" spans="1:22">
      <c r="A2189" s="2" t="s">
        <v>6809</v>
      </c>
      <c r="B2189" s="2" t="s">
        <v>6810</v>
      </c>
      <c r="C2189" s="2" t="s">
        <v>6548</v>
      </c>
      <c r="D2189" s="2" t="s">
        <v>56</v>
      </c>
      <c r="E2189" s="2" t="s">
        <v>220</v>
      </c>
      <c r="F2189" s="2" t="s">
        <v>90</v>
      </c>
      <c r="G2189" s="2" t="s">
        <v>56</v>
      </c>
      <c r="H2189" s="2" t="s">
        <v>46</v>
      </c>
      <c r="I2189" s="2" t="s">
        <v>47</v>
      </c>
      <c r="J2189" s="2" t="s">
        <v>48</v>
      </c>
      <c r="K2189" s="2" t="s">
        <v>6811</v>
      </c>
      <c r="L2189" s="2" t="s">
        <v>446</v>
      </c>
      <c r="M2189" s="2" t="s">
        <v>6550</v>
      </c>
      <c r="N2189" s="16">
        <v>1.7999999999999999E-2</v>
      </c>
      <c r="O2189" s="17">
        <f>N2189*'Financial Inputs'!$B$3</f>
        <v>1799999.9999999998</v>
      </c>
      <c r="P2189" s="18">
        <f>IF(I2189="L",'Financial Inputs'!$B$4,IF(I2189="M",'Financial Inputs'!$B$5,'Financial Inputs'!$B$6))</f>
        <v>0.4</v>
      </c>
      <c r="Q2189" s="17">
        <f>O2189*P2189</f>
        <v>720000</v>
      </c>
      <c r="R2189" s="16">
        <f>'Financial Inputs'!$B$7</f>
        <v>0.35</v>
      </c>
      <c r="S2189" s="17">
        <f>Q2189*(1-R2189)</f>
        <v>468000</v>
      </c>
      <c r="T2189" s="18">
        <f>S2189/'Financial Inputs'!$B$3</f>
        <v>4.6800000000000001E-3</v>
      </c>
      <c r="U2189" s="9" t="s">
        <v>52</v>
      </c>
      <c r="V2189" s="3" t="s">
        <v>53</v>
      </c>
    </row>
    <row r="2190" spans="1:22">
      <c r="A2190" s="2" t="s">
        <v>6812</v>
      </c>
      <c r="B2190" s="2" t="s">
        <v>6813</v>
      </c>
      <c r="C2190" s="2" t="s">
        <v>6548</v>
      </c>
      <c r="D2190" s="2" t="s">
        <v>64</v>
      </c>
      <c r="E2190" s="2" t="s">
        <v>171</v>
      </c>
      <c r="F2190" s="2" t="s">
        <v>97</v>
      </c>
      <c r="G2190" s="2" t="s">
        <v>138</v>
      </c>
      <c r="H2190" s="2" t="s">
        <v>46</v>
      </c>
      <c r="I2190" s="2" t="s">
        <v>47</v>
      </c>
      <c r="J2190" s="2" t="s">
        <v>48</v>
      </c>
      <c r="K2190" s="2" t="s">
        <v>6814</v>
      </c>
      <c r="L2190" s="2" t="s">
        <v>450</v>
      </c>
      <c r="M2190" s="2" t="s">
        <v>6550</v>
      </c>
      <c r="N2190" s="16">
        <v>1.9800000000000002E-2</v>
      </c>
      <c r="O2190" s="17">
        <f>N2190*'Financial Inputs'!$B$3</f>
        <v>1980000.0000000002</v>
      </c>
      <c r="P2190" s="18">
        <f>IF(I2190="L",'Financial Inputs'!$B$4,IF(I2190="M",'Financial Inputs'!$B$5,'Financial Inputs'!$B$6))</f>
        <v>0.4</v>
      </c>
      <c r="Q2190" s="17">
        <f>O2190*P2190</f>
        <v>792000.00000000012</v>
      </c>
      <c r="R2190" s="16">
        <f>'Financial Inputs'!$B$7</f>
        <v>0.35</v>
      </c>
      <c r="S2190" s="17">
        <f>Q2190*(1-R2190)</f>
        <v>514800.00000000012</v>
      </c>
      <c r="T2190" s="18">
        <f>S2190/'Financial Inputs'!$B$3</f>
        <v>5.1480000000000015E-3</v>
      </c>
      <c r="U2190" s="9" t="s">
        <v>52</v>
      </c>
      <c r="V2190" s="3" t="s">
        <v>53</v>
      </c>
    </row>
    <row r="2191" spans="1:22">
      <c r="A2191" s="2" t="s">
        <v>6815</v>
      </c>
      <c r="B2191" s="2" t="s">
        <v>6816</v>
      </c>
      <c r="C2191" s="2" t="s">
        <v>6548</v>
      </c>
      <c r="D2191" s="2" t="s">
        <v>72</v>
      </c>
      <c r="E2191" s="2" t="s">
        <v>176</v>
      </c>
      <c r="F2191" s="2" t="s">
        <v>104</v>
      </c>
      <c r="G2191" s="2" t="s">
        <v>143</v>
      </c>
      <c r="H2191" s="2" t="s">
        <v>46</v>
      </c>
      <c r="I2191" s="2" t="s">
        <v>47</v>
      </c>
      <c r="J2191" s="2" t="s">
        <v>48</v>
      </c>
      <c r="K2191" s="2" t="s">
        <v>6817</v>
      </c>
      <c r="L2191" s="2" t="s">
        <v>454</v>
      </c>
      <c r="M2191" s="2" t="s">
        <v>6550</v>
      </c>
      <c r="N2191" s="16">
        <v>2.1600000000000001E-2</v>
      </c>
      <c r="O2191" s="17">
        <f>N2191*'Financial Inputs'!$B$3</f>
        <v>2160000</v>
      </c>
      <c r="P2191" s="18">
        <f>IF(I2191="L",'Financial Inputs'!$B$4,IF(I2191="M",'Financial Inputs'!$B$5,'Financial Inputs'!$B$6))</f>
        <v>0.4</v>
      </c>
      <c r="Q2191" s="17">
        <f>O2191*P2191</f>
        <v>864000</v>
      </c>
      <c r="R2191" s="16">
        <f>'Financial Inputs'!$B$7</f>
        <v>0.35</v>
      </c>
      <c r="S2191" s="17">
        <f>Q2191*(1-R2191)</f>
        <v>561600</v>
      </c>
      <c r="T2191" s="18">
        <f>S2191/'Financial Inputs'!$B$3</f>
        <v>5.6160000000000003E-3</v>
      </c>
      <c r="U2191" s="9" t="s">
        <v>52</v>
      </c>
      <c r="V2191" s="3" t="s">
        <v>53</v>
      </c>
    </row>
    <row r="2192" spans="1:22">
      <c r="A2192" s="2" t="s">
        <v>6818</v>
      </c>
      <c r="B2192" s="2" t="s">
        <v>6819</v>
      </c>
      <c r="C2192" s="2" t="s">
        <v>6548</v>
      </c>
      <c r="D2192" s="2" t="s">
        <v>133</v>
      </c>
      <c r="E2192" s="2" t="s">
        <v>65</v>
      </c>
      <c r="F2192" s="2" t="s">
        <v>82</v>
      </c>
      <c r="G2192" s="2" t="s">
        <v>56</v>
      </c>
      <c r="H2192" s="2" t="s">
        <v>46</v>
      </c>
      <c r="I2192" s="2" t="s">
        <v>47</v>
      </c>
      <c r="J2192" s="2" t="s">
        <v>48</v>
      </c>
      <c r="K2192" s="2" t="s">
        <v>6820</v>
      </c>
      <c r="L2192" s="2" t="s">
        <v>458</v>
      </c>
      <c r="M2192" s="2" t="s">
        <v>6550</v>
      </c>
      <c r="N2192" s="16">
        <v>1.44E-2</v>
      </c>
      <c r="O2192" s="17">
        <f>N2192*'Financial Inputs'!$B$3</f>
        <v>1440000</v>
      </c>
      <c r="P2192" s="18">
        <f>IF(I2192="L",'Financial Inputs'!$B$4,IF(I2192="M",'Financial Inputs'!$B$5,'Financial Inputs'!$B$6))</f>
        <v>0.4</v>
      </c>
      <c r="Q2192" s="17">
        <f>O2192*P2192</f>
        <v>576000</v>
      </c>
      <c r="R2192" s="16">
        <f>'Financial Inputs'!$B$7</f>
        <v>0.35</v>
      </c>
      <c r="S2192" s="17">
        <f>Q2192*(1-R2192)</f>
        <v>374400</v>
      </c>
      <c r="T2192" s="18">
        <f>S2192/'Financial Inputs'!$B$3</f>
        <v>3.7439999999999999E-3</v>
      </c>
      <c r="U2192" s="9" t="s">
        <v>52</v>
      </c>
      <c r="V2192" s="3" t="s">
        <v>53</v>
      </c>
    </row>
    <row r="2193" spans="1:22">
      <c r="A2193" s="2" t="s">
        <v>6821</v>
      </c>
      <c r="B2193" s="2" t="s">
        <v>6822</v>
      </c>
      <c r="C2193" s="2" t="s">
        <v>6548</v>
      </c>
      <c r="D2193" s="2" t="s">
        <v>88</v>
      </c>
      <c r="E2193" s="2" t="s">
        <v>73</v>
      </c>
      <c r="F2193" s="2" t="s">
        <v>44</v>
      </c>
      <c r="G2193" s="2" t="s">
        <v>138</v>
      </c>
      <c r="H2193" s="2" t="s">
        <v>46</v>
      </c>
      <c r="I2193" s="2" t="s">
        <v>47</v>
      </c>
      <c r="J2193" s="2" t="s">
        <v>48</v>
      </c>
      <c r="K2193" s="2" t="s">
        <v>6823</v>
      </c>
      <c r="L2193" s="2" t="s">
        <v>462</v>
      </c>
      <c r="M2193" s="2" t="s">
        <v>6550</v>
      </c>
      <c r="N2193" s="16">
        <v>1.6199999999999999E-2</v>
      </c>
      <c r="O2193" s="17">
        <f>N2193*'Financial Inputs'!$B$3</f>
        <v>1620000</v>
      </c>
      <c r="P2193" s="18">
        <f>IF(I2193="L",'Financial Inputs'!$B$4,IF(I2193="M",'Financial Inputs'!$B$5,'Financial Inputs'!$B$6))</f>
        <v>0.4</v>
      </c>
      <c r="Q2193" s="17">
        <f>O2193*P2193</f>
        <v>648000</v>
      </c>
      <c r="R2193" s="16">
        <f>'Financial Inputs'!$B$7</f>
        <v>0.35</v>
      </c>
      <c r="S2193" s="17">
        <f>Q2193*(1-R2193)</f>
        <v>421200</v>
      </c>
      <c r="T2193" s="18">
        <f>S2193/'Financial Inputs'!$B$3</f>
        <v>4.2119999999999996E-3</v>
      </c>
      <c r="U2193" s="9" t="s">
        <v>52</v>
      </c>
      <c r="V2193" s="3" t="s">
        <v>53</v>
      </c>
    </row>
    <row r="2194" spans="1:22">
      <c r="A2194" s="2" t="s">
        <v>6824</v>
      </c>
      <c r="B2194" s="2" t="s">
        <v>6825</v>
      </c>
      <c r="C2194" s="2" t="s">
        <v>6548</v>
      </c>
      <c r="D2194" s="2" t="s">
        <v>95</v>
      </c>
      <c r="E2194" s="2" t="s">
        <v>81</v>
      </c>
      <c r="F2194" s="2" t="s">
        <v>58</v>
      </c>
      <c r="G2194" s="2" t="s">
        <v>143</v>
      </c>
      <c r="H2194" s="2" t="s">
        <v>46</v>
      </c>
      <c r="I2194" s="2" t="s">
        <v>47</v>
      </c>
      <c r="J2194" s="2" t="s">
        <v>48</v>
      </c>
      <c r="K2194" s="2" t="s">
        <v>6826</v>
      </c>
      <c r="L2194" s="2" t="s">
        <v>466</v>
      </c>
      <c r="M2194" s="2" t="s">
        <v>6550</v>
      </c>
      <c r="N2194" s="16">
        <v>1.7999999999999999E-2</v>
      </c>
      <c r="O2194" s="17">
        <f>N2194*'Financial Inputs'!$B$3</f>
        <v>1799999.9999999998</v>
      </c>
      <c r="P2194" s="18">
        <f>IF(I2194="L",'Financial Inputs'!$B$4,IF(I2194="M",'Financial Inputs'!$B$5,'Financial Inputs'!$B$6))</f>
        <v>0.4</v>
      </c>
      <c r="Q2194" s="17">
        <f>O2194*P2194</f>
        <v>720000</v>
      </c>
      <c r="R2194" s="16">
        <f>'Financial Inputs'!$B$7</f>
        <v>0.35</v>
      </c>
      <c r="S2194" s="17">
        <f>Q2194*(1-R2194)</f>
        <v>468000</v>
      </c>
      <c r="T2194" s="18">
        <f>S2194/'Financial Inputs'!$B$3</f>
        <v>4.6800000000000001E-3</v>
      </c>
      <c r="U2194" s="9" t="s">
        <v>52</v>
      </c>
      <c r="V2194" s="3" t="s">
        <v>53</v>
      </c>
    </row>
    <row r="2195" spans="1:22">
      <c r="A2195" s="2" t="s">
        <v>6827</v>
      </c>
      <c r="B2195" s="2" t="s">
        <v>6828</v>
      </c>
      <c r="C2195" s="2" t="s">
        <v>6548</v>
      </c>
      <c r="D2195" s="2" t="s">
        <v>102</v>
      </c>
      <c r="E2195" s="2" t="s">
        <v>193</v>
      </c>
      <c r="F2195" s="2" t="s">
        <v>66</v>
      </c>
      <c r="G2195" s="2" t="s">
        <v>162</v>
      </c>
      <c r="H2195" s="2" t="s">
        <v>46</v>
      </c>
      <c r="I2195" s="2" t="s">
        <v>47</v>
      </c>
      <c r="J2195" s="2" t="s">
        <v>48</v>
      </c>
      <c r="K2195" s="2" t="s">
        <v>6829</v>
      </c>
      <c r="L2195" s="2" t="s">
        <v>470</v>
      </c>
      <c r="M2195" s="2" t="s">
        <v>6550</v>
      </c>
      <c r="N2195" s="16">
        <v>1.9800000000000002E-2</v>
      </c>
      <c r="O2195" s="17">
        <f>N2195*'Financial Inputs'!$B$3</f>
        <v>1980000.0000000002</v>
      </c>
      <c r="P2195" s="18">
        <f>IF(I2195="L",'Financial Inputs'!$B$4,IF(I2195="M",'Financial Inputs'!$B$5,'Financial Inputs'!$B$6))</f>
        <v>0.4</v>
      </c>
      <c r="Q2195" s="17">
        <f>O2195*P2195</f>
        <v>792000.00000000012</v>
      </c>
      <c r="R2195" s="16">
        <f>'Financial Inputs'!$B$7</f>
        <v>0.35</v>
      </c>
      <c r="S2195" s="17">
        <f>Q2195*(1-R2195)</f>
        <v>514800.00000000012</v>
      </c>
      <c r="T2195" s="18">
        <f>S2195/'Financial Inputs'!$B$3</f>
        <v>5.1480000000000015E-3</v>
      </c>
      <c r="U2195" s="9" t="s">
        <v>52</v>
      </c>
      <c r="V2195" s="3" t="s">
        <v>53</v>
      </c>
    </row>
    <row r="2196" spans="1:22">
      <c r="A2196" s="2" t="s">
        <v>6830</v>
      </c>
      <c r="B2196" s="2" t="s">
        <v>6831</v>
      </c>
      <c r="C2196" s="2" t="s">
        <v>6548</v>
      </c>
      <c r="D2196" s="2" t="s">
        <v>42</v>
      </c>
      <c r="E2196" s="2" t="s">
        <v>198</v>
      </c>
      <c r="F2196" s="2" t="s">
        <v>74</v>
      </c>
      <c r="G2196" s="2" t="s">
        <v>45</v>
      </c>
      <c r="H2196" s="2" t="s">
        <v>46</v>
      </c>
      <c r="I2196" s="2" t="s">
        <v>47</v>
      </c>
      <c r="J2196" s="2" t="s">
        <v>48</v>
      </c>
      <c r="K2196" s="2" t="s">
        <v>6832</v>
      </c>
      <c r="L2196" s="2" t="s">
        <v>474</v>
      </c>
      <c r="M2196" s="2" t="s">
        <v>6550</v>
      </c>
      <c r="N2196" s="16">
        <v>2.1600000000000001E-2</v>
      </c>
      <c r="O2196" s="17">
        <f>N2196*'Financial Inputs'!$B$3</f>
        <v>2160000</v>
      </c>
      <c r="P2196" s="18">
        <f>IF(I2196="L",'Financial Inputs'!$B$4,IF(I2196="M",'Financial Inputs'!$B$5,'Financial Inputs'!$B$6))</f>
        <v>0.4</v>
      </c>
      <c r="Q2196" s="17">
        <f>O2196*P2196</f>
        <v>864000</v>
      </c>
      <c r="R2196" s="16">
        <f>'Financial Inputs'!$B$7</f>
        <v>0.35</v>
      </c>
      <c r="S2196" s="17">
        <f>Q2196*(1-R2196)</f>
        <v>561600</v>
      </c>
      <c r="T2196" s="18">
        <f>S2196/'Financial Inputs'!$B$3</f>
        <v>5.6160000000000003E-3</v>
      </c>
      <c r="U2196" s="9" t="s">
        <v>52</v>
      </c>
      <c r="V2196" s="3" t="s">
        <v>53</v>
      </c>
    </row>
    <row r="2197" spans="1:22">
      <c r="A2197" s="2" t="s">
        <v>6833</v>
      </c>
      <c r="B2197" s="2" t="s">
        <v>6834</v>
      </c>
      <c r="C2197" s="2" t="s">
        <v>6548</v>
      </c>
      <c r="D2197" s="2" t="s">
        <v>72</v>
      </c>
      <c r="E2197" s="2" t="s">
        <v>103</v>
      </c>
      <c r="F2197" s="2" t="s">
        <v>117</v>
      </c>
      <c r="G2197" s="2" t="s">
        <v>143</v>
      </c>
      <c r="H2197" s="2" t="s">
        <v>46</v>
      </c>
      <c r="I2197" s="2" t="s">
        <v>47</v>
      </c>
      <c r="J2197" s="2" t="s">
        <v>48</v>
      </c>
      <c r="K2197" s="2" t="s">
        <v>6835</v>
      </c>
      <c r="L2197" s="2" t="s">
        <v>478</v>
      </c>
      <c r="M2197" s="2" t="s">
        <v>6550</v>
      </c>
      <c r="N2197" s="16">
        <v>1.44E-2</v>
      </c>
      <c r="O2197" s="17">
        <f>N2197*'Financial Inputs'!$B$3</f>
        <v>1440000</v>
      </c>
      <c r="P2197" s="18">
        <f>IF(I2197="L",'Financial Inputs'!$B$4,IF(I2197="M",'Financial Inputs'!$B$5,'Financial Inputs'!$B$6))</f>
        <v>0.4</v>
      </c>
      <c r="Q2197" s="17">
        <f>O2197*P2197</f>
        <v>576000</v>
      </c>
      <c r="R2197" s="16">
        <f>'Financial Inputs'!$B$7</f>
        <v>0.35</v>
      </c>
      <c r="S2197" s="17">
        <f>Q2197*(1-R2197)</f>
        <v>374400</v>
      </c>
      <c r="T2197" s="18">
        <f>S2197/'Financial Inputs'!$B$3</f>
        <v>3.7439999999999999E-3</v>
      </c>
      <c r="U2197" s="9" t="s">
        <v>52</v>
      </c>
      <c r="V2197" s="3" t="s">
        <v>53</v>
      </c>
    </row>
    <row r="2198" spans="1:22">
      <c r="A2198" s="2" t="s">
        <v>6836</v>
      </c>
      <c r="B2198" s="2" t="s">
        <v>6837</v>
      </c>
      <c r="C2198" s="2" t="s">
        <v>6548</v>
      </c>
      <c r="D2198" s="2" t="s">
        <v>80</v>
      </c>
      <c r="E2198" s="2" t="s">
        <v>109</v>
      </c>
      <c r="F2198" s="2" t="s">
        <v>90</v>
      </c>
      <c r="G2198" s="2" t="s">
        <v>162</v>
      </c>
      <c r="H2198" s="2" t="s">
        <v>46</v>
      </c>
      <c r="I2198" s="2" t="s">
        <v>47</v>
      </c>
      <c r="J2198" s="2" t="s">
        <v>48</v>
      </c>
      <c r="K2198" s="2" t="s">
        <v>6838</v>
      </c>
      <c r="L2198" s="2" t="s">
        <v>482</v>
      </c>
      <c r="M2198" s="2" t="s">
        <v>6550</v>
      </c>
      <c r="N2198" s="16">
        <v>1.6199999999999999E-2</v>
      </c>
      <c r="O2198" s="17">
        <f>N2198*'Financial Inputs'!$B$3</f>
        <v>1620000</v>
      </c>
      <c r="P2198" s="18">
        <f>IF(I2198="L",'Financial Inputs'!$B$4,IF(I2198="M",'Financial Inputs'!$B$5,'Financial Inputs'!$B$6))</f>
        <v>0.4</v>
      </c>
      <c r="Q2198" s="17">
        <f>O2198*P2198</f>
        <v>648000</v>
      </c>
      <c r="R2198" s="16">
        <f>'Financial Inputs'!$B$7</f>
        <v>0.35</v>
      </c>
      <c r="S2198" s="17">
        <f>Q2198*(1-R2198)</f>
        <v>421200</v>
      </c>
      <c r="T2198" s="18">
        <f>S2198/'Financial Inputs'!$B$3</f>
        <v>4.2119999999999996E-3</v>
      </c>
      <c r="U2198" s="9" t="s">
        <v>52</v>
      </c>
      <c r="V2198" s="3" t="s">
        <v>53</v>
      </c>
    </row>
    <row r="2199" spans="1:22">
      <c r="A2199" s="2" t="s">
        <v>6839</v>
      </c>
      <c r="B2199" s="2" t="s">
        <v>6840</v>
      </c>
      <c r="C2199" s="2" t="s">
        <v>6548</v>
      </c>
      <c r="D2199" s="2" t="s">
        <v>127</v>
      </c>
      <c r="E2199" s="2" t="s">
        <v>116</v>
      </c>
      <c r="F2199" s="2" t="s">
        <v>97</v>
      </c>
      <c r="G2199" s="2" t="s">
        <v>45</v>
      </c>
      <c r="H2199" s="2" t="s">
        <v>46</v>
      </c>
      <c r="I2199" s="2" t="s">
        <v>47</v>
      </c>
      <c r="J2199" s="2" t="s">
        <v>48</v>
      </c>
      <c r="K2199" s="2" t="s">
        <v>6841</v>
      </c>
      <c r="L2199" s="2" t="s">
        <v>486</v>
      </c>
      <c r="M2199" s="2" t="s">
        <v>6550</v>
      </c>
      <c r="N2199" s="16">
        <v>1.7999999999999999E-2</v>
      </c>
      <c r="O2199" s="17">
        <f>N2199*'Financial Inputs'!$B$3</f>
        <v>1799999.9999999998</v>
      </c>
      <c r="P2199" s="18">
        <f>IF(I2199="L",'Financial Inputs'!$B$4,IF(I2199="M",'Financial Inputs'!$B$5,'Financial Inputs'!$B$6))</f>
        <v>0.4</v>
      </c>
      <c r="Q2199" s="17">
        <f>O2199*P2199</f>
        <v>720000</v>
      </c>
      <c r="R2199" s="16">
        <f>'Financial Inputs'!$B$7</f>
        <v>0.35</v>
      </c>
      <c r="S2199" s="17">
        <f>Q2199*(1-R2199)</f>
        <v>468000</v>
      </c>
      <c r="T2199" s="18">
        <f>S2199/'Financial Inputs'!$B$3</f>
        <v>4.6800000000000001E-3</v>
      </c>
      <c r="U2199" s="9" t="s">
        <v>52</v>
      </c>
      <c r="V2199" s="3" t="s">
        <v>53</v>
      </c>
    </row>
    <row r="2200" spans="1:22">
      <c r="A2200" s="2" t="s">
        <v>6842</v>
      </c>
      <c r="B2200" s="2" t="s">
        <v>6843</v>
      </c>
      <c r="C2200" s="2" t="s">
        <v>6548</v>
      </c>
      <c r="D2200" s="2" t="s">
        <v>133</v>
      </c>
      <c r="E2200" s="2" t="s">
        <v>215</v>
      </c>
      <c r="F2200" s="2" t="s">
        <v>104</v>
      </c>
      <c r="G2200" s="2" t="s">
        <v>59</v>
      </c>
      <c r="H2200" s="2" t="s">
        <v>46</v>
      </c>
      <c r="I2200" s="2" t="s">
        <v>47</v>
      </c>
      <c r="J2200" s="2" t="s">
        <v>48</v>
      </c>
      <c r="K2200" s="2" t="s">
        <v>6844</v>
      </c>
      <c r="L2200" s="2" t="s">
        <v>490</v>
      </c>
      <c r="M2200" s="2" t="s">
        <v>6550</v>
      </c>
      <c r="N2200" s="16">
        <v>1.9800000000000002E-2</v>
      </c>
      <c r="O2200" s="17">
        <f>N2200*'Financial Inputs'!$B$3</f>
        <v>1980000.0000000002</v>
      </c>
      <c r="P2200" s="18">
        <f>IF(I2200="L",'Financial Inputs'!$B$4,IF(I2200="M",'Financial Inputs'!$B$5,'Financial Inputs'!$B$6))</f>
        <v>0.4</v>
      </c>
      <c r="Q2200" s="17">
        <f>O2200*P2200</f>
        <v>792000.00000000012</v>
      </c>
      <c r="R2200" s="16">
        <f>'Financial Inputs'!$B$7</f>
        <v>0.35</v>
      </c>
      <c r="S2200" s="17">
        <f>Q2200*(1-R2200)</f>
        <v>514800.00000000012</v>
      </c>
      <c r="T2200" s="18">
        <f>S2200/'Financial Inputs'!$B$3</f>
        <v>5.1480000000000015E-3</v>
      </c>
      <c r="U2200" s="9" t="s">
        <v>52</v>
      </c>
      <c r="V2200" s="3" t="s">
        <v>53</v>
      </c>
    </row>
    <row r="2201" spans="1:22">
      <c r="A2201" s="2" t="s">
        <v>6845</v>
      </c>
      <c r="B2201" s="2" t="s">
        <v>6846</v>
      </c>
      <c r="C2201" s="2" t="s">
        <v>6548</v>
      </c>
      <c r="D2201" s="2" t="s">
        <v>88</v>
      </c>
      <c r="E2201" s="2" t="s">
        <v>220</v>
      </c>
      <c r="F2201" s="2" t="s">
        <v>110</v>
      </c>
      <c r="G2201" s="2" t="s">
        <v>67</v>
      </c>
      <c r="H2201" s="2" t="s">
        <v>46</v>
      </c>
      <c r="I2201" s="2" t="s">
        <v>47</v>
      </c>
      <c r="J2201" s="2" t="s">
        <v>48</v>
      </c>
      <c r="K2201" s="2" t="s">
        <v>6847</v>
      </c>
      <c r="L2201" s="2" t="s">
        <v>494</v>
      </c>
      <c r="M2201" s="2" t="s">
        <v>6550</v>
      </c>
      <c r="N2201" s="16">
        <v>2.1600000000000001E-2</v>
      </c>
      <c r="O2201" s="17">
        <f>N2201*'Financial Inputs'!$B$3</f>
        <v>2160000</v>
      </c>
      <c r="P2201" s="18">
        <f>IF(I2201="L",'Financial Inputs'!$B$4,IF(I2201="M",'Financial Inputs'!$B$5,'Financial Inputs'!$B$6))</f>
        <v>0.4</v>
      </c>
      <c r="Q2201" s="17">
        <f>O2201*P2201</f>
        <v>864000</v>
      </c>
      <c r="R2201" s="16">
        <f>'Financial Inputs'!$B$7</f>
        <v>0.35</v>
      </c>
      <c r="S2201" s="17">
        <f>Q2201*(1-R2201)</f>
        <v>561600</v>
      </c>
      <c r="T2201" s="18">
        <f>S2201/'Financial Inputs'!$B$3</f>
        <v>5.6160000000000003E-3</v>
      </c>
      <c r="U2201" s="9" t="s">
        <v>52</v>
      </c>
      <c r="V2201" s="3" t="s">
        <v>53</v>
      </c>
    </row>
    <row r="2202" spans="1:22">
      <c r="A2202" s="2" t="s">
        <v>6848</v>
      </c>
      <c r="B2202" s="2" t="s">
        <v>6849</v>
      </c>
      <c r="C2202" s="2" t="s">
        <v>6850</v>
      </c>
      <c r="D2202" s="2" t="s">
        <v>42</v>
      </c>
      <c r="E2202" s="2" t="s">
        <v>43</v>
      </c>
      <c r="F2202" s="2" t="s">
        <v>44</v>
      </c>
      <c r="G2202" s="2" t="s">
        <v>45</v>
      </c>
      <c r="H2202" s="2" t="s">
        <v>2318</v>
      </c>
      <c r="I2202" s="2" t="s">
        <v>499</v>
      </c>
      <c r="J2202" s="2" t="s">
        <v>2621</v>
      </c>
      <c r="K2202" s="2" t="s">
        <v>6851</v>
      </c>
      <c r="L2202" s="2" t="s">
        <v>50</v>
      </c>
      <c r="M2202" s="2" t="s">
        <v>6852</v>
      </c>
      <c r="N2202" s="16">
        <v>0.02</v>
      </c>
      <c r="O2202" s="17">
        <f>N2202*'Financial Inputs'!$B$3</f>
        <v>2000000</v>
      </c>
      <c r="P2202" s="18">
        <f>IF(I2202="L",'Financial Inputs'!$B$4,IF(I2202="M",'Financial Inputs'!$B$5,'Financial Inputs'!$B$6))</f>
        <v>0.7</v>
      </c>
      <c r="Q2202" s="17">
        <f>O2202*P2202</f>
        <v>1400000</v>
      </c>
      <c r="R2202" s="16">
        <f>'Financial Inputs'!$B$7</f>
        <v>0.35</v>
      </c>
      <c r="S2202" s="17">
        <f>Q2202*(1-R2202)</f>
        <v>910000</v>
      </c>
      <c r="T2202" s="18">
        <f>S2202/'Financial Inputs'!$B$3</f>
        <v>9.1000000000000004E-3</v>
      </c>
      <c r="U2202" s="9" t="s">
        <v>52</v>
      </c>
      <c r="V2202" s="3" t="s">
        <v>53</v>
      </c>
    </row>
    <row r="2203" spans="1:22">
      <c r="A2203" s="2" t="s">
        <v>6853</v>
      </c>
      <c r="B2203" s="2" t="s">
        <v>6854</v>
      </c>
      <c r="C2203" s="2" t="s">
        <v>6850</v>
      </c>
      <c r="D2203" s="2" t="s">
        <v>56</v>
      </c>
      <c r="E2203" s="2" t="s">
        <v>57</v>
      </c>
      <c r="F2203" s="2" t="s">
        <v>58</v>
      </c>
      <c r="G2203" s="2" t="s">
        <v>59</v>
      </c>
      <c r="H2203" s="2" t="s">
        <v>2318</v>
      </c>
      <c r="I2203" s="2" t="s">
        <v>499</v>
      </c>
      <c r="J2203" s="2" t="s">
        <v>2621</v>
      </c>
      <c r="K2203" s="2" t="s">
        <v>6855</v>
      </c>
      <c r="L2203" s="2" t="s">
        <v>61</v>
      </c>
      <c r="M2203" s="2" t="s">
        <v>6852</v>
      </c>
      <c r="N2203" s="16">
        <v>2.2499999999999999E-2</v>
      </c>
      <c r="O2203" s="17">
        <f>N2203*'Financial Inputs'!$B$3</f>
        <v>2250000</v>
      </c>
      <c r="P2203" s="18">
        <f>IF(I2203="L",'Financial Inputs'!$B$4,IF(I2203="M",'Financial Inputs'!$B$5,'Financial Inputs'!$B$6))</f>
        <v>0.7</v>
      </c>
      <c r="Q2203" s="17">
        <f>O2203*P2203</f>
        <v>1575000</v>
      </c>
      <c r="R2203" s="16">
        <f>'Financial Inputs'!$B$7</f>
        <v>0.35</v>
      </c>
      <c r="S2203" s="17">
        <f>Q2203*(1-R2203)</f>
        <v>1023750</v>
      </c>
      <c r="T2203" s="18">
        <f>S2203/'Financial Inputs'!$B$3</f>
        <v>1.02375E-2</v>
      </c>
      <c r="U2203" s="9" t="s">
        <v>52</v>
      </c>
      <c r="V2203" s="3" t="s">
        <v>53</v>
      </c>
    </row>
    <row r="2204" spans="1:22">
      <c r="A2204" s="2" t="s">
        <v>6856</v>
      </c>
      <c r="B2204" s="2" t="s">
        <v>6857</v>
      </c>
      <c r="C2204" s="2" t="s">
        <v>6850</v>
      </c>
      <c r="D2204" s="2" t="s">
        <v>64</v>
      </c>
      <c r="E2204" s="2" t="s">
        <v>65</v>
      </c>
      <c r="F2204" s="2" t="s">
        <v>66</v>
      </c>
      <c r="G2204" s="2" t="s">
        <v>67</v>
      </c>
      <c r="H2204" s="2" t="s">
        <v>2318</v>
      </c>
      <c r="I2204" s="2" t="s">
        <v>499</v>
      </c>
      <c r="J2204" s="2" t="s">
        <v>2621</v>
      </c>
      <c r="K2204" s="2" t="s">
        <v>6858</v>
      </c>
      <c r="L2204" s="2" t="s">
        <v>69</v>
      </c>
      <c r="M2204" s="2" t="s">
        <v>6852</v>
      </c>
      <c r="N2204" s="16">
        <v>2.5000000000000001E-2</v>
      </c>
      <c r="O2204" s="17">
        <f>N2204*'Financial Inputs'!$B$3</f>
        <v>2500000</v>
      </c>
      <c r="P2204" s="18">
        <f>IF(I2204="L",'Financial Inputs'!$B$4,IF(I2204="M",'Financial Inputs'!$B$5,'Financial Inputs'!$B$6))</f>
        <v>0.7</v>
      </c>
      <c r="Q2204" s="17">
        <f>O2204*P2204</f>
        <v>1750000</v>
      </c>
      <c r="R2204" s="16">
        <f>'Financial Inputs'!$B$7</f>
        <v>0.35</v>
      </c>
      <c r="S2204" s="17">
        <f>Q2204*(1-R2204)</f>
        <v>1137500</v>
      </c>
      <c r="T2204" s="18">
        <f>S2204/'Financial Inputs'!$B$3</f>
        <v>1.1375E-2</v>
      </c>
      <c r="U2204" s="9" t="s">
        <v>52</v>
      </c>
      <c r="V2204" s="3" t="s">
        <v>53</v>
      </c>
    </row>
    <row r="2205" spans="1:22">
      <c r="A2205" s="2" t="s">
        <v>6859</v>
      </c>
      <c r="B2205" s="2" t="s">
        <v>6860</v>
      </c>
      <c r="C2205" s="2" t="s">
        <v>6850</v>
      </c>
      <c r="D2205" s="2" t="s">
        <v>72</v>
      </c>
      <c r="E2205" s="2" t="s">
        <v>73</v>
      </c>
      <c r="F2205" s="2" t="s">
        <v>74</v>
      </c>
      <c r="G2205" s="2" t="s">
        <v>75</v>
      </c>
      <c r="H2205" s="2" t="s">
        <v>2318</v>
      </c>
      <c r="I2205" s="2" t="s">
        <v>499</v>
      </c>
      <c r="J2205" s="2" t="s">
        <v>2621</v>
      </c>
      <c r="K2205" s="2" t="s">
        <v>6861</v>
      </c>
      <c r="L2205" s="2" t="s">
        <v>77</v>
      </c>
      <c r="M2205" s="2" t="s">
        <v>6852</v>
      </c>
      <c r="N2205" s="16">
        <v>2.75E-2</v>
      </c>
      <c r="O2205" s="17">
        <f>N2205*'Financial Inputs'!$B$3</f>
        <v>2750000</v>
      </c>
      <c r="P2205" s="18">
        <f>IF(I2205="L",'Financial Inputs'!$B$4,IF(I2205="M",'Financial Inputs'!$B$5,'Financial Inputs'!$B$6))</f>
        <v>0.7</v>
      </c>
      <c r="Q2205" s="17">
        <f>O2205*P2205</f>
        <v>1924999.9999999998</v>
      </c>
      <c r="R2205" s="16">
        <f>'Financial Inputs'!$B$7</f>
        <v>0.35</v>
      </c>
      <c r="S2205" s="17">
        <f>Q2205*(1-R2205)</f>
        <v>1251250</v>
      </c>
      <c r="T2205" s="18">
        <f>S2205/'Financial Inputs'!$B$3</f>
        <v>1.2512499999999999E-2</v>
      </c>
      <c r="U2205" s="9" t="s">
        <v>52</v>
      </c>
      <c r="V2205" s="3" t="s">
        <v>53</v>
      </c>
    </row>
    <row r="2206" spans="1:22">
      <c r="A2206" s="2" t="s">
        <v>6862</v>
      </c>
      <c r="B2206" s="2" t="s">
        <v>6863</v>
      </c>
      <c r="C2206" s="2" t="s">
        <v>6850</v>
      </c>
      <c r="D2206" s="2" t="s">
        <v>80</v>
      </c>
      <c r="E2206" s="2" t="s">
        <v>81</v>
      </c>
      <c r="F2206" s="2" t="s">
        <v>82</v>
      </c>
      <c r="G2206" s="2" t="s">
        <v>83</v>
      </c>
      <c r="H2206" s="2" t="s">
        <v>2318</v>
      </c>
      <c r="I2206" s="2" t="s">
        <v>499</v>
      </c>
      <c r="J2206" s="2" t="s">
        <v>2621</v>
      </c>
      <c r="K2206" s="2" t="s">
        <v>6864</v>
      </c>
      <c r="L2206" s="2" t="s">
        <v>85</v>
      </c>
      <c r="M2206" s="2" t="s">
        <v>6852</v>
      </c>
      <c r="N2206" s="16">
        <v>3.0000000000000009E-2</v>
      </c>
      <c r="O2206" s="17">
        <f>N2206*'Financial Inputs'!$B$3</f>
        <v>3000000.0000000009</v>
      </c>
      <c r="P2206" s="18">
        <f>IF(I2206="L",'Financial Inputs'!$B$4,IF(I2206="M",'Financial Inputs'!$B$5,'Financial Inputs'!$B$6))</f>
        <v>0.7</v>
      </c>
      <c r="Q2206" s="17">
        <f>O2206*P2206</f>
        <v>2100000.0000000005</v>
      </c>
      <c r="R2206" s="16">
        <f>'Financial Inputs'!$B$7</f>
        <v>0.35</v>
      </c>
      <c r="S2206" s="17">
        <f>Q2206*(1-R2206)</f>
        <v>1365000.0000000005</v>
      </c>
      <c r="T2206" s="18">
        <f>S2206/'Financial Inputs'!$B$3</f>
        <v>1.3650000000000004E-2</v>
      </c>
      <c r="U2206" s="9" t="s">
        <v>52</v>
      </c>
      <c r="V2206" s="3" t="s">
        <v>53</v>
      </c>
    </row>
    <row r="2207" spans="1:22">
      <c r="A2207" s="2" t="s">
        <v>6865</v>
      </c>
      <c r="B2207" s="2" t="s">
        <v>6866</v>
      </c>
      <c r="C2207" s="2" t="s">
        <v>6850</v>
      </c>
      <c r="D2207" s="2" t="s">
        <v>88</v>
      </c>
      <c r="E2207" s="2" t="s">
        <v>89</v>
      </c>
      <c r="F2207" s="2" t="s">
        <v>90</v>
      </c>
      <c r="G2207" s="2" t="s">
        <v>67</v>
      </c>
      <c r="H2207" s="2" t="s">
        <v>2318</v>
      </c>
      <c r="I2207" s="2" t="s">
        <v>499</v>
      </c>
      <c r="J2207" s="2" t="s">
        <v>2621</v>
      </c>
      <c r="K2207" s="2" t="s">
        <v>6867</v>
      </c>
      <c r="L2207" s="2" t="s">
        <v>92</v>
      </c>
      <c r="M2207" s="2" t="s">
        <v>6852</v>
      </c>
      <c r="N2207" s="16">
        <v>0.02</v>
      </c>
      <c r="O2207" s="17">
        <f>N2207*'Financial Inputs'!$B$3</f>
        <v>2000000</v>
      </c>
      <c r="P2207" s="18">
        <f>IF(I2207="L",'Financial Inputs'!$B$4,IF(I2207="M",'Financial Inputs'!$B$5,'Financial Inputs'!$B$6))</f>
        <v>0.7</v>
      </c>
      <c r="Q2207" s="17">
        <f>O2207*P2207</f>
        <v>1400000</v>
      </c>
      <c r="R2207" s="16">
        <f>'Financial Inputs'!$B$7</f>
        <v>0.35</v>
      </c>
      <c r="S2207" s="17">
        <f>Q2207*(1-R2207)</f>
        <v>910000</v>
      </c>
      <c r="T2207" s="18">
        <f>S2207/'Financial Inputs'!$B$3</f>
        <v>9.1000000000000004E-3</v>
      </c>
      <c r="U2207" s="9" t="s">
        <v>52</v>
      </c>
      <c r="V2207" s="3" t="s">
        <v>53</v>
      </c>
    </row>
    <row r="2208" spans="1:22">
      <c r="A2208" s="2" t="s">
        <v>6868</v>
      </c>
      <c r="B2208" s="2" t="s">
        <v>6869</v>
      </c>
      <c r="C2208" s="2" t="s">
        <v>6850</v>
      </c>
      <c r="D2208" s="2" t="s">
        <v>95</v>
      </c>
      <c r="E2208" s="2" t="s">
        <v>96</v>
      </c>
      <c r="F2208" s="2" t="s">
        <v>97</v>
      </c>
      <c r="G2208" s="2" t="s">
        <v>75</v>
      </c>
      <c r="H2208" s="2" t="s">
        <v>2318</v>
      </c>
      <c r="I2208" s="2" t="s">
        <v>499</v>
      </c>
      <c r="J2208" s="2" t="s">
        <v>2621</v>
      </c>
      <c r="K2208" s="2" t="s">
        <v>6870</v>
      </c>
      <c r="L2208" s="2" t="s">
        <v>99</v>
      </c>
      <c r="M2208" s="2" t="s">
        <v>6852</v>
      </c>
      <c r="N2208" s="16">
        <v>2.2499999999999999E-2</v>
      </c>
      <c r="O2208" s="17">
        <f>N2208*'Financial Inputs'!$B$3</f>
        <v>2250000</v>
      </c>
      <c r="P2208" s="18">
        <f>IF(I2208="L",'Financial Inputs'!$B$4,IF(I2208="M",'Financial Inputs'!$B$5,'Financial Inputs'!$B$6))</f>
        <v>0.7</v>
      </c>
      <c r="Q2208" s="17">
        <f>O2208*P2208</f>
        <v>1575000</v>
      </c>
      <c r="R2208" s="16">
        <f>'Financial Inputs'!$B$7</f>
        <v>0.35</v>
      </c>
      <c r="S2208" s="17">
        <f>Q2208*(1-R2208)</f>
        <v>1023750</v>
      </c>
      <c r="T2208" s="18">
        <f>S2208/'Financial Inputs'!$B$3</f>
        <v>1.02375E-2</v>
      </c>
      <c r="U2208" s="9" t="s">
        <v>52</v>
      </c>
      <c r="V2208" s="3" t="s">
        <v>53</v>
      </c>
    </row>
    <row r="2209" spans="1:22">
      <c r="A2209" s="2" t="s">
        <v>6871</v>
      </c>
      <c r="B2209" s="2" t="s">
        <v>6872</v>
      </c>
      <c r="C2209" s="2" t="s">
        <v>6850</v>
      </c>
      <c r="D2209" s="2" t="s">
        <v>102</v>
      </c>
      <c r="E2209" s="2" t="s">
        <v>103</v>
      </c>
      <c r="F2209" s="2" t="s">
        <v>104</v>
      </c>
      <c r="G2209" s="2" t="s">
        <v>83</v>
      </c>
      <c r="H2209" s="2" t="s">
        <v>2318</v>
      </c>
      <c r="I2209" s="2" t="s">
        <v>499</v>
      </c>
      <c r="J2209" s="2" t="s">
        <v>2621</v>
      </c>
      <c r="K2209" s="2" t="s">
        <v>6873</v>
      </c>
      <c r="L2209" s="2" t="s">
        <v>106</v>
      </c>
      <c r="M2209" s="2" t="s">
        <v>6852</v>
      </c>
      <c r="N2209" s="16">
        <v>2.5000000000000001E-2</v>
      </c>
      <c r="O2209" s="17">
        <f>N2209*'Financial Inputs'!$B$3</f>
        <v>2500000</v>
      </c>
      <c r="P2209" s="18">
        <f>IF(I2209="L",'Financial Inputs'!$B$4,IF(I2209="M",'Financial Inputs'!$B$5,'Financial Inputs'!$B$6))</f>
        <v>0.7</v>
      </c>
      <c r="Q2209" s="17">
        <f>O2209*P2209</f>
        <v>1750000</v>
      </c>
      <c r="R2209" s="16">
        <f>'Financial Inputs'!$B$7</f>
        <v>0.35</v>
      </c>
      <c r="S2209" s="17">
        <f>Q2209*(1-R2209)</f>
        <v>1137500</v>
      </c>
      <c r="T2209" s="18">
        <f>S2209/'Financial Inputs'!$B$3</f>
        <v>1.1375E-2</v>
      </c>
      <c r="U2209" s="9" t="s">
        <v>52</v>
      </c>
      <c r="V2209" s="3" t="s">
        <v>53</v>
      </c>
    </row>
    <row r="2210" spans="1:22">
      <c r="A2210" s="2" t="s">
        <v>6874</v>
      </c>
      <c r="B2210" s="2" t="s">
        <v>6875</v>
      </c>
      <c r="C2210" s="2" t="s">
        <v>6850</v>
      </c>
      <c r="D2210" s="2" t="s">
        <v>42</v>
      </c>
      <c r="E2210" s="2" t="s">
        <v>109</v>
      </c>
      <c r="F2210" s="2" t="s">
        <v>110</v>
      </c>
      <c r="G2210" s="2" t="s">
        <v>111</v>
      </c>
      <c r="H2210" s="2" t="s">
        <v>2318</v>
      </c>
      <c r="I2210" s="2" t="s">
        <v>499</v>
      </c>
      <c r="J2210" s="2" t="s">
        <v>2621</v>
      </c>
      <c r="K2210" s="2" t="s">
        <v>6876</v>
      </c>
      <c r="L2210" s="2" t="s">
        <v>113</v>
      </c>
      <c r="M2210" s="2" t="s">
        <v>6852</v>
      </c>
      <c r="N2210" s="16">
        <v>2.75E-2</v>
      </c>
      <c r="O2210" s="17">
        <f>N2210*'Financial Inputs'!$B$3</f>
        <v>2750000</v>
      </c>
      <c r="P2210" s="18">
        <f>IF(I2210="L",'Financial Inputs'!$B$4,IF(I2210="M",'Financial Inputs'!$B$5,'Financial Inputs'!$B$6))</f>
        <v>0.7</v>
      </c>
      <c r="Q2210" s="17">
        <f>O2210*P2210</f>
        <v>1924999.9999999998</v>
      </c>
      <c r="R2210" s="16">
        <f>'Financial Inputs'!$B$7</f>
        <v>0.35</v>
      </c>
      <c r="S2210" s="17">
        <f>Q2210*(1-R2210)</f>
        <v>1251250</v>
      </c>
      <c r="T2210" s="18">
        <f>S2210/'Financial Inputs'!$B$3</f>
        <v>1.2512499999999999E-2</v>
      </c>
      <c r="U2210" s="9" t="s">
        <v>52</v>
      </c>
      <c r="V2210" s="3" t="s">
        <v>53</v>
      </c>
    </row>
    <row r="2211" spans="1:22">
      <c r="A2211" s="2" t="s">
        <v>6877</v>
      </c>
      <c r="B2211" s="2" t="s">
        <v>6878</v>
      </c>
      <c r="C2211" s="2" t="s">
        <v>6850</v>
      </c>
      <c r="D2211" s="2" t="s">
        <v>56</v>
      </c>
      <c r="E2211" s="2" t="s">
        <v>116</v>
      </c>
      <c r="F2211" s="2" t="s">
        <v>117</v>
      </c>
      <c r="G2211" s="2" t="s">
        <v>56</v>
      </c>
      <c r="H2211" s="2" t="s">
        <v>2318</v>
      </c>
      <c r="I2211" s="2" t="s">
        <v>499</v>
      </c>
      <c r="J2211" s="2" t="s">
        <v>2621</v>
      </c>
      <c r="K2211" s="2" t="s">
        <v>6879</v>
      </c>
      <c r="L2211" s="2" t="s">
        <v>119</v>
      </c>
      <c r="M2211" s="2" t="s">
        <v>6852</v>
      </c>
      <c r="N2211" s="16">
        <v>3.0000000000000009E-2</v>
      </c>
      <c r="O2211" s="17">
        <f>N2211*'Financial Inputs'!$B$3</f>
        <v>3000000.0000000009</v>
      </c>
      <c r="P2211" s="18">
        <f>IF(I2211="L",'Financial Inputs'!$B$4,IF(I2211="M",'Financial Inputs'!$B$5,'Financial Inputs'!$B$6))</f>
        <v>0.7</v>
      </c>
      <c r="Q2211" s="17">
        <f>O2211*P2211</f>
        <v>2100000.0000000005</v>
      </c>
      <c r="R2211" s="16">
        <f>'Financial Inputs'!$B$7</f>
        <v>0.35</v>
      </c>
      <c r="S2211" s="17">
        <f>Q2211*(1-R2211)</f>
        <v>1365000.0000000005</v>
      </c>
      <c r="T2211" s="18">
        <f>S2211/'Financial Inputs'!$B$3</f>
        <v>1.3650000000000004E-2</v>
      </c>
      <c r="U2211" s="9" t="s">
        <v>52</v>
      </c>
      <c r="V2211" s="3" t="s">
        <v>53</v>
      </c>
    </row>
    <row r="2212" spans="1:22">
      <c r="A2212" s="2" t="s">
        <v>6880</v>
      </c>
      <c r="B2212" s="2" t="s">
        <v>6881</v>
      </c>
      <c r="C2212" s="2" t="s">
        <v>6850</v>
      </c>
      <c r="D2212" s="2" t="s">
        <v>80</v>
      </c>
      <c r="E2212" s="2" t="s">
        <v>122</v>
      </c>
      <c r="F2212" s="2" t="s">
        <v>58</v>
      </c>
      <c r="G2212" s="2" t="s">
        <v>83</v>
      </c>
      <c r="H2212" s="2" t="s">
        <v>2318</v>
      </c>
      <c r="I2212" s="2" t="s">
        <v>499</v>
      </c>
      <c r="J2212" s="2" t="s">
        <v>2621</v>
      </c>
      <c r="K2212" s="2" t="s">
        <v>6882</v>
      </c>
      <c r="L2212" s="2" t="s">
        <v>124</v>
      </c>
      <c r="M2212" s="2" t="s">
        <v>6852</v>
      </c>
      <c r="N2212" s="16">
        <v>0.02</v>
      </c>
      <c r="O2212" s="17">
        <f>N2212*'Financial Inputs'!$B$3</f>
        <v>2000000</v>
      </c>
      <c r="P2212" s="18">
        <f>IF(I2212="L",'Financial Inputs'!$B$4,IF(I2212="M",'Financial Inputs'!$B$5,'Financial Inputs'!$B$6))</f>
        <v>0.7</v>
      </c>
      <c r="Q2212" s="17">
        <f>O2212*P2212</f>
        <v>1400000</v>
      </c>
      <c r="R2212" s="16">
        <f>'Financial Inputs'!$B$7</f>
        <v>0.35</v>
      </c>
      <c r="S2212" s="17">
        <f>Q2212*(1-R2212)</f>
        <v>910000</v>
      </c>
      <c r="T2212" s="18">
        <f>S2212/'Financial Inputs'!$B$3</f>
        <v>9.1000000000000004E-3</v>
      </c>
      <c r="U2212" s="9" t="s">
        <v>52</v>
      </c>
      <c r="V2212" s="3" t="s">
        <v>53</v>
      </c>
    </row>
    <row r="2213" spans="1:22">
      <c r="A2213" s="2" t="s">
        <v>6883</v>
      </c>
      <c r="B2213" s="2" t="s">
        <v>6884</v>
      </c>
      <c r="C2213" s="2" t="s">
        <v>6850</v>
      </c>
      <c r="D2213" s="2" t="s">
        <v>127</v>
      </c>
      <c r="E2213" s="2" t="s">
        <v>128</v>
      </c>
      <c r="F2213" s="2" t="s">
        <v>66</v>
      </c>
      <c r="G2213" s="2" t="s">
        <v>111</v>
      </c>
      <c r="H2213" s="2" t="s">
        <v>2318</v>
      </c>
      <c r="I2213" s="2" t="s">
        <v>499</v>
      </c>
      <c r="J2213" s="2" t="s">
        <v>2621</v>
      </c>
      <c r="K2213" s="2" t="s">
        <v>6885</v>
      </c>
      <c r="L2213" s="2" t="s">
        <v>130</v>
      </c>
      <c r="M2213" s="2" t="s">
        <v>6852</v>
      </c>
      <c r="N2213" s="16">
        <v>2.2499999999999999E-2</v>
      </c>
      <c r="O2213" s="17">
        <f>N2213*'Financial Inputs'!$B$3</f>
        <v>2250000</v>
      </c>
      <c r="P2213" s="18">
        <f>IF(I2213="L",'Financial Inputs'!$B$4,IF(I2213="M",'Financial Inputs'!$B$5,'Financial Inputs'!$B$6))</f>
        <v>0.7</v>
      </c>
      <c r="Q2213" s="17">
        <f>O2213*P2213</f>
        <v>1575000</v>
      </c>
      <c r="R2213" s="16">
        <f>'Financial Inputs'!$B$7</f>
        <v>0.35</v>
      </c>
      <c r="S2213" s="17">
        <f>Q2213*(1-R2213)</f>
        <v>1023750</v>
      </c>
      <c r="T2213" s="18">
        <f>S2213/'Financial Inputs'!$B$3</f>
        <v>1.02375E-2</v>
      </c>
      <c r="U2213" s="9" t="s">
        <v>52</v>
      </c>
      <c r="V2213" s="3" t="s">
        <v>53</v>
      </c>
    </row>
    <row r="2214" spans="1:22">
      <c r="A2214" s="2" t="s">
        <v>6886</v>
      </c>
      <c r="B2214" s="2" t="s">
        <v>6887</v>
      </c>
      <c r="C2214" s="2" t="s">
        <v>6850</v>
      </c>
      <c r="D2214" s="2" t="s">
        <v>133</v>
      </c>
      <c r="E2214" s="2" t="s">
        <v>43</v>
      </c>
      <c r="F2214" s="2" t="s">
        <v>74</v>
      </c>
      <c r="G2214" s="2" t="s">
        <v>56</v>
      </c>
      <c r="H2214" s="2" t="s">
        <v>2318</v>
      </c>
      <c r="I2214" s="2" t="s">
        <v>499</v>
      </c>
      <c r="J2214" s="2" t="s">
        <v>2621</v>
      </c>
      <c r="K2214" s="2" t="s">
        <v>6888</v>
      </c>
      <c r="L2214" s="2" t="s">
        <v>135</v>
      </c>
      <c r="M2214" s="2" t="s">
        <v>6852</v>
      </c>
      <c r="N2214" s="16">
        <v>2.5000000000000001E-2</v>
      </c>
      <c r="O2214" s="17">
        <f>N2214*'Financial Inputs'!$B$3</f>
        <v>2500000</v>
      </c>
      <c r="P2214" s="18">
        <f>IF(I2214="L",'Financial Inputs'!$B$4,IF(I2214="M",'Financial Inputs'!$B$5,'Financial Inputs'!$B$6))</f>
        <v>0.7</v>
      </c>
      <c r="Q2214" s="17">
        <f>O2214*P2214</f>
        <v>1750000</v>
      </c>
      <c r="R2214" s="16">
        <f>'Financial Inputs'!$B$7</f>
        <v>0.35</v>
      </c>
      <c r="S2214" s="17">
        <f>Q2214*(1-R2214)</f>
        <v>1137500</v>
      </c>
      <c r="T2214" s="18">
        <f>S2214/'Financial Inputs'!$B$3</f>
        <v>1.1375E-2</v>
      </c>
      <c r="U2214" s="9" t="s">
        <v>52</v>
      </c>
      <c r="V2214" s="3" t="s">
        <v>53</v>
      </c>
    </row>
    <row r="2215" spans="1:22">
      <c r="A2215" s="2" t="s">
        <v>6889</v>
      </c>
      <c r="B2215" s="2" t="s">
        <v>6890</v>
      </c>
      <c r="C2215" s="2" t="s">
        <v>6850</v>
      </c>
      <c r="D2215" s="2" t="s">
        <v>88</v>
      </c>
      <c r="E2215" s="2" t="s">
        <v>57</v>
      </c>
      <c r="F2215" s="2" t="s">
        <v>82</v>
      </c>
      <c r="G2215" s="2" t="s">
        <v>138</v>
      </c>
      <c r="H2215" s="2" t="s">
        <v>2318</v>
      </c>
      <c r="I2215" s="2" t="s">
        <v>499</v>
      </c>
      <c r="J2215" s="2" t="s">
        <v>2621</v>
      </c>
      <c r="K2215" s="2" t="s">
        <v>6891</v>
      </c>
      <c r="L2215" s="2" t="s">
        <v>140</v>
      </c>
      <c r="M2215" s="2" t="s">
        <v>6852</v>
      </c>
      <c r="N2215" s="16">
        <v>2.75E-2</v>
      </c>
      <c r="O2215" s="17">
        <f>N2215*'Financial Inputs'!$B$3</f>
        <v>2750000</v>
      </c>
      <c r="P2215" s="18">
        <f>IF(I2215="L",'Financial Inputs'!$B$4,IF(I2215="M",'Financial Inputs'!$B$5,'Financial Inputs'!$B$6))</f>
        <v>0.7</v>
      </c>
      <c r="Q2215" s="17">
        <f>O2215*P2215</f>
        <v>1924999.9999999998</v>
      </c>
      <c r="R2215" s="16">
        <f>'Financial Inputs'!$B$7</f>
        <v>0.35</v>
      </c>
      <c r="S2215" s="17">
        <f>Q2215*(1-R2215)</f>
        <v>1251250</v>
      </c>
      <c r="T2215" s="18">
        <f>S2215/'Financial Inputs'!$B$3</f>
        <v>1.2512499999999999E-2</v>
      </c>
      <c r="U2215" s="9" t="s">
        <v>52</v>
      </c>
      <c r="V2215" s="3" t="s">
        <v>53</v>
      </c>
    </row>
    <row r="2216" spans="1:22">
      <c r="A2216" s="2" t="s">
        <v>6892</v>
      </c>
      <c r="B2216" s="2" t="s">
        <v>6893</v>
      </c>
      <c r="C2216" s="2" t="s">
        <v>6850</v>
      </c>
      <c r="D2216" s="2" t="s">
        <v>95</v>
      </c>
      <c r="E2216" s="2" t="s">
        <v>65</v>
      </c>
      <c r="F2216" s="2" t="s">
        <v>44</v>
      </c>
      <c r="G2216" s="2" t="s">
        <v>143</v>
      </c>
      <c r="H2216" s="2" t="s">
        <v>2318</v>
      </c>
      <c r="I2216" s="2" t="s">
        <v>499</v>
      </c>
      <c r="J2216" s="2" t="s">
        <v>2621</v>
      </c>
      <c r="K2216" s="2" t="s">
        <v>6894</v>
      </c>
      <c r="L2216" s="2" t="s">
        <v>145</v>
      </c>
      <c r="M2216" s="2" t="s">
        <v>6852</v>
      </c>
      <c r="N2216" s="16">
        <v>3.0000000000000009E-2</v>
      </c>
      <c r="O2216" s="17">
        <f>N2216*'Financial Inputs'!$B$3</f>
        <v>3000000.0000000009</v>
      </c>
      <c r="P2216" s="18">
        <f>IF(I2216="L",'Financial Inputs'!$B$4,IF(I2216="M",'Financial Inputs'!$B$5,'Financial Inputs'!$B$6))</f>
        <v>0.7</v>
      </c>
      <c r="Q2216" s="17">
        <f>O2216*P2216</f>
        <v>2100000.0000000005</v>
      </c>
      <c r="R2216" s="16">
        <f>'Financial Inputs'!$B$7</f>
        <v>0.35</v>
      </c>
      <c r="S2216" s="17">
        <f>Q2216*(1-R2216)</f>
        <v>1365000.0000000005</v>
      </c>
      <c r="T2216" s="18">
        <f>S2216/'Financial Inputs'!$B$3</f>
        <v>1.3650000000000004E-2</v>
      </c>
      <c r="U2216" s="9" t="s">
        <v>52</v>
      </c>
      <c r="V2216" s="3" t="s">
        <v>53</v>
      </c>
    </row>
    <row r="2217" spans="1:22">
      <c r="A2217" s="2" t="s">
        <v>6895</v>
      </c>
      <c r="B2217" s="2" t="s">
        <v>6896</v>
      </c>
      <c r="C2217" s="2" t="s">
        <v>6850</v>
      </c>
      <c r="D2217" s="2" t="s">
        <v>56</v>
      </c>
      <c r="E2217" s="2" t="s">
        <v>148</v>
      </c>
      <c r="F2217" s="2" t="s">
        <v>97</v>
      </c>
      <c r="G2217" s="2" t="s">
        <v>56</v>
      </c>
      <c r="H2217" s="2" t="s">
        <v>2318</v>
      </c>
      <c r="I2217" s="2" t="s">
        <v>499</v>
      </c>
      <c r="J2217" s="2" t="s">
        <v>2621</v>
      </c>
      <c r="K2217" s="2" t="s">
        <v>6897</v>
      </c>
      <c r="L2217" s="2" t="s">
        <v>150</v>
      </c>
      <c r="M2217" s="2" t="s">
        <v>6852</v>
      </c>
      <c r="N2217" s="16">
        <v>0.02</v>
      </c>
      <c r="O2217" s="17">
        <f>N2217*'Financial Inputs'!$B$3</f>
        <v>2000000</v>
      </c>
      <c r="P2217" s="18">
        <f>IF(I2217="L",'Financial Inputs'!$B$4,IF(I2217="M",'Financial Inputs'!$B$5,'Financial Inputs'!$B$6))</f>
        <v>0.7</v>
      </c>
      <c r="Q2217" s="17">
        <f>O2217*P2217</f>
        <v>1400000</v>
      </c>
      <c r="R2217" s="16">
        <f>'Financial Inputs'!$B$7</f>
        <v>0.35</v>
      </c>
      <c r="S2217" s="17">
        <f>Q2217*(1-R2217)</f>
        <v>910000</v>
      </c>
      <c r="T2217" s="18">
        <f>S2217/'Financial Inputs'!$B$3</f>
        <v>9.1000000000000004E-3</v>
      </c>
      <c r="U2217" s="9" t="s">
        <v>52</v>
      </c>
      <c r="V2217" s="3" t="s">
        <v>53</v>
      </c>
    </row>
    <row r="2218" spans="1:22">
      <c r="A2218" s="2" t="s">
        <v>6898</v>
      </c>
      <c r="B2218" s="2" t="s">
        <v>6899</v>
      </c>
      <c r="C2218" s="2" t="s">
        <v>6850</v>
      </c>
      <c r="D2218" s="2" t="s">
        <v>64</v>
      </c>
      <c r="E2218" s="2" t="s">
        <v>153</v>
      </c>
      <c r="F2218" s="2" t="s">
        <v>104</v>
      </c>
      <c r="G2218" s="2" t="s">
        <v>138</v>
      </c>
      <c r="H2218" s="2" t="s">
        <v>2318</v>
      </c>
      <c r="I2218" s="2" t="s">
        <v>499</v>
      </c>
      <c r="J2218" s="2" t="s">
        <v>2621</v>
      </c>
      <c r="K2218" s="2" t="s">
        <v>6900</v>
      </c>
      <c r="L2218" s="2" t="s">
        <v>155</v>
      </c>
      <c r="M2218" s="2" t="s">
        <v>6852</v>
      </c>
      <c r="N2218" s="16">
        <v>2.2499999999999999E-2</v>
      </c>
      <c r="O2218" s="17">
        <f>N2218*'Financial Inputs'!$B$3</f>
        <v>2250000</v>
      </c>
      <c r="P2218" s="18">
        <f>IF(I2218="L",'Financial Inputs'!$B$4,IF(I2218="M",'Financial Inputs'!$B$5,'Financial Inputs'!$B$6))</f>
        <v>0.7</v>
      </c>
      <c r="Q2218" s="17">
        <f>O2218*P2218</f>
        <v>1575000</v>
      </c>
      <c r="R2218" s="16">
        <f>'Financial Inputs'!$B$7</f>
        <v>0.35</v>
      </c>
      <c r="S2218" s="17">
        <f>Q2218*(1-R2218)</f>
        <v>1023750</v>
      </c>
      <c r="T2218" s="18">
        <f>S2218/'Financial Inputs'!$B$3</f>
        <v>1.02375E-2</v>
      </c>
      <c r="U2218" s="9" t="s">
        <v>52</v>
      </c>
      <c r="V2218" s="3" t="s">
        <v>53</v>
      </c>
    </row>
    <row r="2219" spans="1:22">
      <c r="A2219" s="2" t="s">
        <v>6901</v>
      </c>
      <c r="B2219" s="2" t="s">
        <v>6902</v>
      </c>
      <c r="C2219" s="2" t="s">
        <v>6850</v>
      </c>
      <c r="D2219" s="2" t="s">
        <v>72</v>
      </c>
      <c r="E2219" s="2" t="s">
        <v>89</v>
      </c>
      <c r="F2219" s="2" t="s">
        <v>110</v>
      </c>
      <c r="G2219" s="2" t="s">
        <v>143</v>
      </c>
      <c r="H2219" s="2" t="s">
        <v>2318</v>
      </c>
      <c r="I2219" s="2" t="s">
        <v>499</v>
      </c>
      <c r="J2219" s="2" t="s">
        <v>2621</v>
      </c>
      <c r="K2219" s="2" t="s">
        <v>6903</v>
      </c>
      <c r="L2219" s="2" t="s">
        <v>159</v>
      </c>
      <c r="M2219" s="2" t="s">
        <v>6852</v>
      </c>
      <c r="N2219" s="16">
        <v>2.5000000000000001E-2</v>
      </c>
      <c r="O2219" s="17">
        <f>N2219*'Financial Inputs'!$B$3</f>
        <v>2500000</v>
      </c>
      <c r="P2219" s="18">
        <f>IF(I2219="L",'Financial Inputs'!$B$4,IF(I2219="M",'Financial Inputs'!$B$5,'Financial Inputs'!$B$6))</f>
        <v>0.7</v>
      </c>
      <c r="Q2219" s="17">
        <f>O2219*P2219</f>
        <v>1750000</v>
      </c>
      <c r="R2219" s="16">
        <f>'Financial Inputs'!$B$7</f>
        <v>0.35</v>
      </c>
      <c r="S2219" s="17">
        <f>Q2219*(1-R2219)</f>
        <v>1137500</v>
      </c>
      <c r="T2219" s="18">
        <f>S2219/'Financial Inputs'!$B$3</f>
        <v>1.1375E-2</v>
      </c>
      <c r="U2219" s="9" t="s">
        <v>52</v>
      </c>
      <c r="V2219" s="3" t="s">
        <v>53</v>
      </c>
    </row>
    <row r="2220" spans="1:22">
      <c r="A2220" s="2" t="s">
        <v>6904</v>
      </c>
      <c r="B2220" s="2" t="s">
        <v>6905</v>
      </c>
      <c r="C2220" s="2" t="s">
        <v>6850</v>
      </c>
      <c r="D2220" s="2" t="s">
        <v>80</v>
      </c>
      <c r="E2220" s="2" t="s">
        <v>96</v>
      </c>
      <c r="F2220" s="2" t="s">
        <v>117</v>
      </c>
      <c r="G2220" s="2" t="s">
        <v>162</v>
      </c>
      <c r="H2220" s="2" t="s">
        <v>2318</v>
      </c>
      <c r="I2220" s="2" t="s">
        <v>499</v>
      </c>
      <c r="J2220" s="2" t="s">
        <v>2621</v>
      </c>
      <c r="K2220" s="2" t="s">
        <v>6906</v>
      </c>
      <c r="L2220" s="2" t="s">
        <v>164</v>
      </c>
      <c r="M2220" s="2" t="s">
        <v>6852</v>
      </c>
      <c r="N2220" s="16">
        <v>2.75E-2</v>
      </c>
      <c r="O2220" s="17">
        <f>N2220*'Financial Inputs'!$B$3</f>
        <v>2750000</v>
      </c>
      <c r="P2220" s="18">
        <f>IF(I2220="L",'Financial Inputs'!$B$4,IF(I2220="M",'Financial Inputs'!$B$5,'Financial Inputs'!$B$6))</f>
        <v>0.7</v>
      </c>
      <c r="Q2220" s="17">
        <f>O2220*P2220</f>
        <v>1924999.9999999998</v>
      </c>
      <c r="R2220" s="16">
        <f>'Financial Inputs'!$B$7</f>
        <v>0.35</v>
      </c>
      <c r="S2220" s="17">
        <f>Q2220*(1-R2220)</f>
        <v>1251250</v>
      </c>
      <c r="T2220" s="18">
        <f>S2220/'Financial Inputs'!$B$3</f>
        <v>1.2512499999999999E-2</v>
      </c>
      <c r="U2220" s="9" t="s">
        <v>52</v>
      </c>
      <c r="V2220" s="3" t="s">
        <v>53</v>
      </c>
    </row>
    <row r="2221" spans="1:22">
      <c r="A2221" s="2" t="s">
        <v>6907</v>
      </c>
      <c r="B2221" s="2" t="s">
        <v>6908</v>
      </c>
      <c r="C2221" s="2" t="s">
        <v>6850</v>
      </c>
      <c r="D2221" s="2" t="s">
        <v>127</v>
      </c>
      <c r="E2221" s="2" t="s">
        <v>103</v>
      </c>
      <c r="F2221" s="2" t="s">
        <v>90</v>
      </c>
      <c r="G2221" s="2" t="s">
        <v>45</v>
      </c>
      <c r="H2221" s="2" t="s">
        <v>2318</v>
      </c>
      <c r="I2221" s="2" t="s">
        <v>499</v>
      </c>
      <c r="J2221" s="2" t="s">
        <v>2621</v>
      </c>
      <c r="K2221" s="2" t="s">
        <v>6909</v>
      </c>
      <c r="L2221" s="2" t="s">
        <v>168</v>
      </c>
      <c r="M2221" s="2" t="s">
        <v>6852</v>
      </c>
      <c r="N2221" s="16">
        <v>3.0000000000000009E-2</v>
      </c>
      <c r="O2221" s="17">
        <f>N2221*'Financial Inputs'!$B$3</f>
        <v>3000000.0000000009</v>
      </c>
      <c r="P2221" s="18">
        <f>IF(I2221="L",'Financial Inputs'!$B$4,IF(I2221="M",'Financial Inputs'!$B$5,'Financial Inputs'!$B$6))</f>
        <v>0.7</v>
      </c>
      <c r="Q2221" s="17">
        <f>O2221*P2221</f>
        <v>2100000.0000000005</v>
      </c>
      <c r="R2221" s="16">
        <f>'Financial Inputs'!$B$7</f>
        <v>0.35</v>
      </c>
      <c r="S2221" s="17">
        <f>Q2221*(1-R2221)</f>
        <v>1365000.0000000005</v>
      </c>
      <c r="T2221" s="18">
        <f>S2221/'Financial Inputs'!$B$3</f>
        <v>1.3650000000000004E-2</v>
      </c>
      <c r="U2221" s="9" t="s">
        <v>52</v>
      </c>
      <c r="V2221" s="3" t="s">
        <v>53</v>
      </c>
    </row>
    <row r="2222" spans="1:22">
      <c r="A2222" s="2" t="s">
        <v>6910</v>
      </c>
      <c r="B2222" s="2" t="s">
        <v>6911</v>
      </c>
      <c r="C2222" s="2" t="s">
        <v>6850</v>
      </c>
      <c r="D2222" s="2" t="s">
        <v>95</v>
      </c>
      <c r="E2222" s="2" t="s">
        <v>171</v>
      </c>
      <c r="F2222" s="2" t="s">
        <v>66</v>
      </c>
      <c r="G2222" s="2" t="s">
        <v>143</v>
      </c>
      <c r="H2222" s="2" t="s">
        <v>2318</v>
      </c>
      <c r="I2222" s="2" t="s">
        <v>499</v>
      </c>
      <c r="J2222" s="2" t="s">
        <v>2621</v>
      </c>
      <c r="K2222" s="2" t="s">
        <v>6912</v>
      </c>
      <c r="L2222" s="2" t="s">
        <v>173</v>
      </c>
      <c r="M2222" s="2" t="s">
        <v>6852</v>
      </c>
      <c r="N2222" s="16">
        <v>0.02</v>
      </c>
      <c r="O2222" s="17">
        <f>N2222*'Financial Inputs'!$B$3</f>
        <v>2000000</v>
      </c>
      <c r="P2222" s="18">
        <f>IF(I2222="L",'Financial Inputs'!$B$4,IF(I2222="M",'Financial Inputs'!$B$5,'Financial Inputs'!$B$6))</f>
        <v>0.7</v>
      </c>
      <c r="Q2222" s="17">
        <f>O2222*P2222</f>
        <v>1400000</v>
      </c>
      <c r="R2222" s="16">
        <f>'Financial Inputs'!$B$7</f>
        <v>0.35</v>
      </c>
      <c r="S2222" s="17">
        <f>Q2222*(1-R2222)</f>
        <v>910000</v>
      </c>
      <c r="T2222" s="18">
        <f>S2222/'Financial Inputs'!$B$3</f>
        <v>9.1000000000000004E-3</v>
      </c>
      <c r="U2222" s="9" t="s">
        <v>52</v>
      </c>
      <c r="V2222" s="3" t="s">
        <v>53</v>
      </c>
    </row>
    <row r="2223" spans="1:22">
      <c r="A2223" s="2" t="s">
        <v>6913</v>
      </c>
      <c r="B2223" s="2" t="s">
        <v>6914</v>
      </c>
      <c r="C2223" s="2" t="s">
        <v>6850</v>
      </c>
      <c r="D2223" s="2" t="s">
        <v>102</v>
      </c>
      <c r="E2223" s="2" t="s">
        <v>176</v>
      </c>
      <c r="F2223" s="2" t="s">
        <v>74</v>
      </c>
      <c r="G2223" s="2" t="s">
        <v>162</v>
      </c>
      <c r="H2223" s="2" t="s">
        <v>2318</v>
      </c>
      <c r="I2223" s="2" t="s">
        <v>499</v>
      </c>
      <c r="J2223" s="2" t="s">
        <v>2621</v>
      </c>
      <c r="K2223" s="2" t="s">
        <v>6915</v>
      </c>
      <c r="L2223" s="2" t="s">
        <v>178</v>
      </c>
      <c r="M2223" s="2" t="s">
        <v>6852</v>
      </c>
      <c r="N2223" s="16">
        <v>2.2499999999999999E-2</v>
      </c>
      <c r="O2223" s="17">
        <f>N2223*'Financial Inputs'!$B$3</f>
        <v>2250000</v>
      </c>
      <c r="P2223" s="18">
        <f>IF(I2223="L",'Financial Inputs'!$B$4,IF(I2223="M",'Financial Inputs'!$B$5,'Financial Inputs'!$B$6))</f>
        <v>0.7</v>
      </c>
      <c r="Q2223" s="17">
        <f>O2223*P2223</f>
        <v>1575000</v>
      </c>
      <c r="R2223" s="16">
        <f>'Financial Inputs'!$B$7</f>
        <v>0.35</v>
      </c>
      <c r="S2223" s="17">
        <f>Q2223*(1-R2223)</f>
        <v>1023750</v>
      </c>
      <c r="T2223" s="18">
        <f>S2223/'Financial Inputs'!$B$3</f>
        <v>1.02375E-2</v>
      </c>
      <c r="U2223" s="9" t="s">
        <v>52</v>
      </c>
      <c r="V2223" s="3" t="s">
        <v>53</v>
      </c>
    </row>
    <row r="2224" spans="1:22">
      <c r="A2224" s="2" t="s">
        <v>6916</v>
      </c>
      <c r="B2224" s="2" t="s">
        <v>6917</v>
      </c>
      <c r="C2224" s="2" t="s">
        <v>6850</v>
      </c>
      <c r="D2224" s="2" t="s">
        <v>42</v>
      </c>
      <c r="E2224" s="2" t="s">
        <v>122</v>
      </c>
      <c r="F2224" s="2" t="s">
        <v>82</v>
      </c>
      <c r="G2224" s="2" t="s">
        <v>45</v>
      </c>
      <c r="H2224" s="2" t="s">
        <v>2318</v>
      </c>
      <c r="I2224" s="2" t="s">
        <v>499</v>
      </c>
      <c r="J2224" s="2" t="s">
        <v>2621</v>
      </c>
      <c r="K2224" s="2" t="s">
        <v>6918</v>
      </c>
      <c r="L2224" s="2" t="s">
        <v>182</v>
      </c>
      <c r="M2224" s="2" t="s">
        <v>6852</v>
      </c>
      <c r="N2224" s="16">
        <v>2.5000000000000001E-2</v>
      </c>
      <c r="O2224" s="17">
        <f>N2224*'Financial Inputs'!$B$3</f>
        <v>2500000</v>
      </c>
      <c r="P2224" s="18">
        <f>IF(I2224="L",'Financial Inputs'!$B$4,IF(I2224="M",'Financial Inputs'!$B$5,'Financial Inputs'!$B$6))</f>
        <v>0.7</v>
      </c>
      <c r="Q2224" s="17">
        <f>O2224*P2224</f>
        <v>1750000</v>
      </c>
      <c r="R2224" s="16">
        <f>'Financial Inputs'!$B$7</f>
        <v>0.35</v>
      </c>
      <c r="S2224" s="17">
        <f>Q2224*(1-R2224)</f>
        <v>1137500</v>
      </c>
      <c r="T2224" s="18">
        <f>S2224/'Financial Inputs'!$B$3</f>
        <v>1.1375E-2</v>
      </c>
      <c r="U2224" s="9" t="s">
        <v>52</v>
      </c>
      <c r="V2224" s="3" t="s">
        <v>53</v>
      </c>
    </row>
    <row r="2225" spans="1:22">
      <c r="A2225" s="2" t="s">
        <v>6919</v>
      </c>
      <c r="B2225" s="2" t="s">
        <v>6920</v>
      </c>
      <c r="C2225" s="2" t="s">
        <v>6850</v>
      </c>
      <c r="D2225" s="2" t="s">
        <v>56</v>
      </c>
      <c r="E2225" s="2" t="s">
        <v>128</v>
      </c>
      <c r="F2225" s="2" t="s">
        <v>44</v>
      </c>
      <c r="G2225" s="2" t="s">
        <v>59</v>
      </c>
      <c r="H2225" s="2" t="s">
        <v>2318</v>
      </c>
      <c r="I2225" s="2" t="s">
        <v>499</v>
      </c>
      <c r="J2225" s="2" t="s">
        <v>2621</v>
      </c>
      <c r="K2225" s="2" t="s">
        <v>6921</v>
      </c>
      <c r="L2225" s="2" t="s">
        <v>186</v>
      </c>
      <c r="M2225" s="2" t="s">
        <v>6852</v>
      </c>
      <c r="N2225" s="16">
        <v>2.75E-2</v>
      </c>
      <c r="O2225" s="17">
        <f>N2225*'Financial Inputs'!$B$3</f>
        <v>2750000</v>
      </c>
      <c r="P2225" s="18">
        <f>IF(I2225="L",'Financial Inputs'!$B$4,IF(I2225="M",'Financial Inputs'!$B$5,'Financial Inputs'!$B$6))</f>
        <v>0.7</v>
      </c>
      <c r="Q2225" s="17">
        <f>O2225*P2225</f>
        <v>1924999.9999999998</v>
      </c>
      <c r="R2225" s="16">
        <f>'Financial Inputs'!$B$7</f>
        <v>0.35</v>
      </c>
      <c r="S2225" s="17">
        <f>Q2225*(1-R2225)</f>
        <v>1251250</v>
      </c>
      <c r="T2225" s="18">
        <f>S2225/'Financial Inputs'!$B$3</f>
        <v>1.2512499999999999E-2</v>
      </c>
      <c r="U2225" s="9" t="s">
        <v>52</v>
      </c>
      <c r="V2225" s="3" t="s">
        <v>53</v>
      </c>
    </row>
    <row r="2226" spans="1:22">
      <c r="A2226" s="2" t="s">
        <v>6922</v>
      </c>
      <c r="B2226" s="2" t="s">
        <v>6923</v>
      </c>
      <c r="C2226" s="2" t="s">
        <v>6850</v>
      </c>
      <c r="D2226" s="2" t="s">
        <v>64</v>
      </c>
      <c r="E2226" s="2" t="s">
        <v>43</v>
      </c>
      <c r="F2226" s="2" t="s">
        <v>58</v>
      </c>
      <c r="G2226" s="2" t="s">
        <v>67</v>
      </c>
      <c r="H2226" s="2" t="s">
        <v>2318</v>
      </c>
      <c r="I2226" s="2" t="s">
        <v>499</v>
      </c>
      <c r="J2226" s="2" t="s">
        <v>2621</v>
      </c>
      <c r="K2226" s="2" t="s">
        <v>6924</v>
      </c>
      <c r="L2226" s="2" t="s">
        <v>190</v>
      </c>
      <c r="M2226" s="2" t="s">
        <v>6852</v>
      </c>
      <c r="N2226" s="16">
        <v>3.0000000000000009E-2</v>
      </c>
      <c r="O2226" s="17">
        <f>N2226*'Financial Inputs'!$B$3</f>
        <v>3000000.0000000009</v>
      </c>
      <c r="P2226" s="18">
        <f>IF(I2226="L",'Financial Inputs'!$B$4,IF(I2226="M",'Financial Inputs'!$B$5,'Financial Inputs'!$B$6))</f>
        <v>0.7</v>
      </c>
      <c r="Q2226" s="17">
        <f>O2226*P2226</f>
        <v>2100000.0000000005</v>
      </c>
      <c r="R2226" s="16">
        <f>'Financial Inputs'!$B$7</f>
        <v>0.35</v>
      </c>
      <c r="S2226" s="17">
        <f>Q2226*(1-R2226)</f>
        <v>1365000.0000000005</v>
      </c>
      <c r="T2226" s="18">
        <f>S2226/'Financial Inputs'!$B$3</f>
        <v>1.3650000000000004E-2</v>
      </c>
      <c r="U2226" s="9" t="s">
        <v>52</v>
      </c>
      <c r="V2226" s="3" t="s">
        <v>53</v>
      </c>
    </row>
    <row r="2227" spans="1:22">
      <c r="A2227" s="2" t="s">
        <v>6925</v>
      </c>
      <c r="B2227" s="2" t="s">
        <v>6926</v>
      </c>
      <c r="C2227" s="2" t="s">
        <v>6850</v>
      </c>
      <c r="D2227" s="2" t="s">
        <v>127</v>
      </c>
      <c r="E2227" s="2" t="s">
        <v>193</v>
      </c>
      <c r="F2227" s="2" t="s">
        <v>104</v>
      </c>
      <c r="G2227" s="2" t="s">
        <v>45</v>
      </c>
      <c r="H2227" s="2" t="s">
        <v>2318</v>
      </c>
      <c r="I2227" s="2" t="s">
        <v>499</v>
      </c>
      <c r="J2227" s="2" t="s">
        <v>2621</v>
      </c>
      <c r="K2227" s="2" t="s">
        <v>6927</v>
      </c>
      <c r="L2227" s="2" t="s">
        <v>195</v>
      </c>
      <c r="M2227" s="2" t="s">
        <v>6852</v>
      </c>
      <c r="N2227" s="16">
        <v>0.02</v>
      </c>
      <c r="O2227" s="17">
        <f>N2227*'Financial Inputs'!$B$3</f>
        <v>2000000</v>
      </c>
      <c r="P2227" s="18">
        <f>IF(I2227="L",'Financial Inputs'!$B$4,IF(I2227="M",'Financial Inputs'!$B$5,'Financial Inputs'!$B$6))</f>
        <v>0.7</v>
      </c>
      <c r="Q2227" s="17">
        <f>O2227*P2227</f>
        <v>1400000</v>
      </c>
      <c r="R2227" s="16">
        <f>'Financial Inputs'!$B$7</f>
        <v>0.35</v>
      </c>
      <c r="S2227" s="17">
        <f>Q2227*(1-R2227)</f>
        <v>910000</v>
      </c>
      <c r="T2227" s="18">
        <f>S2227/'Financial Inputs'!$B$3</f>
        <v>9.1000000000000004E-3</v>
      </c>
      <c r="U2227" s="9" t="s">
        <v>52</v>
      </c>
      <c r="V2227" s="3" t="s">
        <v>53</v>
      </c>
    </row>
    <row r="2228" spans="1:22">
      <c r="A2228" s="2" t="s">
        <v>6928</v>
      </c>
      <c r="B2228" s="2" t="s">
        <v>6929</v>
      </c>
      <c r="C2228" s="2" t="s">
        <v>6850</v>
      </c>
      <c r="D2228" s="2" t="s">
        <v>133</v>
      </c>
      <c r="E2228" s="2" t="s">
        <v>198</v>
      </c>
      <c r="F2228" s="2" t="s">
        <v>110</v>
      </c>
      <c r="G2228" s="2" t="s">
        <v>59</v>
      </c>
      <c r="H2228" s="2" t="s">
        <v>2318</v>
      </c>
      <c r="I2228" s="2" t="s">
        <v>499</v>
      </c>
      <c r="J2228" s="2" t="s">
        <v>2621</v>
      </c>
      <c r="K2228" s="2" t="s">
        <v>6930</v>
      </c>
      <c r="L2228" s="2" t="s">
        <v>200</v>
      </c>
      <c r="M2228" s="2" t="s">
        <v>6852</v>
      </c>
      <c r="N2228" s="16">
        <v>2.2499999999999999E-2</v>
      </c>
      <c r="O2228" s="17">
        <f>N2228*'Financial Inputs'!$B$3</f>
        <v>2250000</v>
      </c>
      <c r="P2228" s="18">
        <f>IF(I2228="L",'Financial Inputs'!$B$4,IF(I2228="M",'Financial Inputs'!$B$5,'Financial Inputs'!$B$6))</f>
        <v>0.7</v>
      </c>
      <c r="Q2228" s="17">
        <f>O2228*P2228</f>
        <v>1575000</v>
      </c>
      <c r="R2228" s="16">
        <f>'Financial Inputs'!$B$7</f>
        <v>0.35</v>
      </c>
      <c r="S2228" s="17">
        <f>Q2228*(1-R2228)</f>
        <v>1023750</v>
      </c>
      <c r="T2228" s="18">
        <f>S2228/'Financial Inputs'!$B$3</f>
        <v>1.02375E-2</v>
      </c>
      <c r="U2228" s="9" t="s">
        <v>52</v>
      </c>
      <c r="V2228" s="3" t="s">
        <v>53</v>
      </c>
    </row>
    <row r="2229" spans="1:22">
      <c r="A2229" s="2" t="s">
        <v>6931</v>
      </c>
      <c r="B2229" s="2" t="s">
        <v>6932</v>
      </c>
      <c r="C2229" s="2" t="s">
        <v>6850</v>
      </c>
      <c r="D2229" s="2" t="s">
        <v>88</v>
      </c>
      <c r="E2229" s="2" t="s">
        <v>148</v>
      </c>
      <c r="F2229" s="2" t="s">
        <v>117</v>
      </c>
      <c r="G2229" s="2" t="s">
        <v>67</v>
      </c>
      <c r="H2229" s="2" t="s">
        <v>2318</v>
      </c>
      <c r="I2229" s="2" t="s">
        <v>499</v>
      </c>
      <c r="J2229" s="2" t="s">
        <v>2621</v>
      </c>
      <c r="K2229" s="2" t="s">
        <v>6933</v>
      </c>
      <c r="L2229" s="2" t="s">
        <v>204</v>
      </c>
      <c r="M2229" s="2" t="s">
        <v>6852</v>
      </c>
      <c r="N2229" s="16">
        <v>2.5000000000000001E-2</v>
      </c>
      <c r="O2229" s="17">
        <f>N2229*'Financial Inputs'!$B$3</f>
        <v>2500000</v>
      </c>
      <c r="P2229" s="18">
        <f>IF(I2229="L",'Financial Inputs'!$B$4,IF(I2229="M",'Financial Inputs'!$B$5,'Financial Inputs'!$B$6))</f>
        <v>0.7</v>
      </c>
      <c r="Q2229" s="17">
        <f>O2229*P2229</f>
        <v>1750000</v>
      </c>
      <c r="R2229" s="16">
        <f>'Financial Inputs'!$B$7</f>
        <v>0.35</v>
      </c>
      <c r="S2229" s="17">
        <f>Q2229*(1-R2229)</f>
        <v>1137500</v>
      </c>
      <c r="T2229" s="18">
        <f>S2229/'Financial Inputs'!$B$3</f>
        <v>1.1375E-2</v>
      </c>
      <c r="U2229" s="9" t="s">
        <v>52</v>
      </c>
      <c r="V2229" s="3" t="s">
        <v>53</v>
      </c>
    </row>
    <row r="2230" spans="1:22">
      <c r="A2230" s="2" t="s">
        <v>6934</v>
      </c>
      <c r="B2230" s="2" t="s">
        <v>6935</v>
      </c>
      <c r="C2230" s="2" t="s">
        <v>6850</v>
      </c>
      <c r="D2230" s="2" t="s">
        <v>95</v>
      </c>
      <c r="E2230" s="2" t="s">
        <v>153</v>
      </c>
      <c r="F2230" s="2" t="s">
        <v>90</v>
      </c>
      <c r="G2230" s="2" t="s">
        <v>75</v>
      </c>
      <c r="H2230" s="2" t="s">
        <v>2318</v>
      </c>
      <c r="I2230" s="2" t="s">
        <v>499</v>
      </c>
      <c r="J2230" s="2" t="s">
        <v>2621</v>
      </c>
      <c r="K2230" s="2" t="s">
        <v>6936</v>
      </c>
      <c r="L2230" s="2" t="s">
        <v>208</v>
      </c>
      <c r="M2230" s="2" t="s">
        <v>6852</v>
      </c>
      <c r="N2230" s="16">
        <v>2.75E-2</v>
      </c>
      <c r="O2230" s="17">
        <f>N2230*'Financial Inputs'!$B$3</f>
        <v>2750000</v>
      </c>
      <c r="P2230" s="18">
        <f>IF(I2230="L",'Financial Inputs'!$B$4,IF(I2230="M",'Financial Inputs'!$B$5,'Financial Inputs'!$B$6))</f>
        <v>0.7</v>
      </c>
      <c r="Q2230" s="17">
        <f>O2230*P2230</f>
        <v>1924999.9999999998</v>
      </c>
      <c r="R2230" s="16">
        <f>'Financial Inputs'!$B$7</f>
        <v>0.35</v>
      </c>
      <c r="S2230" s="17">
        <f>Q2230*(1-R2230)</f>
        <v>1251250</v>
      </c>
      <c r="T2230" s="18">
        <f>S2230/'Financial Inputs'!$B$3</f>
        <v>1.2512499999999999E-2</v>
      </c>
      <c r="U2230" s="9" t="s">
        <v>52</v>
      </c>
      <c r="V2230" s="3" t="s">
        <v>53</v>
      </c>
    </row>
    <row r="2231" spans="1:22">
      <c r="A2231" s="2" t="s">
        <v>6937</v>
      </c>
      <c r="B2231" s="2" t="s">
        <v>6938</v>
      </c>
      <c r="C2231" s="2" t="s">
        <v>6850</v>
      </c>
      <c r="D2231" s="2" t="s">
        <v>102</v>
      </c>
      <c r="E2231" s="2" t="s">
        <v>89</v>
      </c>
      <c r="F2231" s="2" t="s">
        <v>97</v>
      </c>
      <c r="G2231" s="2" t="s">
        <v>83</v>
      </c>
      <c r="H2231" s="2" t="s">
        <v>2318</v>
      </c>
      <c r="I2231" s="2" t="s">
        <v>499</v>
      </c>
      <c r="J2231" s="2" t="s">
        <v>2621</v>
      </c>
      <c r="K2231" s="2" t="s">
        <v>6939</v>
      </c>
      <c r="L2231" s="2" t="s">
        <v>212</v>
      </c>
      <c r="M2231" s="2" t="s">
        <v>6852</v>
      </c>
      <c r="N2231" s="16">
        <v>3.0000000000000009E-2</v>
      </c>
      <c r="O2231" s="17">
        <f>N2231*'Financial Inputs'!$B$3</f>
        <v>3000000.0000000009</v>
      </c>
      <c r="P2231" s="18">
        <f>IF(I2231="L",'Financial Inputs'!$B$4,IF(I2231="M",'Financial Inputs'!$B$5,'Financial Inputs'!$B$6))</f>
        <v>0.7</v>
      </c>
      <c r="Q2231" s="17">
        <f>O2231*P2231</f>
        <v>2100000.0000000005</v>
      </c>
      <c r="R2231" s="16">
        <f>'Financial Inputs'!$B$7</f>
        <v>0.35</v>
      </c>
      <c r="S2231" s="17">
        <f>Q2231*(1-R2231)</f>
        <v>1365000.0000000005</v>
      </c>
      <c r="T2231" s="18">
        <f>S2231/'Financial Inputs'!$B$3</f>
        <v>1.3650000000000004E-2</v>
      </c>
      <c r="U2231" s="9" t="s">
        <v>52</v>
      </c>
      <c r="V2231" s="3" t="s">
        <v>53</v>
      </c>
    </row>
    <row r="2232" spans="1:22">
      <c r="A2232" s="2" t="s">
        <v>6940</v>
      </c>
      <c r="B2232" s="2" t="s">
        <v>6941</v>
      </c>
      <c r="C2232" s="2" t="s">
        <v>6850</v>
      </c>
      <c r="D2232" s="2" t="s">
        <v>64</v>
      </c>
      <c r="E2232" s="2" t="s">
        <v>215</v>
      </c>
      <c r="F2232" s="2" t="s">
        <v>74</v>
      </c>
      <c r="G2232" s="2" t="s">
        <v>67</v>
      </c>
      <c r="H2232" s="2" t="s">
        <v>2318</v>
      </c>
      <c r="I2232" s="2" t="s">
        <v>499</v>
      </c>
      <c r="J2232" s="2" t="s">
        <v>2621</v>
      </c>
      <c r="K2232" s="2" t="s">
        <v>6942</v>
      </c>
      <c r="L2232" s="2" t="s">
        <v>217</v>
      </c>
      <c r="M2232" s="2" t="s">
        <v>6852</v>
      </c>
      <c r="N2232" s="16">
        <v>0.02</v>
      </c>
      <c r="O2232" s="17">
        <f>N2232*'Financial Inputs'!$B$3</f>
        <v>2000000</v>
      </c>
      <c r="P2232" s="18">
        <f>IF(I2232="L",'Financial Inputs'!$B$4,IF(I2232="M",'Financial Inputs'!$B$5,'Financial Inputs'!$B$6))</f>
        <v>0.7</v>
      </c>
      <c r="Q2232" s="17">
        <f>O2232*P2232</f>
        <v>1400000</v>
      </c>
      <c r="R2232" s="16">
        <f>'Financial Inputs'!$B$7</f>
        <v>0.35</v>
      </c>
      <c r="S2232" s="17">
        <f>Q2232*(1-R2232)</f>
        <v>910000</v>
      </c>
      <c r="T2232" s="18">
        <f>S2232/'Financial Inputs'!$B$3</f>
        <v>9.1000000000000004E-3</v>
      </c>
      <c r="U2232" s="9" t="s">
        <v>52</v>
      </c>
      <c r="V2232" s="3" t="s">
        <v>53</v>
      </c>
    </row>
    <row r="2233" spans="1:22">
      <c r="A2233" s="2" t="s">
        <v>6943</v>
      </c>
      <c r="B2233" s="2" t="s">
        <v>6944</v>
      </c>
      <c r="C2233" s="2" t="s">
        <v>6850</v>
      </c>
      <c r="D2233" s="2" t="s">
        <v>72</v>
      </c>
      <c r="E2233" s="2" t="s">
        <v>220</v>
      </c>
      <c r="F2233" s="2" t="s">
        <v>82</v>
      </c>
      <c r="G2233" s="2" t="s">
        <v>75</v>
      </c>
      <c r="H2233" s="2" t="s">
        <v>2318</v>
      </c>
      <c r="I2233" s="2" t="s">
        <v>499</v>
      </c>
      <c r="J2233" s="2" t="s">
        <v>2621</v>
      </c>
      <c r="K2233" s="2" t="s">
        <v>6945</v>
      </c>
      <c r="L2233" s="2" t="s">
        <v>222</v>
      </c>
      <c r="M2233" s="2" t="s">
        <v>6852</v>
      </c>
      <c r="N2233" s="16">
        <v>2.2499999999999999E-2</v>
      </c>
      <c r="O2233" s="17">
        <f>N2233*'Financial Inputs'!$B$3</f>
        <v>2250000</v>
      </c>
      <c r="P2233" s="18">
        <f>IF(I2233="L",'Financial Inputs'!$B$4,IF(I2233="M",'Financial Inputs'!$B$5,'Financial Inputs'!$B$6))</f>
        <v>0.7</v>
      </c>
      <c r="Q2233" s="17">
        <f>O2233*P2233</f>
        <v>1575000</v>
      </c>
      <c r="R2233" s="16">
        <f>'Financial Inputs'!$B$7</f>
        <v>0.35</v>
      </c>
      <c r="S2233" s="17">
        <f>Q2233*(1-R2233)</f>
        <v>1023750</v>
      </c>
      <c r="T2233" s="18">
        <f>S2233/'Financial Inputs'!$B$3</f>
        <v>1.02375E-2</v>
      </c>
      <c r="U2233" s="9" t="s">
        <v>52</v>
      </c>
      <c r="V2233" s="3" t="s">
        <v>53</v>
      </c>
    </row>
    <row r="2234" spans="1:22">
      <c r="A2234" s="2" t="s">
        <v>6946</v>
      </c>
      <c r="B2234" s="2" t="s">
        <v>6947</v>
      </c>
      <c r="C2234" s="2" t="s">
        <v>6850</v>
      </c>
      <c r="D2234" s="2" t="s">
        <v>80</v>
      </c>
      <c r="E2234" s="2" t="s">
        <v>171</v>
      </c>
      <c r="F2234" s="2" t="s">
        <v>44</v>
      </c>
      <c r="G2234" s="2" t="s">
        <v>83</v>
      </c>
      <c r="H2234" s="2" t="s">
        <v>2318</v>
      </c>
      <c r="I2234" s="2" t="s">
        <v>499</v>
      </c>
      <c r="J2234" s="2" t="s">
        <v>2621</v>
      </c>
      <c r="K2234" s="2" t="s">
        <v>6948</v>
      </c>
      <c r="L2234" s="2" t="s">
        <v>226</v>
      </c>
      <c r="M2234" s="2" t="s">
        <v>6852</v>
      </c>
      <c r="N2234" s="16">
        <v>2.5000000000000001E-2</v>
      </c>
      <c r="O2234" s="17">
        <f>N2234*'Financial Inputs'!$B$3</f>
        <v>2500000</v>
      </c>
      <c r="P2234" s="18">
        <f>IF(I2234="L",'Financial Inputs'!$B$4,IF(I2234="M",'Financial Inputs'!$B$5,'Financial Inputs'!$B$6))</f>
        <v>0.7</v>
      </c>
      <c r="Q2234" s="17">
        <f>O2234*P2234</f>
        <v>1750000</v>
      </c>
      <c r="R2234" s="16">
        <f>'Financial Inputs'!$B$7</f>
        <v>0.35</v>
      </c>
      <c r="S2234" s="17">
        <f>Q2234*(1-R2234)</f>
        <v>1137500</v>
      </c>
      <c r="T2234" s="18">
        <f>S2234/'Financial Inputs'!$B$3</f>
        <v>1.1375E-2</v>
      </c>
      <c r="U2234" s="9" t="s">
        <v>52</v>
      </c>
      <c r="V2234" s="3" t="s">
        <v>53</v>
      </c>
    </row>
    <row r="2235" spans="1:22">
      <c r="A2235" s="2" t="s">
        <v>6949</v>
      </c>
      <c r="B2235" s="2" t="s">
        <v>6950</v>
      </c>
      <c r="C2235" s="2" t="s">
        <v>6850</v>
      </c>
      <c r="D2235" s="2" t="s">
        <v>127</v>
      </c>
      <c r="E2235" s="2" t="s">
        <v>176</v>
      </c>
      <c r="F2235" s="2" t="s">
        <v>58</v>
      </c>
      <c r="G2235" s="2" t="s">
        <v>111</v>
      </c>
      <c r="H2235" s="2" t="s">
        <v>2318</v>
      </c>
      <c r="I2235" s="2" t="s">
        <v>499</v>
      </c>
      <c r="J2235" s="2" t="s">
        <v>2621</v>
      </c>
      <c r="K2235" s="2" t="s">
        <v>6951</v>
      </c>
      <c r="L2235" s="2" t="s">
        <v>230</v>
      </c>
      <c r="M2235" s="2" t="s">
        <v>6852</v>
      </c>
      <c r="N2235" s="16">
        <v>2.75E-2</v>
      </c>
      <c r="O2235" s="17">
        <f>N2235*'Financial Inputs'!$B$3</f>
        <v>2750000</v>
      </c>
      <c r="P2235" s="18">
        <f>IF(I2235="L",'Financial Inputs'!$B$4,IF(I2235="M",'Financial Inputs'!$B$5,'Financial Inputs'!$B$6))</f>
        <v>0.7</v>
      </c>
      <c r="Q2235" s="17">
        <f>O2235*P2235</f>
        <v>1924999.9999999998</v>
      </c>
      <c r="R2235" s="16">
        <f>'Financial Inputs'!$B$7</f>
        <v>0.35</v>
      </c>
      <c r="S2235" s="17">
        <f>Q2235*(1-R2235)</f>
        <v>1251250</v>
      </c>
      <c r="T2235" s="18">
        <f>S2235/'Financial Inputs'!$B$3</f>
        <v>1.2512499999999999E-2</v>
      </c>
      <c r="U2235" s="9" t="s">
        <v>52</v>
      </c>
      <c r="V2235" s="3" t="s">
        <v>53</v>
      </c>
    </row>
    <row r="2236" spans="1:22">
      <c r="A2236" s="2" t="s">
        <v>6952</v>
      </c>
      <c r="B2236" s="2" t="s">
        <v>6953</v>
      </c>
      <c r="C2236" s="2" t="s">
        <v>6850</v>
      </c>
      <c r="D2236" s="2" t="s">
        <v>133</v>
      </c>
      <c r="E2236" s="2" t="s">
        <v>122</v>
      </c>
      <c r="F2236" s="2" t="s">
        <v>66</v>
      </c>
      <c r="G2236" s="2" t="s">
        <v>56</v>
      </c>
      <c r="H2236" s="2" t="s">
        <v>2318</v>
      </c>
      <c r="I2236" s="2" t="s">
        <v>499</v>
      </c>
      <c r="J2236" s="2" t="s">
        <v>2621</v>
      </c>
      <c r="K2236" s="2" t="s">
        <v>6954</v>
      </c>
      <c r="L2236" s="2" t="s">
        <v>234</v>
      </c>
      <c r="M2236" s="2" t="s">
        <v>6852</v>
      </c>
      <c r="N2236" s="16">
        <v>3.0000000000000009E-2</v>
      </c>
      <c r="O2236" s="17">
        <f>N2236*'Financial Inputs'!$B$3</f>
        <v>3000000.0000000009</v>
      </c>
      <c r="P2236" s="18">
        <f>IF(I2236="L",'Financial Inputs'!$B$4,IF(I2236="M",'Financial Inputs'!$B$5,'Financial Inputs'!$B$6))</f>
        <v>0.7</v>
      </c>
      <c r="Q2236" s="17">
        <f>O2236*P2236</f>
        <v>2100000.0000000005</v>
      </c>
      <c r="R2236" s="16">
        <f>'Financial Inputs'!$B$7</f>
        <v>0.35</v>
      </c>
      <c r="S2236" s="17">
        <f>Q2236*(1-R2236)</f>
        <v>1365000.0000000005</v>
      </c>
      <c r="T2236" s="18">
        <f>S2236/'Financial Inputs'!$B$3</f>
        <v>1.3650000000000004E-2</v>
      </c>
      <c r="U2236" s="9" t="s">
        <v>52</v>
      </c>
      <c r="V2236" s="3" t="s">
        <v>53</v>
      </c>
    </row>
    <row r="2237" spans="1:22">
      <c r="A2237" s="2" t="s">
        <v>6955</v>
      </c>
      <c r="B2237" s="2" t="s">
        <v>6956</v>
      </c>
      <c r="C2237" s="2" t="s">
        <v>6850</v>
      </c>
      <c r="D2237" s="2" t="s">
        <v>102</v>
      </c>
      <c r="E2237" s="2" t="s">
        <v>73</v>
      </c>
      <c r="F2237" s="2" t="s">
        <v>110</v>
      </c>
      <c r="G2237" s="2" t="s">
        <v>83</v>
      </c>
      <c r="H2237" s="2" t="s">
        <v>2318</v>
      </c>
      <c r="I2237" s="2" t="s">
        <v>499</v>
      </c>
      <c r="J2237" s="2" t="s">
        <v>2621</v>
      </c>
      <c r="K2237" s="2" t="s">
        <v>6957</v>
      </c>
      <c r="L2237" s="2" t="s">
        <v>238</v>
      </c>
      <c r="M2237" s="2" t="s">
        <v>6852</v>
      </c>
      <c r="N2237" s="16">
        <v>0.02</v>
      </c>
      <c r="O2237" s="17">
        <f>N2237*'Financial Inputs'!$B$3</f>
        <v>2000000</v>
      </c>
      <c r="P2237" s="18">
        <f>IF(I2237="L",'Financial Inputs'!$B$4,IF(I2237="M",'Financial Inputs'!$B$5,'Financial Inputs'!$B$6))</f>
        <v>0.7</v>
      </c>
      <c r="Q2237" s="17">
        <f>O2237*P2237</f>
        <v>1400000</v>
      </c>
      <c r="R2237" s="16">
        <f>'Financial Inputs'!$B$7</f>
        <v>0.35</v>
      </c>
      <c r="S2237" s="17">
        <f>Q2237*(1-R2237)</f>
        <v>910000</v>
      </c>
      <c r="T2237" s="18">
        <f>S2237/'Financial Inputs'!$B$3</f>
        <v>9.1000000000000004E-3</v>
      </c>
      <c r="U2237" s="9" t="s">
        <v>52</v>
      </c>
      <c r="V2237" s="3" t="s">
        <v>53</v>
      </c>
    </row>
    <row r="2238" spans="1:22">
      <c r="A2238" s="2" t="s">
        <v>6958</v>
      </c>
      <c r="B2238" s="2" t="s">
        <v>6959</v>
      </c>
      <c r="C2238" s="2" t="s">
        <v>6850</v>
      </c>
      <c r="D2238" s="2" t="s">
        <v>42</v>
      </c>
      <c r="E2238" s="2" t="s">
        <v>81</v>
      </c>
      <c r="F2238" s="2" t="s">
        <v>117</v>
      </c>
      <c r="G2238" s="2" t="s">
        <v>111</v>
      </c>
      <c r="H2238" s="2" t="s">
        <v>2318</v>
      </c>
      <c r="I2238" s="2" t="s">
        <v>499</v>
      </c>
      <c r="J2238" s="2" t="s">
        <v>2621</v>
      </c>
      <c r="K2238" s="2" t="s">
        <v>6960</v>
      </c>
      <c r="L2238" s="2" t="s">
        <v>242</v>
      </c>
      <c r="M2238" s="2" t="s">
        <v>6852</v>
      </c>
      <c r="N2238" s="16">
        <v>2.2499999999999999E-2</v>
      </c>
      <c r="O2238" s="17">
        <f>N2238*'Financial Inputs'!$B$3</f>
        <v>2250000</v>
      </c>
      <c r="P2238" s="18">
        <f>IF(I2238="L",'Financial Inputs'!$B$4,IF(I2238="M",'Financial Inputs'!$B$5,'Financial Inputs'!$B$6))</f>
        <v>0.7</v>
      </c>
      <c r="Q2238" s="17">
        <f>O2238*P2238</f>
        <v>1575000</v>
      </c>
      <c r="R2238" s="16">
        <f>'Financial Inputs'!$B$7</f>
        <v>0.35</v>
      </c>
      <c r="S2238" s="17">
        <f>Q2238*(1-R2238)</f>
        <v>1023750</v>
      </c>
      <c r="T2238" s="18">
        <f>S2238/'Financial Inputs'!$B$3</f>
        <v>1.02375E-2</v>
      </c>
      <c r="U2238" s="9" t="s">
        <v>52</v>
      </c>
      <c r="V2238" s="3" t="s">
        <v>53</v>
      </c>
    </row>
    <row r="2239" spans="1:22">
      <c r="A2239" s="2" t="s">
        <v>6961</v>
      </c>
      <c r="B2239" s="2" t="s">
        <v>6962</v>
      </c>
      <c r="C2239" s="2" t="s">
        <v>6850</v>
      </c>
      <c r="D2239" s="2" t="s">
        <v>56</v>
      </c>
      <c r="E2239" s="2" t="s">
        <v>193</v>
      </c>
      <c r="F2239" s="2" t="s">
        <v>90</v>
      </c>
      <c r="G2239" s="2" t="s">
        <v>56</v>
      </c>
      <c r="H2239" s="2" t="s">
        <v>2318</v>
      </c>
      <c r="I2239" s="2" t="s">
        <v>499</v>
      </c>
      <c r="J2239" s="2" t="s">
        <v>2621</v>
      </c>
      <c r="K2239" s="2" t="s">
        <v>6963</v>
      </c>
      <c r="L2239" s="2" t="s">
        <v>246</v>
      </c>
      <c r="M2239" s="2" t="s">
        <v>6852</v>
      </c>
      <c r="N2239" s="16">
        <v>2.5000000000000001E-2</v>
      </c>
      <c r="O2239" s="17">
        <f>N2239*'Financial Inputs'!$B$3</f>
        <v>2500000</v>
      </c>
      <c r="P2239" s="18">
        <f>IF(I2239="L",'Financial Inputs'!$B$4,IF(I2239="M",'Financial Inputs'!$B$5,'Financial Inputs'!$B$6))</f>
        <v>0.7</v>
      </c>
      <c r="Q2239" s="17">
        <f>O2239*P2239</f>
        <v>1750000</v>
      </c>
      <c r="R2239" s="16">
        <f>'Financial Inputs'!$B$7</f>
        <v>0.35</v>
      </c>
      <c r="S2239" s="17">
        <f>Q2239*(1-R2239)</f>
        <v>1137500</v>
      </c>
      <c r="T2239" s="18">
        <f>S2239/'Financial Inputs'!$B$3</f>
        <v>1.1375E-2</v>
      </c>
      <c r="U2239" s="9" t="s">
        <v>52</v>
      </c>
      <c r="V2239" s="3" t="s">
        <v>53</v>
      </c>
    </row>
    <row r="2240" spans="1:22">
      <c r="A2240" s="2" t="s">
        <v>6964</v>
      </c>
      <c r="B2240" s="2" t="s">
        <v>6965</v>
      </c>
      <c r="C2240" s="2" t="s">
        <v>6850</v>
      </c>
      <c r="D2240" s="2" t="s">
        <v>64</v>
      </c>
      <c r="E2240" s="2" t="s">
        <v>198</v>
      </c>
      <c r="F2240" s="2" t="s">
        <v>97</v>
      </c>
      <c r="G2240" s="2" t="s">
        <v>138</v>
      </c>
      <c r="H2240" s="2" t="s">
        <v>2318</v>
      </c>
      <c r="I2240" s="2" t="s">
        <v>499</v>
      </c>
      <c r="J2240" s="2" t="s">
        <v>2621</v>
      </c>
      <c r="K2240" s="2" t="s">
        <v>6966</v>
      </c>
      <c r="L2240" s="2" t="s">
        <v>250</v>
      </c>
      <c r="M2240" s="2" t="s">
        <v>6852</v>
      </c>
      <c r="N2240" s="16">
        <v>2.75E-2</v>
      </c>
      <c r="O2240" s="17">
        <f>N2240*'Financial Inputs'!$B$3</f>
        <v>2750000</v>
      </c>
      <c r="P2240" s="18">
        <f>IF(I2240="L",'Financial Inputs'!$B$4,IF(I2240="M",'Financial Inputs'!$B$5,'Financial Inputs'!$B$6))</f>
        <v>0.7</v>
      </c>
      <c r="Q2240" s="17">
        <f>O2240*P2240</f>
        <v>1924999.9999999998</v>
      </c>
      <c r="R2240" s="16">
        <f>'Financial Inputs'!$B$7</f>
        <v>0.35</v>
      </c>
      <c r="S2240" s="17">
        <f>Q2240*(1-R2240)</f>
        <v>1251250</v>
      </c>
      <c r="T2240" s="18">
        <f>S2240/'Financial Inputs'!$B$3</f>
        <v>1.2512499999999999E-2</v>
      </c>
      <c r="U2240" s="9" t="s">
        <v>52</v>
      </c>
      <c r="V2240" s="3" t="s">
        <v>53</v>
      </c>
    </row>
    <row r="2241" spans="1:22">
      <c r="A2241" s="2" t="s">
        <v>6967</v>
      </c>
      <c r="B2241" s="2" t="s">
        <v>6968</v>
      </c>
      <c r="C2241" s="2" t="s">
        <v>6850</v>
      </c>
      <c r="D2241" s="2" t="s">
        <v>72</v>
      </c>
      <c r="E2241" s="2" t="s">
        <v>148</v>
      </c>
      <c r="F2241" s="2" t="s">
        <v>104</v>
      </c>
      <c r="G2241" s="2" t="s">
        <v>143</v>
      </c>
      <c r="H2241" s="2" t="s">
        <v>2318</v>
      </c>
      <c r="I2241" s="2" t="s">
        <v>499</v>
      </c>
      <c r="J2241" s="2" t="s">
        <v>2621</v>
      </c>
      <c r="K2241" s="2" t="s">
        <v>6969</v>
      </c>
      <c r="L2241" s="2" t="s">
        <v>254</v>
      </c>
      <c r="M2241" s="2" t="s">
        <v>6852</v>
      </c>
      <c r="N2241" s="16">
        <v>3.0000000000000009E-2</v>
      </c>
      <c r="O2241" s="17">
        <f>N2241*'Financial Inputs'!$B$3</f>
        <v>3000000.0000000009</v>
      </c>
      <c r="P2241" s="18">
        <f>IF(I2241="L",'Financial Inputs'!$B$4,IF(I2241="M",'Financial Inputs'!$B$5,'Financial Inputs'!$B$6))</f>
        <v>0.7</v>
      </c>
      <c r="Q2241" s="17">
        <f>O2241*P2241</f>
        <v>2100000.0000000005</v>
      </c>
      <c r="R2241" s="16">
        <f>'Financial Inputs'!$B$7</f>
        <v>0.35</v>
      </c>
      <c r="S2241" s="17">
        <f>Q2241*(1-R2241)</f>
        <v>1365000.0000000005</v>
      </c>
      <c r="T2241" s="18">
        <f>S2241/'Financial Inputs'!$B$3</f>
        <v>1.3650000000000004E-2</v>
      </c>
      <c r="U2241" s="9" t="s">
        <v>52</v>
      </c>
      <c r="V2241" s="3" t="s">
        <v>53</v>
      </c>
    </row>
    <row r="2242" spans="1:22">
      <c r="A2242" s="2" t="s">
        <v>6970</v>
      </c>
      <c r="B2242" s="2" t="s">
        <v>6971</v>
      </c>
      <c r="C2242" s="2" t="s">
        <v>6850</v>
      </c>
      <c r="D2242" s="2" t="s">
        <v>133</v>
      </c>
      <c r="E2242" s="2" t="s">
        <v>109</v>
      </c>
      <c r="F2242" s="2" t="s">
        <v>82</v>
      </c>
      <c r="G2242" s="2" t="s">
        <v>56</v>
      </c>
      <c r="H2242" s="2" t="s">
        <v>2318</v>
      </c>
      <c r="I2242" s="2" t="s">
        <v>499</v>
      </c>
      <c r="J2242" s="2" t="s">
        <v>2621</v>
      </c>
      <c r="K2242" s="2" t="s">
        <v>6972</v>
      </c>
      <c r="L2242" s="2" t="s">
        <v>258</v>
      </c>
      <c r="M2242" s="2" t="s">
        <v>6852</v>
      </c>
      <c r="N2242" s="16">
        <v>0.02</v>
      </c>
      <c r="O2242" s="17">
        <f>N2242*'Financial Inputs'!$B$3</f>
        <v>2000000</v>
      </c>
      <c r="P2242" s="18">
        <f>IF(I2242="L",'Financial Inputs'!$B$4,IF(I2242="M",'Financial Inputs'!$B$5,'Financial Inputs'!$B$6))</f>
        <v>0.7</v>
      </c>
      <c r="Q2242" s="17">
        <f>O2242*P2242</f>
        <v>1400000</v>
      </c>
      <c r="R2242" s="16">
        <f>'Financial Inputs'!$B$7</f>
        <v>0.35</v>
      </c>
      <c r="S2242" s="17">
        <f>Q2242*(1-R2242)</f>
        <v>910000</v>
      </c>
      <c r="T2242" s="18">
        <f>S2242/'Financial Inputs'!$B$3</f>
        <v>9.1000000000000004E-3</v>
      </c>
      <c r="U2242" s="9" t="s">
        <v>52</v>
      </c>
      <c r="V2242" s="3" t="s">
        <v>53</v>
      </c>
    </row>
    <row r="2243" spans="1:22">
      <c r="A2243" s="2" t="s">
        <v>6973</v>
      </c>
      <c r="B2243" s="2" t="s">
        <v>6974</v>
      </c>
      <c r="C2243" s="2" t="s">
        <v>6850</v>
      </c>
      <c r="D2243" s="2" t="s">
        <v>88</v>
      </c>
      <c r="E2243" s="2" t="s">
        <v>116</v>
      </c>
      <c r="F2243" s="2" t="s">
        <v>44</v>
      </c>
      <c r="G2243" s="2" t="s">
        <v>138</v>
      </c>
      <c r="H2243" s="2" t="s">
        <v>2318</v>
      </c>
      <c r="I2243" s="2" t="s">
        <v>499</v>
      </c>
      <c r="J2243" s="2" t="s">
        <v>2621</v>
      </c>
      <c r="K2243" s="2" t="s">
        <v>6975</v>
      </c>
      <c r="L2243" s="2" t="s">
        <v>262</v>
      </c>
      <c r="M2243" s="2" t="s">
        <v>6852</v>
      </c>
      <c r="N2243" s="16">
        <v>2.2499999999999999E-2</v>
      </c>
      <c r="O2243" s="17">
        <f>N2243*'Financial Inputs'!$B$3</f>
        <v>2250000</v>
      </c>
      <c r="P2243" s="18">
        <f>IF(I2243="L",'Financial Inputs'!$B$4,IF(I2243="M",'Financial Inputs'!$B$5,'Financial Inputs'!$B$6))</f>
        <v>0.7</v>
      </c>
      <c r="Q2243" s="17">
        <f>O2243*P2243</f>
        <v>1575000</v>
      </c>
      <c r="R2243" s="16">
        <f>'Financial Inputs'!$B$7</f>
        <v>0.35</v>
      </c>
      <c r="S2243" s="17">
        <f>Q2243*(1-R2243)</f>
        <v>1023750</v>
      </c>
      <c r="T2243" s="18">
        <f>S2243/'Financial Inputs'!$B$3</f>
        <v>1.02375E-2</v>
      </c>
      <c r="U2243" s="9" t="s">
        <v>52</v>
      </c>
      <c r="V2243" s="3" t="s">
        <v>53</v>
      </c>
    </row>
    <row r="2244" spans="1:22">
      <c r="A2244" s="2" t="s">
        <v>6976</v>
      </c>
      <c r="B2244" s="2" t="s">
        <v>6977</v>
      </c>
      <c r="C2244" s="2" t="s">
        <v>6850</v>
      </c>
      <c r="D2244" s="2" t="s">
        <v>95</v>
      </c>
      <c r="E2244" s="2" t="s">
        <v>215</v>
      </c>
      <c r="F2244" s="2" t="s">
        <v>58</v>
      </c>
      <c r="G2244" s="2" t="s">
        <v>143</v>
      </c>
      <c r="H2244" s="2" t="s">
        <v>2318</v>
      </c>
      <c r="I2244" s="2" t="s">
        <v>499</v>
      </c>
      <c r="J2244" s="2" t="s">
        <v>2621</v>
      </c>
      <c r="K2244" s="2" t="s">
        <v>6978</v>
      </c>
      <c r="L2244" s="2" t="s">
        <v>266</v>
      </c>
      <c r="M2244" s="2" t="s">
        <v>6852</v>
      </c>
      <c r="N2244" s="16">
        <v>2.5000000000000001E-2</v>
      </c>
      <c r="O2244" s="17">
        <f>N2244*'Financial Inputs'!$B$3</f>
        <v>2500000</v>
      </c>
      <c r="P2244" s="18">
        <f>IF(I2244="L",'Financial Inputs'!$B$4,IF(I2244="M",'Financial Inputs'!$B$5,'Financial Inputs'!$B$6))</f>
        <v>0.7</v>
      </c>
      <c r="Q2244" s="17">
        <f>O2244*P2244</f>
        <v>1750000</v>
      </c>
      <c r="R2244" s="16">
        <f>'Financial Inputs'!$B$7</f>
        <v>0.35</v>
      </c>
      <c r="S2244" s="17">
        <f>Q2244*(1-R2244)</f>
        <v>1137500</v>
      </c>
      <c r="T2244" s="18">
        <f>S2244/'Financial Inputs'!$B$3</f>
        <v>1.1375E-2</v>
      </c>
      <c r="U2244" s="9" t="s">
        <v>52</v>
      </c>
      <c r="V2244" s="3" t="s">
        <v>53</v>
      </c>
    </row>
    <row r="2245" spans="1:22">
      <c r="A2245" s="2" t="s">
        <v>6979</v>
      </c>
      <c r="B2245" s="2" t="s">
        <v>6980</v>
      </c>
      <c r="C2245" s="2" t="s">
        <v>6850</v>
      </c>
      <c r="D2245" s="2" t="s">
        <v>102</v>
      </c>
      <c r="E2245" s="2" t="s">
        <v>220</v>
      </c>
      <c r="F2245" s="2" t="s">
        <v>66</v>
      </c>
      <c r="G2245" s="2" t="s">
        <v>162</v>
      </c>
      <c r="H2245" s="2" t="s">
        <v>2318</v>
      </c>
      <c r="I2245" s="2" t="s">
        <v>499</v>
      </c>
      <c r="J2245" s="2" t="s">
        <v>2621</v>
      </c>
      <c r="K2245" s="2" t="s">
        <v>6981</v>
      </c>
      <c r="L2245" s="2" t="s">
        <v>270</v>
      </c>
      <c r="M2245" s="2" t="s">
        <v>6852</v>
      </c>
      <c r="N2245" s="16">
        <v>2.75E-2</v>
      </c>
      <c r="O2245" s="17">
        <f>N2245*'Financial Inputs'!$B$3</f>
        <v>2750000</v>
      </c>
      <c r="P2245" s="18">
        <f>IF(I2245="L",'Financial Inputs'!$B$4,IF(I2245="M",'Financial Inputs'!$B$5,'Financial Inputs'!$B$6))</f>
        <v>0.7</v>
      </c>
      <c r="Q2245" s="17">
        <f>O2245*P2245</f>
        <v>1924999.9999999998</v>
      </c>
      <c r="R2245" s="16">
        <f>'Financial Inputs'!$B$7</f>
        <v>0.35</v>
      </c>
      <c r="S2245" s="17">
        <f>Q2245*(1-R2245)</f>
        <v>1251250</v>
      </c>
      <c r="T2245" s="18">
        <f>S2245/'Financial Inputs'!$B$3</f>
        <v>1.2512499999999999E-2</v>
      </c>
      <c r="U2245" s="9" t="s">
        <v>52</v>
      </c>
      <c r="V2245" s="3" t="s">
        <v>53</v>
      </c>
    </row>
    <row r="2246" spans="1:22">
      <c r="A2246" s="2" t="s">
        <v>6982</v>
      </c>
      <c r="B2246" s="2" t="s">
        <v>6983</v>
      </c>
      <c r="C2246" s="2" t="s">
        <v>6850</v>
      </c>
      <c r="D2246" s="2" t="s">
        <v>42</v>
      </c>
      <c r="E2246" s="2" t="s">
        <v>171</v>
      </c>
      <c r="F2246" s="2" t="s">
        <v>74</v>
      </c>
      <c r="G2246" s="2" t="s">
        <v>45</v>
      </c>
      <c r="H2246" s="2" t="s">
        <v>2318</v>
      </c>
      <c r="I2246" s="2" t="s">
        <v>499</v>
      </c>
      <c r="J2246" s="2" t="s">
        <v>2621</v>
      </c>
      <c r="K2246" s="2" t="s">
        <v>6984</v>
      </c>
      <c r="L2246" s="2" t="s">
        <v>274</v>
      </c>
      <c r="M2246" s="2" t="s">
        <v>6852</v>
      </c>
      <c r="N2246" s="16">
        <v>3.0000000000000009E-2</v>
      </c>
      <c r="O2246" s="17">
        <f>N2246*'Financial Inputs'!$B$3</f>
        <v>3000000.0000000009</v>
      </c>
      <c r="P2246" s="18">
        <f>IF(I2246="L",'Financial Inputs'!$B$4,IF(I2246="M",'Financial Inputs'!$B$5,'Financial Inputs'!$B$6))</f>
        <v>0.7</v>
      </c>
      <c r="Q2246" s="17">
        <f>O2246*P2246</f>
        <v>2100000.0000000005</v>
      </c>
      <c r="R2246" s="16">
        <f>'Financial Inputs'!$B$7</f>
        <v>0.35</v>
      </c>
      <c r="S2246" s="17">
        <f>Q2246*(1-R2246)</f>
        <v>1365000.0000000005</v>
      </c>
      <c r="T2246" s="18">
        <f>S2246/'Financial Inputs'!$B$3</f>
        <v>1.3650000000000004E-2</v>
      </c>
      <c r="U2246" s="9" t="s">
        <v>52</v>
      </c>
      <c r="V2246" s="3" t="s">
        <v>53</v>
      </c>
    </row>
    <row r="2247" spans="1:22">
      <c r="A2247" s="2" t="s">
        <v>6985</v>
      </c>
      <c r="B2247" s="2" t="s">
        <v>6986</v>
      </c>
      <c r="C2247" s="2" t="s">
        <v>6850</v>
      </c>
      <c r="D2247" s="2" t="s">
        <v>72</v>
      </c>
      <c r="E2247" s="2" t="s">
        <v>57</v>
      </c>
      <c r="F2247" s="2" t="s">
        <v>117</v>
      </c>
      <c r="G2247" s="2" t="s">
        <v>143</v>
      </c>
      <c r="H2247" s="2" t="s">
        <v>2318</v>
      </c>
      <c r="I2247" s="2" t="s">
        <v>499</v>
      </c>
      <c r="J2247" s="2" t="s">
        <v>2621</v>
      </c>
      <c r="K2247" s="2" t="s">
        <v>6987</v>
      </c>
      <c r="L2247" s="2" t="s">
        <v>278</v>
      </c>
      <c r="M2247" s="2" t="s">
        <v>6852</v>
      </c>
      <c r="N2247" s="16">
        <v>0.02</v>
      </c>
      <c r="O2247" s="17">
        <f>N2247*'Financial Inputs'!$B$3</f>
        <v>2000000</v>
      </c>
      <c r="P2247" s="18">
        <f>IF(I2247="L",'Financial Inputs'!$B$4,IF(I2247="M",'Financial Inputs'!$B$5,'Financial Inputs'!$B$6))</f>
        <v>0.7</v>
      </c>
      <c r="Q2247" s="17">
        <f>O2247*P2247</f>
        <v>1400000</v>
      </c>
      <c r="R2247" s="16">
        <f>'Financial Inputs'!$B$7</f>
        <v>0.35</v>
      </c>
      <c r="S2247" s="17">
        <f>Q2247*(1-R2247)</f>
        <v>910000</v>
      </c>
      <c r="T2247" s="18">
        <f>S2247/'Financial Inputs'!$B$3</f>
        <v>9.1000000000000004E-3</v>
      </c>
      <c r="U2247" s="9" t="s">
        <v>52</v>
      </c>
      <c r="V2247" s="3" t="s">
        <v>53</v>
      </c>
    </row>
    <row r="2248" spans="1:22">
      <c r="A2248" s="2" t="s">
        <v>6988</v>
      </c>
      <c r="B2248" s="2" t="s">
        <v>6989</v>
      </c>
      <c r="C2248" s="2" t="s">
        <v>6850</v>
      </c>
      <c r="D2248" s="2" t="s">
        <v>80</v>
      </c>
      <c r="E2248" s="2" t="s">
        <v>65</v>
      </c>
      <c r="F2248" s="2" t="s">
        <v>90</v>
      </c>
      <c r="G2248" s="2" t="s">
        <v>162</v>
      </c>
      <c r="H2248" s="2" t="s">
        <v>2318</v>
      </c>
      <c r="I2248" s="2" t="s">
        <v>499</v>
      </c>
      <c r="J2248" s="2" t="s">
        <v>2621</v>
      </c>
      <c r="K2248" s="2" t="s">
        <v>6990</v>
      </c>
      <c r="L2248" s="2" t="s">
        <v>282</v>
      </c>
      <c r="M2248" s="2" t="s">
        <v>6852</v>
      </c>
      <c r="N2248" s="16">
        <v>2.2499999999999999E-2</v>
      </c>
      <c r="O2248" s="17">
        <f>N2248*'Financial Inputs'!$B$3</f>
        <v>2250000</v>
      </c>
      <c r="P2248" s="18">
        <f>IF(I2248="L",'Financial Inputs'!$B$4,IF(I2248="M",'Financial Inputs'!$B$5,'Financial Inputs'!$B$6))</f>
        <v>0.7</v>
      </c>
      <c r="Q2248" s="17">
        <f>O2248*P2248</f>
        <v>1575000</v>
      </c>
      <c r="R2248" s="16">
        <f>'Financial Inputs'!$B$7</f>
        <v>0.35</v>
      </c>
      <c r="S2248" s="17">
        <f>Q2248*(1-R2248)</f>
        <v>1023750</v>
      </c>
      <c r="T2248" s="18">
        <f>S2248/'Financial Inputs'!$B$3</f>
        <v>1.02375E-2</v>
      </c>
      <c r="U2248" s="9" t="s">
        <v>52</v>
      </c>
      <c r="V2248" s="3" t="s">
        <v>53</v>
      </c>
    </row>
    <row r="2249" spans="1:22">
      <c r="A2249" s="2" t="s">
        <v>6991</v>
      </c>
      <c r="B2249" s="2" t="s">
        <v>6992</v>
      </c>
      <c r="C2249" s="2" t="s">
        <v>6850</v>
      </c>
      <c r="D2249" s="2" t="s">
        <v>127</v>
      </c>
      <c r="E2249" s="2" t="s">
        <v>73</v>
      </c>
      <c r="F2249" s="2" t="s">
        <v>97</v>
      </c>
      <c r="G2249" s="2" t="s">
        <v>45</v>
      </c>
      <c r="H2249" s="2" t="s">
        <v>2318</v>
      </c>
      <c r="I2249" s="2" t="s">
        <v>499</v>
      </c>
      <c r="J2249" s="2" t="s">
        <v>2621</v>
      </c>
      <c r="K2249" s="2" t="s">
        <v>6993</v>
      </c>
      <c r="L2249" s="2" t="s">
        <v>286</v>
      </c>
      <c r="M2249" s="2" t="s">
        <v>6852</v>
      </c>
      <c r="N2249" s="16">
        <v>2.5000000000000001E-2</v>
      </c>
      <c r="O2249" s="17">
        <f>N2249*'Financial Inputs'!$B$3</f>
        <v>2500000</v>
      </c>
      <c r="P2249" s="18">
        <f>IF(I2249="L",'Financial Inputs'!$B$4,IF(I2249="M",'Financial Inputs'!$B$5,'Financial Inputs'!$B$6))</f>
        <v>0.7</v>
      </c>
      <c r="Q2249" s="17">
        <f>O2249*P2249</f>
        <v>1750000</v>
      </c>
      <c r="R2249" s="16">
        <f>'Financial Inputs'!$B$7</f>
        <v>0.35</v>
      </c>
      <c r="S2249" s="17">
        <f>Q2249*(1-R2249)</f>
        <v>1137500</v>
      </c>
      <c r="T2249" s="18">
        <f>S2249/'Financial Inputs'!$B$3</f>
        <v>1.1375E-2</v>
      </c>
      <c r="U2249" s="9" t="s">
        <v>52</v>
      </c>
      <c r="V2249" s="3" t="s">
        <v>53</v>
      </c>
    </row>
    <row r="2250" spans="1:22">
      <c r="A2250" s="2" t="s">
        <v>6994</v>
      </c>
      <c r="B2250" s="2" t="s">
        <v>6995</v>
      </c>
      <c r="C2250" s="2" t="s">
        <v>6850</v>
      </c>
      <c r="D2250" s="2" t="s">
        <v>133</v>
      </c>
      <c r="E2250" s="2" t="s">
        <v>81</v>
      </c>
      <c r="F2250" s="2" t="s">
        <v>104</v>
      </c>
      <c r="G2250" s="2" t="s">
        <v>59</v>
      </c>
      <c r="H2250" s="2" t="s">
        <v>2318</v>
      </c>
      <c r="I2250" s="2" t="s">
        <v>499</v>
      </c>
      <c r="J2250" s="2" t="s">
        <v>2621</v>
      </c>
      <c r="K2250" s="2" t="s">
        <v>6996</v>
      </c>
      <c r="L2250" s="2" t="s">
        <v>290</v>
      </c>
      <c r="M2250" s="2" t="s">
        <v>6852</v>
      </c>
      <c r="N2250" s="16">
        <v>2.75E-2</v>
      </c>
      <c r="O2250" s="17">
        <f>N2250*'Financial Inputs'!$B$3</f>
        <v>2750000</v>
      </c>
      <c r="P2250" s="18">
        <f>IF(I2250="L",'Financial Inputs'!$B$4,IF(I2250="M",'Financial Inputs'!$B$5,'Financial Inputs'!$B$6))</f>
        <v>0.7</v>
      </c>
      <c r="Q2250" s="17">
        <f>O2250*P2250</f>
        <v>1924999.9999999998</v>
      </c>
      <c r="R2250" s="16">
        <f>'Financial Inputs'!$B$7</f>
        <v>0.35</v>
      </c>
      <c r="S2250" s="17">
        <f>Q2250*(1-R2250)</f>
        <v>1251250</v>
      </c>
      <c r="T2250" s="18">
        <f>S2250/'Financial Inputs'!$B$3</f>
        <v>1.2512499999999999E-2</v>
      </c>
      <c r="U2250" s="9" t="s">
        <v>52</v>
      </c>
      <c r="V2250" s="3" t="s">
        <v>53</v>
      </c>
    </row>
    <row r="2251" spans="1:22">
      <c r="A2251" s="2" t="s">
        <v>6997</v>
      </c>
      <c r="B2251" s="2" t="s">
        <v>6998</v>
      </c>
      <c r="C2251" s="2" t="s">
        <v>6850</v>
      </c>
      <c r="D2251" s="2" t="s">
        <v>88</v>
      </c>
      <c r="E2251" s="2" t="s">
        <v>193</v>
      </c>
      <c r="F2251" s="2" t="s">
        <v>110</v>
      </c>
      <c r="G2251" s="2" t="s">
        <v>67</v>
      </c>
      <c r="H2251" s="2" t="s">
        <v>2318</v>
      </c>
      <c r="I2251" s="2" t="s">
        <v>499</v>
      </c>
      <c r="J2251" s="2" t="s">
        <v>2621</v>
      </c>
      <c r="K2251" s="2" t="s">
        <v>6999</v>
      </c>
      <c r="L2251" s="2" t="s">
        <v>294</v>
      </c>
      <c r="M2251" s="2" t="s">
        <v>6852</v>
      </c>
      <c r="N2251" s="16">
        <v>3.0000000000000009E-2</v>
      </c>
      <c r="O2251" s="17">
        <f>N2251*'Financial Inputs'!$B$3</f>
        <v>3000000.0000000009</v>
      </c>
      <c r="P2251" s="18">
        <f>IF(I2251="L",'Financial Inputs'!$B$4,IF(I2251="M",'Financial Inputs'!$B$5,'Financial Inputs'!$B$6))</f>
        <v>0.7</v>
      </c>
      <c r="Q2251" s="17">
        <f>O2251*P2251</f>
        <v>2100000.0000000005</v>
      </c>
      <c r="R2251" s="16">
        <f>'Financial Inputs'!$B$7</f>
        <v>0.35</v>
      </c>
      <c r="S2251" s="17">
        <f>Q2251*(1-R2251)</f>
        <v>1365000.0000000005</v>
      </c>
      <c r="T2251" s="18">
        <f>S2251/'Financial Inputs'!$B$3</f>
        <v>1.3650000000000004E-2</v>
      </c>
      <c r="U2251" s="9" t="s">
        <v>52</v>
      </c>
      <c r="V2251" s="3" t="s">
        <v>53</v>
      </c>
    </row>
    <row r="2252" spans="1:22">
      <c r="A2252" s="2" t="s">
        <v>7000</v>
      </c>
      <c r="B2252" s="2" t="s">
        <v>7001</v>
      </c>
      <c r="C2252" s="2" t="s">
        <v>6850</v>
      </c>
      <c r="D2252" s="2" t="s">
        <v>42</v>
      </c>
      <c r="E2252" s="2" t="s">
        <v>96</v>
      </c>
      <c r="F2252" s="2" t="s">
        <v>44</v>
      </c>
      <c r="G2252" s="2" t="s">
        <v>45</v>
      </c>
      <c r="H2252" s="2" t="s">
        <v>2318</v>
      </c>
      <c r="I2252" s="2" t="s">
        <v>499</v>
      </c>
      <c r="J2252" s="2" t="s">
        <v>2621</v>
      </c>
      <c r="K2252" s="2" t="s">
        <v>7002</v>
      </c>
      <c r="L2252" s="2" t="s">
        <v>298</v>
      </c>
      <c r="M2252" s="2" t="s">
        <v>6852</v>
      </c>
      <c r="N2252" s="16">
        <v>0.02</v>
      </c>
      <c r="O2252" s="17">
        <f>N2252*'Financial Inputs'!$B$3</f>
        <v>2000000</v>
      </c>
      <c r="P2252" s="18">
        <f>IF(I2252="L",'Financial Inputs'!$B$4,IF(I2252="M",'Financial Inputs'!$B$5,'Financial Inputs'!$B$6))</f>
        <v>0.7</v>
      </c>
      <c r="Q2252" s="17">
        <f>O2252*P2252</f>
        <v>1400000</v>
      </c>
      <c r="R2252" s="16">
        <f>'Financial Inputs'!$B$7</f>
        <v>0.35</v>
      </c>
      <c r="S2252" s="17">
        <f>Q2252*(1-R2252)</f>
        <v>910000</v>
      </c>
      <c r="T2252" s="18">
        <f>S2252/'Financial Inputs'!$B$3</f>
        <v>9.1000000000000004E-3</v>
      </c>
      <c r="U2252" s="9" t="s">
        <v>52</v>
      </c>
      <c r="V2252" s="3" t="s">
        <v>53</v>
      </c>
    </row>
    <row r="2253" spans="1:22">
      <c r="A2253" s="2" t="s">
        <v>7003</v>
      </c>
      <c r="B2253" s="2" t="s">
        <v>7004</v>
      </c>
      <c r="C2253" s="2" t="s">
        <v>6850</v>
      </c>
      <c r="D2253" s="2" t="s">
        <v>56</v>
      </c>
      <c r="E2253" s="2" t="s">
        <v>103</v>
      </c>
      <c r="F2253" s="2" t="s">
        <v>58</v>
      </c>
      <c r="G2253" s="2" t="s">
        <v>59</v>
      </c>
      <c r="H2253" s="2" t="s">
        <v>2318</v>
      </c>
      <c r="I2253" s="2" t="s">
        <v>499</v>
      </c>
      <c r="J2253" s="2" t="s">
        <v>2621</v>
      </c>
      <c r="K2253" s="2" t="s">
        <v>7005</v>
      </c>
      <c r="L2253" s="2" t="s">
        <v>302</v>
      </c>
      <c r="M2253" s="2" t="s">
        <v>6852</v>
      </c>
      <c r="N2253" s="16">
        <v>2.2499999999999999E-2</v>
      </c>
      <c r="O2253" s="17">
        <f>N2253*'Financial Inputs'!$B$3</f>
        <v>2250000</v>
      </c>
      <c r="P2253" s="18">
        <f>IF(I2253="L",'Financial Inputs'!$B$4,IF(I2253="M",'Financial Inputs'!$B$5,'Financial Inputs'!$B$6))</f>
        <v>0.7</v>
      </c>
      <c r="Q2253" s="17">
        <f>O2253*P2253</f>
        <v>1575000</v>
      </c>
      <c r="R2253" s="16">
        <f>'Financial Inputs'!$B$7</f>
        <v>0.35</v>
      </c>
      <c r="S2253" s="17">
        <f>Q2253*(1-R2253)</f>
        <v>1023750</v>
      </c>
      <c r="T2253" s="18">
        <f>S2253/'Financial Inputs'!$B$3</f>
        <v>1.02375E-2</v>
      </c>
      <c r="U2253" s="9" t="s">
        <v>52</v>
      </c>
      <c r="V2253" s="3" t="s">
        <v>53</v>
      </c>
    </row>
    <row r="2254" spans="1:22">
      <c r="A2254" s="2" t="s">
        <v>7006</v>
      </c>
      <c r="B2254" s="2" t="s">
        <v>7007</v>
      </c>
      <c r="C2254" s="2" t="s">
        <v>6850</v>
      </c>
      <c r="D2254" s="2" t="s">
        <v>64</v>
      </c>
      <c r="E2254" s="2" t="s">
        <v>109</v>
      </c>
      <c r="F2254" s="2" t="s">
        <v>66</v>
      </c>
      <c r="G2254" s="2" t="s">
        <v>67</v>
      </c>
      <c r="H2254" s="2" t="s">
        <v>2318</v>
      </c>
      <c r="I2254" s="2" t="s">
        <v>499</v>
      </c>
      <c r="J2254" s="2" t="s">
        <v>2621</v>
      </c>
      <c r="K2254" s="2" t="s">
        <v>7008</v>
      </c>
      <c r="L2254" s="2" t="s">
        <v>306</v>
      </c>
      <c r="M2254" s="2" t="s">
        <v>6852</v>
      </c>
      <c r="N2254" s="16">
        <v>2.5000000000000001E-2</v>
      </c>
      <c r="O2254" s="17">
        <f>N2254*'Financial Inputs'!$B$3</f>
        <v>2500000</v>
      </c>
      <c r="P2254" s="18">
        <f>IF(I2254="L",'Financial Inputs'!$B$4,IF(I2254="M",'Financial Inputs'!$B$5,'Financial Inputs'!$B$6))</f>
        <v>0.7</v>
      </c>
      <c r="Q2254" s="17">
        <f>O2254*P2254</f>
        <v>1750000</v>
      </c>
      <c r="R2254" s="16">
        <f>'Financial Inputs'!$B$7</f>
        <v>0.35</v>
      </c>
      <c r="S2254" s="17">
        <f>Q2254*(1-R2254)</f>
        <v>1137500</v>
      </c>
      <c r="T2254" s="18">
        <f>S2254/'Financial Inputs'!$B$3</f>
        <v>1.1375E-2</v>
      </c>
      <c r="U2254" s="9" t="s">
        <v>52</v>
      </c>
      <c r="V2254" s="3" t="s">
        <v>53</v>
      </c>
    </row>
    <row r="2255" spans="1:22">
      <c r="A2255" s="2" t="s">
        <v>7009</v>
      </c>
      <c r="B2255" s="2" t="s">
        <v>7010</v>
      </c>
      <c r="C2255" s="2" t="s">
        <v>6850</v>
      </c>
      <c r="D2255" s="2" t="s">
        <v>72</v>
      </c>
      <c r="E2255" s="2" t="s">
        <v>116</v>
      </c>
      <c r="F2255" s="2" t="s">
        <v>74</v>
      </c>
      <c r="G2255" s="2" t="s">
        <v>75</v>
      </c>
      <c r="H2255" s="2" t="s">
        <v>2318</v>
      </c>
      <c r="I2255" s="2" t="s">
        <v>499</v>
      </c>
      <c r="J2255" s="2" t="s">
        <v>2621</v>
      </c>
      <c r="K2255" s="2" t="s">
        <v>7011</v>
      </c>
      <c r="L2255" s="2" t="s">
        <v>310</v>
      </c>
      <c r="M2255" s="2" t="s">
        <v>6852</v>
      </c>
      <c r="N2255" s="16">
        <v>2.75E-2</v>
      </c>
      <c r="O2255" s="17">
        <f>N2255*'Financial Inputs'!$B$3</f>
        <v>2750000</v>
      </c>
      <c r="P2255" s="18">
        <f>IF(I2255="L",'Financial Inputs'!$B$4,IF(I2255="M",'Financial Inputs'!$B$5,'Financial Inputs'!$B$6))</f>
        <v>0.7</v>
      </c>
      <c r="Q2255" s="17">
        <f>O2255*P2255</f>
        <v>1924999.9999999998</v>
      </c>
      <c r="R2255" s="16">
        <f>'Financial Inputs'!$B$7</f>
        <v>0.35</v>
      </c>
      <c r="S2255" s="17">
        <f>Q2255*(1-R2255)</f>
        <v>1251250</v>
      </c>
      <c r="T2255" s="18">
        <f>S2255/'Financial Inputs'!$B$3</f>
        <v>1.2512499999999999E-2</v>
      </c>
      <c r="U2255" s="9" t="s">
        <v>52</v>
      </c>
      <c r="V2255" s="3" t="s">
        <v>53</v>
      </c>
    </row>
    <row r="2256" spans="1:22">
      <c r="A2256" s="2" t="s">
        <v>7012</v>
      </c>
      <c r="B2256" s="2" t="s">
        <v>7013</v>
      </c>
      <c r="C2256" s="2" t="s">
        <v>6850</v>
      </c>
      <c r="D2256" s="2" t="s">
        <v>80</v>
      </c>
      <c r="E2256" s="2" t="s">
        <v>215</v>
      </c>
      <c r="F2256" s="2" t="s">
        <v>82</v>
      </c>
      <c r="G2256" s="2" t="s">
        <v>83</v>
      </c>
      <c r="H2256" s="2" t="s">
        <v>2318</v>
      </c>
      <c r="I2256" s="2" t="s">
        <v>499</v>
      </c>
      <c r="J2256" s="2" t="s">
        <v>2621</v>
      </c>
      <c r="K2256" s="2" t="s">
        <v>7014</v>
      </c>
      <c r="L2256" s="2" t="s">
        <v>314</v>
      </c>
      <c r="M2256" s="2" t="s">
        <v>6852</v>
      </c>
      <c r="N2256" s="16">
        <v>3.0000000000000009E-2</v>
      </c>
      <c r="O2256" s="17">
        <f>N2256*'Financial Inputs'!$B$3</f>
        <v>3000000.0000000009</v>
      </c>
      <c r="P2256" s="18">
        <f>IF(I2256="L",'Financial Inputs'!$B$4,IF(I2256="M",'Financial Inputs'!$B$5,'Financial Inputs'!$B$6))</f>
        <v>0.7</v>
      </c>
      <c r="Q2256" s="17">
        <f>O2256*P2256</f>
        <v>2100000.0000000005</v>
      </c>
      <c r="R2256" s="16">
        <f>'Financial Inputs'!$B$7</f>
        <v>0.35</v>
      </c>
      <c r="S2256" s="17">
        <f>Q2256*(1-R2256)</f>
        <v>1365000.0000000005</v>
      </c>
      <c r="T2256" s="18">
        <f>S2256/'Financial Inputs'!$B$3</f>
        <v>1.3650000000000004E-2</v>
      </c>
      <c r="U2256" s="9" t="s">
        <v>52</v>
      </c>
      <c r="V2256" s="3" t="s">
        <v>53</v>
      </c>
    </row>
    <row r="2257" spans="1:22">
      <c r="A2257" s="2" t="s">
        <v>7015</v>
      </c>
      <c r="B2257" s="2" t="s">
        <v>7016</v>
      </c>
      <c r="C2257" s="2" t="s">
        <v>6850</v>
      </c>
      <c r="D2257" s="2" t="s">
        <v>88</v>
      </c>
      <c r="E2257" s="2" t="s">
        <v>128</v>
      </c>
      <c r="F2257" s="2" t="s">
        <v>90</v>
      </c>
      <c r="G2257" s="2" t="s">
        <v>67</v>
      </c>
      <c r="H2257" s="2" t="s">
        <v>2318</v>
      </c>
      <c r="I2257" s="2" t="s">
        <v>499</v>
      </c>
      <c r="J2257" s="2" t="s">
        <v>2621</v>
      </c>
      <c r="K2257" s="2" t="s">
        <v>7017</v>
      </c>
      <c r="L2257" s="2" t="s">
        <v>318</v>
      </c>
      <c r="M2257" s="2" t="s">
        <v>6852</v>
      </c>
      <c r="N2257" s="16">
        <v>0.02</v>
      </c>
      <c r="O2257" s="17">
        <f>N2257*'Financial Inputs'!$B$3</f>
        <v>2000000</v>
      </c>
      <c r="P2257" s="18">
        <f>IF(I2257="L",'Financial Inputs'!$B$4,IF(I2257="M",'Financial Inputs'!$B$5,'Financial Inputs'!$B$6))</f>
        <v>0.7</v>
      </c>
      <c r="Q2257" s="17">
        <f>O2257*P2257</f>
        <v>1400000</v>
      </c>
      <c r="R2257" s="16">
        <f>'Financial Inputs'!$B$7</f>
        <v>0.35</v>
      </c>
      <c r="S2257" s="17">
        <f>Q2257*(1-R2257)</f>
        <v>910000</v>
      </c>
      <c r="T2257" s="18">
        <f>S2257/'Financial Inputs'!$B$3</f>
        <v>9.1000000000000004E-3</v>
      </c>
      <c r="U2257" s="9" t="s">
        <v>52</v>
      </c>
      <c r="V2257" s="3" t="s">
        <v>53</v>
      </c>
    </row>
    <row r="2258" spans="1:22">
      <c r="A2258" s="2" t="s">
        <v>7018</v>
      </c>
      <c r="B2258" s="2" t="s">
        <v>7019</v>
      </c>
      <c r="C2258" s="2" t="s">
        <v>6850</v>
      </c>
      <c r="D2258" s="2" t="s">
        <v>95</v>
      </c>
      <c r="E2258" s="2" t="s">
        <v>43</v>
      </c>
      <c r="F2258" s="2" t="s">
        <v>97</v>
      </c>
      <c r="G2258" s="2" t="s">
        <v>75</v>
      </c>
      <c r="H2258" s="2" t="s">
        <v>2318</v>
      </c>
      <c r="I2258" s="2" t="s">
        <v>499</v>
      </c>
      <c r="J2258" s="2" t="s">
        <v>2621</v>
      </c>
      <c r="K2258" s="2" t="s">
        <v>7020</v>
      </c>
      <c r="L2258" s="2" t="s">
        <v>322</v>
      </c>
      <c r="M2258" s="2" t="s">
        <v>6852</v>
      </c>
      <c r="N2258" s="16">
        <v>2.2499999999999999E-2</v>
      </c>
      <c r="O2258" s="17">
        <f>N2258*'Financial Inputs'!$B$3</f>
        <v>2250000</v>
      </c>
      <c r="P2258" s="18">
        <f>IF(I2258="L",'Financial Inputs'!$B$4,IF(I2258="M",'Financial Inputs'!$B$5,'Financial Inputs'!$B$6))</f>
        <v>0.7</v>
      </c>
      <c r="Q2258" s="17">
        <f>O2258*P2258</f>
        <v>1575000</v>
      </c>
      <c r="R2258" s="16">
        <f>'Financial Inputs'!$B$7</f>
        <v>0.35</v>
      </c>
      <c r="S2258" s="17">
        <f>Q2258*(1-R2258)</f>
        <v>1023750</v>
      </c>
      <c r="T2258" s="18">
        <f>S2258/'Financial Inputs'!$B$3</f>
        <v>1.02375E-2</v>
      </c>
      <c r="U2258" s="9" t="s">
        <v>52</v>
      </c>
      <c r="V2258" s="3" t="s">
        <v>53</v>
      </c>
    </row>
    <row r="2259" spans="1:22">
      <c r="A2259" s="2" t="s">
        <v>7021</v>
      </c>
      <c r="B2259" s="2" t="s">
        <v>7022</v>
      </c>
      <c r="C2259" s="2" t="s">
        <v>6850</v>
      </c>
      <c r="D2259" s="2" t="s">
        <v>102</v>
      </c>
      <c r="E2259" s="2" t="s">
        <v>57</v>
      </c>
      <c r="F2259" s="2" t="s">
        <v>104</v>
      </c>
      <c r="G2259" s="2" t="s">
        <v>83</v>
      </c>
      <c r="H2259" s="2" t="s">
        <v>2318</v>
      </c>
      <c r="I2259" s="2" t="s">
        <v>499</v>
      </c>
      <c r="J2259" s="2" t="s">
        <v>2621</v>
      </c>
      <c r="K2259" s="2" t="s">
        <v>7023</v>
      </c>
      <c r="L2259" s="2" t="s">
        <v>326</v>
      </c>
      <c r="M2259" s="2" t="s">
        <v>6852</v>
      </c>
      <c r="N2259" s="16">
        <v>2.5000000000000001E-2</v>
      </c>
      <c r="O2259" s="17">
        <f>N2259*'Financial Inputs'!$B$3</f>
        <v>2500000</v>
      </c>
      <c r="P2259" s="18">
        <f>IF(I2259="L",'Financial Inputs'!$B$4,IF(I2259="M",'Financial Inputs'!$B$5,'Financial Inputs'!$B$6))</f>
        <v>0.7</v>
      </c>
      <c r="Q2259" s="17">
        <f>O2259*P2259</f>
        <v>1750000</v>
      </c>
      <c r="R2259" s="16">
        <f>'Financial Inputs'!$B$7</f>
        <v>0.35</v>
      </c>
      <c r="S2259" s="17">
        <f>Q2259*(1-R2259)</f>
        <v>1137500</v>
      </c>
      <c r="T2259" s="18">
        <f>S2259/'Financial Inputs'!$B$3</f>
        <v>1.1375E-2</v>
      </c>
      <c r="U2259" s="9" t="s">
        <v>52</v>
      </c>
      <c r="V2259" s="3" t="s">
        <v>53</v>
      </c>
    </row>
    <row r="2260" spans="1:22">
      <c r="A2260" s="2" t="s">
        <v>7024</v>
      </c>
      <c r="B2260" s="2" t="s">
        <v>7025</v>
      </c>
      <c r="C2260" s="2" t="s">
        <v>6850</v>
      </c>
      <c r="D2260" s="2" t="s">
        <v>42</v>
      </c>
      <c r="E2260" s="2" t="s">
        <v>65</v>
      </c>
      <c r="F2260" s="2" t="s">
        <v>110</v>
      </c>
      <c r="G2260" s="2" t="s">
        <v>111</v>
      </c>
      <c r="H2260" s="2" t="s">
        <v>2318</v>
      </c>
      <c r="I2260" s="2" t="s">
        <v>499</v>
      </c>
      <c r="J2260" s="2" t="s">
        <v>2621</v>
      </c>
      <c r="K2260" s="2" t="s">
        <v>7026</v>
      </c>
      <c r="L2260" s="2" t="s">
        <v>330</v>
      </c>
      <c r="M2260" s="2" t="s">
        <v>6852</v>
      </c>
      <c r="N2260" s="16">
        <v>2.75E-2</v>
      </c>
      <c r="O2260" s="17">
        <f>N2260*'Financial Inputs'!$B$3</f>
        <v>2750000</v>
      </c>
      <c r="P2260" s="18">
        <f>IF(I2260="L",'Financial Inputs'!$B$4,IF(I2260="M",'Financial Inputs'!$B$5,'Financial Inputs'!$B$6))</f>
        <v>0.7</v>
      </c>
      <c r="Q2260" s="17">
        <f>O2260*P2260</f>
        <v>1924999.9999999998</v>
      </c>
      <c r="R2260" s="16">
        <f>'Financial Inputs'!$B$7</f>
        <v>0.35</v>
      </c>
      <c r="S2260" s="17">
        <f>Q2260*(1-R2260)</f>
        <v>1251250</v>
      </c>
      <c r="T2260" s="18">
        <f>S2260/'Financial Inputs'!$B$3</f>
        <v>1.2512499999999999E-2</v>
      </c>
      <c r="U2260" s="9" t="s">
        <v>52</v>
      </c>
      <c r="V2260" s="3" t="s">
        <v>53</v>
      </c>
    </row>
    <row r="2261" spans="1:22">
      <c r="A2261" s="2" t="s">
        <v>7027</v>
      </c>
      <c r="B2261" s="2" t="s">
        <v>7028</v>
      </c>
      <c r="C2261" s="2" t="s">
        <v>6850</v>
      </c>
      <c r="D2261" s="2" t="s">
        <v>56</v>
      </c>
      <c r="E2261" s="2" t="s">
        <v>73</v>
      </c>
      <c r="F2261" s="2" t="s">
        <v>117</v>
      </c>
      <c r="G2261" s="2" t="s">
        <v>56</v>
      </c>
      <c r="H2261" s="2" t="s">
        <v>2318</v>
      </c>
      <c r="I2261" s="2" t="s">
        <v>499</v>
      </c>
      <c r="J2261" s="2" t="s">
        <v>2621</v>
      </c>
      <c r="K2261" s="2" t="s">
        <v>7029</v>
      </c>
      <c r="L2261" s="2" t="s">
        <v>334</v>
      </c>
      <c r="M2261" s="2" t="s">
        <v>6852</v>
      </c>
      <c r="N2261" s="16">
        <v>3.0000000000000009E-2</v>
      </c>
      <c r="O2261" s="17">
        <f>N2261*'Financial Inputs'!$B$3</f>
        <v>3000000.0000000009</v>
      </c>
      <c r="P2261" s="18">
        <f>IF(I2261="L",'Financial Inputs'!$B$4,IF(I2261="M",'Financial Inputs'!$B$5,'Financial Inputs'!$B$6))</f>
        <v>0.7</v>
      </c>
      <c r="Q2261" s="17">
        <f>O2261*P2261</f>
        <v>2100000.0000000005</v>
      </c>
      <c r="R2261" s="16">
        <f>'Financial Inputs'!$B$7</f>
        <v>0.35</v>
      </c>
      <c r="S2261" s="17">
        <f>Q2261*(1-R2261)</f>
        <v>1365000.0000000005</v>
      </c>
      <c r="T2261" s="18">
        <f>S2261/'Financial Inputs'!$B$3</f>
        <v>1.3650000000000004E-2</v>
      </c>
      <c r="U2261" s="9" t="s">
        <v>52</v>
      </c>
      <c r="V2261" s="3" t="s">
        <v>53</v>
      </c>
    </row>
    <row r="2262" spans="1:22">
      <c r="A2262" s="2" t="s">
        <v>7030</v>
      </c>
      <c r="B2262" s="2" t="s">
        <v>7031</v>
      </c>
      <c r="C2262" s="2" t="s">
        <v>6850</v>
      </c>
      <c r="D2262" s="2" t="s">
        <v>80</v>
      </c>
      <c r="E2262" s="2" t="s">
        <v>153</v>
      </c>
      <c r="F2262" s="2" t="s">
        <v>58</v>
      </c>
      <c r="G2262" s="2" t="s">
        <v>83</v>
      </c>
      <c r="H2262" s="2" t="s">
        <v>2318</v>
      </c>
      <c r="I2262" s="2" t="s">
        <v>499</v>
      </c>
      <c r="J2262" s="2" t="s">
        <v>2621</v>
      </c>
      <c r="K2262" s="2" t="s">
        <v>7032</v>
      </c>
      <c r="L2262" s="2" t="s">
        <v>338</v>
      </c>
      <c r="M2262" s="2" t="s">
        <v>6852</v>
      </c>
      <c r="N2262" s="16">
        <v>0.02</v>
      </c>
      <c r="O2262" s="17">
        <f>N2262*'Financial Inputs'!$B$3</f>
        <v>2000000</v>
      </c>
      <c r="P2262" s="18">
        <f>IF(I2262="L",'Financial Inputs'!$B$4,IF(I2262="M",'Financial Inputs'!$B$5,'Financial Inputs'!$B$6))</f>
        <v>0.7</v>
      </c>
      <c r="Q2262" s="17">
        <f>O2262*P2262</f>
        <v>1400000</v>
      </c>
      <c r="R2262" s="16">
        <f>'Financial Inputs'!$B$7</f>
        <v>0.35</v>
      </c>
      <c r="S2262" s="17">
        <f>Q2262*(1-R2262)</f>
        <v>910000</v>
      </c>
      <c r="T2262" s="18">
        <f>S2262/'Financial Inputs'!$B$3</f>
        <v>9.1000000000000004E-3</v>
      </c>
      <c r="U2262" s="9" t="s">
        <v>52</v>
      </c>
      <c r="V2262" s="3" t="s">
        <v>53</v>
      </c>
    </row>
    <row r="2263" spans="1:22">
      <c r="A2263" s="2" t="s">
        <v>7033</v>
      </c>
      <c r="B2263" s="2" t="s">
        <v>7034</v>
      </c>
      <c r="C2263" s="2" t="s">
        <v>6850</v>
      </c>
      <c r="D2263" s="2" t="s">
        <v>127</v>
      </c>
      <c r="E2263" s="2" t="s">
        <v>89</v>
      </c>
      <c r="F2263" s="2" t="s">
        <v>66</v>
      </c>
      <c r="G2263" s="2" t="s">
        <v>111</v>
      </c>
      <c r="H2263" s="2" t="s">
        <v>2318</v>
      </c>
      <c r="I2263" s="2" t="s">
        <v>499</v>
      </c>
      <c r="J2263" s="2" t="s">
        <v>2621</v>
      </c>
      <c r="K2263" s="2" t="s">
        <v>7035</v>
      </c>
      <c r="L2263" s="2" t="s">
        <v>342</v>
      </c>
      <c r="M2263" s="2" t="s">
        <v>6852</v>
      </c>
      <c r="N2263" s="16">
        <v>2.2499999999999999E-2</v>
      </c>
      <c r="O2263" s="17">
        <f>N2263*'Financial Inputs'!$B$3</f>
        <v>2250000</v>
      </c>
      <c r="P2263" s="18">
        <f>IF(I2263="L",'Financial Inputs'!$B$4,IF(I2263="M",'Financial Inputs'!$B$5,'Financial Inputs'!$B$6))</f>
        <v>0.7</v>
      </c>
      <c r="Q2263" s="17">
        <f>O2263*P2263</f>
        <v>1575000</v>
      </c>
      <c r="R2263" s="16">
        <f>'Financial Inputs'!$B$7</f>
        <v>0.35</v>
      </c>
      <c r="S2263" s="17">
        <f>Q2263*(1-R2263)</f>
        <v>1023750</v>
      </c>
      <c r="T2263" s="18">
        <f>S2263/'Financial Inputs'!$B$3</f>
        <v>1.02375E-2</v>
      </c>
      <c r="U2263" s="9" t="s">
        <v>52</v>
      </c>
      <c r="V2263" s="3" t="s">
        <v>53</v>
      </c>
    </row>
    <row r="2264" spans="1:22">
      <c r="A2264" s="2" t="s">
        <v>7036</v>
      </c>
      <c r="B2264" s="2" t="s">
        <v>7037</v>
      </c>
      <c r="C2264" s="2" t="s">
        <v>6850</v>
      </c>
      <c r="D2264" s="2" t="s">
        <v>133</v>
      </c>
      <c r="E2264" s="2" t="s">
        <v>96</v>
      </c>
      <c r="F2264" s="2" t="s">
        <v>74</v>
      </c>
      <c r="G2264" s="2" t="s">
        <v>56</v>
      </c>
      <c r="H2264" s="2" t="s">
        <v>2318</v>
      </c>
      <c r="I2264" s="2" t="s">
        <v>499</v>
      </c>
      <c r="J2264" s="2" t="s">
        <v>2621</v>
      </c>
      <c r="K2264" s="2" t="s">
        <v>7038</v>
      </c>
      <c r="L2264" s="2" t="s">
        <v>346</v>
      </c>
      <c r="M2264" s="2" t="s">
        <v>6852</v>
      </c>
      <c r="N2264" s="16">
        <v>2.5000000000000001E-2</v>
      </c>
      <c r="O2264" s="17">
        <f>N2264*'Financial Inputs'!$B$3</f>
        <v>2500000</v>
      </c>
      <c r="P2264" s="18">
        <f>IF(I2264="L",'Financial Inputs'!$B$4,IF(I2264="M",'Financial Inputs'!$B$5,'Financial Inputs'!$B$6))</f>
        <v>0.7</v>
      </c>
      <c r="Q2264" s="17">
        <f>O2264*P2264</f>
        <v>1750000</v>
      </c>
      <c r="R2264" s="16">
        <f>'Financial Inputs'!$B$7</f>
        <v>0.35</v>
      </c>
      <c r="S2264" s="17">
        <f>Q2264*(1-R2264)</f>
        <v>1137500</v>
      </c>
      <c r="T2264" s="18">
        <f>S2264/'Financial Inputs'!$B$3</f>
        <v>1.1375E-2</v>
      </c>
      <c r="U2264" s="9" t="s">
        <v>52</v>
      </c>
      <c r="V2264" s="3" t="s">
        <v>53</v>
      </c>
    </row>
    <row r="2265" spans="1:22">
      <c r="A2265" s="2" t="s">
        <v>7039</v>
      </c>
      <c r="B2265" s="2" t="s">
        <v>7040</v>
      </c>
      <c r="C2265" s="2" t="s">
        <v>6850</v>
      </c>
      <c r="D2265" s="2" t="s">
        <v>88</v>
      </c>
      <c r="E2265" s="2" t="s">
        <v>103</v>
      </c>
      <c r="F2265" s="2" t="s">
        <v>82</v>
      </c>
      <c r="G2265" s="2" t="s">
        <v>138</v>
      </c>
      <c r="H2265" s="2" t="s">
        <v>2318</v>
      </c>
      <c r="I2265" s="2" t="s">
        <v>499</v>
      </c>
      <c r="J2265" s="2" t="s">
        <v>2621</v>
      </c>
      <c r="K2265" s="2" t="s">
        <v>7041</v>
      </c>
      <c r="L2265" s="2" t="s">
        <v>350</v>
      </c>
      <c r="M2265" s="2" t="s">
        <v>6852</v>
      </c>
      <c r="N2265" s="16">
        <v>2.75E-2</v>
      </c>
      <c r="O2265" s="17">
        <f>N2265*'Financial Inputs'!$B$3</f>
        <v>2750000</v>
      </c>
      <c r="P2265" s="18">
        <f>IF(I2265="L",'Financial Inputs'!$B$4,IF(I2265="M",'Financial Inputs'!$B$5,'Financial Inputs'!$B$6))</f>
        <v>0.7</v>
      </c>
      <c r="Q2265" s="17">
        <f>O2265*P2265</f>
        <v>1924999.9999999998</v>
      </c>
      <c r="R2265" s="16">
        <f>'Financial Inputs'!$B$7</f>
        <v>0.35</v>
      </c>
      <c r="S2265" s="17">
        <f>Q2265*(1-R2265)</f>
        <v>1251250</v>
      </c>
      <c r="T2265" s="18">
        <f>S2265/'Financial Inputs'!$B$3</f>
        <v>1.2512499999999999E-2</v>
      </c>
      <c r="U2265" s="9" t="s">
        <v>52</v>
      </c>
      <c r="V2265" s="3" t="s">
        <v>53</v>
      </c>
    </row>
    <row r="2266" spans="1:22">
      <c r="A2266" s="2" t="s">
        <v>7042</v>
      </c>
      <c r="B2266" s="2" t="s">
        <v>7043</v>
      </c>
      <c r="C2266" s="2" t="s">
        <v>6850</v>
      </c>
      <c r="D2266" s="2" t="s">
        <v>95</v>
      </c>
      <c r="E2266" s="2" t="s">
        <v>109</v>
      </c>
      <c r="F2266" s="2" t="s">
        <v>44</v>
      </c>
      <c r="G2266" s="2" t="s">
        <v>143</v>
      </c>
      <c r="H2266" s="2" t="s">
        <v>2318</v>
      </c>
      <c r="I2266" s="2" t="s">
        <v>499</v>
      </c>
      <c r="J2266" s="2" t="s">
        <v>2621</v>
      </c>
      <c r="K2266" s="2" t="s">
        <v>7044</v>
      </c>
      <c r="L2266" s="2" t="s">
        <v>354</v>
      </c>
      <c r="M2266" s="2" t="s">
        <v>6852</v>
      </c>
      <c r="N2266" s="16">
        <v>3.0000000000000009E-2</v>
      </c>
      <c r="O2266" s="17">
        <f>N2266*'Financial Inputs'!$B$3</f>
        <v>3000000.0000000009</v>
      </c>
      <c r="P2266" s="18">
        <f>IF(I2266="L",'Financial Inputs'!$B$4,IF(I2266="M",'Financial Inputs'!$B$5,'Financial Inputs'!$B$6))</f>
        <v>0.7</v>
      </c>
      <c r="Q2266" s="17">
        <f>O2266*P2266</f>
        <v>2100000.0000000005</v>
      </c>
      <c r="R2266" s="16">
        <f>'Financial Inputs'!$B$7</f>
        <v>0.35</v>
      </c>
      <c r="S2266" s="17">
        <f>Q2266*(1-R2266)</f>
        <v>1365000.0000000005</v>
      </c>
      <c r="T2266" s="18">
        <f>S2266/'Financial Inputs'!$B$3</f>
        <v>1.3650000000000004E-2</v>
      </c>
      <c r="U2266" s="9" t="s">
        <v>52</v>
      </c>
      <c r="V2266" s="3" t="s">
        <v>53</v>
      </c>
    </row>
    <row r="2267" spans="1:22">
      <c r="A2267" s="2" t="s">
        <v>7045</v>
      </c>
      <c r="B2267" s="2" t="s">
        <v>7046</v>
      </c>
      <c r="C2267" s="2" t="s">
        <v>6850</v>
      </c>
      <c r="D2267" s="2" t="s">
        <v>56</v>
      </c>
      <c r="E2267" s="2" t="s">
        <v>176</v>
      </c>
      <c r="F2267" s="2" t="s">
        <v>97</v>
      </c>
      <c r="G2267" s="2" t="s">
        <v>56</v>
      </c>
      <c r="H2267" s="2" t="s">
        <v>2318</v>
      </c>
      <c r="I2267" s="2" t="s">
        <v>499</v>
      </c>
      <c r="J2267" s="2" t="s">
        <v>2621</v>
      </c>
      <c r="K2267" s="2" t="s">
        <v>7047</v>
      </c>
      <c r="L2267" s="2" t="s">
        <v>358</v>
      </c>
      <c r="M2267" s="2" t="s">
        <v>6852</v>
      </c>
      <c r="N2267" s="16">
        <v>0.02</v>
      </c>
      <c r="O2267" s="17">
        <f>N2267*'Financial Inputs'!$B$3</f>
        <v>2000000</v>
      </c>
      <c r="P2267" s="18">
        <f>IF(I2267="L",'Financial Inputs'!$B$4,IF(I2267="M",'Financial Inputs'!$B$5,'Financial Inputs'!$B$6))</f>
        <v>0.7</v>
      </c>
      <c r="Q2267" s="17">
        <f>O2267*P2267</f>
        <v>1400000</v>
      </c>
      <c r="R2267" s="16">
        <f>'Financial Inputs'!$B$7</f>
        <v>0.35</v>
      </c>
      <c r="S2267" s="17">
        <f>Q2267*(1-R2267)</f>
        <v>910000</v>
      </c>
      <c r="T2267" s="18">
        <f>S2267/'Financial Inputs'!$B$3</f>
        <v>9.1000000000000004E-3</v>
      </c>
      <c r="U2267" s="9" t="s">
        <v>52</v>
      </c>
      <c r="V2267" s="3" t="s">
        <v>53</v>
      </c>
    </row>
    <row r="2268" spans="1:22">
      <c r="A2268" s="2" t="s">
        <v>7048</v>
      </c>
      <c r="B2268" s="2" t="s">
        <v>7049</v>
      </c>
      <c r="C2268" s="2" t="s">
        <v>6850</v>
      </c>
      <c r="D2268" s="2" t="s">
        <v>64</v>
      </c>
      <c r="E2268" s="2" t="s">
        <v>122</v>
      </c>
      <c r="F2268" s="2" t="s">
        <v>104</v>
      </c>
      <c r="G2268" s="2" t="s">
        <v>138</v>
      </c>
      <c r="H2268" s="2" t="s">
        <v>2318</v>
      </c>
      <c r="I2268" s="2" t="s">
        <v>499</v>
      </c>
      <c r="J2268" s="2" t="s">
        <v>2621</v>
      </c>
      <c r="K2268" s="2" t="s">
        <v>7050</v>
      </c>
      <c r="L2268" s="2" t="s">
        <v>362</v>
      </c>
      <c r="M2268" s="2" t="s">
        <v>6852</v>
      </c>
      <c r="N2268" s="16">
        <v>2.2499999999999999E-2</v>
      </c>
      <c r="O2268" s="17">
        <f>N2268*'Financial Inputs'!$B$3</f>
        <v>2250000</v>
      </c>
      <c r="P2268" s="18">
        <f>IF(I2268="L",'Financial Inputs'!$B$4,IF(I2268="M",'Financial Inputs'!$B$5,'Financial Inputs'!$B$6))</f>
        <v>0.7</v>
      </c>
      <c r="Q2268" s="17">
        <f>O2268*P2268</f>
        <v>1575000</v>
      </c>
      <c r="R2268" s="16">
        <f>'Financial Inputs'!$B$7</f>
        <v>0.35</v>
      </c>
      <c r="S2268" s="17">
        <f>Q2268*(1-R2268)</f>
        <v>1023750</v>
      </c>
      <c r="T2268" s="18">
        <f>S2268/'Financial Inputs'!$B$3</f>
        <v>1.02375E-2</v>
      </c>
      <c r="U2268" s="9" t="s">
        <v>52</v>
      </c>
      <c r="V2268" s="3" t="s">
        <v>53</v>
      </c>
    </row>
    <row r="2269" spans="1:22">
      <c r="A2269" s="2" t="s">
        <v>7051</v>
      </c>
      <c r="B2269" s="2" t="s">
        <v>7052</v>
      </c>
      <c r="C2269" s="2" t="s">
        <v>6850</v>
      </c>
      <c r="D2269" s="2" t="s">
        <v>72</v>
      </c>
      <c r="E2269" s="2" t="s">
        <v>128</v>
      </c>
      <c r="F2269" s="2" t="s">
        <v>110</v>
      </c>
      <c r="G2269" s="2" t="s">
        <v>143</v>
      </c>
      <c r="H2269" s="2" t="s">
        <v>2318</v>
      </c>
      <c r="I2269" s="2" t="s">
        <v>499</v>
      </c>
      <c r="J2269" s="2" t="s">
        <v>2621</v>
      </c>
      <c r="K2269" s="2" t="s">
        <v>7053</v>
      </c>
      <c r="L2269" s="2" t="s">
        <v>366</v>
      </c>
      <c r="M2269" s="2" t="s">
        <v>6852</v>
      </c>
      <c r="N2269" s="16">
        <v>2.5000000000000001E-2</v>
      </c>
      <c r="O2269" s="17">
        <f>N2269*'Financial Inputs'!$B$3</f>
        <v>2500000</v>
      </c>
      <c r="P2269" s="18">
        <f>IF(I2269="L",'Financial Inputs'!$B$4,IF(I2269="M",'Financial Inputs'!$B$5,'Financial Inputs'!$B$6))</f>
        <v>0.7</v>
      </c>
      <c r="Q2269" s="17">
        <f>O2269*P2269</f>
        <v>1750000</v>
      </c>
      <c r="R2269" s="16">
        <f>'Financial Inputs'!$B$7</f>
        <v>0.35</v>
      </c>
      <c r="S2269" s="17">
        <f>Q2269*(1-R2269)</f>
        <v>1137500</v>
      </c>
      <c r="T2269" s="18">
        <f>S2269/'Financial Inputs'!$B$3</f>
        <v>1.1375E-2</v>
      </c>
      <c r="U2269" s="9" t="s">
        <v>52</v>
      </c>
      <c r="V2269" s="3" t="s">
        <v>53</v>
      </c>
    </row>
    <row r="2270" spans="1:22">
      <c r="A2270" s="2" t="s">
        <v>7054</v>
      </c>
      <c r="B2270" s="2" t="s">
        <v>7055</v>
      </c>
      <c r="C2270" s="2" t="s">
        <v>6850</v>
      </c>
      <c r="D2270" s="2" t="s">
        <v>80</v>
      </c>
      <c r="E2270" s="2" t="s">
        <v>43</v>
      </c>
      <c r="F2270" s="2" t="s">
        <v>117</v>
      </c>
      <c r="G2270" s="2" t="s">
        <v>162</v>
      </c>
      <c r="H2270" s="2" t="s">
        <v>2318</v>
      </c>
      <c r="I2270" s="2" t="s">
        <v>499</v>
      </c>
      <c r="J2270" s="2" t="s">
        <v>2621</v>
      </c>
      <c r="K2270" s="2" t="s">
        <v>7056</v>
      </c>
      <c r="L2270" s="2" t="s">
        <v>370</v>
      </c>
      <c r="M2270" s="2" t="s">
        <v>6852</v>
      </c>
      <c r="N2270" s="16">
        <v>2.75E-2</v>
      </c>
      <c r="O2270" s="17">
        <f>N2270*'Financial Inputs'!$B$3</f>
        <v>2750000</v>
      </c>
      <c r="P2270" s="18">
        <f>IF(I2270="L",'Financial Inputs'!$B$4,IF(I2270="M",'Financial Inputs'!$B$5,'Financial Inputs'!$B$6))</f>
        <v>0.7</v>
      </c>
      <c r="Q2270" s="17">
        <f>O2270*P2270</f>
        <v>1924999.9999999998</v>
      </c>
      <c r="R2270" s="16">
        <f>'Financial Inputs'!$B$7</f>
        <v>0.35</v>
      </c>
      <c r="S2270" s="17">
        <f>Q2270*(1-R2270)</f>
        <v>1251250</v>
      </c>
      <c r="T2270" s="18">
        <f>S2270/'Financial Inputs'!$B$3</f>
        <v>1.2512499999999999E-2</v>
      </c>
      <c r="U2270" s="9" t="s">
        <v>52</v>
      </c>
      <c r="V2270" s="3" t="s">
        <v>53</v>
      </c>
    </row>
    <row r="2271" spans="1:22">
      <c r="A2271" s="2" t="s">
        <v>7057</v>
      </c>
      <c r="B2271" s="2" t="s">
        <v>7058</v>
      </c>
      <c r="C2271" s="2" t="s">
        <v>6850</v>
      </c>
      <c r="D2271" s="2" t="s">
        <v>127</v>
      </c>
      <c r="E2271" s="2" t="s">
        <v>57</v>
      </c>
      <c r="F2271" s="2" t="s">
        <v>90</v>
      </c>
      <c r="G2271" s="2" t="s">
        <v>45</v>
      </c>
      <c r="H2271" s="2" t="s">
        <v>2318</v>
      </c>
      <c r="I2271" s="2" t="s">
        <v>499</v>
      </c>
      <c r="J2271" s="2" t="s">
        <v>2621</v>
      </c>
      <c r="K2271" s="2" t="s">
        <v>7059</v>
      </c>
      <c r="L2271" s="2" t="s">
        <v>374</v>
      </c>
      <c r="M2271" s="2" t="s">
        <v>6852</v>
      </c>
      <c r="N2271" s="16">
        <v>3.0000000000000009E-2</v>
      </c>
      <c r="O2271" s="17">
        <f>N2271*'Financial Inputs'!$B$3</f>
        <v>3000000.0000000009</v>
      </c>
      <c r="P2271" s="18">
        <f>IF(I2271="L",'Financial Inputs'!$B$4,IF(I2271="M",'Financial Inputs'!$B$5,'Financial Inputs'!$B$6))</f>
        <v>0.7</v>
      </c>
      <c r="Q2271" s="17">
        <f>O2271*P2271</f>
        <v>2100000.0000000005</v>
      </c>
      <c r="R2271" s="16">
        <f>'Financial Inputs'!$B$7</f>
        <v>0.35</v>
      </c>
      <c r="S2271" s="17">
        <f>Q2271*(1-R2271)</f>
        <v>1365000.0000000005</v>
      </c>
      <c r="T2271" s="18">
        <f>S2271/'Financial Inputs'!$B$3</f>
        <v>1.3650000000000004E-2</v>
      </c>
      <c r="U2271" s="9" t="s">
        <v>52</v>
      </c>
      <c r="V2271" s="3" t="s">
        <v>53</v>
      </c>
    </row>
    <row r="2272" spans="1:22">
      <c r="A2272" s="2" t="s">
        <v>7060</v>
      </c>
      <c r="B2272" s="2" t="s">
        <v>7061</v>
      </c>
      <c r="C2272" s="2" t="s">
        <v>6850</v>
      </c>
      <c r="D2272" s="2" t="s">
        <v>95</v>
      </c>
      <c r="E2272" s="2" t="s">
        <v>198</v>
      </c>
      <c r="F2272" s="2" t="s">
        <v>66</v>
      </c>
      <c r="G2272" s="2" t="s">
        <v>143</v>
      </c>
      <c r="H2272" s="2" t="s">
        <v>2318</v>
      </c>
      <c r="I2272" s="2" t="s">
        <v>499</v>
      </c>
      <c r="J2272" s="2" t="s">
        <v>2621</v>
      </c>
      <c r="K2272" s="2" t="s">
        <v>7062</v>
      </c>
      <c r="L2272" s="2" t="s">
        <v>378</v>
      </c>
      <c r="M2272" s="2" t="s">
        <v>6852</v>
      </c>
      <c r="N2272" s="16">
        <v>0.02</v>
      </c>
      <c r="O2272" s="17">
        <f>N2272*'Financial Inputs'!$B$3</f>
        <v>2000000</v>
      </c>
      <c r="P2272" s="18">
        <f>IF(I2272="L",'Financial Inputs'!$B$4,IF(I2272="M",'Financial Inputs'!$B$5,'Financial Inputs'!$B$6))</f>
        <v>0.7</v>
      </c>
      <c r="Q2272" s="17">
        <f>O2272*P2272</f>
        <v>1400000</v>
      </c>
      <c r="R2272" s="16">
        <f>'Financial Inputs'!$B$7</f>
        <v>0.35</v>
      </c>
      <c r="S2272" s="17">
        <f>Q2272*(1-R2272)</f>
        <v>910000</v>
      </c>
      <c r="T2272" s="18">
        <f>S2272/'Financial Inputs'!$B$3</f>
        <v>9.1000000000000004E-3</v>
      </c>
      <c r="U2272" s="9" t="s">
        <v>52</v>
      </c>
      <c r="V2272" s="3" t="s">
        <v>53</v>
      </c>
    </row>
    <row r="2273" spans="1:22">
      <c r="A2273" s="2" t="s">
        <v>7063</v>
      </c>
      <c r="B2273" s="2" t="s">
        <v>7064</v>
      </c>
      <c r="C2273" s="2" t="s">
        <v>6850</v>
      </c>
      <c r="D2273" s="2" t="s">
        <v>102</v>
      </c>
      <c r="E2273" s="2" t="s">
        <v>148</v>
      </c>
      <c r="F2273" s="2" t="s">
        <v>74</v>
      </c>
      <c r="G2273" s="2" t="s">
        <v>162</v>
      </c>
      <c r="H2273" s="2" t="s">
        <v>2318</v>
      </c>
      <c r="I2273" s="2" t="s">
        <v>499</v>
      </c>
      <c r="J2273" s="2" t="s">
        <v>2621</v>
      </c>
      <c r="K2273" s="2" t="s">
        <v>7065</v>
      </c>
      <c r="L2273" s="2" t="s">
        <v>382</v>
      </c>
      <c r="M2273" s="2" t="s">
        <v>6852</v>
      </c>
      <c r="N2273" s="16">
        <v>2.2499999999999999E-2</v>
      </c>
      <c r="O2273" s="17">
        <f>N2273*'Financial Inputs'!$B$3</f>
        <v>2250000</v>
      </c>
      <c r="P2273" s="18">
        <f>IF(I2273="L",'Financial Inputs'!$B$4,IF(I2273="M",'Financial Inputs'!$B$5,'Financial Inputs'!$B$6))</f>
        <v>0.7</v>
      </c>
      <c r="Q2273" s="17">
        <f>O2273*P2273</f>
        <v>1575000</v>
      </c>
      <c r="R2273" s="16">
        <f>'Financial Inputs'!$B$7</f>
        <v>0.35</v>
      </c>
      <c r="S2273" s="17">
        <f>Q2273*(1-R2273)</f>
        <v>1023750</v>
      </c>
      <c r="T2273" s="18">
        <f>S2273/'Financial Inputs'!$B$3</f>
        <v>1.02375E-2</v>
      </c>
      <c r="U2273" s="9" t="s">
        <v>52</v>
      </c>
      <c r="V2273" s="3" t="s">
        <v>53</v>
      </c>
    </row>
    <row r="2274" spans="1:22">
      <c r="A2274" s="2" t="s">
        <v>7066</v>
      </c>
      <c r="B2274" s="2" t="s">
        <v>7067</v>
      </c>
      <c r="C2274" s="2" t="s">
        <v>6850</v>
      </c>
      <c r="D2274" s="2" t="s">
        <v>42</v>
      </c>
      <c r="E2274" s="2" t="s">
        <v>153</v>
      </c>
      <c r="F2274" s="2" t="s">
        <v>82</v>
      </c>
      <c r="G2274" s="2" t="s">
        <v>45</v>
      </c>
      <c r="H2274" s="2" t="s">
        <v>2318</v>
      </c>
      <c r="I2274" s="2" t="s">
        <v>499</v>
      </c>
      <c r="J2274" s="2" t="s">
        <v>2621</v>
      </c>
      <c r="K2274" s="2" t="s">
        <v>7068</v>
      </c>
      <c r="L2274" s="2" t="s">
        <v>386</v>
      </c>
      <c r="M2274" s="2" t="s">
        <v>6852</v>
      </c>
      <c r="N2274" s="16">
        <v>2.5000000000000001E-2</v>
      </c>
      <c r="O2274" s="17">
        <f>N2274*'Financial Inputs'!$B$3</f>
        <v>2500000</v>
      </c>
      <c r="P2274" s="18">
        <f>IF(I2274="L",'Financial Inputs'!$B$4,IF(I2274="M",'Financial Inputs'!$B$5,'Financial Inputs'!$B$6))</f>
        <v>0.7</v>
      </c>
      <c r="Q2274" s="17">
        <f>O2274*P2274</f>
        <v>1750000</v>
      </c>
      <c r="R2274" s="16">
        <f>'Financial Inputs'!$B$7</f>
        <v>0.35</v>
      </c>
      <c r="S2274" s="17">
        <f>Q2274*(1-R2274)</f>
        <v>1137500</v>
      </c>
      <c r="T2274" s="18">
        <f>S2274/'Financial Inputs'!$B$3</f>
        <v>1.1375E-2</v>
      </c>
      <c r="U2274" s="9" t="s">
        <v>52</v>
      </c>
      <c r="V2274" s="3" t="s">
        <v>53</v>
      </c>
    </row>
    <row r="2275" spans="1:22">
      <c r="A2275" s="2" t="s">
        <v>7069</v>
      </c>
      <c r="B2275" s="2" t="s">
        <v>7070</v>
      </c>
      <c r="C2275" s="2" t="s">
        <v>6850</v>
      </c>
      <c r="D2275" s="2" t="s">
        <v>56</v>
      </c>
      <c r="E2275" s="2" t="s">
        <v>89</v>
      </c>
      <c r="F2275" s="2" t="s">
        <v>44</v>
      </c>
      <c r="G2275" s="2" t="s">
        <v>59</v>
      </c>
      <c r="H2275" s="2" t="s">
        <v>2318</v>
      </c>
      <c r="I2275" s="2" t="s">
        <v>499</v>
      </c>
      <c r="J2275" s="2" t="s">
        <v>2621</v>
      </c>
      <c r="K2275" s="2" t="s">
        <v>7071</v>
      </c>
      <c r="L2275" s="2" t="s">
        <v>390</v>
      </c>
      <c r="M2275" s="2" t="s">
        <v>6852</v>
      </c>
      <c r="N2275" s="16">
        <v>2.75E-2</v>
      </c>
      <c r="O2275" s="17">
        <f>N2275*'Financial Inputs'!$B$3</f>
        <v>2750000</v>
      </c>
      <c r="P2275" s="18">
        <f>IF(I2275="L",'Financial Inputs'!$B$4,IF(I2275="M",'Financial Inputs'!$B$5,'Financial Inputs'!$B$6))</f>
        <v>0.7</v>
      </c>
      <c r="Q2275" s="17">
        <f>O2275*P2275</f>
        <v>1924999.9999999998</v>
      </c>
      <c r="R2275" s="16">
        <f>'Financial Inputs'!$B$7</f>
        <v>0.35</v>
      </c>
      <c r="S2275" s="17">
        <f>Q2275*(1-R2275)</f>
        <v>1251250</v>
      </c>
      <c r="T2275" s="18">
        <f>S2275/'Financial Inputs'!$B$3</f>
        <v>1.2512499999999999E-2</v>
      </c>
      <c r="U2275" s="9" t="s">
        <v>52</v>
      </c>
      <c r="V2275" s="3" t="s">
        <v>53</v>
      </c>
    </row>
    <row r="2276" spans="1:22">
      <c r="A2276" s="2" t="s">
        <v>7072</v>
      </c>
      <c r="B2276" s="2" t="s">
        <v>7073</v>
      </c>
      <c r="C2276" s="2" t="s">
        <v>6850</v>
      </c>
      <c r="D2276" s="2" t="s">
        <v>64</v>
      </c>
      <c r="E2276" s="2" t="s">
        <v>96</v>
      </c>
      <c r="F2276" s="2" t="s">
        <v>58</v>
      </c>
      <c r="G2276" s="2" t="s">
        <v>67</v>
      </c>
      <c r="H2276" s="2" t="s">
        <v>2318</v>
      </c>
      <c r="I2276" s="2" t="s">
        <v>499</v>
      </c>
      <c r="J2276" s="2" t="s">
        <v>2621</v>
      </c>
      <c r="K2276" s="2" t="s">
        <v>7074</v>
      </c>
      <c r="L2276" s="2" t="s">
        <v>394</v>
      </c>
      <c r="M2276" s="2" t="s">
        <v>6852</v>
      </c>
      <c r="N2276" s="16">
        <v>3.0000000000000009E-2</v>
      </c>
      <c r="O2276" s="17">
        <f>N2276*'Financial Inputs'!$B$3</f>
        <v>3000000.0000000009</v>
      </c>
      <c r="P2276" s="18">
        <f>IF(I2276="L",'Financial Inputs'!$B$4,IF(I2276="M",'Financial Inputs'!$B$5,'Financial Inputs'!$B$6))</f>
        <v>0.7</v>
      </c>
      <c r="Q2276" s="17">
        <f>O2276*P2276</f>
        <v>2100000.0000000005</v>
      </c>
      <c r="R2276" s="16">
        <f>'Financial Inputs'!$B$7</f>
        <v>0.35</v>
      </c>
      <c r="S2276" s="17">
        <f>Q2276*(1-R2276)</f>
        <v>1365000.0000000005</v>
      </c>
      <c r="T2276" s="18">
        <f>S2276/'Financial Inputs'!$B$3</f>
        <v>1.3650000000000004E-2</v>
      </c>
      <c r="U2276" s="9" t="s">
        <v>52</v>
      </c>
      <c r="V2276" s="3" t="s">
        <v>53</v>
      </c>
    </row>
    <row r="2277" spans="1:22">
      <c r="A2277" s="2" t="s">
        <v>7075</v>
      </c>
      <c r="B2277" s="2" t="s">
        <v>7076</v>
      </c>
      <c r="C2277" s="2" t="s">
        <v>6850</v>
      </c>
      <c r="D2277" s="2" t="s">
        <v>127</v>
      </c>
      <c r="E2277" s="2" t="s">
        <v>220</v>
      </c>
      <c r="F2277" s="2" t="s">
        <v>104</v>
      </c>
      <c r="G2277" s="2" t="s">
        <v>45</v>
      </c>
      <c r="H2277" s="2" t="s">
        <v>2318</v>
      </c>
      <c r="I2277" s="2" t="s">
        <v>499</v>
      </c>
      <c r="J2277" s="2" t="s">
        <v>2621</v>
      </c>
      <c r="K2277" s="2" t="s">
        <v>7077</v>
      </c>
      <c r="L2277" s="2" t="s">
        <v>398</v>
      </c>
      <c r="M2277" s="2" t="s">
        <v>6852</v>
      </c>
      <c r="N2277" s="16">
        <v>0.02</v>
      </c>
      <c r="O2277" s="17">
        <f>N2277*'Financial Inputs'!$B$3</f>
        <v>2000000</v>
      </c>
      <c r="P2277" s="18">
        <f>IF(I2277="L",'Financial Inputs'!$B$4,IF(I2277="M",'Financial Inputs'!$B$5,'Financial Inputs'!$B$6))</f>
        <v>0.7</v>
      </c>
      <c r="Q2277" s="17">
        <f>O2277*P2277</f>
        <v>1400000</v>
      </c>
      <c r="R2277" s="16">
        <f>'Financial Inputs'!$B$7</f>
        <v>0.35</v>
      </c>
      <c r="S2277" s="17">
        <f>Q2277*(1-R2277)</f>
        <v>910000</v>
      </c>
      <c r="T2277" s="18">
        <f>S2277/'Financial Inputs'!$B$3</f>
        <v>9.1000000000000004E-3</v>
      </c>
      <c r="U2277" s="9" t="s">
        <v>52</v>
      </c>
      <c r="V2277" s="3" t="s">
        <v>53</v>
      </c>
    </row>
    <row r="2278" spans="1:22">
      <c r="A2278" s="2" t="s">
        <v>7078</v>
      </c>
      <c r="B2278" s="2" t="s">
        <v>7079</v>
      </c>
      <c r="C2278" s="2" t="s">
        <v>6850</v>
      </c>
      <c r="D2278" s="2" t="s">
        <v>133</v>
      </c>
      <c r="E2278" s="2" t="s">
        <v>171</v>
      </c>
      <c r="F2278" s="2" t="s">
        <v>110</v>
      </c>
      <c r="G2278" s="2" t="s">
        <v>59</v>
      </c>
      <c r="H2278" s="2" t="s">
        <v>2318</v>
      </c>
      <c r="I2278" s="2" t="s">
        <v>499</v>
      </c>
      <c r="J2278" s="2" t="s">
        <v>2621</v>
      </c>
      <c r="K2278" s="2" t="s">
        <v>7080</v>
      </c>
      <c r="L2278" s="2" t="s">
        <v>402</v>
      </c>
      <c r="M2278" s="2" t="s">
        <v>6852</v>
      </c>
      <c r="N2278" s="16">
        <v>2.2499999999999999E-2</v>
      </c>
      <c r="O2278" s="17">
        <f>N2278*'Financial Inputs'!$B$3</f>
        <v>2250000</v>
      </c>
      <c r="P2278" s="18">
        <f>IF(I2278="L",'Financial Inputs'!$B$4,IF(I2278="M",'Financial Inputs'!$B$5,'Financial Inputs'!$B$6))</f>
        <v>0.7</v>
      </c>
      <c r="Q2278" s="17">
        <f>O2278*P2278</f>
        <v>1575000</v>
      </c>
      <c r="R2278" s="16">
        <f>'Financial Inputs'!$B$7</f>
        <v>0.35</v>
      </c>
      <c r="S2278" s="17">
        <f>Q2278*(1-R2278)</f>
        <v>1023750</v>
      </c>
      <c r="T2278" s="18">
        <f>S2278/'Financial Inputs'!$B$3</f>
        <v>1.02375E-2</v>
      </c>
      <c r="U2278" s="9" t="s">
        <v>52</v>
      </c>
      <c r="V2278" s="3" t="s">
        <v>53</v>
      </c>
    </row>
    <row r="2279" spans="1:22">
      <c r="A2279" s="2" t="s">
        <v>7081</v>
      </c>
      <c r="B2279" s="2" t="s">
        <v>7082</v>
      </c>
      <c r="C2279" s="2" t="s">
        <v>6850</v>
      </c>
      <c r="D2279" s="2" t="s">
        <v>88</v>
      </c>
      <c r="E2279" s="2" t="s">
        <v>176</v>
      </c>
      <c r="F2279" s="2" t="s">
        <v>117</v>
      </c>
      <c r="G2279" s="2" t="s">
        <v>67</v>
      </c>
      <c r="H2279" s="2" t="s">
        <v>2318</v>
      </c>
      <c r="I2279" s="2" t="s">
        <v>499</v>
      </c>
      <c r="J2279" s="2" t="s">
        <v>2621</v>
      </c>
      <c r="K2279" s="2" t="s">
        <v>7083</v>
      </c>
      <c r="L2279" s="2" t="s">
        <v>406</v>
      </c>
      <c r="M2279" s="2" t="s">
        <v>6852</v>
      </c>
      <c r="N2279" s="16">
        <v>2.5000000000000001E-2</v>
      </c>
      <c r="O2279" s="17">
        <f>N2279*'Financial Inputs'!$B$3</f>
        <v>2500000</v>
      </c>
      <c r="P2279" s="18">
        <f>IF(I2279="L",'Financial Inputs'!$B$4,IF(I2279="M",'Financial Inputs'!$B$5,'Financial Inputs'!$B$6))</f>
        <v>0.7</v>
      </c>
      <c r="Q2279" s="17">
        <f>O2279*P2279</f>
        <v>1750000</v>
      </c>
      <c r="R2279" s="16">
        <f>'Financial Inputs'!$B$7</f>
        <v>0.35</v>
      </c>
      <c r="S2279" s="17">
        <f>Q2279*(1-R2279)</f>
        <v>1137500</v>
      </c>
      <c r="T2279" s="18">
        <f>S2279/'Financial Inputs'!$B$3</f>
        <v>1.1375E-2</v>
      </c>
      <c r="U2279" s="9" t="s">
        <v>52</v>
      </c>
      <c r="V2279" s="3" t="s">
        <v>53</v>
      </c>
    </row>
    <row r="2280" spans="1:22">
      <c r="A2280" s="2" t="s">
        <v>7084</v>
      </c>
      <c r="B2280" s="2" t="s">
        <v>7085</v>
      </c>
      <c r="C2280" s="2" t="s">
        <v>6850</v>
      </c>
      <c r="D2280" s="2" t="s">
        <v>95</v>
      </c>
      <c r="E2280" s="2" t="s">
        <v>122</v>
      </c>
      <c r="F2280" s="2" t="s">
        <v>90</v>
      </c>
      <c r="G2280" s="2" t="s">
        <v>75</v>
      </c>
      <c r="H2280" s="2" t="s">
        <v>2318</v>
      </c>
      <c r="I2280" s="2" t="s">
        <v>499</v>
      </c>
      <c r="J2280" s="2" t="s">
        <v>2621</v>
      </c>
      <c r="K2280" s="2" t="s">
        <v>7086</v>
      </c>
      <c r="L2280" s="2" t="s">
        <v>410</v>
      </c>
      <c r="M2280" s="2" t="s">
        <v>6852</v>
      </c>
      <c r="N2280" s="16">
        <v>2.75E-2</v>
      </c>
      <c r="O2280" s="17">
        <f>N2280*'Financial Inputs'!$B$3</f>
        <v>2750000</v>
      </c>
      <c r="P2280" s="18">
        <f>IF(I2280="L",'Financial Inputs'!$B$4,IF(I2280="M",'Financial Inputs'!$B$5,'Financial Inputs'!$B$6))</f>
        <v>0.7</v>
      </c>
      <c r="Q2280" s="17">
        <f>O2280*P2280</f>
        <v>1924999.9999999998</v>
      </c>
      <c r="R2280" s="16">
        <f>'Financial Inputs'!$B$7</f>
        <v>0.35</v>
      </c>
      <c r="S2280" s="17">
        <f>Q2280*(1-R2280)</f>
        <v>1251250</v>
      </c>
      <c r="T2280" s="18">
        <f>S2280/'Financial Inputs'!$B$3</f>
        <v>1.2512499999999999E-2</v>
      </c>
      <c r="U2280" s="9" t="s">
        <v>52</v>
      </c>
      <c r="V2280" s="3" t="s">
        <v>53</v>
      </c>
    </row>
    <row r="2281" spans="1:22">
      <c r="A2281" s="2" t="s">
        <v>7087</v>
      </c>
      <c r="B2281" s="2" t="s">
        <v>7088</v>
      </c>
      <c r="C2281" s="2" t="s">
        <v>6850</v>
      </c>
      <c r="D2281" s="2" t="s">
        <v>102</v>
      </c>
      <c r="E2281" s="2" t="s">
        <v>128</v>
      </c>
      <c r="F2281" s="2" t="s">
        <v>97</v>
      </c>
      <c r="G2281" s="2" t="s">
        <v>83</v>
      </c>
      <c r="H2281" s="2" t="s">
        <v>2318</v>
      </c>
      <c r="I2281" s="2" t="s">
        <v>499</v>
      </c>
      <c r="J2281" s="2" t="s">
        <v>2621</v>
      </c>
      <c r="K2281" s="2" t="s">
        <v>7089</v>
      </c>
      <c r="L2281" s="2" t="s">
        <v>414</v>
      </c>
      <c r="M2281" s="2" t="s">
        <v>6852</v>
      </c>
      <c r="N2281" s="16">
        <v>3.0000000000000009E-2</v>
      </c>
      <c r="O2281" s="17">
        <f>N2281*'Financial Inputs'!$B$3</f>
        <v>3000000.0000000009</v>
      </c>
      <c r="P2281" s="18">
        <f>IF(I2281="L",'Financial Inputs'!$B$4,IF(I2281="M",'Financial Inputs'!$B$5,'Financial Inputs'!$B$6))</f>
        <v>0.7</v>
      </c>
      <c r="Q2281" s="17">
        <f>O2281*P2281</f>
        <v>2100000.0000000005</v>
      </c>
      <c r="R2281" s="16">
        <f>'Financial Inputs'!$B$7</f>
        <v>0.35</v>
      </c>
      <c r="S2281" s="17">
        <f>Q2281*(1-R2281)</f>
        <v>1365000.0000000005</v>
      </c>
      <c r="T2281" s="18">
        <f>S2281/'Financial Inputs'!$B$3</f>
        <v>1.3650000000000004E-2</v>
      </c>
      <c r="U2281" s="9" t="s">
        <v>52</v>
      </c>
      <c r="V2281" s="3" t="s">
        <v>53</v>
      </c>
    </row>
    <row r="2282" spans="1:22">
      <c r="A2282" s="2" t="s">
        <v>7090</v>
      </c>
      <c r="B2282" s="2" t="s">
        <v>7091</v>
      </c>
      <c r="C2282" s="2" t="s">
        <v>6850</v>
      </c>
      <c r="D2282" s="2" t="s">
        <v>64</v>
      </c>
      <c r="E2282" s="2" t="s">
        <v>81</v>
      </c>
      <c r="F2282" s="2" t="s">
        <v>74</v>
      </c>
      <c r="G2282" s="2" t="s">
        <v>67</v>
      </c>
      <c r="H2282" s="2" t="s">
        <v>2318</v>
      </c>
      <c r="I2282" s="2" t="s">
        <v>499</v>
      </c>
      <c r="J2282" s="2" t="s">
        <v>2621</v>
      </c>
      <c r="K2282" s="2" t="s">
        <v>7092</v>
      </c>
      <c r="L2282" s="2" t="s">
        <v>418</v>
      </c>
      <c r="M2282" s="2" t="s">
        <v>6852</v>
      </c>
      <c r="N2282" s="16">
        <v>0.02</v>
      </c>
      <c r="O2282" s="17">
        <f>N2282*'Financial Inputs'!$B$3</f>
        <v>2000000</v>
      </c>
      <c r="P2282" s="18">
        <f>IF(I2282="L",'Financial Inputs'!$B$4,IF(I2282="M",'Financial Inputs'!$B$5,'Financial Inputs'!$B$6))</f>
        <v>0.7</v>
      </c>
      <c r="Q2282" s="17">
        <f>O2282*P2282</f>
        <v>1400000</v>
      </c>
      <c r="R2282" s="16">
        <f>'Financial Inputs'!$B$7</f>
        <v>0.35</v>
      </c>
      <c r="S2282" s="17">
        <f>Q2282*(1-R2282)</f>
        <v>910000</v>
      </c>
      <c r="T2282" s="18">
        <f>S2282/'Financial Inputs'!$B$3</f>
        <v>9.1000000000000004E-3</v>
      </c>
      <c r="U2282" s="9" t="s">
        <v>52</v>
      </c>
      <c r="V2282" s="3" t="s">
        <v>53</v>
      </c>
    </row>
    <row r="2283" spans="1:22">
      <c r="A2283" s="2" t="s">
        <v>7093</v>
      </c>
      <c r="B2283" s="2" t="s">
        <v>7094</v>
      </c>
      <c r="C2283" s="2" t="s">
        <v>6850</v>
      </c>
      <c r="D2283" s="2" t="s">
        <v>72</v>
      </c>
      <c r="E2283" s="2" t="s">
        <v>193</v>
      </c>
      <c r="F2283" s="2" t="s">
        <v>82</v>
      </c>
      <c r="G2283" s="2" t="s">
        <v>75</v>
      </c>
      <c r="H2283" s="2" t="s">
        <v>2318</v>
      </c>
      <c r="I2283" s="2" t="s">
        <v>499</v>
      </c>
      <c r="J2283" s="2" t="s">
        <v>2621</v>
      </c>
      <c r="K2283" s="2" t="s">
        <v>7095</v>
      </c>
      <c r="L2283" s="2" t="s">
        <v>422</v>
      </c>
      <c r="M2283" s="2" t="s">
        <v>6852</v>
      </c>
      <c r="N2283" s="16">
        <v>2.2499999999999999E-2</v>
      </c>
      <c r="O2283" s="17">
        <f>N2283*'Financial Inputs'!$B$3</f>
        <v>2250000</v>
      </c>
      <c r="P2283" s="18">
        <f>IF(I2283="L",'Financial Inputs'!$B$4,IF(I2283="M",'Financial Inputs'!$B$5,'Financial Inputs'!$B$6))</f>
        <v>0.7</v>
      </c>
      <c r="Q2283" s="17">
        <f>O2283*P2283</f>
        <v>1575000</v>
      </c>
      <c r="R2283" s="16">
        <f>'Financial Inputs'!$B$7</f>
        <v>0.35</v>
      </c>
      <c r="S2283" s="17">
        <f>Q2283*(1-R2283)</f>
        <v>1023750</v>
      </c>
      <c r="T2283" s="18">
        <f>S2283/'Financial Inputs'!$B$3</f>
        <v>1.02375E-2</v>
      </c>
      <c r="U2283" s="9" t="s">
        <v>52</v>
      </c>
      <c r="V2283" s="3" t="s">
        <v>53</v>
      </c>
    </row>
    <row r="2284" spans="1:22">
      <c r="A2284" s="2" t="s">
        <v>7096</v>
      </c>
      <c r="B2284" s="2" t="s">
        <v>7097</v>
      </c>
      <c r="C2284" s="2" t="s">
        <v>6850</v>
      </c>
      <c r="D2284" s="2" t="s">
        <v>80</v>
      </c>
      <c r="E2284" s="2" t="s">
        <v>198</v>
      </c>
      <c r="F2284" s="2" t="s">
        <v>44</v>
      </c>
      <c r="G2284" s="2" t="s">
        <v>83</v>
      </c>
      <c r="H2284" s="2" t="s">
        <v>2318</v>
      </c>
      <c r="I2284" s="2" t="s">
        <v>499</v>
      </c>
      <c r="J2284" s="2" t="s">
        <v>2621</v>
      </c>
      <c r="K2284" s="2" t="s">
        <v>7098</v>
      </c>
      <c r="L2284" s="2" t="s">
        <v>426</v>
      </c>
      <c r="M2284" s="2" t="s">
        <v>6852</v>
      </c>
      <c r="N2284" s="16">
        <v>2.5000000000000001E-2</v>
      </c>
      <c r="O2284" s="17">
        <f>N2284*'Financial Inputs'!$B$3</f>
        <v>2500000</v>
      </c>
      <c r="P2284" s="18">
        <f>IF(I2284="L",'Financial Inputs'!$B$4,IF(I2284="M",'Financial Inputs'!$B$5,'Financial Inputs'!$B$6))</f>
        <v>0.7</v>
      </c>
      <c r="Q2284" s="17">
        <f>O2284*P2284</f>
        <v>1750000</v>
      </c>
      <c r="R2284" s="16">
        <f>'Financial Inputs'!$B$7</f>
        <v>0.35</v>
      </c>
      <c r="S2284" s="17">
        <f>Q2284*(1-R2284)</f>
        <v>1137500</v>
      </c>
      <c r="T2284" s="18">
        <f>S2284/'Financial Inputs'!$B$3</f>
        <v>1.1375E-2</v>
      </c>
      <c r="U2284" s="9" t="s">
        <v>52</v>
      </c>
      <c r="V2284" s="3" t="s">
        <v>53</v>
      </c>
    </row>
    <row r="2285" spans="1:22">
      <c r="A2285" s="2" t="s">
        <v>7099</v>
      </c>
      <c r="B2285" s="2" t="s">
        <v>7100</v>
      </c>
      <c r="C2285" s="2" t="s">
        <v>6850</v>
      </c>
      <c r="D2285" s="2" t="s">
        <v>127</v>
      </c>
      <c r="E2285" s="2" t="s">
        <v>148</v>
      </c>
      <c r="F2285" s="2" t="s">
        <v>58</v>
      </c>
      <c r="G2285" s="2" t="s">
        <v>111</v>
      </c>
      <c r="H2285" s="2" t="s">
        <v>2318</v>
      </c>
      <c r="I2285" s="2" t="s">
        <v>499</v>
      </c>
      <c r="J2285" s="2" t="s">
        <v>2621</v>
      </c>
      <c r="K2285" s="2" t="s">
        <v>7101</v>
      </c>
      <c r="L2285" s="2" t="s">
        <v>430</v>
      </c>
      <c r="M2285" s="2" t="s">
        <v>6852</v>
      </c>
      <c r="N2285" s="16">
        <v>2.75E-2</v>
      </c>
      <c r="O2285" s="17">
        <f>N2285*'Financial Inputs'!$B$3</f>
        <v>2750000</v>
      </c>
      <c r="P2285" s="18">
        <f>IF(I2285="L",'Financial Inputs'!$B$4,IF(I2285="M",'Financial Inputs'!$B$5,'Financial Inputs'!$B$6))</f>
        <v>0.7</v>
      </c>
      <c r="Q2285" s="17">
        <f>O2285*P2285</f>
        <v>1924999.9999999998</v>
      </c>
      <c r="R2285" s="16">
        <f>'Financial Inputs'!$B$7</f>
        <v>0.35</v>
      </c>
      <c r="S2285" s="17">
        <f>Q2285*(1-R2285)</f>
        <v>1251250</v>
      </c>
      <c r="T2285" s="18">
        <f>S2285/'Financial Inputs'!$B$3</f>
        <v>1.2512499999999999E-2</v>
      </c>
      <c r="U2285" s="9" t="s">
        <v>52</v>
      </c>
      <c r="V2285" s="3" t="s">
        <v>53</v>
      </c>
    </row>
    <row r="2286" spans="1:22">
      <c r="A2286" s="2" t="s">
        <v>7102</v>
      </c>
      <c r="B2286" s="2" t="s">
        <v>7103</v>
      </c>
      <c r="C2286" s="2" t="s">
        <v>6850</v>
      </c>
      <c r="D2286" s="2" t="s">
        <v>133</v>
      </c>
      <c r="E2286" s="2" t="s">
        <v>153</v>
      </c>
      <c r="F2286" s="2" t="s">
        <v>66</v>
      </c>
      <c r="G2286" s="2" t="s">
        <v>56</v>
      </c>
      <c r="H2286" s="2" t="s">
        <v>2318</v>
      </c>
      <c r="I2286" s="2" t="s">
        <v>499</v>
      </c>
      <c r="J2286" s="2" t="s">
        <v>2621</v>
      </c>
      <c r="K2286" s="2" t="s">
        <v>7104</v>
      </c>
      <c r="L2286" s="2" t="s">
        <v>434</v>
      </c>
      <c r="M2286" s="2" t="s">
        <v>6852</v>
      </c>
      <c r="N2286" s="16">
        <v>3.0000000000000009E-2</v>
      </c>
      <c r="O2286" s="17">
        <f>N2286*'Financial Inputs'!$B$3</f>
        <v>3000000.0000000009</v>
      </c>
      <c r="P2286" s="18">
        <f>IF(I2286="L",'Financial Inputs'!$B$4,IF(I2286="M",'Financial Inputs'!$B$5,'Financial Inputs'!$B$6))</f>
        <v>0.7</v>
      </c>
      <c r="Q2286" s="17">
        <f>O2286*P2286</f>
        <v>2100000.0000000005</v>
      </c>
      <c r="R2286" s="16">
        <f>'Financial Inputs'!$B$7</f>
        <v>0.35</v>
      </c>
      <c r="S2286" s="17">
        <f>Q2286*(1-R2286)</f>
        <v>1365000.0000000005</v>
      </c>
      <c r="T2286" s="18">
        <f>S2286/'Financial Inputs'!$B$3</f>
        <v>1.3650000000000004E-2</v>
      </c>
      <c r="U2286" s="9" t="s">
        <v>52</v>
      </c>
      <c r="V2286" s="3" t="s">
        <v>53</v>
      </c>
    </row>
    <row r="2287" spans="1:22">
      <c r="A2287" s="2" t="s">
        <v>7105</v>
      </c>
      <c r="B2287" s="2" t="s">
        <v>7106</v>
      </c>
      <c r="C2287" s="2" t="s">
        <v>6850</v>
      </c>
      <c r="D2287" s="2" t="s">
        <v>102</v>
      </c>
      <c r="E2287" s="2" t="s">
        <v>116</v>
      </c>
      <c r="F2287" s="2" t="s">
        <v>110</v>
      </c>
      <c r="G2287" s="2" t="s">
        <v>83</v>
      </c>
      <c r="H2287" s="2" t="s">
        <v>2318</v>
      </c>
      <c r="I2287" s="2" t="s">
        <v>499</v>
      </c>
      <c r="J2287" s="2" t="s">
        <v>2621</v>
      </c>
      <c r="K2287" s="2" t="s">
        <v>7107</v>
      </c>
      <c r="L2287" s="2" t="s">
        <v>438</v>
      </c>
      <c r="M2287" s="2" t="s">
        <v>6852</v>
      </c>
      <c r="N2287" s="16">
        <v>0.02</v>
      </c>
      <c r="O2287" s="17">
        <f>N2287*'Financial Inputs'!$B$3</f>
        <v>2000000</v>
      </c>
      <c r="P2287" s="18">
        <f>IF(I2287="L",'Financial Inputs'!$B$4,IF(I2287="M",'Financial Inputs'!$B$5,'Financial Inputs'!$B$6))</f>
        <v>0.7</v>
      </c>
      <c r="Q2287" s="17">
        <f>O2287*P2287</f>
        <v>1400000</v>
      </c>
      <c r="R2287" s="16">
        <f>'Financial Inputs'!$B$7</f>
        <v>0.35</v>
      </c>
      <c r="S2287" s="17">
        <f>Q2287*(1-R2287)</f>
        <v>910000</v>
      </c>
      <c r="T2287" s="18">
        <f>S2287/'Financial Inputs'!$B$3</f>
        <v>9.1000000000000004E-3</v>
      </c>
      <c r="U2287" s="9" t="s">
        <v>52</v>
      </c>
      <c r="V2287" s="3" t="s">
        <v>53</v>
      </c>
    </row>
    <row r="2288" spans="1:22">
      <c r="A2288" s="2" t="s">
        <v>7108</v>
      </c>
      <c r="B2288" s="2" t="s">
        <v>7109</v>
      </c>
      <c r="C2288" s="2" t="s">
        <v>6850</v>
      </c>
      <c r="D2288" s="2" t="s">
        <v>42</v>
      </c>
      <c r="E2288" s="2" t="s">
        <v>215</v>
      </c>
      <c r="F2288" s="2" t="s">
        <v>117</v>
      </c>
      <c r="G2288" s="2" t="s">
        <v>111</v>
      </c>
      <c r="H2288" s="2" t="s">
        <v>2318</v>
      </c>
      <c r="I2288" s="2" t="s">
        <v>499</v>
      </c>
      <c r="J2288" s="2" t="s">
        <v>2621</v>
      </c>
      <c r="K2288" s="2" t="s">
        <v>7110</v>
      </c>
      <c r="L2288" s="2" t="s">
        <v>442</v>
      </c>
      <c r="M2288" s="2" t="s">
        <v>6852</v>
      </c>
      <c r="N2288" s="16">
        <v>2.2499999999999999E-2</v>
      </c>
      <c r="O2288" s="17">
        <f>N2288*'Financial Inputs'!$B$3</f>
        <v>2250000</v>
      </c>
      <c r="P2288" s="18">
        <f>IF(I2288="L",'Financial Inputs'!$B$4,IF(I2288="M",'Financial Inputs'!$B$5,'Financial Inputs'!$B$6))</f>
        <v>0.7</v>
      </c>
      <c r="Q2288" s="17">
        <f>O2288*P2288</f>
        <v>1575000</v>
      </c>
      <c r="R2288" s="16">
        <f>'Financial Inputs'!$B$7</f>
        <v>0.35</v>
      </c>
      <c r="S2288" s="17">
        <f>Q2288*(1-R2288)</f>
        <v>1023750</v>
      </c>
      <c r="T2288" s="18">
        <f>S2288/'Financial Inputs'!$B$3</f>
        <v>1.02375E-2</v>
      </c>
      <c r="U2288" s="9" t="s">
        <v>52</v>
      </c>
      <c r="V2288" s="3" t="s">
        <v>53</v>
      </c>
    </row>
    <row r="2289" spans="1:22">
      <c r="A2289" s="2" t="s">
        <v>7111</v>
      </c>
      <c r="B2289" s="2" t="s">
        <v>7112</v>
      </c>
      <c r="C2289" s="2" t="s">
        <v>6850</v>
      </c>
      <c r="D2289" s="2" t="s">
        <v>56</v>
      </c>
      <c r="E2289" s="2" t="s">
        <v>220</v>
      </c>
      <c r="F2289" s="2" t="s">
        <v>90</v>
      </c>
      <c r="G2289" s="2" t="s">
        <v>56</v>
      </c>
      <c r="H2289" s="2" t="s">
        <v>2318</v>
      </c>
      <c r="I2289" s="2" t="s">
        <v>499</v>
      </c>
      <c r="J2289" s="2" t="s">
        <v>2621</v>
      </c>
      <c r="K2289" s="2" t="s">
        <v>7113</v>
      </c>
      <c r="L2289" s="2" t="s">
        <v>446</v>
      </c>
      <c r="M2289" s="2" t="s">
        <v>6852</v>
      </c>
      <c r="N2289" s="16">
        <v>2.5000000000000001E-2</v>
      </c>
      <c r="O2289" s="17">
        <f>N2289*'Financial Inputs'!$B$3</f>
        <v>2500000</v>
      </c>
      <c r="P2289" s="18">
        <f>IF(I2289="L",'Financial Inputs'!$B$4,IF(I2289="M",'Financial Inputs'!$B$5,'Financial Inputs'!$B$6))</f>
        <v>0.7</v>
      </c>
      <c r="Q2289" s="17">
        <f>O2289*P2289</f>
        <v>1750000</v>
      </c>
      <c r="R2289" s="16">
        <f>'Financial Inputs'!$B$7</f>
        <v>0.35</v>
      </c>
      <c r="S2289" s="17">
        <f>Q2289*(1-R2289)</f>
        <v>1137500</v>
      </c>
      <c r="T2289" s="18">
        <f>S2289/'Financial Inputs'!$B$3</f>
        <v>1.1375E-2</v>
      </c>
      <c r="U2289" s="9" t="s">
        <v>52</v>
      </c>
      <c r="V2289" s="3" t="s">
        <v>53</v>
      </c>
    </row>
    <row r="2290" spans="1:22">
      <c r="A2290" s="2" t="s">
        <v>7114</v>
      </c>
      <c r="B2290" s="2" t="s">
        <v>7115</v>
      </c>
      <c r="C2290" s="2" t="s">
        <v>6850</v>
      </c>
      <c r="D2290" s="2" t="s">
        <v>64</v>
      </c>
      <c r="E2290" s="2" t="s">
        <v>171</v>
      </c>
      <c r="F2290" s="2" t="s">
        <v>97</v>
      </c>
      <c r="G2290" s="2" t="s">
        <v>138</v>
      </c>
      <c r="H2290" s="2" t="s">
        <v>2318</v>
      </c>
      <c r="I2290" s="2" t="s">
        <v>499</v>
      </c>
      <c r="J2290" s="2" t="s">
        <v>2621</v>
      </c>
      <c r="K2290" s="2" t="s">
        <v>7116</v>
      </c>
      <c r="L2290" s="2" t="s">
        <v>450</v>
      </c>
      <c r="M2290" s="2" t="s">
        <v>6852</v>
      </c>
      <c r="N2290" s="16">
        <v>2.75E-2</v>
      </c>
      <c r="O2290" s="17">
        <f>N2290*'Financial Inputs'!$B$3</f>
        <v>2750000</v>
      </c>
      <c r="P2290" s="18">
        <f>IF(I2290="L",'Financial Inputs'!$B$4,IF(I2290="M",'Financial Inputs'!$B$5,'Financial Inputs'!$B$6))</f>
        <v>0.7</v>
      </c>
      <c r="Q2290" s="17">
        <f>O2290*P2290</f>
        <v>1924999.9999999998</v>
      </c>
      <c r="R2290" s="16">
        <f>'Financial Inputs'!$B$7</f>
        <v>0.35</v>
      </c>
      <c r="S2290" s="17">
        <f>Q2290*(1-R2290)</f>
        <v>1251250</v>
      </c>
      <c r="T2290" s="18">
        <f>S2290/'Financial Inputs'!$B$3</f>
        <v>1.2512499999999999E-2</v>
      </c>
      <c r="U2290" s="9" t="s">
        <v>52</v>
      </c>
      <c r="V2290" s="3" t="s">
        <v>53</v>
      </c>
    </row>
    <row r="2291" spans="1:22">
      <c r="A2291" s="2" t="s">
        <v>7117</v>
      </c>
      <c r="B2291" s="2" t="s">
        <v>7118</v>
      </c>
      <c r="C2291" s="2" t="s">
        <v>6850</v>
      </c>
      <c r="D2291" s="2" t="s">
        <v>72</v>
      </c>
      <c r="E2291" s="2" t="s">
        <v>176</v>
      </c>
      <c r="F2291" s="2" t="s">
        <v>104</v>
      </c>
      <c r="G2291" s="2" t="s">
        <v>143</v>
      </c>
      <c r="H2291" s="2" t="s">
        <v>2318</v>
      </c>
      <c r="I2291" s="2" t="s">
        <v>499</v>
      </c>
      <c r="J2291" s="2" t="s">
        <v>2621</v>
      </c>
      <c r="K2291" s="2" t="s">
        <v>7119</v>
      </c>
      <c r="L2291" s="2" t="s">
        <v>454</v>
      </c>
      <c r="M2291" s="2" t="s">
        <v>6852</v>
      </c>
      <c r="N2291" s="16">
        <v>3.0000000000000009E-2</v>
      </c>
      <c r="O2291" s="17">
        <f>N2291*'Financial Inputs'!$B$3</f>
        <v>3000000.0000000009</v>
      </c>
      <c r="P2291" s="18">
        <f>IF(I2291="L",'Financial Inputs'!$B$4,IF(I2291="M",'Financial Inputs'!$B$5,'Financial Inputs'!$B$6))</f>
        <v>0.7</v>
      </c>
      <c r="Q2291" s="17">
        <f>O2291*P2291</f>
        <v>2100000.0000000005</v>
      </c>
      <c r="R2291" s="16">
        <f>'Financial Inputs'!$B$7</f>
        <v>0.35</v>
      </c>
      <c r="S2291" s="17">
        <f>Q2291*(1-R2291)</f>
        <v>1365000.0000000005</v>
      </c>
      <c r="T2291" s="18">
        <f>S2291/'Financial Inputs'!$B$3</f>
        <v>1.3650000000000004E-2</v>
      </c>
      <c r="U2291" s="9" t="s">
        <v>52</v>
      </c>
      <c r="V2291" s="3" t="s">
        <v>53</v>
      </c>
    </row>
    <row r="2292" spans="1:22">
      <c r="A2292" s="2" t="s">
        <v>7120</v>
      </c>
      <c r="B2292" s="2" t="s">
        <v>7121</v>
      </c>
      <c r="C2292" s="2" t="s">
        <v>6850</v>
      </c>
      <c r="D2292" s="2" t="s">
        <v>133</v>
      </c>
      <c r="E2292" s="2" t="s">
        <v>65</v>
      </c>
      <c r="F2292" s="2" t="s">
        <v>82</v>
      </c>
      <c r="G2292" s="2" t="s">
        <v>56</v>
      </c>
      <c r="H2292" s="2" t="s">
        <v>2318</v>
      </c>
      <c r="I2292" s="2" t="s">
        <v>499</v>
      </c>
      <c r="J2292" s="2" t="s">
        <v>2621</v>
      </c>
      <c r="K2292" s="2" t="s">
        <v>7122</v>
      </c>
      <c r="L2292" s="2" t="s">
        <v>458</v>
      </c>
      <c r="M2292" s="2" t="s">
        <v>6852</v>
      </c>
      <c r="N2292" s="16">
        <v>0.02</v>
      </c>
      <c r="O2292" s="17">
        <f>N2292*'Financial Inputs'!$B$3</f>
        <v>2000000</v>
      </c>
      <c r="P2292" s="18">
        <f>IF(I2292="L",'Financial Inputs'!$B$4,IF(I2292="M",'Financial Inputs'!$B$5,'Financial Inputs'!$B$6))</f>
        <v>0.7</v>
      </c>
      <c r="Q2292" s="17">
        <f>O2292*P2292</f>
        <v>1400000</v>
      </c>
      <c r="R2292" s="16">
        <f>'Financial Inputs'!$B$7</f>
        <v>0.35</v>
      </c>
      <c r="S2292" s="17">
        <f>Q2292*(1-R2292)</f>
        <v>910000</v>
      </c>
      <c r="T2292" s="18">
        <f>S2292/'Financial Inputs'!$B$3</f>
        <v>9.1000000000000004E-3</v>
      </c>
      <c r="U2292" s="9" t="s">
        <v>52</v>
      </c>
      <c r="V2292" s="3" t="s">
        <v>53</v>
      </c>
    </row>
    <row r="2293" spans="1:22">
      <c r="A2293" s="2" t="s">
        <v>7123</v>
      </c>
      <c r="B2293" s="2" t="s">
        <v>7124</v>
      </c>
      <c r="C2293" s="2" t="s">
        <v>6850</v>
      </c>
      <c r="D2293" s="2" t="s">
        <v>88</v>
      </c>
      <c r="E2293" s="2" t="s">
        <v>73</v>
      </c>
      <c r="F2293" s="2" t="s">
        <v>44</v>
      </c>
      <c r="G2293" s="2" t="s">
        <v>138</v>
      </c>
      <c r="H2293" s="2" t="s">
        <v>2318</v>
      </c>
      <c r="I2293" s="2" t="s">
        <v>499</v>
      </c>
      <c r="J2293" s="2" t="s">
        <v>2621</v>
      </c>
      <c r="K2293" s="2" t="s">
        <v>7125</v>
      </c>
      <c r="L2293" s="2" t="s">
        <v>462</v>
      </c>
      <c r="M2293" s="2" t="s">
        <v>6852</v>
      </c>
      <c r="N2293" s="16">
        <v>2.2499999999999999E-2</v>
      </c>
      <c r="O2293" s="17">
        <f>N2293*'Financial Inputs'!$B$3</f>
        <v>2250000</v>
      </c>
      <c r="P2293" s="18">
        <f>IF(I2293="L",'Financial Inputs'!$B$4,IF(I2293="M",'Financial Inputs'!$B$5,'Financial Inputs'!$B$6))</f>
        <v>0.7</v>
      </c>
      <c r="Q2293" s="17">
        <f>O2293*P2293</f>
        <v>1575000</v>
      </c>
      <c r="R2293" s="16">
        <f>'Financial Inputs'!$B$7</f>
        <v>0.35</v>
      </c>
      <c r="S2293" s="17">
        <f>Q2293*(1-R2293)</f>
        <v>1023750</v>
      </c>
      <c r="T2293" s="18">
        <f>S2293/'Financial Inputs'!$B$3</f>
        <v>1.02375E-2</v>
      </c>
      <c r="U2293" s="9" t="s">
        <v>52</v>
      </c>
      <c r="V2293" s="3" t="s">
        <v>53</v>
      </c>
    </row>
    <row r="2294" spans="1:22">
      <c r="A2294" s="2" t="s">
        <v>7126</v>
      </c>
      <c r="B2294" s="2" t="s">
        <v>7127</v>
      </c>
      <c r="C2294" s="2" t="s">
        <v>6850</v>
      </c>
      <c r="D2294" s="2" t="s">
        <v>95</v>
      </c>
      <c r="E2294" s="2" t="s">
        <v>81</v>
      </c>
      <c r="F2294" s="2" t="s">
        <v>58</v>
      </c>
      <c r="G2294" s="2" t="s">
        <v>143</v>
      </c>
      <c r="H2294" s="2" t="s">
        <v>2318</v>
      </c>
      <c r="I2294" s="2" t="s">
        <v>499</v>
      </c>
      <c r="J2294" s="2" t="s">
        <v>2621</v>
      </c>
      <c r="K2294" s="2" t="s">
        <v>7128</v>
      </c>
      <c r="L2294" s="2" t="s">
        <v>466</v>
      </c>
      <c r="M2294" s="2" t="s">
        <v>6852</v>
      </c>
      <c r="N2294" s="16">
        <v>2.5000000000000001E-2</v>
      </c>
      <c r="O2294" s="17">
        <f>N2294*'Financial Inputs'!$B$3</f>
        <v>2500000</v>
      </c>
      <c r="P2294" s="18">
        <f>IF(I2294="L",'Financial Inputs'!$B$4,IF(I2294="M",'Financial Inputs'!$B$5,'Financial Inputs'!$B$6))</f>
        <v>0.7</v>
      </c>
      <c r="Q2294" s="17">
        <f>O2294*P2294</f>
        <v>1750000</v>
      </c>
      <c r="R2294" s="16">
        <f>'Financial Inputs'!$B$7</f>
        <v>0.35</v>
      </c>
      <c r="S2294" s="17">
        <f>Q2294*(1-R2294)</f>
        <v>1137500</v>
      </c>
      <c r="T2294" s="18">
        <f>S2294/'Financial Inputs'!$B$3</f>
        <v>1.1375E-2</v>
      </c>
      <c r="U2294" s="9" t="s">
        <v>52</v>
      </c>
      <c r="V2294" s="3" t="s">
        <v>53</v>
      </c>
    </row>
    <row r="2295" spans="1:22">
      <c r="A2295" s="2" t="s">
        <v>7129</v>
      </c>
      <c r="B2295" s="2" t="s">
        <v>7130</v>
      </c>
      <c r="C2295" s="2" t="s">
        <v>6850</v>
      </c>
      <c r="D2295" s="2" t="s">
        <v>102</v>
      </c>
      <c r="E2295" s="2" t="s">
        <v>193</v>
      </c>
      <c r="F2295" s="2" t="s">
        <v>66</v>
      </c>
      <c r="G2295" s="2" t="s">
        <v>162</v>
      </c>
      <c r="H2295" s="2" t="s">
        <v>2318</v>
      </c>
      <c r="I2295" s="2" t="s">
        <v>499</v>
      </c>
      <c r="J2295" s="2" t="s">
        <v>2621</v>
      </c>
      <c r="K2295" s="2" t="s">
        <v>7131</v>
      </c>
      <c r="L2295" s="2" t="s">
        <v>470</v>
      </c>
      <c r="M2295" s="2" t="s">
        <v>6852</v>
      </c>
      <c r="N2295" s="16">
        <v>2.75E-2</v>
      </c>
      <c r="O2295" s="17">
        <f>N2295*'Financial Inputs'!$B$3</f>
        <v>2750000</v>
      </c>
      <c r="P2295" s="18">
        <f>IF(I2295="L",'Financial Inputs'!$B$4,IF(I2295="M",'Financial Inputs'!$B$5,'Financial Inputs'!$B$6))</f>
        <v>0.7</v>
      </c>
      <c r="Q2295" s="17">
        <f>O2295*P2295</f>
        <v>1924999.9999999998</v>
      </c>
      <c r="R2295" s="16">
        <f>'Financial Inputs'!$B$7</f>
        <v>0.35</v>
      </c>
      <c r="S2295" s="17">
        <f>Q2295*(1-R2295)</f>
        <v>1251250</v>
      </c>
      <c r="T2295" s="18">
        <f>S2295/'Financial Inputs'!$B$3</f>
        <v>1.2512499999999999E-2</v>
      </c>
      <c r="U2295" s="9" t="s">
        <v>52</v>
      </c>
      <c r="V2295" s="3" t="s">
        <v>53</v>
      </c>
    </row>
    <row r="2296" spans="1:22">
      <c r="A2296" s="2" t="s">
        <v>7132</v>
      </c>
      <c r="B2296" s="2" t="s">
        <v>7133</v>
      </c>
      <c r="C2296" s="2" t="s">
        <v>6850</v>
      </c>
      <c r="D2296" s="2" t="s">
        <v>42</v>
      </c>
      <c r="E2296" s="2" t="s">
        <v>198</v>
      </c>
      <c r="F2296" s="2" t="s">
        <v>74</v>
      </c>
      <c r="G2296" s="2" t="s">
        <v>45</v>
      </c>
      <c r="H2296" s="2" t="s">
        <v>2318</v>
      </c>
      <c r="I2296" s="2" t="s">
        <v>499</v>
      </c>
      <c r="J2296" s="2" t="s">
        <v>2621</v>
      </c>
      <c r="K2296" s="2" t="s">
        <v>7134</v>
      </c>
      <c r="L2296" s="2" t="s">
        <v>474</v>
      </c>
      <c r="M2296" s="2" t="s">
        <v>6852</v>
      </c>
      <c r="N2296" s="16">
        <v>3.0000000000000009E-2</v>
      </c>
      <c r="O2296" s="17">
        <f>N2296*'Financial Inputs'!$B$3</f>
        <v>3000000.0000000009</v>
      </c>
      <c r="P2296" s="18">
        <f>IF(I2296="L",'Financial Inputs'!$B$4,IF(I2296="M",'Financial Inputs'!$B$5,'Financial Inputs'!$B$6))</f>
        <v>0.7</v>
      </c>
      <c r="Q2296" s="17">
        <f>O2296*P2296</f>
        <v>2100000.0000000005</v>
      </c>
      <c r="R2296" s="16">
        <f>'Financial Inputs'!$B$7</f>
        <v>0.35</v>
      </c>
      <c r="S2296" s="17">
        <f>Q2296*(1-R2296)</f>
        <v>1365000.0000000005</v>
      </c>
      <c r="T2296" s="18">
        <f>S2296/'Financial Inputs'!$B$3</f>
        <v>1.3650000000000004E-2</v>
      </c>
      <c r="U2296" s="9" t="s">
        <v>52</v>
      </c>
      <c r="V2296" s="3" t="s">
        <v>53</v>
      </c>
    </row>
    <row r="2297" spans="1:22">
      <c r="A2297" s="2" t="s">
        <v>7135</v>
      </c>
      <c r="B2297" s="2" t="s">
        <v>7136</v>
      </c>
      <c r="C2297" s="2" t="s">
        <v>6850</v>
      </c>
      <c r="D2297" s="2" t="s">
        <v>72</v>
      </c>
      <c r="E2297" s="2" t="s">
        <v>103</v>
      </c>
      <c r="F2297" s="2" t="s">
        <v>117</v>
      </c>
      <c r="G2297" s="2" t="s">
        <v>143</v>
      </c>
      <c r="H2297" s="2" t="s">
        <v>2318</v>
      </c>
      <c r="I2297" s="2" t="s">
        <v>499</v>
      </c>
      <c r="J2297" s="2" t="s">
        <v>2621</v>
      </c>
      <c r="K2297" s="2" t="s">
        <v>7137</v>
      </c>
      <c r="L2297" s="2" t="s">
        <v>478</v>
      </c>
      <c r="M2297" s="2" t="s">
        <v>6852</v>
      </c>
      <c r="N2297" s="16">
        <v>0.02</v>
      </c>
      <c r="O2297" s="17">
        <f>N2297*'Financial Inputs'!$B$3</f>
        <v>2000000</v>
      </c>
      <c r="P2297" s="18">
        <f>IF(I2297="L",'Financial Inputs'!$B$4,IF(I2297="M",'Financial Inputs'!$B$5,'Financial Inputs'!$B$6))</f>
        <v>0.7</v>
      </c>
      <c r="Q2297" s="17">
        <f>O2297*P2297</f>
        <v>1400000</v>
      </c>
      <c r="R2297" s="16">
        <f>'Financial Inputs'!$B$7</f>
        <v>0.35</v>
      </c>
      <c r="S2297" s="17">
        <f>Q2297*(1-R2297)</f>
        <v>910000</v>
      </c>
      <c r="T2297" s="18">
        <f>S2297/'Financial Inputs'!$B$3</f>
        <v>9.1000000000000004E-3</v>
      </c>
      <c r="U2297" s="9" t="s">
        <v>52</v>
      </c>
      <c r="V2297" s="3" t="s">
        <v>53</v>
      </c>
    </row>
    <row r="2298" spans="1:22">
      <c r="A2298" s="2" t="s">
        <v>7138</v>
      </c>
      <c r="B2298" s="2" t="s">
        <v>7139</v>
      </c>
      <c r="C2298" s="2" t="s">
        <v>6850</v>
      </c>
      <c r="D2298" s="2" t="s">
        <v>80</v>
      </c>
      <c r="E2298" s="2" t="s">
        <v>109</v>
      </c>
      <c r="F2298" s="2" t="s">
        <v>90</v>
      </c>
      <c r="G2298" s="2" t="s">
        <v>162</v>
      </c>
      <c r="H2298" s="2" t="s">
        <v>2318</v>
      </c>
      <c r="I2298" s="2" t="s">
        <v>499</v>
      </c>
      <c r="J2298" s="2" t="s">
        <v>2621</v>
      </c>
      <c r="K2298" s="2" t="s">
        <v>7140</v>
      </c>
      <c r="L2298" s="2" t="s">
        <v>482</v>
      </c>
      <c r="M2298" s="2" t="s">
        <v>6852</v>
      </c>
      <c r="N2298" s="16">
        <v>2.2499999999999999E-2</v>
      </c>
      <c r="O2298" s="17">
        <f>N2298*'Financial Inputs'!$B$3</f>
        <v>2250000</v>
      </c>
      <c r="P2298" s="18">
        <f>IF(I2298="L",'Financial Inputs'!$B$4,IF(I2298="M",'Financial Inputs'!$B$5,'Financial Inputs'!$B$6))</f>
        <v>0.7</v>
      </c>
      <c r="Q2298" s="17">
        <f>O2298*P2298</f>
        <v>1575000</v>
      </c>
      <c r="R2298" s="16">
        <f>'Financial Inputs'!$B$7</f>
        <v>0.35</v>
      </c>
      <c r="S2298" s="17">
        <f>Q2298*(1-R2298)</f>
        <v>1023750</v>
      </c>
      <c r="T2298" s="18">
        <f>S2298/'Financial Inputs'!$B$3</f>
        <v>1.02375E-2</v>
      </c>
      <c r="U2298" s="9" t="s">
        <v>52</v>
      </c>
      <c r="V2298" s="3" t="s">
        <v>53</v>
      </c>
    </row>
    <row r="2299" spans="1:22">
      <c r="A2299" s="2" t="s">
        <v>7141</v>
      </c>
      <c r="B2299" s="2" t="s">
        <v>7142</v>
      </c>
      <c r="C2299" s="2" t="s">
        <v>6850</v>
      </c>
      <c r="D2299" s="2" t="s">
        <v>127</v>
      </c>
      <c r="E2299" s="2" t="s">
        <v>116</v>
      </c>
      <c r="F2299" s="2" t="s">
        <v>97</v>
      </c>
      <c r="G2299" s="2" t="s">
        <v>45</v>
      </c>
      <c r="H2299" s="2" t="s">
        <v>2318</v>
      </c>
      <c r="I2299" s="2" t="s">
        <v>499</v>
      </c>
      <c r="J2299" s="2" t="s">
        <v>2621</v>
      </c>
      <c r="K2299" s="2" t="s">
        <v>7143</v>
      </c>
      <c r="L2299" s="2" t="s">
        <v>486</v>
      </c>
      <c r="M2299" s="2" t="s">
        <v>6852</v>
      </c>
      <c r="N2299" s="16">
        <v>2.5000000000000001E-2</v>
      </c>
      <c r="O2299" s="17">
        <f>N2299*'Financial Inputs'!$B$3</f>
        <v>2500000</v>
      </c>
      <c r="P2299" s="18">
        <f>IF(I2299="L",'Financial Inputs'!$B$4,IF(I2299="M",'Financial Inputs'!$B$5,'Financial Inputs'!$B$6))</f>
        <v>0.7</v>
      </c>
      <c r="Q2299" s="17">
        <f>O2299*P2299</f>
        <v>1750000</v>
      </c>
      <c r="R2299" s="16">
        <f>'Financial Inputs'!$B$7</f>
        <v>0.35</v>
      </c>
      <c r="S2299" s="17">
        <f>Q2299*(1-R2299)</f>
        <v>1137500</v>
      </c>
      <c r="T2299" s="18">
        <f>S2299/'Financial Inputs'!$B$3</f>
        <v>1.1375E-2</v>
      </c>
      <c r="U2299" s="9" t="s">
        <v>52</v>
      </c>
      <c r="V2299" s="3" t="s">
        <v>53</v>
      </c>
    </row>
    <row r="2300" spans="1:22">
      <c r="A2300" s="2" t="s">
        <v>7144</v>
      </c>
      <c r="B2300" s="2" t="s">
        <v>7145</v>
      </c>
      <c r="C2300" s="2" t="s">
        <v>6850</v>
      </c>
      <c r="D2300" s="2" t="s">
        <v>133</v>
      </c>
      <c r="E2300" s="2" t="s">
        <v>215</v>
      </c>
      <c r="F2300" s="2" t="s">
        <v>104</v>
      </c>
      <c r="G2300" s="2" t="s">
        <v>59</v>
      </c>
      <c r="H2300" s="2" t="s">
        <v>2318</v>
      </c>
      <c r="I2300" s="2" t="s">
        <v>499</v>
      </c>
      <c r="J2300" s="2" t="s">
        <v>2621</v>
      </c>
      <c r="K2300" s="2" t="s">
        <v>7146</v>
      </c>
      <c r="L2300" s="2" t="s">
        <v>490</v>
      </c>
      <c r="M2300" s="2" t="s">
        <v>6852</v>
      </c>
      <c r="N2300" s="16">
        <v>2.75E-2</v>
      </c>
      <c r="O2300" s="17">
        <f>N2300*'Financial Inputs'!$B$3</f>
        <v>2750000</v>
      </c>
      <c r="P2300" s="18">
        <f>IF(I2300="L",'Financial Inputs'!$B$4,IF(I2300="M",'Financial Inputs'!$B$5,'Financial Inputs'!$B$6))</f>
        <v>0.7</v>
      </c>
      <c r="Q2300" s="17">
        <f>O2300*P2300</f>
        <v>1924999.9999999998</v>
      </c>
      <c r="R2300" s="16">
        <f>'Financial Inputs'!$B$7</f>
        <v>0.35</v>
      </c>
      <c r="S2300" s="17">
        <f>Q2300*(1-R2300)</f>
        <v>1251250</v>
      </c>
      <c r="T2300" s="18">
        <f>S2300/'Financial Inputs'!$B$3</f>
        <v>1.2512499999999999E-2</v>
      </c>
      <c r="U2300" s="9" t="s">
        <v>52</v>
      </c>
      <c r="V2300" s="3" t="s">
        <v>53</v>
      </c>
    </row>
    <row r="2301" spans="1:22">
      <c r="A2301" s="2" t="s">
        <v>7147</v>
      </c>
      <c r="B2301" s="2" t="s">
        <v>7148</v>
      </c>
      <c r="C2301" s="2" t="s">
        <v>6850</v>
      </c>
      <c r="D2301" s="2" t="s">
        <v>88</v>
      </c>
      <c r="E2301" s="2" t="s">
        <v>220</v>
      </c>
      <c r="F2301" s="2" t="s">
        <v>110</v>
      </c>
      <c r="G2301" s="2" t="s">
        <v>67</v>
      </c>
      <c r="H2301" s="2" t="s">
        <v>2318</v>
      </c>
      <c r="I2301" s="2" t="s">
        <v>499</v>
      </c>
      <c r="J2301" s="2" t="s">
        <v>2621</v>
      </c>
      <c r="K2301" s="2" t="s">
        <v>7149</v>
      </c>
      <c r="L2301" s="2" t="s">
        <v>494</v>
      </c>
      <c r="M2301" s="2" t="s">
        <v>6852</v>
      </c>
      <c r="N2301" s="16">
        <v>3.0000000000000009E-2</v>
      </c>
      <c r="O2301" s="17">
        <f>N2301*'Financial Inputs'!$B$3</f>
        <v>3000000.0000000009</v>
      </c>
      <c r="P2301" s="18">
        <f>IF(I2301="L",'Financial Inputs'!$B$4,IF(I2301="M",'Financial Inputs'!$B$5,'Financial Inputs'!$B$6))</f>
        <v>0.7</v>
      </c>
      <c r="Q2301" s="17">
        <f>O2301*P2301</f>
        <v>2100000.0000000005</v>
      </c>
      <c r="R2301" s="16">
        <f>'Financial Inputs'!$B$7</f>
        <v>0.35</v>
      </c>
      <c r="S2301" s="17">
        <f>Q2301*(1-R2301)</f>
        <v>1365000.0000000005</v>
      </c>
      <c r="T2301" s="18">
        <f>S2301/'Financial Inputs'!$B$3</f>
        <v>1.3650000000000004E-2</v>
      </c>
      <c r="U2301" s="9" t="s">
        <v>52</v>
      </c>
      <c r="V2301" s="3" t="s">
        <v>53</v>
      </c>
    </row>
    <row r="2302" spans="1:22">
      <c r="A2302" s="2" t="s">
        <v>7150</v>
      </c>
      <c r="B2302" s="2" t="s">
        <v>7151</v>
      </c>
      <c r="C2302" s="2" t="s">
        <v>7152</v>
      </c>
      <c r="D2302" s="2" t="s">
        <v>42</v>
      </c>
      <c r="E2302" s="2" t="s">
        <v>43</v>
      </c>
      <c r="F2302" s="2" t="s">
        <v>44</v>
      </c>
      <c r="G2302" s="2" t="s">
        <v>45</v>
      </c>
      <c r="H2302" s="2" t="s">
        <v>498</v>
      </c>
      <c r="I2302" s="2" t="s">
        <v>47</v>
      </c>
      <c r="J2302" s="2" t="s">
        <v>1106</v>
      </c>
      <c r="K2302" s="2" t="s">
        <v>7153</v>
      </c>
      <c r="L2302" s="2" t="s">
        <v>50</v>
      </c>
      <c r="M2302" s="2" t="s">
        <v>7154</v>
      </c>
      <c r="N2302" s="16">
        <v>1.44E-2</v>
      </c>
      <c r="O2302" s="17">
        <f>N2302*'Financial Inputs'!$B$3</f>
        <v>1440000</v>
      </c>
      <c r="P2302" s="18">
        <f>IF(I2302="L",'Financial Inputs'!$B$4,IF(I2302="M",'Financial Inputs'!$B$5,'Financial Inputs'!$B$6))</f>
        <v>0.4</v>
      </c>
      <c r="Q2302" s="17">
        <f>O2302*P2302</f>
        <v>576000</v>
      </c>
      <c r="R2302" s="16">
        <f>'Financial Inputs'!$B$7</f>
        <v>0.35</v>
      </c>
      <c r="S2302" s="17">
        <f>Q2302*(1-R2302)</f>
        <v>374400</v>
      </c>
      <c r="T2302" s="18">
        <f>S2302/'Financial Inputs'!$B$3</f>
        <v>3.7439999999999999E-3</v>
      </c>
      <c r="U2302" s="9" t="s">
        <v>52</v>
      </c>
      <c r="V2302" s="3" t="s">
        <v>53</v>
      </c>
    </row>
    <row r="2303" spans="1:22">
      <c r="A2303" s="2" t="s">
        <v>7155</v>
      </c>
      <c r="B2303" s="2" t="s">
        <v>7156</v>
      </c>
      <c r="C2303" s="2" t="s">
        <v>7152</v>
      </c>
      <c r="D2303" s="2" t="s">
        <v>56</v>
      </c>
      <c r="E2303" s="2" t="s">
        <v>57</v>
      </c>
      <c r="F2303" s="2" t="s">
        <v>58</v>
      </c>
      <c r="G2303" s="2" t="s">
        <v>59</v>
      </c>
      <c r="H2303" s="2" t="s">
        <v>498</v>
      </c>
      <c r="I2303" s="2" t="s">
        <v>47</v>
      </c>
      <c r="J2303" s="2" t="s">
        <v>1106</v>
      </c>
      <c r="K2303" s="2" t="s">
        <v>7157</v>
      </c>
      <c r="L2303" s="2" t="s">
        <v>61</v>
      </c>
      <c r="M2303" s="2" t="s">
        <v>7154</v>
      </c>
      <c r="N2303" s="16">
        <v>1.6199999999999999E-2</v>
      </c>
      <c r="O2303" s="17">
        <f>N2303*'Financial Inputs'!$B$3</f>
        <v>1620000</v>
      </c>
      <c r="P2303" s="18">
        <f>IF(I2303="L",'Financial Inputs'!$B$4,IF(I2303="M",'Financial Inputs'!$B$5,'Financial Inputs'!$B$6))</f>
        <v>0.4</v>
      </c>
      <c r="Q2303" s="17">
        <f>O2303*P2303</f>
        <v>648000</v>
      </c>
      <c r="R2303" s="16">
        <f>'Financial Inputs'!$B$7</f>
        <v>0.35</v>
      </c>
      <c r="S2303" s="17">
        <f>Q2303*(1-R2303)</f>
        <v>421200</v>
      </c>
      <c r="T2303" s="18">
        <f>S2303/'Financial Inputs'!$B$3</f>
        <v>4.2119999999999996E-3</v>
      </c>
      <c r="U2303" s="9" t="s">
        <v>52</v>
      </c>
      <c r="V2303" s="3" t="s">
        <v>53</v>
      </c>
    </row>
    <row r="2304" spans="1:22">
      <c r="A2304" s="2" t="s">
        <v>7158</v>
      </c>
      <c r="B2304" s="2" t="s">
        <v>7159</v>
      </c>
      <c r="C2304" s="2" t="s">
        <v>7152</v>
      </c>
      <c r="D2304" s="2" t="s">
        <v>64</v>
      </c>
      <c r="E2304" s="2" t="s">
        <v>65</v>
      </c>
      <c r="F2304" s="2" t="s">
        <v>66</v>
      </c>
      <c r="G2304" s="2" t="s">
        <v>67</v>
      </c>
      <c r="H2304" s="2" t="s">
        <v>498</v>
      </c>
      <c r="I2304" s="2" t="s">
        <v>47</v>
      </c>
      <c r="J2304" s="2" t="s">
        <v>1106</v>
      </c>
      <c r="K2304" s="2" t="s">
        <v>7160</v>
      </c>
      <c r="L2304" s="2" t="s">
        <v>69</v>
      </c>
      <c r="M2304" s="2" t="s">
        <v>7154</v>
      </c>
      <c r="N2304" s="16">
        <v>1.7999999999999999E-2</v>
      </c>
      <c r="O2304" s="17">
        <f>N2304*'Financial Inputs'!$B$3</f>
        <v>1799999.9999999998</v>
      </c>
      <c r="P2304" s="18">
        <f>IF(I2304="L",'Financial Inputs'!$B$4,IF(I2304="M",'Financial Inputs'!$B$5,'Financial Inputs'!$B$6))</f>
        <v>0.4</v>
      </c>
      <c r="Q2304" s="17">
        <f>O2304*P2304</f>
        <v>720000</v>
      </c>
      <c r="R2304" s="16">
        <f>'Financial Inputs'!$B$7</f>
        <v>0.35</v>
      </c>
      <c r="S2304" s="17">
        <f>Q2304*(1-R2304)</f>
        <v>468000</v>
      </c>
      <c r="T2304" s="18">
        <f>S2304/'Financial Inputs'!$B$3</f>
        <v>4.6800000000000001E-3</v>
      </c>
      <c r="U2304" s="9" t="s">
        <v>52</v>
      </c>
      <c r="V2304" s="3" t="s">
        <v>53</v>
      </c>
    </row>
    <row r="2305" spans="1:22">
      <c r="A2305" s="2" t="s">
        <v>7161</v>
      </c>
      <c r="B2305" s="2" t="s">
        <v>7162</v>
      </c>
      <c r="C2305" s="2" t="s">
        <v>7152</v>
      </c>
      <c r="D2305" s="2" t="s">
        <v>72</v>
      </c>
      <c r="E2305" s="2" t="s">
        <v>73</v>
      </c>
      <c r="F2305" s="2" t="s">
        <v>74</v>
      </c>
      <c r="G2305" s="2" t="s">
        <v>75</v>
      </c>
      <c r="H2305" s="2" t="s">
        <v>498</v>
      </c>
      <c r="I2305" s="2" t="s">
        <v>47</v>
      </c>
      <c r="J2305" s="2" t="s">
        <v>1106</v>
      </c>
      <c r="K2305" s="2" t="s">
        <v>7163</v>
      </c>
      <c r="L2305" s="2" t="s">
        <v>77</v>
      </c>
      <c r="M2305" s="2" t="s">
        <v>7154</v>
      </c>
      <c r="N2305" s="16">
        <v>1.9800000000000002E-2</v>
      </c>
      <c r="O2305" s="17">
        <f>N2305*'Financial Inputs'!$B$3</f>
        <v>1980000.0000000002</v>
      </c>
      <c r="P2305" s="18">
        <f>IF(I2305="L",'Financial Inputs'!$B$4,IF(I2305="M",'Financial Inputs'!$B$5,'Financial Inputs'!$B$6))</f>
        <v>0.4</v>
      </c>
      <c r="Q2305" s="17">
        <f>O2305*P2305</f>
        <v>792000.00000000012</v>
      </c>
      <c r="R2305" s="16">
        <f>'Financial Inputs'!$B$7</f>
        <v>0.35</v>
      </c>
      <c r="S2305" s="17">
        <f>Q2305*(1-R2305)</f>
        <v>514800.00000000012</v>
      </c>
      <c r="T2305" s="18">
        <f>S2305/'Financial Inputs'!$B$3</f>
        <v>5.1480000000000015E-3</v>
      </c>
      <c r="U2305" s="9" t="s">
        <v>52</v>
      </c>
      <c r="V2305" s="3" t="s">
        <v>53</v>
      </c>
    </row>
    <row r="2306" spans="1:22">
      <c r="A2306" s="2" t="s">
        <v>7164</v>
      </c>
      <c r="B2306" s="2" t="s">
        <v>7165</v>
      </c>
      <c r="C2306" s="2" t="s">
        <v>7152</v>
      </c>
      <c r="D2306" s="2" t="s">
        <v>80</v>
      </c>
      <c r="E2306" s="2" t="s">
        <v>81</v>
      </c>
      <c r="F2306" s="2" t="s">
        <v>82</v>
      </c>
      <c r="G2306" s="2" t="s">
        <v>83</v>
      </c>
      <c r="H2306" s="2" t="s">
        <v>498</v>
      </c>
      <c r="I2306" s="2" t="s">
        <v>47</v>
      </c>
      <c r="J2306" s="2" t="s">
        <v>1106</v>
      </c>
      <c r="K2306" s="2" t="s">
        <v>7166</v>
      </c>
      <c r="L2306" s="2" t="s">
        <v>85</v>
      </c>
      <c r="M2306" s="2" t="s">
        <v>7154</v>
      </c>
      <c r="N2306" s="16">
        <v>2.1600000000000001E-2</v>
      </c>
      <c r="O2306" s="17">
        <f>N2306*'Financial Inputs'!$B$3</f>
        <v>2160000</v>
      </c>
      <c r="P2306" s="18">
        <f>IF(I2306="L",'Financial Inputs'!$B$4,IF(I2306="M",'Financial Inputs'!$B$5,'Financial Inputs'!$B$6))</f>
        <v>0.4</v>
      </c>
      <c r="Q2306" s="17">
        <f>O2306*P2306</f>
        <v>864000</v>
      </c>
      <c r="R2306" s="16">
        <f>'Financial Inputs'!$B$7</f>
        <v>0.35</v>
      </c>
      <c r="S2306" s="17">
        <f>Q2306*(1-R2306)</f>
        <v>561600</v>
      </c>
      <c r="T2306" s="18">
        <f>S2306/'Financial Inputs'!$B$3</f>
        <v>5.6160000000000003E-3</v>
      </c>
      <c r="U2306" s="9" t="s">
        <v>52</v>
      </c>
      <c r="V2306" s="3" t="s">
        <v>53</v>
      </c>
    </row>
    <row r="2307" spans="1:22">
      <c r="A2307" s="2" t="s">
        <v>7167</v>
      </c>
      <c r="B2307" s="2" t="s">
        <v>7168</v>
      </c>
      <c r="C2307" s="2" t="s">
        <v>7152</v>
      </c>
      <c r="D2307" s="2" t="s">
        <v>88</v>
      </c>
      <c r="E2307" s="2" t="s">
        <v>89</v>
      </c>
      <c r="F2307" s="2" t="s">
        <v>90</v>
      </c>
      <c r="G2307" s="2" t="s">
        <v>67</v>
      </c>
      <c r="H2307" s="2" t="s">
        <v>498</v>
      </c>
      <c r="I2307" s="2" t="s">
        <v>47</v>
      </c>
      <c r="J2307" s="2" t="s">
        <v>1106</v>
      </c>
      <c r="K2307" s="2" t="s">
        <v>7169</v>
      </c>
      <c r="L2307" s="2" t="s">
        <v>92</v>
      </c>
      <c r="M2307" s="2" t="s">
        <v>7154</v>
      </c>
      <c r="N2307" s="16">
        <v>1.44E-2</v>
      </c>
      <c r="O2307" s="17">
        <f>N2307*'Financial Inputs'!$B$3</f>
        <v>1440000</v>
      </c>
      <c r="P2307" s="18">
        <f>IF(I2307="L",'Financial Inputs'!$B$4,IF(I2307="M",'Financial Inputs'!$B$5,'Financial Inputs'!$B$6))</f>
        <v>0.4</v>
      </c>
      <c r="Q2307" s="17">
        <f>O2307*P2307</f>
        <v>576000</v>
      </c>
      <c r="R2307" s="16">
        <f>'Financial Inputs'!$B$7</f>
        <v>0.35</v>
      </c>
      <c r="S2307" s="17">
        <f>Q2307*(1-R2307)</f>
        <v>374400</v>
      </c>
      <c r="T2307" s="18">
        <f>S2307/'Financial Inputs'!$B$3</f>
        <v>3.7439999999999999E-3</v>
      </c>
      <c r="U2307" s="9" t="s">
        <v>52</v>
      </c>
      <c r="V2307" s="3" t="s">
        <v>53</v>
      </c>
    </row>
    <row r="2308" spans="1:22">
      <c r="A2308" s="2" t="s">
        <v>7170</v>
      </c>
      <c r="B2308" s="2" t="s">
        <v>7171</v>
      </c>
      <c r="C2308" s="2" t="s">
        <v>7152</v>
      </c>
      <c r="D2308" s="2" t="s">
        <v>95</v>
      </c>
      <c r="E2308" s="2" t="s">
        <v>96</v>
      </c>
      <c r="F2308" s="2" t="s">
        <v>97</v>
      </c>
      <c r="G2308" s="2" t="s">
        <v>75</v>
      </c>
      <c r="H2308" s="2" t="s">
        <v>498</v>
      </c>
      <c r="I2308" s="2" t="s">
        <v>47</v>
      </c>
      <c r="J2308" s="2" t="s">
        <v>1106</v>
      </c>
      <c r="K2308" s="2" t="s">
        <v>7172</v>
      </c>
      <c r="L2308" s="2" t="s">
        <v>99</v>
      </c>
      <c r="M2308" s="2" t="s">
        <v>7154</v>
      </c>
      <c r="N2308" s="16">
        <v>1.6199999999999999E-2</v>
      </c>
      <c r="O2308" s="17">
        <f>N2308*'Financial Inputs'!$B$3</f>
        <v>1620000</v>
      </c>
      <c r="P2308" s="18">
        <f>IF(I2308="L",'Financial Inputs'!$B$4,IF(I2308="M",'Financial Inputs'!$B$5,'Financial Inputs'!$B$6))</f>
        <v>0.4</v>
      </c>
      <c r="Q2308" s="17">
        <f>O2308*P2308</f>
        <v>648000</v>
      </c>
      <c r="R2308" s="16">
        <f>'Financial Inputs'!$B$7</f>
        <v>0.35</v>
      </c>
      <c r="S2308" s="17">
        <f>Q2308*(1-R2308)</f>
        <v>421200</v>
      </c>
      <c r="T2308" s="18">
        <f>S2308/'Financial Inputs'!$B$3</f>
        <v>4.2119999999999996E-3</v>
      </c>
      <c r="U2308" s="9" t="s">
        <v>52</v>
      </c>
      <c r="V2308" s="3" t="s">
        <v>53</v>
      </c>
    </row>
    <row r="2309" spans="1:22">
      <c r="A2309" s="2" t="s">
        <v>7173</v>
      </c>
      <c r="B2309" s="2" t="s">
        <v>7174</v>
      </c>
      <c r="C2309" s="2" t="s">
        <v>7152</v>
      </c>
      <c r="D2309" s="2" t="s">
        <v>102</v>
      </c>
      <c r="E2309" s="2" t="s">
        <v>103</v>
      </c>
      <c r="F2309" s="2" t="s">
        <v>104</v>
      </c>
      <c r="G2309" s="2" t="s">
        <v>83</v>
      </c>
      <c r="H2309" s="2" t="s">
        <v>498</v>
      </c>
      <c r="I2309" s="2" t="s">
        <v>47</v>
      </c>
      <c r="J2309" s="2" t="s">
        <v>1106</v>
      </c>
      <c r="K2309" s="2" t="s">
        <v>7175</v>
      </c>
      <c r="L2309" s="2" t="s">
        <v>106</v>
      </c>
      <c r="M2309" s="2" t="s">
        <v>7154</v>
      </c>
      <c r="N2309" s="16">
        <v>1.7999999999999999E-2</v>
      </c>
      <c r="O2309" s="17">
        <f>N2309*'Financial Inputs'!$B$3</f>
        <v>1799999.9999999998</v>
      </c>
      <c r="P2309" s="18">
        <f>IF(I2309="L",'Financial Inputs'!$B$4,IF(I2309="M",'Financial Inputs'!$B$5,'Financial Inputs'!$B$6))</f>
        <v>0.4</v>
      </c>
      <c r="Q2309" s="17">
        <f>O2309*P2309</f>
        <v>720000</v>
      </c>
      <c r="R2309" s="16">
        <f>'Financial Inputs'!$B$7</f>
        <v>0.35</v>
      </c>
      <c r="S2309" s="17">
        <f>Q2309*(1-R2309)</f>
        <v>468000</v>
      </c>
      <c r="T2309" s="18">
        <f>S2309/'Financial Inputs'!$B$3</f>
        <v>4.6800000000000001E-3</v>
      </c>
      <c r="U2309" s="9" t="s">
        <v>52</v>
      </c>
      <c r="V2309" s="3" t="s">
        <v>53</v>
      </c>
    </row>
    <row r="2310" spans="1:22">
      <c r="A2310" s="2" t="s">
        <v>7176</v>
      </c>
      <c r="B2310" s="2" t="s">
        <v>7177</v>
      </c>
      <c r="C2310" s="2" t="s">
        <v>7152</v>
      </c>
      <c r="D2310" s="2" t="s">
        <v>42</v>
      </c>
      <c r="E2310" s="2" t="s">
        <v>109</v>
      </c>
      <c r="F2310" s="2" t="s">
        <v>110</v>
      </c>
      <c r="G2310" s="2" t="s">
        <v>111</v>
      </c>
      <c r="H2310" s="2" t="s">
        <v>498</v>
      </c>
      <c r="I2310" s="2" t="s">
        <v>47</v>
      </c>
      <c r="J2310" s="2" t="s">
        <v>1106</v>
      </c>
      <c r="K2310" s="2" t="s">
        <v>7178</v>
      </c>
      <c r="L2310" s="2" t="s">
        <v>113</v>
      </c>
      <c r="M2310" s="2" t="s">
        <v>7154</v>
      </c>
      <c r="N2310" s="16">
        <v>1.9800000000000002E-2</v>
      </c>
      <c r="O2310" s="17">
        <f>N2310*'Financial Inputs'!$B$3</f>
        <v>1980000.0000000002</v>
      </c>
      <c r="P2310" s="18">
        <f>IF(I2310="L",'Financial Inputs'!$B$4,IF(I2310="M",'Financial Inputs'!$B$5,'Financial Inputs'!$B$6))</f>
        <v>0.4</v>
      </c>
      <c r="Q2310" s="17">
        <f>O2310*P2310</f>
        <v>792000.00000000012</v>
      </c>
      <c r="R2310" s="16">
        <f>'Financial Inputs'!$B$7</f>
        <v>0.35</v>
      </c>
      <c r="S2310" s="17">
        <f>Q2310*(1-R2310)</f>
        <v>514800.00000000012</v>
      </c>
      <c r="T2310" s="18">
        <f>S2310/'Financial Inputs'!$B$3</f>
        <v>5.1480000000000015E-3</v>
      </c>
      <c r="U2310" s="9" t="s">
        <v>52</v>
      </c>
      <c r="V2310" s="3" t="s">
        <v>53</v>
      </c>
    </row>
    <row r="2311" spans="1:22">
      <c r="A2311" s="2" t="s">
        <v>7179</v>
      </c>
      <c r="B2311" s="2" t="s">
        <v>7180</v>
      </c>
      <c r="C2311" s="2" t="s">
        <v>7152</v>
      </c>
      <c r="D2311" s="2" t="s">
        <v>56</v>
      </c>
      <c r="E2311" s="2" t="s">
        <v>116</v>
      </c>
      <c r="F2311" s="2" t="s">
        <v>117</v>
      </c>
      <c r="G2311" s="2" t="s">
        <v>56</v>
      </c>
      <c r="H2311" s="2" t="s">
        <v>498</v>
      </c>
      <c r="I2311" s="2" t="s">
        <v>47</v>
      </c>
      <c r="J2311" s="2" t="s">
        <v>1106</v>
      </c>
      <c r="K2311" s="2" t="s">
        <v>7181</v>
      </c>
      <c r="L2311" s="2" t="s">
        <v>119</v>
      </c>
      <c r="M2311" s="2" t="s">
        <v>7154</v>
      </c>
      <c r="N2311" s="16">
        <v>2.1600000000000001E-2</v>
      </c>
      <c r="O2311" s="17">
        <f>N2311*'Financial Inputs'!$B$3</f>
        <v>2160000</v>
      </c>
      <c r="P2311" s="18">
        <f>IF(I2311="L",'Financial Inputs'!$B$4,IF(I2311="M",'Financial Inputs'!$B$5,'Financial Inputs'!$B$6))</f>
        <v>0.4</v>
      </c>
      <c r="Q2311" s="17">
        <f>O2311*P2311</f>
        <v>864000</v>
      </c>
      <c r="R2311" s="16">
        <f>'Financial Inputs'!$B$7</f>
        <v>0.35</v>
      </c>
      <c r="S2311" s="17">
        <f>Q2311*(1-R2311)</f>
        <v>561600</v>
      </c>
      <c r="T2311" s="18">
        <f>S2311/'Financial Inputs'!$B$3</f>
        <v>5.6160000000000003E-3</v>
      </c>
      <c r="U2311" s="9" t="s">
        <v>52</v>
      </c>
      <c r="V2311" s="3" t="s">
        <v>53</v>
      </c>
    </row>
    <row r="2312" spans="1:22">
      <c r="A2312" s="2" t="s">
        <v>7182</v>
      </c>
      <c r="B2312" s="2" t="s">
        <v>7183</v>
      </c>
      <c r="C2312" s="2" t="s">
        <v>7152</v>
      </c>
      <c r="D2312" s="2" t="s">
        <v>80</v>
      </c>
      <c r="E2312" s="2" t="s">
        <v>122</v>
      </c>
      <c r="F2312" s="2" t="s">
        <v>58</v>
      </c>
      <c r="G2312" s="2" t="s">
        <v>83</v>
      </c>
      <c r="H2312" s="2" t="s">
        <v>498</v>
      </c>
      <c r="I2312" s="2" t="s">
        <v>47</v>
      </c>
      <c r="J2312" s="2" t="s">
        <v>1106</v>
      </c>
      <c r="K2312" s="2" t="s">
        <v>7184</v>
      </c>
      <c r="L2312" s="2" t="s">
        <v>124</v>
      </c>
      <c r="M2312" s="2" t="s">
        <v>7154</v>
      </c>
      <c r="N2312" s="16">
        <v>1.44E-2</v>
      </c>
      <c r="O2312" s="17">
        <f>N2312*'Financial Inputs'!$B$3</f>
        <v>1440000</v>
      </c>
      <c r="P2312" s="18">
        <f>IF(I2312="L",'Financial Inputs'!$B$4,IF(I2312="M",'Financial Inputs'!$B$5,'Financial Inputs'!$B$6))</f>
        <v>0.4</v>
      </c>
      <c r="Q2312" s="17">
        <f>O2312*P2312</f>
        <v>576000</v>
      </c>
      <c r="R2312" s="16">
        <f>'Financial Inputs'!$B$7</f>
        <v>0.35</v>
      </c>
      <c r="S2312" s="17">
        <f>Q2312*(1-R2312)</f>
        <v>374400</v>
      </c>
      <c r="T2312" s="18">
        <f>S2312/'Financial Inputs'!$B$3</f>
        <v>3.7439999999999999E-3</v>
      </c>
      <c r="U2312" s="9" t="s">
        <v>52</v>
      </c>
      <c r="V2312" s="3" t="s">
        <v>53</v>
      </c>
    </row>
    <row r="2313" spans="1:22">
      <c r="A2313" s="2" t="s">
        <v>7185</v>
      </c>
      <c r="B2313" s="2" t="s">
        <v>7186</v>
      </c>
      <c r="C2313" s="2" t="s">
        <v>7152</v>
      </c>
      <c r="D2313" s="2" t="s">
        <v>127</v>
      </c>
      <c r="E2313" s="2" t="s">
        <v>128</v>
      </c>
      <c r="F2313" s="2" t="s">
        <v>66</v>
      </c>
      <c r="G2313" s="2" t="s">
        <v>111</v>
      </c>
      <c r="H2313" s="2" t="s">
        <v>498</v>
      </c>
      <c r="I2313" s="2" t="s">
        <v>47</v>
      </c>
      <c r="J2313" s="2" t="s">
        <v>1106</v>
      </c>
      <c r="K2313" s="2" t="s">
        <v>7187</v>
      </c>
      <c r="L2313" s="2" t="s">
        <v>130</v>
      </c>
      <c r="M2313" s="2" t="s">
        <v>7154</v>
      </c>
      <c r="N2313" s="16">
        <v>1.6199999999999999E-2</v>
      </c>
      <c r="O2313" s="17">
        <f>N2313*'Financial Inputs'!$B$3</f>
        <v>1620000</v>
      </c>
      <c r="P2313" s="18">
        <f>IF(I2313="L",'Financial Inputs'!$B$4,IF(I2313="M",'Financial Inputs'!$B$5,'Financial Inputs'!$B$6))</f>
        <v>0.4</v>
      </c>
      <c r="Q2313" s="17">
        <f>O2313*P2313</f>
        <v>648000</v>
      </c>
      <c r="R2313" s="16">
        <f>'Financial Inputs'!$B$7</f>
        <v>0.35</v>
      </c>
      <c r="S2313" s="17">
        <f>Q2313*(1-R2313)</f>
        <v>421200</v>
      </c>
      <c r="T2313" s="18">
        <f>S2313/'Financial Inputs'!$B$3</f>
        <v>4.2119999999999996E-3</v>
      </c>
      <c r="U2313" s="9" t="s">
        <v>52</v>
      </c>
      <c r="V2313" s="3" t="s">
        <v>53</v>
      </c>
    </row>
    <row r="2314" spans="1:22">
      <c r="A2314" s="2" t="s">
        <v>7188</v>
      </c>
      <c r="B2314" s="2" t="s">
        <v>7189</v>
      </c>
      <c r="C2314" s="2" t="s">
        <v>7152</v>
      </c>
      <c r="D2314" s="2" t="s">
        <v>133</v>
      </c>
      <c r="E2314" s="2" t="s">
        <v>43</v>
      </c>
      <c r="F2314" s="2" t="s">
        <v>74</v>
      </c>
      <c r="G2314" s="2" t="s">
        <v>56</v>
      </c>
      <c r="H2314" s="2" t="s">
        <v>498</v>
      </c>
      <c r="I2314" s="2" t="s">
        <v>47</v>
      </c>
      <c r="J2314" s="2" t="s">
        <v>1106</v>
      </c>
      <c r="K2314" s="2" t="s">
        <v>7190</v>
      </c>
      <c r="L2314" s="2" t="s">
        <v>135</v>
      </c>
      <c r="M2314" s="2" t="s">
        <v>7154</v>
      </c>
      <c r="N2314" s="16">
        <v>1.7999999999999999E-2</v>
      </c>
      <c r="O2314" s="17">
        <f>N2314*'Financial Inputs'!$B$3</f>
        <v>1799999.9999999998</v>
      </c>
      <c r="P2314" s="18">
        <f>IF(I2314="L",'Financial Inputs'!$B$4,IF(I2314="M",'Financial Inputs'!$B$5,'Financial Inputs'!$B$6))</f>
        <v>0.4</v>
      </c>
      <c r="Q2314" s="17">
        <f>O2314*P2314</f>
        <v>720000</v>
      </c>
      <c r="R2314" s="16">
        <f>'Financial Inputs'!$B$7</f>
        <v>0.35</v>
      </c>
      <c r="S2314" s="17">
        <f>Q2314*(1-R2314)</f>
        <v>468000</v>
      </c>
      <c r="T2314" s="18">
        <f>S2314/'Financial Inputs'!$B$3</f>
        <v>4.6800000000000001E-3</v>
      </c>
      <c r="U2314" s="9" t="s">
        <v>52</v>
      </c>
      <c r="V2314" s="3" t="s">
        <v>53</v>
      </c>
    </row>
    <row r="2315" spans="1:22">
      <c r="A2315" s="2" t="s">
        <v>7191</v>
      </c>
      <c r="B2315" s="2" t="s">
        <v>7192</v>
      </c>
      <c r="C2315" s="2" t="s">
        <v>7152</v>
      </c>
      <c r="D2315" s="2" t="s">
        <v>88</v>
      </c>
      <c r="E2315" s="2" t="s">
        <v>57</v>
      </c>
      <c r="F2315" s="2" t="s">
        <v>82</v>
      </c>
      <c r="G2315" s="2" t="s">
        <v>138</v>
      </c>
      <c r="H2315" s="2" t="s">
        <v>498</v>
      </c>
      <c r="I2315" s="2" t="s">
        <v>47</v>
      </c>
      <c r="J2315" s="2" t="s">
        <v>1106</v>
      </c>
      <c r="K2315" s="2" t="s">
        <v>7193</v>
      </c>
      <c r="L2315" s="2" t="s">
        <v>140</v>
      </c>
      <c r="M2315" s="2" t="s">
        <v>7154</v>
      </c>
      <c r="N2315" s="16">
        <v>1.9800000000000002E-2</v>
      </c>
      <c r="O2315" s="17">
        <f>N2315*'Financial Inputs'!$B$3</f>
        <v>1980000.0000000002</v>
      </c>
      <c r="P2315" s="18">
        <f>IF(I2315="L",'Financial Inputs'!$B$4,IF(I2315="M",'Financial Inputs'!$B$5,'Financial Inputs'!$B$6))</f>
        <v>0.4</v>
      </c>
      <c r="Q2315" s="17">
        <f>O2315*P2315</f>
        <v>792000.00000000012</v>
      </c>
      <c r="R2315" s="16">
        <f>'Financial Inputs'!$B$7</f>
        <v>0.35</v>
      </c>
      <c r="S2315" s="17">
        <f>Q2315*(1-R2315)</f>
        <v>514800.00000000012</v>
      </c>
      <c r="T2315" s="18">
        <f>S2315/'Financial Inputs'!$B$3</f>
        <v>5.1480000000000015E-3</v>
      </c>
      <c r="U2315" s="9" t="s">
        <v>52</v>
      </c>
      <c r="V2315" s="3" t="s">
        <v>53</v>
      </c>
    </row>
    <row r="2316" spans="1:22">
      <c r="A2316" s="2" t="s">
        <v>7194</v>
      </c>
      <c r="B2316" s="2" t="s">
        <v>7195</v>
      </c>
      <c r="C2316" s="2" t="s">
        <v>7152</v>
      </c>
      <c r="D2316" s="2" t="s">
        <v>95</v>
      </c>
      <c r="E2316" s="2" t="s">
        <v>65</v>
      </c>
      <c r="F2316" s="2" t="s">
        <v>44</v>
      </c>
      <c r="G2316" s="2" t="s">
        <v>143</v>
      </c>
      <c r="H2316" s="2" t="s">
        <v>498</v>
      </c>
      <c r="I2316" s="2" t="s">
        <v>47</v>
      </c>
      <c r="J2316" s="2" t="s">
        <v>1106</v>
      </c>
      <c r="K2316" s="2" t="s">
        <v>7196</v>
      </c>
      <c r="L2316" s="2" t="s">
        <v>145</v>
      </c>
      <c r="M2316" s="2" t="s">
        <v>7154</v>
      </c>
      <c r="N2316" s="16">
        <v>2.1600000000000001E-2</v>
      </c>
      <c r="O2316" s="17">
        <f>N2316*'Financial Inputs'!$B$3</f>
        <v>2160000</v>
      </c>
      <c r="P2316" s="18">
        <f>IF(I2316="L",'Financial Inputs'!$B$4,IF(I2316="M",'Financial Inputs'!$B$5,'Financial Inputs'!$B$6))</f>
        <v>0.4</v>
      </c>
      <c r="Q2316" s="17">
        <f>O2316*P2316</f>
        <v>864000</v>
      </c>
      <c r="R2316" s="16">
        <f>'Financial Inputs'!$B$7</f>
        <v>0.35</v>
      </c>
      <c r="S2316" s="17">
        <f>Q2316*(1-R2316)</f>
        <v>561600</v>
      </c>
      <c r="T2316" s="18">
        <f>S2316/'Financial Inputs'!$B$3</f>
        <v>5.6160000000000003E-3</v>
      </c>
      <c r="U2316" s="9" t="s">
        <v>52</v>
      </c>
      <c r="V2316" s="3" t="s">
        <v>53</v>
      </c>
    </row>
    <row r="2317" spans="1:22">
      <c r="A2317" s="2" t="s">
        <v>7197</v>
      </c>
      <c r="B2317" s="2" t="s">
        <v>7198</v>
      </c>
      <c r="C2317" s="2" t="s">
        <v>7152</v>
      </c>
      <c r="D2317" s="2" t="s">
        <v>56</v>
      </c>
      <c r="E2317" s="2" t="s">
        <v>148</v>
      </c>
      <c r="F2317" s="2" t="s">
        <v>97</v>
      </c>
      <c r="G2317" s="2" t="s">
        <v>56</v>
      </c>
      <c r="H2317" s="2" t="s">
        <v>498</v>
      </c>
      <c r="I2317" s="2" t="s">
        <v>47</v>
      </c>
      <c r="J2317" s="2" t="s">
        <v>1106</v>
      </c>
      <c r="K2317" s="2" t="s">
        <v>7199</v>
      </c>
      <c r="L2317" s="2" t="s">
        <v>150</v>
      </c>
      <c r="M2317" s="2" t="s">
        <v>7154</v>
      </c>
      <c r="N2317" s="16">
        <v>1.44E-2</v>
      </c>
      <c r="O2317" s="17">
        <f>N2317*'Financial Inputs'!$B$3</f>
        <v>1440000</v>
      </c>
      <c r="P2317" s="18">
        <f>IF(I2317="L",'Financial Inputs'!$B$4,IF(I2317="M",'Financial Inputs'!$B$5,'Financial Inputs'!$B$6))</f>
        <v>0.4</v>
      </c>
      <c r="Q2317" s="17">
        <f>O2317*P2317</f>
        <v>576000</v>
      </c>
      <c r="R2317" s="16">
        <f>'Financial Inputs'!$B$7</f>
        <v>0.35</v>
      </c>
      <c r="S2317" s="17">
        <f>Q2317*(1-R2317)</f>
        <v>374400</v>
      </c>
      <c r="T2317" s="18">
        <f>S2317/'Financial Inputs'!$B$3</f>
        <v>3.7439999999999999E-3</v>
      </c>
      <c r="U2317" s="9" t="s">
        <v>52</v>
      </c>
      <c r="V2317" s="3" t="s">
        <v>53</v>
      </c>
    </row>
    <row r="2318" spans="1:22">
      <c r="A2318" s="2" t="s">
        <v>7200</v>
      </c>
      <c r="B2318" s="2" t="s">
        <v>7201</v>
      </c>
      <c r="C2318" s="2" t="s">
        <v>7152</v>
      </c>
      <c r="D2318" s="2" t="s">
        <v>64</v>
      </c>
      <c r="E2318" s="2" t="s">
        <v>153</v>
      </c>
      <c r="F2318" s="2" t="s">
        <v>104</v>
      </c>
      <c r="G2318" s="2" t="s">
        <v>138</v>
      </c>
      <c r="H2318" s="2" t="s">
        <v>498</v>
      </c>
      <c r="I2318" s="2" t="s">
        <v>47</v>
      </c>
      <c r="J2318" s="2" t="s">
        <v>1106</v>
      </c>
      <c r="K2318" s="2" t="s">
        <v>7202</v>
      </c>
      <c r="L2318" s="2" t="s">
        <v>155</v>
      </c>
      <c r="M2318" s="2" t="s">
        <v>7154</v>
      </c>
      <c r="N2318" s="16">
        <v>1.6199999999999999E-2</v>
      </c>
      <c r="O2318" s="17">
        <f>N2318*'Financial Inputs'!$B$3</f>
        <v>1620000</v>
      </c>
      <c r="P2318" s="18">
        <f>IF(I2318="L",'Financial Inputs'!$B$4,IF(I2318="M",'Financial Inputs'!$B$5,'Financial Inputs'!$B$6))</f>
        <v>0.4</v>
      </c>
      <c r="Q2318" s="17">
        <f>O2318*P2318</f>
        <v>648000</v>
      </c>
      <c r="R2318" s="16">
        <f>'Financial Inputs'!$B$7</f>
        <v>0.35</v>
      </c>
      <c r="S2318" s="17">
        <f>Q2318*(1-R2318)</f>
        <v>421200</v>
      </c>
      <c r="T2318" s="18">
        <f>S2318/'Financial Inputs'!$B$3</f>
        <v>4.2119999999999996E-3</v>
      </c>
      <c r="U2318" s="9" t="s">
        <v>52</v>
      </c>
      <c r="V2318" s="3" t="s">
        <v>53</v>
      </c>
    </row>
    <row r="2319" spans="1:22">
      <c r="A2319" s="2" t="s">
        <v>7203</v>
      </c>
      <c r="B2319" s="2" t="s">
        <v>7204</v>
      </c>
      <c r="C2319" s="2" t="s">
        <v>7152</v>
      </c>
      <c r="D2319" s="2" t="s">
        <v>72</v>
      </c>
      <c r="E2319" s="2" t="s">
        <v>89</v>
      </c>
      <c r="F2319" s="2" t="s">
        <v>110</v>
      </c>
      <c r="G2319" s="2" t="s">
        <v>143</v>
      </c>
      <c r="H2319" s="2" t="s">
        <v>498</v>
      </c>
      <c r="I2319" s="2" t="s">
        <v>47</v>
      </c>
      <c r="J2319" s="2" t="s">
        <v>1106</v>
      </c>
      <c r="K2319" s="2" t="s">
        <v>7205</v>
      </c>
      <c r="L2319" s="2" t="s">
        <v>159</v>
      </c>
      <c r="M2319" s="2" t="s">
        <v>7154</v>
      </c>
      <c r="N2319" s="16">
        <v>1.7999999999999999E-2</v>
      </c>
      <c r="O2319" s="17">
        <f>N2319*'Financial Inputs'!$B$3</f>
        <v>1799999.9999999998</v>
      </c>
      <c r="P2319" s="18">
        <f>IF(I2319="L",'Financial Inputs'!$B$4,IF(I2319="M",'Financial Inputs'!$B$5,'Financial Inputs'!$B$6))</f>
        <v>0.4</v>
      </c>
      <c r="Q2319" s="17">
        <f>O2319*P2319</f>
        <v>720000</v>
      </c>
      <c r="R2319" s="16">
        <f>'Financial Inputs'!$B$7</f>
        <v>0.35</v>
      </c>
      <c r="S2319" s="17">
        <f>Q2319*(1-R2319)</f>
        <v>468000</v>
      </c>
      <c r="T2319" s="18">
        <f>S2319/'Financial Inputs'!$B$3</f>
        <v>4.6800000000000001E-3</v>
      </c>
      <c r="U2319" s="9" t="s">
        <v>52</v>
      </c>
      <c r="V2319" s="3" t="s">
        <v>53</v>
      </c>
    </row>
    <row r="2320" spans="1:22">
      <c r="A2320" s="2" t="s">
        <v>7206</v>
      </c>
      <c r="B2320" s="2" t="s">
        <v>7207</v>
      </c>
      <c r="C2320" s="2" t="s">
        <v>7152</v>
      </c>
      <c r="D2320" s="2" t="s">
        <v>80</v>
      </c>
      <c r="E2320" s="2" t="s">
        <v>96</v>
      </c>
      <c r="F2320" s="2" t="s">
        <v>117</v>
      </c>
      <c r="G2320" s="2" t="s">
        <v>162</v>
      </c>
      <c r="H2320" s="2" t="s">
        <v>498</v>
      </c>
      <c r="I2320" s="2" t="s">
        <v>47</v>
      </c>
      <c r="J2320" s="2" t="s">
        <v>1106</v>
      </c>
      <c r="K2320" s="2" t="s">
        <v>7208</v>
      </c>
      <c r="L2320" s="2" t="s">
        <v>164</v>
      </c>
      <c r="M2320" s="2" t="s">
        <v>7154</v>
      </c>
      <c r="N2320" s="16">
        <v>1.9800000000000002E-2</v>
      </c>
      <c r="O2320" s="17">
        <f>N2320*'Financial Inputs'!$B$3</f>
        <v>1980000.0000000002</v>
      </c>
      <c r="P2320" s="18">
        <f>IF(I2320="L",'Financial Inputs'!$B$4,IF(I2320="M",'Financial Inputs'!$B$5,'Financial Inputs'!$B$6))</f>
        <v>0.4</v>
      </c>
      <c r="Q2320" s="17">
        <f>O2320*P2320</f>
        <v>792000.00000000012</v>
      </c>
      <c r="R2320" s="16">
        <f>'Financial Inputs'!$B$7</f>
        <v>0.35</v>
      </c>
      <c r="S2320" s="17">
        <f>Q2320*(1-R2320)</f>
        <v>514800.00000000012</v>
      </c>
      <c r="T2320" s="18">
        <f>S2320/'Financial Inputs'!$B$3</f>
        <v>5.1480000000000015E-3</v>
      </c>
      <c r="U2320" s="9" t="s">
        <v>52</v>
      </c>
      <c r="V2320" s="3" t="s">
        <v>53</v>
      </c>
    </row>
    <row r="2321" spans="1:22">
      <c r="A2321" s="2" t="s">
        <v>7209</v>
      </c>
      <c r="B2321" s="2" t="s">
        <v>7210</v>
      </c>
      <c r="C2321" s="2" t="s">
        <v>7152</v>
      </c>
      <c r="D2321" s="2" t="s">
        <v>127</v>
      </c>
      <c r="E2321" s="2" t="s">
        <v>103</v>
      </c>
      <c r="F2321" s="2" t="s">
        <v>90</v>
      </c>
      <c r="G2321" s="2" t="s">
        <v>45</v>
      </c>
      <c r="H2321" s="2" t="s">
        <v>498</v>
      </c>
      <c r="I2321" s="2" t="s">
        <v>47</v>
      </c>
      <c r="J2321" s="2" t="s">
        <v>1106</v>
      </c>
      <c r="K2321" s="2" t="s">
        <v>7211</v>
      </c>
      <c r="L2321" s="2" t="s">
        <v>168</v>
      </c>
      <c r="M2321" s="2" t="s">
        <v>7154</v>
      </c>
      <c r="N2321" s="16">
        <v>2.1600000000000001E-2</v>
      </c>
      <c r="O2321" s="17">
        <f>N2321*'Financial Inputs'!$B$3</f>
        <v>2160000</v>
      </c>
      <c r="P2321" s="18">
        <f>IF(I2321="L",'Financial Inputs'!$B$4,IF(I2321="M",'Financial Inputs'!$B$5,'Financial Inputs'!$B$6))</f>
        <v>0.4</v>
      </c>
      <c r="Q2321" s="17">
        <f>O2321*P2321</f>
        <v>864000</v>
      </c>
      <c r="R2321" s="16">
        <f>'Financial Inputs'!$B$7</f>
        <v>0.35</v>
      </c>
      <c r="S2321" s="17">
        <f>Q2321*(1-R2321)</f>
        <v>561600</v>
      </c>
      <c r="T2321" s="18">
        <f>S2321/'Financial Inputs'!$B$3</f>
        <v>5.6160000000000003E-3</v>
      </c>
      <c r="U2321" s="9" t="s">
        <v>52</v>
      </c>
      <c r="V2321" s="3" t="s">
        <v>53</v>
      </c>
    </row>
    <row r="2322" spans="1:22">
      <c r="A2322" s="2" t="s">
        <v>7212</v>
      </c>
      <c r="B2322" s="2" t="s">
        <v>7213</v>
      </c>
      <c r="C2322" s="2" t="s">
        <v>7152</v>
      </c>
      <c r="D2322" s="2" t="s">
        <v>95</v>
      </c>
      <c r="E2322" s="2" t="s">
        <v>171</v>
      </c>
      <c r="F2322" s="2" t="s">
        <v>66</v>
      </c>
      <c r="G2322" s="2" t="s">
        <v>143</v>
      </c>
      <c r="H2322" s="2" t="s">
        <v>498</v>
      </c>
      <c r="I2322" s="2" t="s">
        <v>47</v>
      </c>
      <c r="J2322" s="2" t="s">
        <v>1106</v>
      </c>
      <c r="K2322" s="2" t="s">
        <v>7214</v>
      </c>
      <c r="L2322" s="2" t="s">
        <v>173</v>
      </c>
      <c r="M2322" s="2" t="s">
        <v>7154</v>
      </c>
      <c r="N2322" s="16">
        <v>1.44E-2</v>
      </c>
      <c r="O2322" s="17">
        <f>N2322*'Financial Inputs'!$B$3</f>
        <v>1440000</v>
      </c>
      <c r="P2322" s="18">
        <f>IF(I2322="L",'Financial Inputs'!$B$4,IF(I2322="M",'Financial Inputs'!$B$5,'Financial Inputs'!$B$6))</f>
        <v>0.4</v>
      </c>
      <c r="Q2322" s="17">
        <f>O2322*P2322</f>
        <v>576000</v>
      </c>
      <c r="R2322" s="16">
        <f>'Financial Inputs'!$B$7</f>
        <v>0.35</v>
      </c>
      <c r="S2322" s="17">
        <f>Q2322*(1-R2322)</f>
        <v>374400</v>
      </c>
      <c r="T2322" s="18">
        <f>S2322/'Financial Inputs'!$B$3</f>
        <v>3.7439999999999999E-3</v>
      </c>
      <c r="U2322" s="9" t="s">
        <v>52</v>
      </c>
      <c r="V2322" s="3" t="s">
        <v>53</v>
      </c>
    </row>
    <row r="2323" spans="1:22">
      <c r="A2323" s="2" t="s">
        <v>7215</v>
      </c>
      <c r="B2323" s="2" t="s">
        <v>7216</v>
      </c>
      <c r="C2323" s="2" t="s">
        <v>7152</v>
      </c>
      <c r="D2323" s="2" t="s">
        <v>102</v>
      </c>
      <c r="E2323" s="2" t="s">
        <v>176</v>
      </c>
      <c r="F2323" s="2" t="s">
        <v>74</v>
      </c>
      <c r="G2323" s="2" t="s">
        <v>162</v>
      </c>
      <c r="H2323" s="2" t="s">
        <v>498</v>
      </c>
      <c r="I2323" s="2" t="s">
        <v>47</v>
      </c>
      <c r="J2323" s="2" t="s">
        <v>1106</v>
      </c>
      <c r="K2323" s="2" t="s">
        <v>7217</v>
      </c>
      <c r="L2323" s="2" t="s">
        <v>178</v>
      </c>
      <c r="M2323" s="2" t="s">
        <v>7154</v>
      </c>
      <c r="N2323" s="16">
        <v>1.6199999999999999E-2</v>
      </c>
      <c r="O2323" s="17">
        <f>N2323*'Financial Inputs'!$B$3</f>
        <v>1620000</v>
      </c>
      <c r="P2323" s="18">
        <f>IF(I2323="L",'Financial Inputs'!$B$4,IF(I2323="M",'Financial Inputs'!$B$5,'Financial Inputs'!$B$6))</f>
        <v>0.4</v>
      </c>
      <c r="Q2323" s="17">
        <f>O2323*P2323</f>
        <v>648000</v>
      </c>
      <c r="R2323" s="16">
        <f>'Financial Inputs'!$B$7</f>
        <v>0.35</v>
      </c>
      <c r="S2323" s="17">
        <f>Q2323*(1-R2323)</f>
        <v>421200</v>
      </c>
      <c r="T2323" s="18">
        <f>S2323/'Financial Inputs'!$B$3</f>
        <v>4.2119999999999996E-3</v>
      </c>
      <c r="U2323" s="9" t="s">
        <v>52</v>
      </c>
      <c r="V2323" s="3" t="s">
        <v>53</v>
      </c>
    </row>
    <row r="2324" spans="1:22">
      <c r="A2324" s="2" t="s">
        <v>7218</v>
      </c>
      <c r="B2324" s="2" t="s">
        <v>7219</v>
      </c>
      <c r="C2324" s="2" t="s">
        <v>7152</v>
      </c>
      <c r="D2324" s="2" t="s">
        <v>42</v>
      </c>
      <c r="E2324" s="2" t="s">
        <v>122</v>
      </c>
      <c r="F2324" s="2" t="s">
        <v>82</v>
      </c>
      <c r="G2324" s="2" t="s">
        <v>45</v>
      </c>
      <c r="H2324" s="2" t="s">
        <v>498</v>
      </c>
      <c r="I2324" s="2" t="s">
        <v>47</v>
      </c>
      <c r="J2324" s="2" t="s">
        <v>1106</v>
      </c>
      <c r="K2324" s="2" t="s">
        <v>7220</v>
      </c>
      <c r="L2324" s="2" t="s">
        <v>182</v>
      </c>
      <c r="M2324" s="2" t="s">
        <v>7154</v>
      </c>
      <c r="N2324" s="16">
        <v>1.7999999999999999E-2</v>
      </c>
      <c r="O2324" s="17">
        <f>N2324*'Financial Inputs'!$B$3</f>
        <v>1799999.9999999998</v>
      </c>
      <c r="P2324" s="18">
        <f>IF(I2324="L",'Financial Inputs'!$B$4,IF(I2324="M",'Financial Inputs'!$B$5,'Financial Inputs'!$B$6))</f>
        <v>0.4</v>
      </c>
      <c r="Q2324" s="17">
        <f>O2324*P2324</f>
        <v>720000</v>
      </c>
      <c r="R2324" s="16">
        <f>'Financial Inputs'!$B$7</f>
        <v>0.35</v>
      </c>
      <c r="S2324" s="17">
        <f>Q2324*(1-R2324)</f>
        <v>468000</v>
      </c>
      <c r="T2324" s="18">
        <f>S2324/'Financial Inputs'!$B$3</f>
        <v>4.6800000000000001E-3</v>
      </c>
      <c r="U2324" s="9" t="s">
        <v>52</v>
      </c>
      <c r="V2324" s="3" t="s">
        <v>53</v>
      </c>
    </row>
    <row r="2325" spans="1:22">
      <c r="A2325" s="2" t="s">
        <v>7221</v>
      </c>
      <c r="B2325" s="2" t="s">
        <v>7222</v>
      </c>
      <c r="C2325" s="2" t="s">
        <v>7152</v>
      </c>
      <c r="D2325" s="2" t="s">
        <v>56</v>
      </c>
      <c r="E2325" s="2" t="s">
        <v>128</v>
      </c>
      <c r="F2325" s="2" t="s">
        <v>44</v>
      </c>
      <c r="G2325" s="2" t="s">
        <v>59</v>
      </c>
      <c r="H2325" s="2" t="s">
        <v>498</v>
      </c>
      <c r="I2325" s="2" t="s">
        <v>47</v>
      </c>
      <c r="J2325" s="2" t="s">
        <v>1106</v>
      </c>
      <c r="K2325" s="2" t="s">
        <v>7223</v>
      </c>
      <c r="L2325" s="2" t="s">
        <v>186</v>
      </c>
      <c r="M2325" s="2" t="s">
        <v>7154</v>
      </c>
      <c r="N2325" s="16">
        <v>1.9800000000000002E-2</v>
      </c>
      <c r="O2325" s="17">
        <f>N2325*'Financial Inputs'!$B$3</f>
        <v>1980000.0000000002</v>
      </c>
      <c r="P2325" s="18">
        <f>IF(I2325="L",'Financial Inputs'!$B$4,IF(I2325="M",'Financial Inputs'!$B$5,'Financial Inputs'!$B$6))</f>
        <v>0.4</v>
      </c>
      <c r="Q2325" s="17">
        <f>O2325*P2325</f>
        <v>792000.00000000012</v>
      </c>
      <c r="R2325" s="16">
        <f>'Financial Inputs'!$B$7</f>
        <v>0.35</v>
      </c>
      <c r="S2325" s="17">
        <f>Q2325*(1-R2325)</f>
        <v>514800.00000000012</v>
      </c>
      <c r="T2325" s="18">
        <f>S2325/'Financial Inputs'!$B$3</f>
        <v>5.1480000000000015E-3</v>
      </c>
      <c r="U2325" s="9" t="s">
        <v>52</v>
      </c>
      <c r="V2325" s="3" t="s">
        <v>53</v>
      </c>
    </row>
    <row r="2326" spans="1:22">
      <c r="A2326" s="2" t="s">
        <v>7224</v>
      </c>
      <c r="B2326" s="2" t="s">
        <v>7225</v>
      </c>
      <c r="C2326" s="2" t="s">
        <v>7152</v>
      </c>
      <c r="D2326" s="2" t="s">
        <v>64</v>
      </c>
      <c r="E2326" s="2" t="s">
        <v>43</v>
      </c>
      <c r="F2326" s="2" t="s">
        <v>58</v>
      </c>
      <c r="G2326" s="2" t="s">
        <v>67</v>
      </c>
      <c r="H2326" s="2" t="s">
        <v>498</v>
      </c>
      <c r="I2326" s="2" t="s">
        <v>47</v>
      </c>
      <c r="J2326" s="2" t="s">
        <v>1106</v>
      </c>
      <c r="K2326" s="2" t="s">
        <v>7226</v>
      </c>
      <c r="L2326" s="2" t="s">
        <v>190</v>
      </c>
      <c r="M2326" s="2" t="s">
        <v>7154</v>
      </c>
      <c r="N2326" s="16">
        <v>2.1600000000000001E-2</v>
      </c>
      <c r="O2326" s="17">
        <f>N2326*'Financial Inputs'!$B$3</f>
        <v>2160000</v>
      </c>
      <c r="P2326" s="18">
        <f>IF(I2326="L",'Financial Inputs'!$B$4,IF(I2326="M",'Financial Inputs'!$B$5,'Financial Inputs'!$B$6))</f>
        <v>0.4</v>
      </c>
      <c r="Q2326" s="17">
        <f>O2326*P2326</f>
        <v>864000</v>
      </c>
      <c r="R2326" s="16">
        <f>'Financial Inputs'!$B$7</f>
        <v>0.35</v>
      </c>
      <c r="S2326" s="17">
        <f>Q2326*(1-R2326)</f>
        <v>561600</v>
      </c>
      <c r="T2326" s="18">
        <f>S2326/'Financial Inputs'!$B$3</f>
        <v>5.6160000000000003E-3</v>
      </c>
      <c r="U2326" s="9" t="s">
        <v>52</v>
      </c>
      <c r="V2326" s="3" t="s">
        <v>53</v>
      </c>
    </row>
    <row r="2327" spans="1:22">
      <c r="A2327" s="2" t="s">
        <v>7227</v>
      </c>
      <c r="B2327" s="2" t="s">
        <v>7228</v>
      </c>
      <c r="C2327" s="2" t="s">
        <v>7152</v>
      </c>
      <c r="D2327" s="2" t="s">
        <v>127</v>
      </c>
      <c r="E2327" s="2" t="s">
        <v>193</v>
      </c>
      <c r="F2327" s="2" t="s">
        <v>104</v>
      </c>
      <c r="G2327" s="2" t="s">
        <v>45</v>
      </c>
      <c r="H2327" s="2" t="s">
        <v>498</v>
      </c>
      <c r="I2327" s="2" t="s">
        <v>47</v>
      </c>
      <c r="J2327" s="2" t="s">
        <v>1106</v>
      </c>
      <c r="K2327" s="2" t="s">
        <v>7229</v>
      </c>
      <c r="L2327" s="2" t="s">
        <v>195</v>
      </c>
      <c r="M2327" s="2" t="s">
        <v>7154</v>
      </c>
      <c r="N2327" s="16">
        <v>1.44E-2</v>
      </c>
      <c r="O2327" s="17">
        <f>N2327*'Financial Inputs'!$B$3</f>
        <v>1440000</v>
      </c>
      <c r="P2327" s="18">
        <f>IF(I2327="L",'Financial Inputs'!$B$4,IF(I2327="M",'Financial Inputs'!$B$5,'Financial Inputs'!$B$6))</f>
        <v>0.4</v>
      </c>
      <c r="Q2327" s="17">
        <f>O2327*P2327</f>
        <v>576000</v>
      </c>
      <c r="R2327" s="16">
        <f>'Financial Inputs'!$B$7</f>
        <v>0.35</v>
      </c>
      <c r="S2327" s="17">
        <f>Q2327*(1-R2327)</f>
        <v>374400</v>
      </c>
      <c r="T2327" s="18">
        <f>S2327/'Financial Inputs'!$B$3</f>
        <v>3.7439999999999999E-3</v>
      </c>
      <c r="U2327" s="9" t="s">
        <v>52</v>
      </c>
      <c r="V2327" s="3" t="s">
        <v>53</v>
      </c>
    </row>
    <row r="2328" spans="1:22">
      <c r="A2328" s="2" t="s">
        <v>7230</v>
      </c>
      <c r="B2328" s="2" t="s">
        <v>7231</v>
      </c>
      <c r="C2328" s="2" t="s">
        <v>7152</v>
      </c>
      <c r="D2328" s="2" t="s">
        <v>133</v>
      </c>
      <c r="E2328" s="2" t="s">
        <v>198</v>
      </c>
      <c r="F2328" s="2" t="s">
        <v>110</v>
      </c>
      <c r="G2328" s="2" t="s">
        <v>59</v>
      </c>
      <c r="H2328" s="2" t="s">
        <v>498</v>
      </c>
      <c r="I2328" s="2" t="s">
        <v>47</v>
      </c>
      <c r="J2328" s="2" t="s">
        <v>1106</v>
      </c>
      <c r="K2328" s="2" t="s">
        <v>7232</v>
      </c>
      <c r="L2328" s="2" t="s">
        <v>200</v>
      </c>
      <c r="M2328" s="2" t="s">
        <v>7154</v>
      </c>
      <c r="N2328" s="16">
        <v>1.6199999999999999E-2</v>
      </c>
      <c r="O2328" s="17">
        <f>N2328*'Financial Inputs'!$B$3</f>
        <v>1620000</v>
      </c>
      <c r="P2328" s="18">
        <f>IF(I2328="L",'Financial Inputs'!$B$4,IF(I2328="M",'Financial Inputs'!$B$5,'Financial Inputs'!$B$6))</f>
        <v>0.4</v>
      </c>
      <c r="Q2328" s="17">
        <f>O2328*P2328</f>
        <v>648000</v>
      </c>
      <c r="R2328" s="16">
        <f>'Financial Inputs'!$B$7</f>
        <v>0.35</v>
      </c>
      <c r="S2328" s="17">
        <f>Q2328*(1-R2328)</f>
        <v>421200</v>
      </c>
      <c r="T2328" s="18">
        <f>S2328/'Financial Inputs'!$B$3</f>
        <v>4.2119999999999996E-3</v>
      </c>
      <c r="U2328" s="9" t="s">
        <v>52</v>
      </c>
      <c r="V2328" s="3" t="s">
        <v>53</v>
      </c>
    </row>
    <row r="2329" spans="1:22">
      <c r="A2329" s="2" t="s">
        <v>7233</v>
      </c>
      <c r="B2329" s="2" t="s">
        <v>7234</v>
      </c>
      <c r="C2329" s="2" t="s">
        <v>7152</v>
      </c>
      <c r="D2329" s="2" t="s">
        <v>88</v>
      </c>
      <c r="E2329" s="2" t="s">
        <v>148</v>
      </c>
      <c r="F2329" s="2" t="s">
        <v>117</v>
      </c>
      <c r="G2329" s="2" t="s">
        <v>67</v>
      </c>
      <c r="H2329" s="2" t="s">
        <v>498</v>
      </c>
      <c r="I2329" s="2" t="s">
        <v>47</v>
      </c>
      <c r="J2329" s="2" t="s">
        <v>1106</v>
      </c>
      <c r="K2329" s="2" t="s">
        <v>7235</v>
      </c>
      <c r="L2329" s="2" t="s">
        <v>204</v>
      </c>
      <c r="M2329" s="2" t="s">
        <v>7154</v>
      </c>
      <c r="N2329" s="16">
        <v>1.7999999999999999E-2</v>
      </c>
      <c r="O2329" s="17">
        <f>N2329*'Financial Inputs'!$B$3</f>
        <v>1799999.9999999998</v>
      </c>
      <c r="P2329" s="18">
        <f>IF(I2329="L",'Financial Inputs'!$B$4,IF(I2329="M",'Financial Inputs'!$B$5,'Financial Inputs'!$B$6))</f>
        <v>0.4</v>
      </c>
      <c r="Q2329" s="17">
        <f>O2329*P2329</f>
        <v>720000</v>
      </c>
      <c r="R2329" s="16">
        <f>'Financial Inputs'!$B$7</f>
        <v>0.35</v>
      </c>
      <c r="S2329" s="17">
        <f>Q2329*(1-R2329)</f>
        <v>468000</v>
      </c>
      <c r="T2329" s="18">
        <f>S2329/'Financial Inputs'!$B$3</f>
        <v>4.6800000000000001E-3</v>
      </c>
      <c r="U2329" s="9" t="s">
        <v>52</v>
      </c>
      <c r="V2329" s="3" t="s">
        <v>53</v>
      </c>
    </row>
    <row r="2330" spans="1:22">
      <c r="A2330" s="2" t="s">
        <v>7236</v>
      </c>
      <c r="B2330" s="2" t="s">
        <v>7237</v>
      </c>
      <c r="C2330" s="2" t="s">
        <v>7152</v>
      </c>
      <c r="D2330" s="2" t="s">
        <v>95</v>
      </c>
      <c r="E2330" s="2" t="s">
        <v>153</v>
      </c>
      <c r="F2330" s="2" t="s">
        <v>90</v>
      </c>
      <c r="G2330" s="2" t="s">
        <v>75</v>
      </c>
      <c r="H2330" s="2" t="s">
        <v>498</v>
      </c>
      <c r="I2330" s="2" t="s">
        <v>47</v>
      </c>
      <c r="J2330" s="2" t="s">
        <v>1106</v>
      </c>
      <c r="K2330" s="2" t="s">
        <v>7238</v>
      </c>
      <c r="L2330" s="2" t="s">
        <v>208</v>
      </c>
      <c r="M2330" s="2" t="s">
        <v>7154</v>
      </c>
      <c r="N2330" s="16">
        <v>1.9800000000000002E-2</v>
      </c>
      <c r="O2330" s="17">
        <f>N2330*'Financial Inputs'!$B$3</f>
        <v>1980000.0000000002</v>
      </c>
      <c r="P2330" s="18">
        <f>IF(I2330="L",'Financial Inputs'!$B$4,IF(I2330="M",'Financial Inputs'!$B$5,'Financial Inputs'!$B$6))</f>
        <v>0.4</v>
      </c>
      <c r="Q2330" s="17">
        <f>O2330*P2330</f>
        <v>792000.00000000012</v>
      </c>
      <c r="R2330" s="16">
        <f>'Financial Inputs'!$B$7</f>
        <v>0.35</v>
      </c>
      <c r="S2330" s="17">
        <f>Q2330*(1-R2330)</f>
        <v>514800.00000000012</v>
      </c>
      <c r="T2330" s="18">
        <f>S2330/'Financial Inputs'!$B$3</f>
        <v>5.1480000000000015E-3</v>
      </c>
      <c r="U2330" s="9" t="s">
        <v>52</v>
      </c>
      <c r="V2330" s="3" t="s">
        <v>53</v>
      </c>
    </row>
    <row r="2331" spans="1:22">
      <c r="A2331" s="2" t="s">
        <v>7239</v>
      </c>
      <c r="B2331" s="2" t="s">
        <v>7240</v>
      </c>
      <c r="C2331" s="2" t="s">
        <v>7152</v>
      </c>
      <c r="D2331" s="2" t="s">
        <v>102</v>
      </c>
      <c r="E2331" s="2" t="s">
        <v>89</v>
      </c>
      <c r="F2331" s="2" t="s">
        <v>97</v>
      </c>
      <c r="G2331" s="2" t="s">
        <v>83</v>
      </c>
      <c r="H2331" s="2" t="s">
        <v>498</v>
      </c>
      <c r="I2331" s="2" t="s">
        <v>47</v>
      </c>
      <c r="J2331" s="2" t="s">
        <v>1106</v>
      </c>
      <c r="K2331" s="2" t="s">
        <v>7241</v>
      </c>
      <c r="L2331" s="2" t="s">
        <v>212</v>
      </c>
      <c r="M2331" s="2" t="s">
        <v>7154</v>
      </c>
      <c r="N2331" s="16">
        <v>2.1600000000000001E-2</v>
      </c>
      <c r="O2331" s="17">
        <f>N2331*'Financial Inputs'!$B$3</f>
        <v>2160000</v>
      </c>
      <c r="P2331" s="18">
        <f>IF(I2331="L",'Financial Inputs'!$B$4,IF(I2331="M",'Financial Inputs'!$B$5,'Financial Inputs'!$B$6))</f>
        <v>0.4</v>
      </c>
      <c r="Q2331" s="17">
        <f>O2331*P2331</f>
        <v>864000</v>
      </c>
      <c r="R2331" s="16">
        <f>'Financial Inputs'!$B$7</f>
        <v>0.35</v>
      </c>
      <c r="S2331" s="17">
        <f>Q2331*(1-R2331)</f>
        <v>561600</v>
      </c>
      <c r="T2331" s="18">
        <f>S2331/'Financial Inputs'!$B$3</f>
        <v>5.6160000000000003E-3</v>
      </c>
      <c r="U2331" s="9" t="s">
        <v>52</v>
      </c>
      <c r="V2331" s="3" t="s">
        <v>53</v>
      </c>
    </row>
    <row r="2332" spans="1:22">
      <c r="A2332" s="2" t="s">
        <v>7242</v>
      </c>
      <c r="B2332" s="2" t="s">
        <v>7243</v>
      </c>
      <c r="C2332" s="2" t="s">
        <v>7152</v>
      </c>
      <c r="D2332" s="2" t="s">
        <v>64</v>
      </c>
      <c r="E2332" s="2" t="s">
        <v>215</v>
      </c>
      <c r="F2332" s="2" t="s">
        <v>74</v>
      </c>
      <c r="G2332" s="2" t="s">
        <v>67</v>
      </c>
      <c r="H2332" s="2" t="s">
        <v>498</v>
      </c>
      <c r="I2332" s="2" t="s">
        <v>47</v>
      </c>
      <c r="J2332" s="2" t="s">
        <v>1106</v>
      </c>
      <c r="K2332" s="2" t="s">
        <v>7244</v>
      </c>
      <c r="L2332" s="2" t="s">
        <v>217</v>
      </c>
      <c r="M2332" s="2" t="s">
        <v>7154</v>
      </c>
      <c r="N2332" s="16">
        <v>1.44E-2</v>
      </c>
      <c r="O2332" s="17">
        <f>N2332*'Financial Inputs'!$B$3</f>
        <v>1440000</v>
      </c>
      <c r="P2332" s="18">
        <f>IF(I2332="L",'Financial Inputs'!$B$4,IF(I2332="M",'Financial Inputs'!$B$5,'Financial Inputs'!$B$6))</f>
        <v>0.4</v>
      </c>
      <c r="Q2332" s="17">
        <f>O2332*P2332</f>
        <v>576000</v>
      </c>
      <c r="R2332" s="16">
        <f>'Financial Inputs'!$B$7</f>
        <v>0.35</v>
      </c>
      <c r="S2332" s="17">
        <f>Q2332*(1-R2332)</f>
        <v>374400</v>
      </c>
      <c r="T2332" s="18">
        <f>S2332/'Financial Inputs'!$B$3</f>
        <v>3.7439999999999999E-3</v>
      </c>
      <c r="U2332" s="9" t="s">
        <v>52</v>
      </c>
      <c r="V2332" s="3" t="s">
        <v>53</v>
      </c>
    </row>
    <row r="2333" spans="1:22">
      <c r="A2333" s="2" t="s">
        <v>7245</v>
      </c>
      <c r="B2333" s="2" t="s">
        <v>7246</v>
      </c>
      <c r="C2333" s="2" t="s">
        <v>7152</v>
      </c>
      <c r="D2333" s="2" t="s">
        <v>72</v>
      </c>
      <c r="E2333" s="2" t="s">
        <v>220</v>
      </c>
      <c r="F2333" s="2" t="s">
        <v>82</v>
      </c>
      <c r="G2333" s="2" t="s">
        <v>75</v>
      </c>
      <c r="H2333" s="2" t="s">
        <v>498</v>
      </c>
      <c r="I2333" s="2" t="s">
        <v>47</v>
      </c>
      <c r="J2333" s="2" t="s">
        <v>1106</v>
      </c>
      <c r="K2333" s="2" t="s">
        <v>7247</v>
      </c>
      <c r="L2333" s="2" t="s">
        <v>222</v>
      </c>
      <c r="M2333" s="2" t="s">
        <v>7154</v>
      </c>
      <c r="N2333" s="16">
        <v>1.6199999999999999E-2</v>
      </c>
      <c r="O2333" s="17">
        <f>N2333*'Financial Inputs'!$B$3</f>
        <v>1620000</v>
      </c>
      <c r="P2333" s="18">
        <f>IF(I2333="L",'Financial Inputs'!$B$4,IF(I2333="M",'Financial Inputs'!$B$5,'Financial Inputs'!$B$6))</f>
        <v>0.4</v>
      </c>
      <c r="Q2333" s="17">
        <f>O2333*P2333</f>
        <v>648000</v>
      </c>
      <c r="R2333" s="16">
        <f>'Financial Inputs'!$B$7</f>
        <v>0.35</v>
      </c>
      <c r="S2333" s="17">
        <f>Q2333*(1-R2333)</f>
        <v>421200</v>
      </c>
      <c r="T2333" s="18">
        <f>S2333/'Financial Inputs'!$B$3</f>
        <v>4.2119999999999996E-3</v>
      </c>
      <c r="U2333" s="9" t="s">
        <v>52</v>
      </c>
      <c r="V2333" s="3" t="s">
        <v>53</v>
      </c>
    </row>
    <row r="2334" spans="1:22">
      <c r="A2334" s="2" t="s">
        <v>7248</v>
      </c>
      <c r="B2334" s="2" t="s">
        <v>7249</v>
      </c>
      <c r="C2334" s="2" t="s">
        <v>7152</v>
      </c>
      <c r="D2334" s="2" t="s">
        <v>80</v>
      </c>
      <c r="E2334" s="2" t="s">
        <v>171</v>
      </c>
      <c r="F2334" s="2" t="s">
        <v>44</v>
      </c>
      <c r="G2334" s="2" t="s">
        <v>83</v>
      </c>
      <c r="H2334" s="2" t="s">
        <v>498</v>
      </c>
      <c r="I2334" s="2" t="s">
        <v>47</v>
      </c>
      <c r="J2334" s="2" t="s">
        <v>1106</v>
      </c>
      <c r="K2334" s="2" t="s">
        <v>7250</v>
      </c>
      <c r="L2334" s="2" t="s">
        <v>226</v>
      </c>
      <c r="M2334" s="2" t="s">
        <v>7154</v>
      </c>
      <c r="N2334" s="16">
        <v>1.7999999999999999E-2</v>
      </c>
      <c r="O2334" s="17">
        <f>N2334*'Financial Inputs'!$B$3</f>
        <v>1799999.9999999998</v>
      </c>
      <c r="P2334" s="18">
        <f>IF(I2334="L",'Financial Inputs'!$B$4,IF(I2334="M",'Financial Inputs'!$B$5,'Financial Inputs'!$B$6))</f>
        <v>0.4</v>
      </c>
      <c r="Q2334" s="17">
        <f>O2334*P2334</f>
        <v>720000</v>
      </c>
      <c r="R2334" s="16">
        <f>'Financial Inputs'!$B$7</f>
        <v>0.35</v>
      </c>
      <c r="S2334" s="17">
        <f>Q2334*(1-R2334)</f>
        <v>468000</v>
      </c>
      <c r="T2334" s="18">
        <f>S2334/'Financial Inputs'!$B$3</f>
        <v>4.6800000000000001E-3</v>
      </c>
      <c r="U2334" s="9" t="s">
        <v>52</v>
      </c>
      <c r="V2334" s="3" t="s">
        <v>53</v>
      </c>
    </row>
    <row r="2335" spans="1:22">
      <c r="A2335" s="2" t="s">
        <v>7251</v>
      </c>
      <c r="B2335" s="2" t="s">
        <v>7252</v>
      </c>
      <c r="C2335" s="2" t="s">
        <v>7152</v>
      </c>
      <c r="D2335" s="2" t="s">
        <v>127</v>
      </c>
      <c r="E2335" s="2" t="s">
        <v>176</v>
      </c>
      <c r="F2335" s="2" t="s">
        <v>58</v>
      </c>
      <c r="G2335" s="2" t="s">
        <v>111</v>
      </c>
      <c r="H2335" s="2" t="s">
        <v>498</v>
      </c>
      <c r="I2335" s="2" t="s">
        <v>47</v>
      </c>
      <c r="J2335" s="2" t="s">
        <v>1106</v>
      </c>
      <c r="K2335" s="2" t="s">
        <v>7253</v>
      </c>
      <c r="L2335" s="2" t="s">
        <v>230</v>
      </c>
      <c r="M2335" s="2" t="s">
        <v>7154</v>
      </c>
      <c r="N2335" s="16">
        <v>1.9800000000000002E-2</v>
      </c>
      <c r="O2335" s="17">
        <f>N2335*'Financial Inputs'!$B$3</f>
        <v>1980000.0000000002</v>
      </c>
      <c r="P2335" s="18">
        <f>IF(I2335="L",'Financial Inputs'!$B$4,IF(I2335="M",'Financial Inputs'!$B$5,'Financial Inputs'!$B$6))</f>
        <v>0.4</v>
      </c>
      <c r="Q2335" s="17">
        <f>O2335*P2335</f>
        <v>792000.00000000012</v>
      </c>
      <c r="R2335" s="16">
        <f>'Financial Inputs'!$B$7</f>
        <v>0.35</v>
      </c>
      <c r="S2335" s="17">
        <f>Q2335*(1-R2335)</f>
        <v>514800.00000000012</v>
      </c>
      <c r="T2335" s="18">
        <f>S2335/'Financial Inputs'!$B$3</f>
        <v>5.1480000000000015E-3</v>
      </c>
      <c r="U2335" s="9" t="s">
        <v>52</v>
      </c>
      <c r="V2335" s="3" t="s">
        <v>53</v>
      </c>
    </row>
    <row r="2336" spans="1:22">
      <c r="A2336" s="2" t="s">
        <v>7254</v>
      </c>
      <c r="B2336" s="2" t="s">
        <v>7255</v>
      </c>
      <c r="C2336" s="2" t="s">
        <v>7152</v>
      </c>
      <c r="D2336" s="2" t="s">
        <v>133</v>
      </c>
      <c r="E2336" s="2" t="s">
        <v>122</v>
      </c>
      <c r="F2336" s="2" t="s">
        <v>66</v>
      </c>
      <c r="G2336" s="2" t="s">
        <v>56</v>
      </c>
      <c r="H2336" s="2" t="s">
        <v>498</v>
      </c>
      <c r="I2336" s="2" t="s">
        <v>47</v>
      </c>
      <c r="J2336" s="2" t="s">
        <v>1106</v>
      </c>
      <c r="K2336" s="2" t="s">
        <v>7256</v>
      </c>
      <c r="L2336" s="2" t="s">
        <v>234</v>
      </c>
      <c r="M2336" s="2" t="s">
        <v>7154</v>
      </c>
      <c r="N2336" s="16">
        <v>2.1600000000000001E-2</v>
      </c>
      <c r="O2336" s="17">
        <f>N2336*'Financial Inputs'!$B$3</f>
        <v>2160000</v>
      </c>
      <c r="P2336" s="18">
        <f>IF(I2336="L",'Financial Inputs'!$B$4,IF(I2336="M",'Financial Inputs'!$B$5,'Financial Inputs'!$B$6))</f>
        <v>0.4</v>
      </c>
      <c r="Q2336" s="17">
        <f>O2336*P2336</f>
        <v>864000</v>
      </c>
      <c r="R2336" s="16">
        <f>'Financial Inputs'!$B$7</f>
        <v>0.35</v>
      </c>
      <c r="S2336" s="17">
        <f>Q2336*(1-R2336)</f>
        <v>561600</v>
      </c>
      <c r="T2336" s="18">
        <f>S2336/'Financial Inputs'!$B$3</f>
        <v>5.6160000000000003E-3</v>
      </c>
      <c r="U2336" s="9" t="s">
        <v>52</v>
      </c>
      <c r="V2336" s="3" t="s">
        <v>53</v>
      </c>
    </row>
    <row r="2337" spans="1:22">
      <c r="A2337" s="2" t="s">
        <v>7257</v>
      </c>
      <c r="B2337" s="2" t="s">
        <v>7258</v>
      </c>
      <c r="C2337" s="2" t="s">
        <v>7152</v>
      </c>
      <c r="D2337" s="2" t="s">
        <v>102</v>
      </c>
      <c r="E2337" s="2" t="s">
        <v>73</v>
      </c>
      <c r="F2337" s="2" t="s">
        <v>110</v>
      </c>
      <c r="G2337" s="2" t="s">
        <v>83</v>
      </c>
      <c r="H2337" s="2" t="s">
        <v>498</v>
      </c>
      <c r="I2337" s="2" t="s">
        <v>47</v>
      </c>
      <c r="J2337" s="2" t="s">
        <v>1106</v>
      </c>
      <c r="K2337" s="2" t="s">
        <v>7259</v>
      </c>
      <c r="L2337" s="2" t="s">
        <v>238</v>
      </c>
      <c r="M2337" s="2" t="s">
        <v>7154</v>
      </c>
      <c r="N2337" s="16">
        <v>1.44E-2</v>
      </c>
      <c r="O2337" s="17">
        <f>N2337*'Financial Inputs'!$B$3</f>
        <v>1440000</v>
      </c>
      <c r="P2337" s="18">
        <f>IF(I2337="L",'Financial Inputs'!$B$4,IF(I2337="M",'Financial Inputs'!$B$5,'Financial Inputs'!$B$6))</f>
        <v>0.4</v>
      </c>
      <c r="Q2337" s="17">
        <f>O2337*P2337</f>
        <v>576000</v>
      </c>
      <c r="R2337" s="16">
        <f>'Financial Inputs'!$B$7</f>
        <v>0.35</v>
      </c>
      <c r="S2337" s="17">
        <f>Q2337*(1-R2337)</f>
        <v>374400</v>
      </c>
      <c r="T2337" s="18">
        <f>S2337/'Financial Inputs'!$B$3</f>
        <v>3.7439999999999999E-3</v>
      </c>
      <c r="U2337" s="9" t="s">
        <v>52</v>
      </c>
      <c r="V2337" s="3" t="s">
        <v>53</v>
      </c>
    </row>
    <row r="2338" spans="1:22">
      <c r="A2338" s="2" t="s">
        <v>7260</v>
      </c>
      <c r="B2338" s="2" t="s">
        <v>7261</v>
      </c>
      <c r="C2338" s="2" t="s">
        <v>7152</v>
      </c>
      <c r="D2338" s="2" t="s">
        <v>42</v>
      </c>
      <c r="E2338" s="2" t="s">
        <v>81</v>
      </c>
      <c r="F2338" s="2" t="s">
        <v>117</v>
      </c>
      <c r="G2338" s="2" t="s">
        <v>111</v>
      </c>
      <c r="H2338" s="2" t="s">
        <v>498</v>
      </c>
      <c r="I2338" s="2" t="s">
        <v>47</v>
      </c>
      <c r="J2338" s="2" t="s">
        <v>1106</v>
      </c>
      <c r="K2338" s="2" t="s">
        <v>7262</v>
      </c>
      <c r="L2338" s="2" t="s">
        <v>242</v>
      </c>
      <c r="M2338" s="2" t="s">
        <v>7154</v>
      </c>
      <c r="N2338" s="16">
        <v>1.6199999999999999E-2</v>
      </c>
      <c r="O2338" s="17">
        <f>N2338*'Financial Inputs'!$B$3</f>
        <v>1620000</v>
      </c>
      <c r="P2338" s="18">
        <f>IF(I2338="L",'Financial Inputs'!$B$4,IF(I2338="M",'Financial Inputs'!$B$5,'Financial Inputs'!$B$6))</f>
        <v>0.4</v>
      </c>
      <c r="Q2338" s="17">
        <f>O2338*P2338</f>
        <v>648000</v>
      </c>
      <c r="R2338" s="16">
        <f>'Financial Inputs'!$B$7</f>
        <v>0.35</v>
      </c>
      <c r="S2338" s="17">
        <f>Q2338*(1-R2338)</f>
        <v>421200</v>
      </c>
      <c r="T2338" s="18">
        <f>S2338/'Financial Inputs'!$B$3</f>
        <v>4.2119999999999996E-3</v>
      </c>
      <c r="U2338" s="9" t="s">
        <v>52</v>
      </c>
      <c r="V2338" s="3" t="s">
        <v>53</v>
      </c>
    </row>
    <row r="2339" spans="1:22">
      <c r="A2339" s="2" t="s">
        <v>7263</v>
      </c>
      <c r="B2339" s="2" t="s">
        <v>7264</v>
      </c>
      <c r="C2339" s="2" t="s">
        <v>7152</v>
      </c>
      <c r="D2339" s="2" t="s">
        <v>56</v>
      </c>
      <c r="E2339" s="2" t="s">
        <v>193</v>
      </c>
      <c r="F2339" s="2" t="s">
        <v>90</v>
      </c>
      <c r="G2339" s="2" t="s">
        <v>56</v>
      </c>
      <c r="H2339" s="2" t="s">
        <v>498</v>
      </c>
      <c r="I2339" s="2" t="s">
        <v>47</v>
      </c>
      <c r="J2339" s="2" t="s">
        <v>1106</v>
      </c>
      <c r="K2339" s="2" t="s">
        <v>7265</v>
      </c>
      <c r="L2339" s="2" t="s">
        <v>246</v>
      </c>
      <c r="M2339" s="2" t="s">
        <v>7154</v>
      </c>
      <c r="N2339" s="16">
        <v>1.7999999999999999E-2</v>
      </c>
      <c r="O2339" s="17">
        <f>N2339*'Financial Inputs'!$B$3</f>
        <v>1799999.9999999998</v>
      </c>
      <c r="P2339" s="18">
        <f>IF(I2339="L",'Financial Inputs'!$B$4,IF(I2339="M",'Financial Inputs'!$B$5,'Financial Inputs'!$B$6))</f>
        <v>0.4</v>
      </c>
      <c r="Q2339" s="17">
        <f>O2339*P2339</f>
        <v>720000</v>
      </c>
      <c r="R2339" s="16">
        <f>'Financial Inputs'!$B$7</f>
        <v>0.35</v>
      </c>
      <c r="S2339" s="17">
        <f>Q2339*(1-R2339)</f>
        <v>468000</v>
      </c>
      <c r="T2339" s="18">
        <f>S2339/'Financial Inputs'!$B$3</f>
        <v>4.6800000000000001E-3</v>
      </c>
      <c r="U2339" s="9" t="s">
        <v>52</v>
      </c>
      <c r="V2339" s="3" t="s">
        <v>53</v>
      </c>
    </row>
    <row r="2340" spans="1:22">
      <c r="A2340" s="2" t="s">
        <v>7266</v>
      </c>
      <c r="B2340" s="2" t="s">
        <v>7267</v>
      </c>
      <c r="C2340" s="2" t="s">
        <v>7152</v>
      </c>
      <c r="D2340" s="2" t="s">
        <v>64</v>
      </c>
      <c r="E2340" s="2" t="s">
        <v>198</v>
      </c>
      <c r="F2340" s="2" t="s">
        <v>97</v>
      </c>
      <c r="G2340" s="2" t="s">
        <v>138</v>
      </c>
      <c r="H2340" s="2" t="s">
        <v>498</v>
      </c>
      <c r="I2340" s="2" t="s">
        <v>47</v>
      </c>
      <c r="J2340" s="2" t="s">
        <v>1106</v>
      </c>
      <c r="K2340" s="2" t="s">
        <v>7268</v>
      </c>
      <c r="L2340" s="2" t="s">
        <v>250</v>
      </c>
      <c r="M2340" s="2" t="s">
        <v>7154</v>
      </c>
      <c r="N2340" s="16">
        <v>1.9800000000000002E-2</v>
      </c>
      <c r="O2340" s="17">
        <f>N2340*'Financial Inputs'!$B$3</f>
        <v>1980000.0000000002</v>
      </c>
      <c r="P2340" s="18">
        <f>IF(I2340="L",'Financial Inputs'!$B$4,IF(I2340="M",'Financial Inputs'!$B$5,'Financial Inputs'!$B$6))</f>
        <v>0.4</v>
      </c>
      <c r="Q2340" s="17">
        <f>O2340*P2340</f>
        <v>792000.00000000012</v>
      </c>
      <c r="R2340" s="16">
        <f>'Financial Inputs'!$B$7</f>
        <v>0.35</v>
      </c>
      <c r="S2340" s="17">
        <f>Q2340*(1-R2340)</f>
        <v>514800.00000000012</v>
      </c>
      <c r="T2340" s="18">
        <f>S2340/'Financial Inputs'!$B$3</f>
        <v>5.1480000000000015E-3</v>
      </c>
      <c r="U2340" s="9" t="s">
        <v>52</v>
      </c>
      <c r="V2340" s="3" t="s">
        <v>53</v>
      </c>
    </row>
    <row r="2341" spans="1:22">
      <c r="A2341" s="2" t="s">
        <v>7269</v>
      </c>
      <c r="B2341" s="2" t="s">
        <v>7270</v>
      </c>
      <c r="C2341" s="2" t="s">
        <v>7152</v>
      </c>
      <c r="D2341" s="2" t="s">
        <v>72</v>
      </c>
      <c r="E2341" s="2" t="s">
        <v>148</v>
      </c>
      <c r="F2341" s="2" t="s">
        <v>104</v>
      </c>
      <c r="G2341" s="2" t="s">
        <v>143</v>
      </c>
      <c r="H2341" s="2" t="s">
        <v>498</v>
      </c>
      <c r="I2341" s="2" t="s">
        <v>47</v>
      </c>
      <c r="J2341" s="2" t="s">
        <v>1106</v>
      </c>
      <c r="K2341" s="2" t="s">
        <v>7271</v>
      </c>
      <c r="L2341" s="2" t="s">
        <v>254</v>
      </c>
      <c r="M2341" s="2" t="s">
        <v>7154</v>
      </c>
      <c r="N2341" s="16">
        <v>2.1600000000000001E-2</v>
      </c>
      <c r="O2341" s="17">
        <f>N2341*'Financial Inputs'!$B$3</f>
        <v>2160000</v>
      </c>
      <c r="P2341" s="18">
        <f>IF(I2341="L",'Financial Inputs'!$B$4,IF(I2341="M",'Financial Inputs'!$B$5,'Financial Inputs'!$B$6))</f>
        <v>0.4</v>
      </c>
      <c r="Q2341" s="17">
        <f>O2341*P2341</f>
        <v>864000</v>
      </c>
      <c r="R2341" s="16">
        <f>'Financial Inputs'!$B$7</f>
        <v>0.35</v>
      </c>
      <c r="S2341" s="17">
        <f>Q2341*(1-R2341)</f>
        <v>561600</v>
      </c>
      <c r="T2341" s="18">
        <f>S2341/'Financial Inputs'!$B$3</f>
        <v>5.6160000000000003E-3</v>
      </c>
      <c r="U2341" s="9" t="s">
        <v>52</v>
      </c>
      <c r="V2341" s="3" t="s">
        <v>53</v>
      </c>
    </row>
    <row r="2342" spans="1:22">
      <c r="A2342" s="2" t="s">
        <v>7272</v>
      </c>
      <c r="B2342" s="2" t="s">
        <v>7273</v>
      </c>
      <c r="C2342" s="2" t="s">
        <v>7152</v>
      </c>
      <c r="D2342" s="2" t="s">
        <v>133</v>
      </c>
      <c r="E2342" s="2" t="s">
        <v>109</v>
      </c>
      <c r="F2342" s="2" t="s">
        <v>82</v>
      </c>
      <c r="G2342" s="2" t="s">
        <v>56</v>
      </c>
      <c r="H2342" s="2" t="s">
        <v>498</v>
      </c>
      <c r="I2342" s="2" t="s">
        <v>47</v>
      </c>
      <c r="J2342" s="2" t="s">
        <v>1106</v>
      </c>
      <c r="K2342" s="2" t="s">
        <v>7274</v>
      </c>
      <c r="L2342" s="2" t="s">
        <v>258</v>
      </c>
      <c r="M2342" s="2" t="s">
        <v>7154</v>
      </c>
      <c r="N2342" s="16">
        <v>1.44E-2</v>
      </c>
      <c r="O2342" s="17">
        <f>N2342*'Financial Inputs'!$B$3</f>
        <v>1440000</v>
      </c>
      <c r="P2342" s="18">
        <f>IF(I2342="L",'Financial Inputs'!$B$4,IF(I2342="M",'Financial Inputs'!$B$5,'Financial Inputs'!$B$6))</f>
        <v>0.4</v>
      </c>
      <c r="Q2342" s="17">
        <f>O2342*P2342</f>
        <v>576000</v>
      </c>
      <c r="R2342" s="16">
        <f>'Financial Inputs'!$B$7</f>
        <v>0.35</v>
      </c>
      <c r="S2342" s="17">
        <f>Q2342*(1-R2342)</f>
        <v>374400</v>
      </c>
      <c r="T2342" s="18">
        <f>S2342/'Financial Inputs'!$B$3</f>
        <v>3.7439999999999999E-3</v>
      </c>
      <c r="U2342" s="9" t="s">
        <v>52</v>
      </c>
      <c r="V2342" s="3" t="s">
        <v>53</v>
      </c>
    </row>
    <row r="2343" spans="1:22">
      <c r="A2343" s="2" t="s">
        <v>7275</v>
      </c>
      <c r="B2343" s="2" t="s">
        <v>7276</v>
      </c>
      <c r="C2343" s="2" t="s">
        <v>7152</v>
      </c>
      <c r="D2343" s="2" t="s">
        <v>88</v>
      </c>
      <c r="E2343" s="2" t="s">
        <v>116</v>
      </c>
      <c r="F2343" s="2" t="s">
        <v>44</v>
      </c>
      <c r="G2343" s="2" t="s">
        <v>138</v>
      </c>
      <c r="H2343" s="2" t="s">
        <v>498</v>
      </c>
      <c r="I2343" s="2" t="s">
        <v>47</v>
      </c>
      <c r="J2343" s="2" t="s">
        <v>1106</v>
      </c>
      <c r="K2343" s="2" t="s">
        <v>7277</v>
      </c>
      <c r="L2343" s="2" t="s">
        <v>262</v>
      </c>
      <c r="M2343" s="2" t="s">
        <v>7154</v>
      </c>
      <c r="N2343" s="16">
        <v>1.6199999999999999E-2</v>
      </c>
      <c r="O2343" s="17">
        <f>N2343*'Financial Inputs'!$B$3</f>
        <v>1620000</v>
      </c>
      <c r="P2343" s="18">
        <f>IF(I2343="L",'Financial Inputs'!$B$4,IF(I2343="M",'Financial Inputs'!$B$5,'Financial Inputs'!$B$6))</f>
        <v>0.4</v>
      </c>
      <c r="Q2343" s="17">
        <f>O2343*P2343</f>
        <v>648000</v>
      </c>
      <c r="R2343" s="16">
        <f>'Financial Inputs'!$B$7</f>
        <v>0.35</v>
      </c>
      <c r="S2343" s="17">
        <f>Q2343*(1-R2343)</f>
        <v>421200</v>
      </c>
      <c r="T2343" s="18">
        <f>S2343/'Financial Inputs'!$B$3</f>
        <v>4.2119999999999996E-3</v>
      </c>
      <c r="U2343" s="9" t="s">
        <v>52</v>
      </c>
      <c r="V2343" s="3" t="s">
        <v>53</v>
      </c>
    </row>
    <row r="2344" spans="1:22">
      <c r="A2344" s="2" t="s">
        <v>7278</v>
      </c>
      <c r="B2344" s="2" t="s">
        <v>7279</v>
      </c>
      <c r="C2344" s="2" t="s">
        <v>7152</v>
      </c>
      <c r="D2344" s="2" t="s">
        <v>95</v>
      </c>
      <c r="E2344" s="2" t="s">
        <v>215</v>
      </c>
      <c r="F2344" s="2" t="s">
        <v>58</v>
      </c>
      <c r="G2344" s="2" t="s">
        <v>143</v>
      </c>
      <c r="H2344" s="2" t="s">
        <v>498</v>
      </c>
      <c r="I2344" s="2" t="s">
        <v>47</v>
      </c>
      <c r="J2344" s="2" t="s">
        <v>1106</v>
      </c>
      <c r="K2344" s="2" t="s">
        <v>7280</v>
      </c>
      <c r="L2344" s="2" t="s">
        <v>266</v>
      </c>
      <c r="M2344" s="2" t="s">
        <v>7154</v>
      </c>
      <c r="N2344" s="16">
        <v>1.7999999999999999E-2</v>
      </c>
      <c r="O2344" s="17">
        <f>N2344*'Financial Inputs'!$B$3</f>
        <v>1799999.9999999998</v>
      </c>
      <c r="P2344" s="18">
        <f>IF(I2344="L",'Financial Inputs'!$B$4,IF(I2344="M",'Financial Inputs'!$B$5,'Financial Inputs'!$B$6))</f>
        <v>0.4</v>
      </c>
      <c r="Q2344" s="17">
        <f>O2344*P2344</f>
        <v>720000</v>
      </c>
      <c r="R2344" s="16">
        <f>'Financial Inputs'!$B$7</f>
        <v>0.35</v>
      </c>
      <c r="S2344" s="17">
        <f>Q2344*(1-R2344)</f>
        <v>468000</v>
      </c>
      <c r="T2344" s="18">
        <f>S2344/'Financial Inputs'!$B$3</f>
        <v>4.6800000000000001E-3</v>
      </c>
      <c r="U2344" s="9" t="s">
        <v>52</v>
      </c>
      <c r="V2344" s="3" t="s">
        <v>53</v>
      </c>
    </row>
    <row r="2345" spans="1:22">
      <c r="A2345" s="2" t="s">
        <v>7281</v>
      </c>
      <c r="B2345" s="2" t="s">
        <v>7282</v>
      </c>
      <c r="C2345" s="2" t="s">
        <v>7152</v>
      </c>
      <c r="D2345" s="2" t="s">
        <v>102</v>
      </c>
      <c r="E2345" s="2" t="s">
        <v>220</v>
      </c>
      <c r="F2345" s="2" t="s">
        <v>66</v>
      </c>
      <c r="G2345" s="2" t="s">
        <v>162</v>
      </c>
      <c r="H2345" s="2" t="s">
        <v>498</v>
      </c>
      <c r="I2345" s="2" t="s">
        <v>47</v>
      </c>
      <c r="J2345" s="2" t="s">
        <v>1106</v>
      </c>
      <c r="K2345" s="2" t="s">
        <v>7283</v>
      </c>
      <c r="L2345" s="2" t="s">
        <v>270</v>
      </c>
      <c r="M2345" s="2" t="s">
        <v>7154</v>
      </c>
      <c r="N2345" s="16">
        <v>1.9800000000000002E-2</v>
      </c>
      <c r="O2345" s="17">
        <f>N2345*'Financial Inputs'!$B$3</f>
        <v>1980000.0000000002</v>
      </c>
      <c r="P2345" s="18">
        <f>IF(I2345="L",'Financial Inputs'!$B$4,IF(I2345="M",'Financial Inputs'!$B$5,'Financial Inputs'!$B$6))</f>
        <v>0.4</v>
      </c>
      <c r="Q2345" s="17">
        <f>O2345*P2345</f>
        <v>792000.00000000012</v>
      </c>
      <c r="R2345" s="16">
        <f>'Financial Inputs'!$B$7</f>
        <v>0.35</v>
      </c>
      <c r="S2345" s="17">
        <f>Q2345*(1-R2345)</f>
        <v>514800.00000000012</v>
      </c>
      <c r="T2345" s="18">
        <f>S2345/'Financial Inputs'!$B$3</f>
        <v>5.1480000000000015E-3</v>
      </c>
      <c r="U2345" s="9" t="s">
        <v>52</v>
      </c>
      <c r="V2345" s="3" t="s">
        <v>53</v>
      </c>
    </row>
    <row r="2346" spans="1:22">
      <c r="A2346" s="2" t="s">
        <v>7284</v>
      </c>
      <c r="B2346" s="2" t="s">
        <v>7285</v>
      </c>
      <c r="C2346" s="2" t="s">
        <v>7152</v>
      </c>
      <c r="D2346" s="2" t="s">
        <v>42</v>
      </c>
      <c r="E2346" s="2" t="s">
        <v>171</v>
      </c>
      <c r="F2346" s="2" t="s">
        <v>74</v>
      </c>
      <c r="G2346" s="2" t="s">
        <v>45</v>
      </c>
      <c r="H2346" s="2" t="s">
        <v>498</v>
      </c>
      <c r="I2346" s="2" t="s">
        <v>47</v>
      </c>
      <c r="J2346" s="2" t="s">
        <v>1106</v>
      </c>
      <c r="K2346" s="2" t="s">
        <v>7286</v>
      </c>
      <c r="L2346" s="2" t="s">
        <v>274</v>
      </c>
      <c r="M2346" s="2" t="s">
        <v>7154</v>
      </c>
      <c r="N2346" s="16">
        <v>2.1600000000000001E-2</v>
      </c>
      <c r="O2346" s="17">
        <f>N2346*'Financial Inputs'!$B$3</f>
        <v>2160000</v>
      </c>
      <c r="P2346" s="18">
        <f>IF(I2346="L",'Financial Inputs'!$B$4,IF(I2346="M",'Financial Inputs'!$B$5,'Financial Inputs'!$B$6))</f>
        <v>0.4</v>
      </c>
      <c r="Q2346" s="17">
        <f>O2346*P2346</f>
        <v>864000</v>
      </c>
      <c r="R2346" s="16">
        <f>'Financial Inputs'!$B$7</f>
        <v>0.35</v>
      </c>
      <c r="S2346" s="17">
        <f>Q2346*(1-R2346)</f>
        <v>561600</v>
      </c>
      <c r="T2346" s="18">
        <f>S2346/'Financial Inputs'!$B$3</f>
        <v>5.6160000000000003E-3</v>
      </c>
      <c r="U2346" s="9" t="s">
        <v>52</v>
      </c>
      <c r="V2346" s="3" t="s">
        <v>53</v>
      </c>
    </row>
    <row r="2347" spans="1:22">
      <c r="A2347" s="2" t="s">
        <v>7287</v>
      </c>
      <c r="B2347" s="2" t="s">
        <v>7288</v>
      </c>
      <c r="C2347" s="2" t="s">
        <v>7152</v>
      </c>
      <c r="D2347" s="2" t="s">
        <v>72</v>
      </c>
      <c r="E2347" s="2" t="s">
        <v>57</v>
      </c>
      <c r="F2347" s="2" t="s">
        <v>117</v>
      </c>
      <c r="G2347" s="2" t="s">
        <v>143</v>
      </c>
      <c r="H2347" s="2" t="s">
        <v>498</v>
      </c>
      <c r="I2347" s="2" t="s">
        <v>47</v>
      </c>
      <c r="J2347" s="2" t="s">
        <v>1106</v>
      </c>
      <c r="K2347" s="2" t="s">
        <v>7289</v>
      </c>
      <c r="L2347" s="2" t="s">
        <v>278</v>
      </c>
      <c r="M2347" s="2" t="s">
        <v>7154</v>
      </c>
      <c r="N2347" s="16">
        <v>1.44E-2</v>
      </c>
      <c r="O2347" s="17">
        <f>N2347*'Financial Inputs'!$B$3</f>
        <v>1440000</v>
      </c>
      <c r="P2347" s="18">
        <f>IF(I2347="L",'Financial Inputs'!$B$4,IF(I2347="M",'Financial Inputs'!$B$5,'Financial Inputs'!$B$6))</f>
        <v>0.4</v>
      </c>
      <c r="Q2347" s="17">
        <f>O2347*P2347</f>
        <v>576000</v>
      </c>
      <c r="R2347" s="16">
        <f>'Financial Inputs'!$B$7</f>
        <v>0.35</v>
      </c>
      <c r="S2347" s="17">
        <f>Q2347*(1-R2347)</f>
        <v>374400</v>
      </c>
      <c r="T2347" s="18">
        <f>S2347/'Financial Inputs'!$B$3</f>
        <v>3.7439999999999999E-3</v>
      </c>
      <c r="U2347" s="9" t="s">
        <v>52</v>
      </c>
      <c r="V2347" s="3" t="s">
        <v>53</v>
      </c>
    </row>
    <row r="2348" spans="1:22">
      <c r="A2348" s="2" t="s">
        <v>7290</v>
      </c>
      <c r="B2348" s="2" t="s">
        <v>7291</v>
      </c>
      <c r="C2348" s="2" t="s">
        <v>7152</v>
      </c>
      <c r="D2348" s="2" t="s">
        <v>80</v>
      </c>
      <c r="E2348" s="2" t="s">
        <v>65</v>
      </c>
      <c r="F2348" s="2" t="s">
        <v>90</v>
      </c>
      <c r="G2348" s="2" t="s">
        <v>162</v>
      </c>
      <c r="H2348" s="2" t="s">
        <v>498</v>
      </c>
      <c r="I2348" s="2" t="s">
        <v>47</v>
      </c>
      <c r="J2348" s="2" t="s">
        <v>1106</v>
      </c>
      <c r="K2348" s="2" t="s">
        <v>7292</v>
      </c>
      <c r="L2348" s="2" t="s">
        <v>282</v>
      </c>
      <c r="M2348" s="2" t="s">
        <v>7154</v>
      </c>
      <c r="N2348" s="16">
        <v>1.6199999999999999E-2</v>
      </c>
      <c r="O2348" s="17">
        <f>N2348*'Financial Inputs'!$B$3</f>
        <v>1620000</v>
      </c>
      <c r="P2348" s="18">
        <f>IF(I2348="L",'Financial Inputs'!$B$4,IF(I2348="M",'Financial Inputs'!$B$5,'Financial Inputs'!$B$6))</f>
        <v>0.4</v>
      </c>
      <c r="Q2348" s="17">
        <f>O2348*P2348</f>
        <v>648000</v>
      </c>
      <c r="R2348" s="16">
        <f>'Financial Inputs'!$B$7</f>
        <v>0.35</v>
      </c>
      <c r="S2348" s="17">
        <f>Q2348*(1-R2348)</f>
        <v>421200</v>
      </c>
      <c r="T2348" s="18">
        <f>S2348/'Financial Inputs'!$B$3</f>
        <v>4.2119999999999996E-3</v>
      </c>
      <c r="U2348" s="9" t="s">
        <v>52</v>
      </c>
      <c r="V2348" s="3" t="s">
        <v>53</v>
      </c>
    </row>
    <row r="2349" spans="1:22">
      <c r="A2349" s="2" t="s">
        <v>7293</v>
      </c>
      <c r="B2349" s="2" t="s">
        <v>7294</v>
      </c>
      <c r="C2349" s="2" t="s">
        <v>7152</v>
      </c>
      <c r="D2349" s="2" t="s">
        <v>127</v>
      </c>
      <c r="E2349" s="2" t="s">
        <v>73</v>
      </c>
      <c r="F2349" s="2" t="s">
        <v>97</v>
      </c>
      <c r="G2349" s="2" t="s">
        <v>45</v>
      </c>
      <c r="H2349" s="2" t="s">
        <v>498</v>
      </c>
      <c r="I2349" s="2" t="s">
        <v>47</v>
      </c>
      <c r="J2349" s="2" t="s">
        <v>1106</v>
      </c>
      <c r="K2349" s="2" t="s">
        <v>7295</v>
      </c>
      <c r="L2349" s="2" t="s">
        <v>286</v>
      </c>
      <c r="M2349" s="2" t="s">
        <v>7154</v>
      </c>
      <c r="N2349" s="16">
        <v>1.7999999999999999E-2</v>
      </c>
      <c r="O2349" s="17">
        <f>N2349*'Financial Inputs'!$B$3</f>
        <v>1799999.9999999998</v>
      </c>
      <c r="P2349" s="18">
        <f>IF(I2349="L",'Financial Inputs'!$B$4,IF(I2349="M",'Financial Inputs'!$B$5,'Financial Inputs'!$B$6))</f>
        <v>0.4</v>
      </c>
      <c r="Q2349" s="17">
        <f>O2349*P2349</f>
        <v>720000</v>
      </c>
      <c r="R2349" s="16">
        <f>'Financial Inputs'!$B$7</f>
        <v>0.35</v>
      </c>
      <c r="S2349" s="17">
        <f>Q2349*(1-R2349)</f>
        <v>468000</v>
      </c>
      <c r="T2349" s="18">
        <f>S2349/'Financial Inputs'!$B$3</f>
        <v>4.6800000000000001E-3</v>
      </c>
      <c r="U2349" s="9" t="s">
        <v>52</v>
      </c>
      <c r="V2349" s="3" t="s">
        <v>53</v>
      </c>
    </row>
    <row r="2350" spans="1:22">
      <c r="A2350" s="2" t="s">
        <v>7296</v>
      </c>
      <c r="B2350" s="2" t="s">
        <v>7297</v>
      </c>
      <c r="C2350" s="2" t="s">
        <v>7152</v>
      </c>
      <c r="D2350" s="2" t="s">
        <v>133</v>
      </c>
      <c r="E2350" s="2" t="s">
        <v>81</v>
      </c>
      <c r="F2350" s="2" t="s">
        <v>104</v>
      </c>
      <c r="G2350" s="2" t="s">
        <v>59</v>
      </c>
      <c r="H2350" s="2" t="s">
        <v>498</v>
      </c>
      <c r="I2350" s="2" t="s">
        <v>47</v>
      </c>
      <c r="J2350" s="2" t="s">
        <v>1106</v>
      </c>
      <c r="K2350" s="2" t="s">
        <v>7298</v>
      </c>
      <c r="L2350" s="2" t="s">
        <v>290</v>
      </c>
      <c r="M2350" s="2" t="s">
        <v>7154</v>
      </c>
      <c r="N2350" s="16">
        <v>1.9800000000000002E-2</v>
      </c>
      <c r="O2350" s="17">
        <f>N2350*'Financial Inputs'!$B$3</f>
        <v>1980000.0000000002</v>
      </c>
      <c r="P2350" s="18">
        <f>IF(I2350="L",'Financial Inputs'!$B$4,IF(I2350="M",'Financial Inputs'!$B$5,'Financial Inputs'!$B$6))</f>
        <v>0.4</v>
      </c>
      <c r="Q2350" s="17">
        <f>O2350*P2350</f>
        <v>792000.00000000012</v>
      </c>
      <c r="R2350" s="16">
        <f>'Financial Inputs'!$B$7</f>
        <v>0.35</v>
      </c>
      <c r="S2350" s="17">
        <f>Q2350*(1-R2350)</f>
        <v>514800.00000000012</v>
      </c>
      <c r="T2350" s="18">
        <f>S2350/'Financial Inputs'!$B$3</f>
        <v>5.1480000000000015E-3</v>
      </c>
      <c r="U2350" s="9" t="s">
        <v>52</v>
      </c>
      <c r="V2350" s="3" t="s">
        <v>53</v>
      </c>
    </row>
    <row r="2351" spans="1:22">
      <c r="A2351" s="2" t="s">
        <v>7299</v>
      </c>
      <c r="B2351" s="2" t="s">
        <v>7300</v>
      </c>
      <c r="C2351" s="2" t="s">
        <v>7152</v>
      </c>
      <c r="D2351" s="2" t="s">
        <v>88</v>
      </c>
      <c r="E2351" s="2" t="s">
        <v>193</v>
      </c>
      <c r="F2351" s="2" t="s">
        <v>110</v>
      </c>
      <c r="G2351" s="2" t="s">
        <v>67</v>
      </c>
      <c r="H2351" s="2" t="s">
        <v>498</v>
      </c>
      <c r="I2351" s="2" t="s">
        <v>47</v>
      </c>
      <c r="J2351" s="2" t="s">
        <v>1106</v>
      </c>
      <c r="K2351" s="2" t="s">
        <v>7301</v>
      </c>
      <c r="L2351" s="2" t="s">
        <v>294</v>
      </c>
      <c r="M2351" s="2" t="s">
        <v>7154</v>
      </c>
      <c r="N2351" s="16">
        <v>2.1600000000000001E-2</v>
      </c>
      <c r="O2351" s="17">
        <f>N2351*'Financial Inputs'!$B$3</f>
        <v>2160000</v>
      </c>
      <c r="P2351" s="18">
        <f>IF(I2351="L",'Financial Inputs'!$B$4,IF(I2351="M",'Financial Inputs'!$B$5,'Financial Inputs'!$B$6))</f>
        <v>0.4</v>
      </c>
      <c r="Q2351" s="17">
        <f>O2351*P2351</f>
        <v>864000</v>
      </c>
      <c r="R2351" s="16">
        <f>'Financial Inputs'!$B$7</f>
        <v>0.35</v>
      </c>
      <c r="S2351" s="17">
        <f>Q2351*(1-R2351)</f>
        <v>561600</v>
      </c>
      <c r="T2351" s="18">
        <f>S2351/'Financial Inputs'!$B$3</f>
        <v>5.6160000000000003E-3</v>
      </c>
      <c r="U2351" s="9" t="s">
        <v>52</v>
      </c>
      <c r="V2351" s="3" t="s">
        <v>53</v>
      </c>
    </row>
    <row r="2352" spans="1:22">
      <c r="A2352" s="2" t="s">
        <v>7302</v>
      </c>
      <c r="B2352" s="2" t="s">
        <v>7303</v>
      </c>
      <c r="C2352" s="2" t="s">
        <v>7152</v>
      </c>
      <c r="D2352" s="2" t="s">
        <v>42</v>
      </c>
      <c r="E2352" s="2" t="s">
        <v>96</v>
      </c>
      <c r="F2352" s="2" t="s">
        <v>44</v>
      </c>
      <c r="G2352" s="2" t="s">
        <v>45</v>
      </c>
      <c r="H2352" s="2" t="s">
        <v>498</v>
      </c>
      <c r="I2352" s="2" t="s">
        <v>47</v>
      </c>
      <c r="J2352" s="2" t="s">
        <v>1106</v>
      </c>
      <c r="K2352" s="2" t="s">
        <v>7304</v>
      </c>
      <c r="L2352" s="2" t="s">
        <v>298</v>
      </c>
      <c r="M2352" s="2" t="s">
        <v>7154</v>
      </c>
      <c r="N2352" s="16">
        <v>1.44E-2</v>
      </c>
      <c r="O2352" s="17">
        <f>N2352*'Financial Inputs'!$B$3</f>
        <v>1440000</v>
      </c>
      <c r="P2352" s="18">
        <f>IF(I2352="L",'Financial Inputs'!$B$4,IF(I2352="M",'Financial Inputs'!$B$5,'Financial Inputs'!$B$6))</f>
        <v>0.4</v>
      </c>
      <c r="Q2352" s="17">
        <f>O2352*P2352</f>
        <v>576000</v>
      </c>
      <c r="R2352" s="16">
        <f>'Financial Inputs'!$B$7</f>
        <v>0.35</v>
      </c>
      <c r="S2352" s="17">
        <f>Q2352*(1-R2352)</f>
        <v>374400</v>
      </c>
      <c r="T2352" s="18">
        <f>S2352/'Financial Inputs'!$B$3</f>
        <v>3.7439999999999999E-3</v>
      </c>
      <c r="U2352" s="9" t="s">
        <v>52</v>
      </c>
      <c r="V2352" s="3" t="s">
        <v>53</v>
      </c>
    </row>
    <row r="2353" spans="1:22">
      <c r="A2353" s="2" t="s">
        <v>7305</v>
      </c>
      <c r="B2353" s="2" t="s">
        <v>7306</v>
      </c>
      <c r="C2353" s="2" t="s">
        <v>7152</v>
      </c>
      <c r="D2353" s="2" t="s">
        <v>56</v>
      </c>
      <c r="E2353" s="2" t="s">
        <v>103</v>
      </c>
      <c r="F2353" s="2" t="s">
        <v>58</v>
      </c>
      <c r="G2353" s="2" t="s">
        <v>59</v>
      </c>
      <c r="H2353" s="2" t="s">
        <v>498</v>
      </c>
      <c r="I2353" s="2" t="s">
        <v>47</v>
      </c>
      <c r="J2353" s="2" t="s">
        <v>1106</v>
      </c>
      <c r="K2353" s="2" t="s">
        <v>7307</v>
      </c>
      <c r="L2353" s="2" t="s">
        <v>302</v>
      </c>
      <c r="M2353" s="2" t="s">
        <v>7154</v>
      </c>
      <c r="N2353" s="16">
        <v>1.6199999999999999E-2</v>
      </c>
      <c r="O2353" s="17">
        <f>N2353*'Financial Inputs'!$B$3</f>
        <v>1620000</v>
      </c>
      <c r="P2353" s="18">
        <f>IF(I2353="L",'Financial Inputs'!$B$4,IF(I2353="M",'Financial Inputs'!$B$5,'Financial Inputs'!$B$6))</f>
        <v>0.4</v>
      </c>
      <c r="Q2353" s="17">
        <f>O2353*P2353</f>
        <v>648000</v>
      </c>
      <c r="R2353" s="16">
        <f>'Financial Inputs'!$B$7</f>
        <v>0.35</v>
      </c>
      <c r="S2353" s="17">
        <f>Q2353*(1-R2353)</f>
        <v>421200</v>
      </c>
      <c r="T2353" s="18">
        <f>S2353/'Financial Inputs'!$B$3</f>
        <v>4.2119999999999996E-3</v>
      </c>
      <c r="U2353" s="9" t="s">
        <v>52</v>
      </c>
      <c r="V2353" s="3" t="s">
        <v>53</v>
      </c>
    </row>
    <row r="2354" spans="1:22">
      <c r="A2354" s="2" t="s">
        <v>7308</v>
      </c>
      <c r="B2354" s="2" t="s">
        <v>7309</v>
      </c>
      <c r="C2354" s="2" t="s">
        <v>7152</v>
      </c>
      <c r="D2354" s="2" t="s">
        <v>64</v>
      </c>
      <c r="E2354" s="2" t="s">
        <v>109</v>
      </c>
      <c r="F2354" s="2" t="s">
        <v>66</v>
      </c>
      <c r="G2354" s="2" t="s">
        <v>67</v>
      </c>
      <c r="H2354" s="2" t="s">
        <v>498</v>
      </c>
      <c r="I2354" s="2" t="s">
        <v>47</v>
      </c>
      <c r="J2354" s="2" t="s">
        <v>1106</v>
      </c>
      <c r="K2354" s="2" t="s">
        <v>7310</v>
      </c>
      <c r="L2354" s="2" t="s">
        <v>306</v>
      </c>
      <c r="M2354" s="2" t="s">
        <v>7154</v>
      </c>
      <c r="N2354" s="16">
        <v>1.7999999999999999E-2</v>
      </c>
      <c r="O2354" s="17">
        <f>N2354*'Financial Inputs'!$B$3</f>
        <v>1799999.9999999998</v>
      </c>
      <c r="P2354" s="18">
        <f>IF(I2354="L",'Financial Inputs'!$B$4,IF(I2354="M",'Financial Inputs'!$B$5,'Financial Inputs'!$B$6))</f>
        <v>0.4</v>
      </c>
      <c r="Q2354" s="17">
        <f>O2354*P2354</f>
        <v>720000</v>
      </c>
      <c r="R2354" s="16">
        <f>'Financial Inputs'!$B$7</f>
        <v>0.35</v>
      </c>
      <c r="S2354" s="17">
        <f>Q2354*(1-R2354)</f>
        <v>468000</v>
      </c>
      <c r="T2354" s="18">
        <f>S2354/'Financial Inputs'!$B$3</f>
        <v>4.6800000000000001E-3</v>
      </c>
      <c r="U2354" s="9" t="s">
        <v>52</v>
      </c>
      <c r="V2354" s="3" t="s">
        <v>53</v>
      </c>
    </row>
    <row r="2355" spans="1:22">
      <c r="A2355" s="2" t="s">
        <v>7311</v>
      </c>
      <c r="B2355" s="2" t="s">
        <v>7312</v>
      </c>
      <c r="C2355" s="2" t="s">
        <v>7152</v>
      </c>
      <c r="D2355" s="2" t="s">
        <v>72</v>
      </c>
      <c r="E2355" s="2" t="s">
        <v>116</v>
      </c>
      <c r="F2355" s="2" t="s">
        <v>74</v>
      </c>
      <c r="G2355" s="2" t="s">
        <v>75</v>
      </c>
      <c r="H2355" s="2" t="s">
        <v>498</v>
      </c>
      <c r="I2355" s="2" t="s">
        <v>47</v>
      </c>
      <c r="J2355" s="2" t="s">
        <v>1106</v>
      </c>
      <c r="K2355" s="2" t="s">
        <v>7313</v>
      </c>
      <c r="L2355" s="2" t="s">
        <v>310</v>
      </c>
      <c r="M2355" s="2" t="s">
        <v>7154</v>
      </c>
      <c r="N2355" s="16">
        <v>1.9800000000000002E-2</v>
      </c>
      <c r="O2355" s="17">
        <f>N2355*'Financial Inputs'!$B$3</f>
        <v>1980000.0000000002</v>
      </c>
      <c r="P2355" s="18">
        <f>IF(I2355="L",'Financial Inputs'!$B$4,IF(I2355="M",'Financial Inputs'!$B$5,'Financial Inputs'!$B$6))</f>
        <v>0.4</v>
      </c>
      <c r="Q2355" s="17">
        <f>O2355*P2355</f>
        <v>792000.00000000012</v>
      </c>
      <c r="R2355" s="16">
        <f>'Financial Inputs'!$B$7</f>
        <v>0.35</v>
      </c>
      <c r="S2355" s="17">
        <f>Q2355*(1-R2355)</f>
        <v>514800.00000000012</v>
      </c>
      <c r="T2355" s="18">
        <f>S2355/'Financial Inputs'!$B$3</f>
        <v>5.1480000000000015E-3</v>
      </c>
      <c r="U2355" s="9" t="s">
        <v>52</v>
      </c>
      <c r="V2355" s="3" t="s">
        <v>53</v>
      </c>
    </row>
    <row r="2356" spans="1:22">
      <c r="A2356" s="2" t="s">
        <v>7314</v>
      </c>
      <c r="B2356" s="2" t="s">
        <v>7315</v>
      </c>
      <c r="C2356" s="2" t="s">
        <v>7152</v>
      </c>
      <c r="D2356" s="2" t="s">
        <v>80</v>
      </c>
      <c r="E2356" s="2" t="s">
        <v>215</v>
      </c>
      <c r="F2356" s="2" t="s">
        <v>82</v>
      </c>
      <c r="G2356" s="2" t="s">
        <v>83</v>
      </c>
      <c r="H2356" s="2" t="s">
        <v>498</v>
      </c>
      <c r="I2356" s="2" t="s">
        <v>47</v>
      </c>
      <c r="J2356" s="2" t="s">
        <v>1106</v>
      </c>
      <c r="K2356" s="2" t="s">
        <v>7316</v>
      </c>
      <c r="L2356" s="2" t="s">
        <v>314</v>
      </c>
      <c r="M2356" s="2" t="s">
        <v>7154</v>
      </c>
      <c r="N2356" s="16">
        <v>2.1600000000000001E-2</v>
      </c>
      <c r="O2356" s="17">
        <f>N2356*'Financial Inputs'!$B$3</f>
        <v>2160000</v>
      </c>
      <c r="P2356" s="18">
        <f>IF(I2356="L",'Financial Inputs'!$B$4,IF(I2356="M",'Financial Inputs'!$B$5,'Financial Inputs'!$B$6))</f>
        <v>0.4</v>
      </c>
      <c r="Q2356" s="17">
        <f>O2356*P2356</f>
        <v>864000</v>
      </c>
      <c r="R2356" s="16">
        <f>'Financial Inputs'!$B$7</f>
        <v>0.35</v>
      </c>
      <c r="S2356" s="17">
        <f>Q2356*(1-R2356)</f>
        <v>561600</v>
      </c>
      <c r="T2356" s="18">
        <f>S2356/'Financial Inputs'!$B$3</f>
        <v>5.6160000000000003E-3</v>
      </c>
      <c r="U2356" s="9" t="s">
        <v>52</v>
      </c>
      <c r="V2356" s="3" t="s">
        <v>53</v>
      </c>
    </row>
    <row r="2357" spans="1:22">
      <c r="A2357" s="2" t="s">
        <v>7317</v>
      </c>
      <c r="B2357" s="2" t="s">
        <v>7318</v>
      </c>
      <c r="C2357" s="2" t="s">
        <v>7152</v>
      </c>
      <c r="D2357" s="2" t="s">
        <v>88</v>
      </c>
      <c r="E2357" s="2" t="s">
        <v>128</v>
      </c>
      <c r="F2357" s="2" t="s">
        <v>90</v>
      </c>
      <c r="G2357" s="2" t="s">
        <v>67</v>
      </c>
      <c r="H2357" s="2" t="s">
        <v>498</v>
      </c>
      <c r="I2357" s="2" t="s">
        <v>47</v>
      </c>
      <c r="J2357" s="2" t="s">
        <v>1106</v>
      </c>
      <c r="K2357" s="2" t="s">
        <v>7319</v>
      </c>
      <c r="L2357" s="2" t="s">
        <v>318</v>
      </c>
      <c r="M2357" s="2" t="s">
        <v>7154</v>
      </c>
      <c r="N2357" s="16">
        <v>1.44E-2</v>
      </c>
      <c r="O2357" s="17">
        <f>N2357*'Financial Inputs'!$B$3</f>
        <v>1440000</v>
      </c>
      <c r="P2357" s="18">
        <f>IF(I2357="L",'Financial Inputs'!$B$4,IF(I2357="M",'Financial Inputs'!$B$5,'Financial Inputs'!$B$6))</f>
        <v>0.4</v>
      </c>
      <c r="Q2357" s="17">
        <f>O2357*P2357</f>
        <v>576000</v>
      </c>
      <c r="R2357" s="16">
        <f>'Financial Inputs'!$B$7</f>
        <v>0.35</v>
      </c>
      <c r="S2357" s="17">
        <f>Q2357*(1-R2357)</f>
        <v>374400</v>
      </c>
      <c r="T2357" s="18">
        <f>S2357/'Financial Inputs'!$B$3</f>
        <v>3.7439999999999999E-3</v>
      </c>
      <c r="U2357" s="9" t="s">
        <v>52</v>
      </c>
      <c r="V2357" s="3" t="s">
        <v>53</v>
      </c>
    </row>
    <row r="2358" spans="1:22">
      <c r="A2358" s="2" t="s">
        <v>7320</v>
      </c>
      <c r="B2358" s="2" t="s">
        <v>7321</v>
      </c>
      <c r="C2358" s="2" t="s">
        <v>7152</v>
      </c>
      <c r="D2358" s="2" t="s">
        <v>95</v>
      </c>
      <c r="E2358" s="2" t="s">
        <v>43</v>
      </c>
      <c r="F2358" s="2" t="s">
        <v>97</v>
      </c>
      <c r="G2358" s="2" t="s">
        <v>75</v>
      </c>
      <c r="H2358" s="2" t="s">
        <v>498</v>
      </c>
      <c r="I2358" s="2" t="s">
        <v>47</v>
      </c>
      <c r="J2358" s="2" t="s">
        <v>1106</v>
      </c>
      <c r="K2358" s="2" t="s">
        <v>7322</v>
      </c>
      <c r="L2358" s="2" t="s">
        <v>322</v>
      </c>
      <c r="M2358" s="2" t="s">
        <v>7154</v>
      </c>
      <c r="N2358" s="16">
        <v>1.6199999999999999E-2</v>
      </c>
      <c r="O2358" s="17">
        <f>N2358*'Financial Inputs'!$B$3</f>
        <v>1620000</v>
      </c>
      <c r="P2358" s="18">
        <f>IF(I2358="L",'Financial Inputs'!$B$4,IF(I2358="M",'Financial Inputs'!$B$5,'Financial Inputs'!$B$6))</f>
        <v>0.4</v>
      </c>
      <c r="Q2358" s="17">
        <f>O2358*P2358</f>
        <v>648000</v>
      </c>
      <c r="R2358" s="16">
        <f>'Financial Inputs'!$B$7</f>
        <v>0.35</v>
      </c>
      <c r="S2358" s="17">
        <f>Q2358*(1-R2358)</f>
        <v>421200</v>
      </c>
      <c r="T2358" s="18">
        <f>S2358/'Financial Inputs'!$B$3</f>
        <v>4.2119999999999996E-3</v>
      </c>
      <c r="U2358" s="9" t="s">
        <v>52</v>
      </c>
      <c r="V2358" s="3" t="s">
        <v>53</v>
      </c>
    </row>
    <row r="2359" spans="1:22">
      <c r="A2359" s="2" t="s">
        <v>7323</v>
      </c>
      <c r="B2359" s="2" t="s">
        <v>7324</v>
      </c>
      <c r="C2359" s="2" t="s">
        <v>7152</v>
      </c>
      <c r="D2359" s="2" t="s">
        <v>102</v>
      </c>
      <c r="E2359" s="2" t="s">
        <v>57</v>
      </c>
      <c r="F2359" s="2" t="s">
        <v>104</v>
      </c>
      <c r="G2359" s="2" t="s">
        <v>83</v>
      </c>
      <c r="H2359" s="2" t="s">
        <v>498</v>
      </c>
      <c r="I2359" s="2" t="s">
        <v>47</v>
      </c>
      <c r="J2359" s="2" t="s">
        <v>1106</v>
      </c>
      <c r="K2359" s="2" t="s">
        <v>7325</v>
      </c>
      <c r="L2359" s="2" t="s">
        <v>326</v>
      </c>
      <c r="M2359" s="2" t="s">
        <v>7154</v>
      </c>
      <c r="N2359" s="16">
        <v>1.7999999999999999E-2</v>
      </c>
      <c r="O2359" s="17">
        <f>N2359*'Financial Inputs'!$B$3</f>
        <v>1799999.9999999998</v>
      </c>
      <c r="P2359" s="18">
        <f>IF(I2359="L",'Financial Inputs'!$B$4,IF(I2359="M",'Financial Inputs'!$B$5,'Financial Inputs'!$B$6))</f>
        <v>0.4</v>
      </c>
      <c r="Q2359" s="17">
        <f>O2359*P2359</f>
        <v>720000</v>
      </c>
      <c r="R2359" s="16">
        <f>'Financial Inputs'!$B$7</f>
        <v>0.35</v>
      </c>
      <c r="S2359" s="17">
        <f>Q2359*(1-R2359)</f>
        <v>468000</v>
      </c>
      <c r="T2359" s="18">
        <f>S2359/'Financial Inputs'!$B$3</f>
        <v>4.6800000000000001E-3</v>
      </c>
      <c r="U2359" s="9" t="s">
        <v>52</v>
      </c>
      <c r="V2359" s="3" t="s">
        <v>53</v>
      </c>
    </row>
    <row r="2360" spans="1:22">
      <c r="A2360" s="2" t="s">
        <v>7326</v>
      </c>
      <c r="B2360" s="2" t="s">
        <v>7327</v>
      </c>
      <c r="C2360" s="2" t="s">
        <v>7152</v>
      </c>
      <c r="D2360" s="2" t="s">
        <v>42</v>
      </c>
      <c r="E2360" s="2" t="s">
        <v>65</v>
      </c>
      <c r="F2360" s="2" t="s">
        <v>110</v>
      </c>
      <c r="G2360" s="2" t="s">
        <v>111</v>
      </c>
      <c r="H2360" s="2" t="s">
        <v>498</v>
      </c>
      <c r="I2360" s="2" t="s">
        <v>47</v>
      </c>
      <c r="J2360" s="2" t="s">
        <v>1106</v>
      </c>
      <c r="K2360" s="2" t="s">
        <v>7328</v>
      </c>
      <c r="L2360" s="2" t="s">
        <v>330</v>
      </c>
      <c r="M2360" s="2" t="s">
        <v>7154</v>
      </c>
      <c r="N2360" s="16">
        <v>1.9800000000000002E-2</v>
      </c>
      <c r="O2360" s="17">
        <f>N2360*'Financial Inputs'!$B$3</f>
        <v>1980000.0000000002</v>
      </c>
      <c r="P2360" s="18">
        <f>IF(I2360="L",'Financial Inputs'!$B$4,IF(I2360="M",'Financial Inputs'!$B$5,'Financial Inputs'!$B$6))</f>
        <v>0.4</v>
      </c>
      <c r="Q2360" s="17">
        <f>O2360*P2360</f>
        <v>792000.00000000012</v>
      </c>
      <c r="R2360" s="16">
        <f>'Financial Inputs'!$B$7</f>
        <v>0.35</v>
      </c>
      <c r="S2360" s="17">
        <f>Q2360*(1-R2360)</f>
        <v>514800.00000000012</v>
      </c>
      <c r="T2360" s="18">
        <f>S2360/'Financial Inputs'!$B$3</f>
        <v>5.1480000000000015E-3</v>
      </c>
      <c r="U2360" s="9" t="s">
        <v>52</v>
      </c>
      <c r="V2360" s="3" t="s">
        <v>53</v>
      </c>
    </row>
    <row r="2361" spans="1:22">
      <c r="A2361" s="2" t="s">
        <v>7329</v>
      </c>
      <c r="B2361" s="2" t="s">
        <v>7330</v>
      </c>
      <c r="C2361" s="2" t="s">
        <v>7152</v>
      </c>
      <c r="D2361" s="2" t="s">
        <v>56</v>
      </c>
      <c r="E2361" s="2" t="s">
        <v>73</v>
      </c>
      <c r="F2361" s="2" t="s">
        <v>117</v>
      </c>
      <c r="G2361" s="2" t="s">
        <v>56</v>
      </c>
      <c r="H2361" s="2" t="s">
        <v>498</v>
      </c>
      <c r="I2361" s="2" t="s">
        <v>47</v>
      </c>
      <c r="J2361" s="2" t="s">
        <v>1106</v>
      </c>
      <c r="K2361" s="2" t="s">
        <v>7331</v>
      </c>
      <c r="L2361" s="2" t="s">
        <v>334</v>
      </c>
      <c r="M2361" s="2" t="s">
        <v>7154</v>
      </c>
      <c r="N2361" s="16">
        <v>2.1600000000000001E-2</v>
      </c>
      <c r="O2361" s="17">
        <f>N2361*'Financial Inputs'!$B$3</f>
        <v>2160000</v>
      </c>
      <c r="P2361" s="18">
        <f>IF(I2361="L",'Financial Inputs'!$B$4,IF(I2361="M",'Financial Inputs'!$B$5,'Financial Inputs'!$B$6))</f>
        <v>0.4</v>
      </c>
      <c r="Q2361" s="17">
        <f>O2361*P2361</f>
        <v>864000</v>
      </c>
      <c r="R2361" s="16">
        <f>'Financial Inputs'!$B$7</f>
        <v>0.35</v>
      </c>
      <c r="S2361" s="17">
        <f>Q2361*(1-R2361)</f>
        <v>561600</v>
      </c>
      <c r="T2361" s="18">
        <f>S2361/'Financial Inputs'!$B$3</f>
        <v>5.6160000000000003E-3</v>
      </c>
      <c r="U2361" s="9" t="s">
        <v>52</v>
      </c>
      <c r="V2361" s="3" t="s">
        <v>53</v>
      </c>
    </row>
    <row r="2362" spans="1:22">
      <c r="A2362" s="2" t="s">
        <v>7332</v>
      </c>
      <c r="B2362" s="2" t="s">
        <v>7333</v>
      </c>
      <c r="C2362" s="2" t="s">
        <v>7152</v>
      </c>
      <c r="D2362" s="2" t="s">
        <v>80</v>
      </c>
      <c r="E2362" s="2" t="s">
        <v>153</v>
      </c>
      <c r="F2362" s="2" t="s">
        <v>58</v>
      </c>
      <c r="G2362" s="2" t="s">
        <v>83</v>
      </c>
      <c r="H2362" s="2" t="s">
        <v>498</v>
      </c>
      <c r="I2362" s="2" t="s">
        <v>47</v>
      </c>
      <c r="J2362" s="2" t="s">
        <v>1106</v>
      </c>
      <c r="K2362" s="2" t="s">
        <v>7334</v>
      </c>
      <c r="L2362" s="2" t="s">
        <v>338</v>
      </c>
      <c r="M2362" s="2" t="s">
        <v>7154</v>
      </c>
      <c r="N2362" s="16">
        <v>1.44E-2</v>
      </c>
      <c r="O2362" s="17">
        <f>N2362*'Financial Inputs'!$B$3</f>
        <v>1440000</v>
      </c>
      <c r="P2362" s="18">
        <f>IF(I2362="L",'Financial Inputs'!$B$4,IF(I2362="M",'Financial Inputs'!$B$5,'Financial Inputs'!$B$6))</f>
        <v>0.4</v>
      </c>
      <c r="Q2362" s="17">
        <f>O2362*P2362</f>
        <v>576000</v>
      </c>
      <c r="R2362" s="16">
        <f>'Financial Inputs'!$B$7</f>
        <v>0.35</v>
      </c>
      <c r="S2362" s="17">
        <f>Q2362*(1-R2362)</f>
        <v>374400</v>
      </c>
      <c r="T2362" s="18">
        <f>S2362/'Financial Inputs'!$B$3</f>
        <v>3.7439999999999999E-3</v>
      </c>
      <c r="U2362" s="9" t="s">
        <v>52</v>
      </c>
      <c r="V2362" s="3" t="s">
        <v>53</v>
      </c>
    </row>
    <row r="2363" spans="1:22">
      <c r="A2363" s="2" t="s">
        <v>7335</v>
      </c>
      <c r="B2363" s="2" t="s">
        <v>7336</v>
      </c>
      <c r="C2363" s="2" t="s">
        <v>7152</v>
      </c>
      <c r="D2363" s="2" t="s">
        <v>127</v>
      </c>
      <c r="E2363" s="2" t="s">
        <v>89</v>
      </c>
      <c r="F2363" s="2" t="s">
        <v>66</v>
      </c>
      <c r="G2363" s="2" t="s">
        <v>111</v>
      </c>
      <c r="H2363" s="2" t="s">
        <v>498</v>
      </c>
      <c r="I2363" s="2" t="s">
        <v>47</v>
      </c>
      <c r="J2363" s="2" t="s">
        <v>1106</v>
      </c>
      <c r="K2363" s="2" t="s">
        <v>7337</v>
      </c>
      <c r="L2363" s="2" t="s">
        <v>342</v>
      </c>
      <c r="M2363" s="2" t="s">
        <v>7154</v>
      </c>
      <c r="N2363" s="16">
        <v>1.6199999999999999E-2</v>
      </c>
      <c r="O2363" s="17">
        <f>N2363*'Financial Inputs'!$B$3</f>
        <v>1620000</v>
      </c>
      <c r="P2363" s="18">
        <f>IF(I2363="L",'Financial Inputs'!$B$4,IF(I2363="M",'Financial Inputs'!$B$5,'Financial Inputs'!$B$6))</f>
        <v>0.4</v>
      </c>
      <c r="Q2363" s="17">
        <f>O2363*P2363</f>
        <v>648000</v>
      </c>
      <c r="R2363" s="16">
        <f>'Financial Inputs'!$B$7</f>
        <v>0.35</v>
      </c>
      <c r="S2363" s="17">
        <f>Q2363*(1-R2363)</f>
        <v>421200</v>
      </c>
      <c r="T2363" s="18">
        <f>S2363/'Financial Inputs'!$B$3</f>
        <v>4.2119999999999996E-3</v>
      </c>
      <c r="U2363" s="9" t="s">
        <v>52</v>
      </c>
      <c r="V2363" s="3" t="s">
        <v>53</v>
      </c>
    </row>
    <row r="2364" spans="1:22">
      <c r="A2364" s="2" t="s">
        <v>7338</v>
      </c>
      <c r="B2364" s="2" t="s">
        <v>7339</v>
      </c>
      <c r="C2364" s="2" t="s">
        <v>7152</v>
      </c>
      <c r="D2364" s="2" t="s">
        <v>133</v>
      </c>
      <c r="E2364" s="2" t="s">
        <v>96</v>
      </c>
      <c r="F2364" s="2" t="s">
        <v>74</v>
      </c>
      <c r="G2364" s="2" t="s">
        <v>56</v>
      </c>
      <c r="H2364" s="2" t="s">
        <v>498</v>
      </c>
      <c r="I2364" s="2" t="s">
        <v>47</v>
      </c>
      <c r="J2364" s="2" t="s">
        <v>1106</v>
      </c>
      <c r="K2364" s="2" t="s">
        <v>7340</v>
      </c>
      <c r="L2364" s="2" t="s">
        <v>346</v>
      </c>
      <c r="M2364" s="2" t="s">
        <v>7154</v>
      </c>
      <c r="N2364" s="16">
        <v>1.7999999999999999E-2</v>
      </c>
      <c r="O2364" s="17">
        <f>N2364*'Financial Inputs'!$B$3</f>
        <v>1799999.9999999998</v>
      </c>
      <c r="P2364" s="18">
        <f>IF(I2364="L",'Financial Inputs'!$B$4,IF(I2364="M",'Financial Inputs'!$B$5,'Financial Inputs'!$B$6))</f>
        <v>0.4</v>
      </c>
      <c r="Q2364" s="17">
        <f>O2364*P2364</f>
        <v>720000</v>
      </c>
      <c r="R2364" s="16">
        <f>'Financial Inputs'!$B$7</f>
        <v>0.35</v>
      </c>
      <c r="S2364" s="17">
        <f>Q2364*(1-R2364)</f>
        <v>468000</v>
      </c>
      <c r="T2364" s="18">
        <f>S2364/'Financial Inputs'!$B$3</f>
        <v>4.6800000000000001E-3</v>
      </c>
      <c r="U2364" s="9" t="s">
        <v>52</v>
      </c>
      <c r="V2364" s="3" t="s">
        <v>53</v>
      </c>
    </row>
    <row r="2365" spans="1:22">
      <c r="A2365" s="2" t="s">
        <v>7341</v>
      </c>
      <c r="B2365" s="2" t="s">
        <v>7342</v>
      </c>
      <c r="C2365" s="2" t="s">
        <v>7152</v>
      </c>
      <c r="D2365" s="2" t="s">
        <v>88</v>
      </c>
      <c r="E2365" s="2" t="s">
        <v>103</v>
      </c>
      <c r="F2365" s="2" t="s">
        <v>82</v>
      </c>
      <c r="G2365" s="2" t="s">
        <v>138</v>
      </c>
      <c r="H2365" s="2" t="s">
        <v>498</v>
      </c>
      <c r="I2365" s="2" t="s">
        <v>47</v>
      </c>
      <c r="J2365" s="2" t="s">
        <v>1106</v>
      </c>
      <c r="K2365" s="2" t="s">
        <v>7343</v>
      </c>
      <c r="L2365" s="2" t="s">
        <v>350</v>
      </c>
      <c r="M2365" s="2" t="s">
        <v>7154</v>
      </c>
      <c r="N2365" s="16">
        <v>1.9800000000000002E-2</v>
      </c>
      <c r="O2365" s="17">
        <f>N2365*'Financial Inputs'!$B$3</f>
        <v>1980000.0000000002</v>
      </c>
      <c r="P2365" s="18">
        <f>IF(I2365="L",'Financial Inputs'!$B$4,IF(I2365="M",'Financial Inputs'!$B$5,'Financial Inputs'!$B$6))</f>
        <v>0.4</v>
      </c>
      <c r="Q2365" s="17">
        <f>O2365*P2365</f>
        <v>792000.00000000012</v>
      </c>
      <c r="R2365" s="16">
        <f>'Financial Inputs'!$B$7</f>
        <v>0.35</v>
      </c>
      <c r="S2365" s="17">
        <f>Q2365*(1-R2365)</f>
        <v>514800.00000000012</v>
      </c>
      <c r="T2365" s="18">
        <f>S2365/'Financial Inputs'!$B$3</f>
        <v>5.1480000000000015E-3</v>
      </c>
      <c r="U2365" s="9" t="s">
        <v>52</v>
      </c>
      <c r="V2365" s="3" t="s">
        <v>53</v>
      </c>
    </row>
    <row r="2366" spans="1:22">
      <c r="A2366" s="2" t="s">
        <v>7344</v>
      </c>
      <c r="B2366" s="2" t="s">
        <v>7345</v>
      </c>
      <c r="C2366" s="2" t="s">
        <v>7152</v>
      </c>
      <c r="D2366" s="2" t="s">
        <v>95</v>
      </c>
      <c r="E2366" s="2" t="s">
        <v>109</v>
      </c>
      <c r="F2366" s="2" t="s">
        <v>44</v>
      </c>
      <c r="G2366" s="2" t="s">
        <v>143</v>
      </c>
      <c r="H2366" s="2" t="s">
        <v>498</v>
      </c>
      <c r="I2366" s="2" t="s">
        <v>47</v>
      </c>
      <c r="J2366" s="2" t="s">
        <v>1106</v>
      </c>
      <c r="K2366" s="2" t="s">
        <v>7346</v>
      </c>
      <c r="L2366" s="2" t="s">
        <v>354</v>
      </c>
      <c r="M2366" s="2" t="s">
        <v>7154</v>
      </c>
      <c r="N2366" s="16">
        <v>2.1600000000000001E-2</v>
      </c>
      <c r="O2366" s="17">
        <f>N2366*'Financial Inputs'!$B$3</f>
        <v>2160000</v>
      </c>
      <c r="P2366" s="18">
        <f>IF(I2366="L",'Financial Inputs'!$B$4,IF(I2366="M",'Financial Inputs'!$B$5,'Financial Inputs'!$B$6))</f>
        <v>0.4</v>
      </c>
      <c r="Q2366" s="17">
        <f>O2366*P2366</f>
        <v>864000</v>
      </c>
      <c r="R2366" s="16">
        <f>'Financial Inputs'!$B$7</f>
        <v>0.35</v>
      </c>
      <c r="S2366" s="17">
        <f>Q2366*(1-R2366)</f>
        <v>561600</v>
      </c>
      <c r="T2366" s="18">
        <f>S2366/'Financial Inputs'!$B$3</f>
        <v>5.6160000000000003E-3</v>
      </c>
      <c r="U2366" s="9" t="s">
        <v>52</v>
      </c>
      <c r="V2366" s="3" t="s">
        <v>53</v>
      </c>
    </row>
    <row r="2367" spans="1:22">
      <c r="A2367" s="2" t="s">
        <v>7347</v>
      </c>
      <c r="B2367" s="2" t="s">
        <v>7348</v>
      </c>
      <c r="C2367" s="2" t="s">
        <v>7152</v>
      </c>
      <c r="D2367" s="2" t="s">
        <v>56</v>
      </c>
      <c r="E2367" s="2" t="s">
        <v>176</v>
      </c>
      <c r="F2367" s="2" t="s">
        <v>97</v>
      </c>
      <c r="G2367" s="2" t="s">
        <v>56</v>
      </c>
      <c r="H2367" s="2" t="s">
        <v>498</v>
      </c>
      <c r="I2367" s="2" t="s">
        <v>47</v>
      </c>
      <c r="J2367" s="2" t="s">
        <v>1106</v>
      </c>
      <c r="K2367" s="2" t="s">
        <v>7349</v>
      </c>
      <c r="L2367" s="2" t="s">
        <v>358</v>
      </c>
      <c r="M2367" s="2" t="s">
        <v>7154</v>
      </c>
      <c r="N2367" s="16">
        <v>1.44E-2</v>
      </c>
      <c r="O2367" s="17">
        <f>N2367*'Financial Inputs'!$B$3</f>
        <v>1440000</v>
      </c>
      <c r="P2367" s="18">
        <f>IF(I2367="L",'Financial Inputs'!$B$4,IF(I2367="M",'Financial Inputs'!$B$5,'Financial Inputs'!$B$6))</f>
        <v>0.4</v>
      </c>
      <c r="Q2367" s="17">
        <f>O2367*P2367</f>
        <v>576000</v>
      </c>
      <c r="R2367" s="16">
        <f>'Financial Inputs'!$B$7</f>
        <v>0.35</v>
      </c>
      <c r="S2367" s="17">
        <f>Q2367*(1-R2367)</f>
        <v>374400</v>
      </c>
      <c r="T2367" s="18">
        <f>S2367/'Financial Inputs'!$B$3</f>
        <v>3.7439999999999999E-3</v>
      </c>
      <c r="U2367" s="9" t="s">
        <v>52</v>
      </c>
      <c r="V2367" s="3" t="s">
        <v>53</v>
      </c>
    </row>
    <row r="2368" spans="1:22">
      <c r="A2368" s="2" t="s">
        <v>7350</v>
      </c>
      <c r="B2368" s="2" t="s">
        <v>7351</v>
      </c>
      <c r="C2368" s="2" t="s">
        <v>7152</v>
      </c>
      <c r="D2368" s="2" t="s">
        <v>64</v>
      </c>
      <c r="E2368" s="2" t="s">
        <v>122</v>
      </c>
      <c r="F2368" s="2" t="s">
        <v>104</v>
      </c>
      <c r="G2368" s="2" t="s">
        <v>138</v>
      </c>
      <c r="H2368" s="2" t="s">
        <v>498</v>
      </c>
      <c r="I2368" s="2" t="s">
        <v>47</v>
      </c>
      <c r="J2368" s="2" t="s">
        <v>1106</v>
      </c>
      <c r="K2368" s="2" t="s">
        <v>7352</v>
      </c>
      <c r="L2368" s="2" t="s">
        <v>362</v>
      </c>
      <c r="M2368" s="2" t="s">
        <v>7154</v>
      </c>
      <c r="N2368" s="16">
        <v>1.6199999999999999E-2</v>
      </c>
      <c r="O2368" s="17">
        <f>N2368*'Financial Inputs'!$B$3</f>
        <v>1620000</v>
      </c>
      <c r="P2368" s="18">
        <f>IF(I2368="L",'Financial Inputs'!$B$4,IF(I2368="M",'Financial Inputs'!$B$5,'Financial Inputs'!$B$6))</f>
        <v>0.4</v>
      </c>
      <c r="Q2368" s="17">
        <f>O2368*P2368</f>
        <v>648000</v>
      </c>
      <c r="R2368" s="16">
        <f>'Financial Inputs'!$B$7</f>
        <v>0.35</v>
      </c>
      <c r="S2368" s="17">
        <f>Q2368*(1-R2368)</f>
        <v>421200</v>
      </c>
      <c r="T2368" s="18">
        <f>S2368/'Financial Inputs'!$B$3</f>
        <v>4.2119999999999996E-3</v>
      </c>
      <c r="U2368" s="9" t="s">
        <v>52</v>
      </c>
      <c r="V2368" s="3" t="s">
        <v>53</v>
      </c>
    </row>
    <row r="2369" spans="1:22">
      <c r="A2369" s="2" t="s">
        <v>7353</v>
      </c>
      <c r="B2369" s="2" t="s">
        <v>7354</v>
      </c>
      <c r="C2369" s="2" t="s">
        <v>7152</v>
      </c>
      <c r="D2369" s="2" t="s">
        <v>72</v>
      </c>
      <c r="E2369" s="2" t="s">
        <v>128</v>
      </c>
      <c r="F2369" s="2" t="s">
        <v>110</v>
      </c>
      <c r="G2369" s="2" t="s">
        <v>143</v>
      </c>
      <c r="H2369" s="2" t="s">
        <v>498</v>
      </c>
      <c r="I2369" s="2" t="s">
        <v>47</v>
      </c>
      <c r="J2369" s="2" t="s">
        <v>1106</v>
      </c>
      <c r="K2369" s="2" t="s">
        <v>7355</v>
      </c>
      <c r="L2369" s="2" t="s">
        <v>366</v>
      </c>
      <c r="M2369" s="2" t="s">
        <v>7154</v>
      </c>
      <c r="N2369" s="16">
        <v>1.7999999999999999E-2</v>
      </c>
      <c r="O2369" s="17">
        <f>N2369*'Financial Inputs'!$B$3</f>
        <v>1799999.9999999998</v>
      </c>
      <c r="P2369" s="18">
        <f>IF(I2369="L",'Financial Inputs'!$B$4,IF(I2369="M",'Financial Inputs'!$B$5,'Financial Inputs'!$B$6))</f>
        <v>0.4</v>
      </c>
      <c r="Q2369" s="17">
        <f>O2369*P2369</f>
        <v>720000</v>
      </c>
      <c r="R2369" s="16">
        <f>'Financial Inputs'!$B$7</f>
        <v>0.35</v>
      </c>
      <c r="S2369" s="17">
        <f>Q2369*(1-R2369)</f>
        <v>468000</v>
      </c>
      <c r="T2369" s="18">
        <f>S2369/'Financial Inputs'!$B$3</f>
        <v>4.6800000000000001E-3</v>
      </c>
      <c r="U2369" s="9" t="s">
        <v>52</v>
      </c>
      <c r="V2369" s="3" t="s">
        <v>53</v>
      </c>
    </row>
    <row r="2370" spans="1:22">
      <c r="A2370" s="2" t="s">
        <v>7356</v>
      </c>
      <c r="B2370" s="2" t="s">
        <v>7357</v>
      </c>
      <c r="C2370" s="2" t="s">
        <v>7152</v>
      </c>
      <c r="D2370" s="2" t="s">
        <v>80</v>
      </c>
      <c r="E2370" s="2" t="s">
        <v>43</v>
      </c>
      <c r="F2370" s="2" t="s">
        <v>117</v>
      </c>
      <c r="G2370" s="2" t="s">
        <v>162</v>
      </c>
      <c r="H2370" s="2" t="s">
        <v>498</v>
      </c>
      <c r="I2370" s="2" t="s">
        <v>47</v>
      </c>
      <c r="J2370" s="2" t="s">
        <v>1106</v>
      </c>
      <c r="K2370" s="2" t="s">
        <v>7358</v>
      </c>
      <c r="L2370" s="2" t="s">
        <v>370</v>
      </c>
      <c r="M2370" s="2" t="s">
        <v>7154</v>
      </c>
      <c r="N2370" s="16">
        <v>1.9800000000000002E-2</v>
      </c>
      <c r="O2370" s="17">
        <f>N2370*'Financial Inputs'!$B$3</f>
        <v>1980000.0000000002</v>
      </c>
      <c r="P2370" s="18">
        <f>IF(I2370="L",'Financial Inputs'!$B$4,IF(I2370="M",'Financial Inputs'!$B$5,'Financial Inputs'!$B$6))</f>
        <v>0.4</v>
      </c>
      <c r="Q2370" s="17">
        <f>O2370*P2370</f>
        <v>792000.00000000012</v>
      </c>
      <c r="R2370" s="16">
        <f>'Financial Inputs'!$B$7</f>
        <v>0.35</v>
      </c>
      <c r="S2370" s="17">
        <f>Q2370*(1-R2370)</f>
        <v>514800.00000000012</v>
      </c>
      <c r="T2370" s="18">
        <f>S2370/'Financial Inputs'!$B$3</f>
        <v>5.1480000000000015E-3</v>
      </c>
      <c r="U2370" s="9" t="s">
        <v>52</v>
      </c>
      <c r="V2370" s="3" t="s">
        <v>53</v>
      </c>
    </row>
    <row r="2371" spans="1:22">
      <c r="A2371" s="2" t="s">
        <v>7359</v>
      </c>
      <c r="B2371" s="2" t="s">
        <v>7360</v>
      </c>
      <c r="C2371" s="2" t="s">
        <v>7152</v>
      </c>
      <c r="D2371" s="2" t="s">
        <v>127</v>
      </c>
      <c r="E2371" s="2" t="s">
        <v>57</v>
      </c>
      <c r="F2371" s="2" t="s">
        <v>90</v>
      </c>
      <c r="G2371" s="2" t="s">
        <v>45</v>
      </c>
      <c r="H2371" s="2" t="s">
        <v>498</v>
      </c>
      <c r="I2371" s="2" t="s">
        <v>47</v>
      </c>
      <c r="J2371" s="2" t="s">
        <v>1106</v>
      </c>
      <c r="K2371" s="2" t="s">
        <v>7361</v>
      </c>
      <c r="L2371" s="2" t="s">
        <v>374</v>
      </c>
      <c r="M2371" s="2" t="s">
        <v>7154</v>
      </c>
      <c r="N2371" s="16">
        <v>2.1600000000000001E-2</v>
      </c>
      <c r="O2371" s="17">
        <f>N2371*'Financial Inputs'!$B$3</f>
        <v>2160000</v>
      </c>
      <c r="P2371" s="18">
        <f>IF(I2371="L",'Financial Inputs'!$B$4,IF(I2371="M",'Financial Inputs'!$B$5,'Financial Inputs'!$B$6))</f>
        <v>0.4</v>
      </c>
      <c r="Q2371" s="17">
        <f>O2371*P2371</f>
        <v>864000</v>
      </c>
      <c r="R2371" s="16">
        <f>'Financial Inputs'!$B$7</f>
        <v>0.35</v>
      </c>
      <c r="S2371" s="17">
        <f>Q2371*(1-R2371)</f>
        <v>561600</v>
      </c>
      <c r="T2371" s="18">
        <f>S2371/'Financial Inputs'!$B$3</f>
        <v>5.6160000000000003E-3</v>
      </c>
      <c r="U2371" s="9" t="s">
        <v>52</v>
      </c>
      <c r="V2371" s="3" t="s">
        <v>53</v>
      </c>
    </row>
    <row r="2372" spans="1:22">
      <c r="A2372" s="2" t="s">
        <v>7362</v>
      </c>
      <c r="B2372" s="2" t="s">
        <v>7363</v>
      </c>
      <c r="C2372" s="2" t="s">
        <v>7152</v>
      </c>
      <c r="D2372" s="2" t="s">
        <v>95</v>
      </c>
      <c r="E2372" s="2" t="s">
        <v>198</v>
      </c>
      <c r="F2372" s="2" t="s">
        <v>66</v>
      </c>
      <c r="G2372" s="2" t="s">
        <v>143</v>
      </c>
      <c r="H2372" s="2" t="s">
        <v>498</v>
      </c>
      <c r="I2372" s="2" t="s">
        <v>47</v>
      </c>
      <c r="J2372" s="2" t="s">
        <v>1106</v>
      </c>
      <c r="K2372" s="2" t="s">
        <v>7364</v>
      </c>
      <c r="L2372" s="2" t="s">
        <v>378</v>
      </c>
      <c r="M2372" s="2" t="s">
        <v>7154</v>
      </c>
      <c r="N2372" s="16">
        <v>1.44E-2</v>
      </c>
      <c r="O2372" s="17">
        <f>N2372*'Financial Inputs'!$B$3</f>
        <v>1440000</v>
      </c>
      <c r="P2372" s="18">
        <f>IF(I2372="L",'Financial Inputs'!$B$4,IF(I2372="M",'Financial Inputs'!$B$5,'Financial Inputs'!$B$6))</f>
        <v>0.4</v>
      </c>
      <c r="Q2372" s="17">
        <f>O2372*P2372</f>
        <v>576000</v>
      </c>
      <c r="R2372" s="16">
        <f>'Financial Inputs'!$B$7</f>
        <v>0.35</v>
      </c>
      <c r="S2372" s="17">
        <f>Q2372*(1-R2372)</f>
        <v>374400</v>
      </c>
      <c r="T2372" s="18">
        <f>S2372/'Financial Inputs'!$B$3</f>
        <v>3.7439999999999999E-3</v>
      </c>
      <c r="U2372" s="9" t="s">
        <v>52</v>
      </c>
      <c r="V2372" s="3" t="s">
        <v>53</v>
      </c>
    </row>
    <row r="2373" spans="1:22">
      <c r="A2373" s="2" t="s">
        <v>7365</v>
      </c>
      <c r="B2373" s="2" t="s">
        <v>7366</v>
      </c>
      <c r="C2373" s="2" t="s">
        <v>7152</v>
      </c>
      <c r="D2373" s="2" t="s">
        <v>102</v>
      </c>
      <c r="E2373" s="2" t="s">
        <v>148</v>
      </c>
      <c r="F2373" s="2" t="s">
        <v>74</v>
      </c>
      <c r="G2373" s="2" t="s">
        <v>162</v>
      </c>
      <c r="H2373" s="2" t="s">
        <v>498</v>
      </c>
      <c r="I2373" s="2" t="s">
        <v>47</v>
      </c>
      <c r="J2373" s="2" t="s">
        <v>1106</v>
      </c>
      <c r="K2373" s="2" t="s">
        <v>7367</v>
      </c>
      <c r="L2373" s="2" t="s">
        <v>382</v>
      </c>
      <c r="M2373" s="2" t="s">
        <v>7154</v>
      </c>
      <c r="N2373" s="16">
        <v>1.6199999999999999E-2</v>
      </c>
      <c r="O2373" s="17">
        <f>N2373*'Financial Inputs'!$B$3</f>
        <v>1620000</v>
      </c>
      <c r="P2373" s="18">
        <f>IF(I2373="L",'Financial Inputs'!$B$4,IF(I2373="M",'Financial Inputs'!$B$5,'Financial Inputs'!$B$6))</f>
        <v>0.4</v>
      </c>
      <c r="Q2373" s="17">
        <f>O2373*P2373</f>
        <v>648000</v>
      </c>
      <c r="R2373" s="16">
        <f>'Financial Inputs'!$B$7</f>
        <v>0.35</v>
      </c>
      <c r="S2373" s="17">
        <f>Q2373*(1-R2373)</f>
        <v>421200</v>
      </c>
      <c r="T2373" s="18">
        <f>S2373/'Financial Inputs'!$B$3</f>
        <v>4.2119999999999996E-3</v>
      </c>
      <c r="U2373" s="9" t="s">
        <v>52</v>
      </c>
      <c r="V2373" s="3" t="s">
        <v>53</v>
      </c>
    </row>
    <row r="2374" spans="1:22">
      <c r="A2374" s="2" t="s">
        <v>7368</v>
      </c>
      <c r="B2374" s="2" t="s">
        <v>7369</v>
      </c>
      <c r="C2374" s="2" t="s">
        <v>7152</v>
      </c>
      <c r="D2374" s="2" t="s">
        <v>42</v>
      </c>
      <c r="E2374" s="2" t="s">
        <v>153</v>
      </c>
      <c r="F2374" s="2" t="s">
        <v>82</v>
      </c>
      <c r="G2374" s="2" t="s">
        <v>45</v>
      </c>
      <c r="H2374" s="2" t="s">
        <v>498</v>
      </c>
      <c r="I2374" s="2" t="s">
        <v>47</v>
      </c>
      <c r="J2374" s="2" t="s">
        <v>1106</v>
      </c>
      <c r="K2374" s="2" t="s">
        <v>7370</v>
      </c>
      <c r="L2374" s="2" t="s">
        <v>386</v>
      </c>
      <c r="M2374" s="2" t="s">
        <v>7154</v>
      </c>
      <c r="N2374" s="16">
        <v>1.7999999999999999E-2</v>
      </c>
      <c r="O2374" s="17">
        <f>N2374*'Financial Inputs'!$B$3</f>
        <v>1799999.9999999998</v>
      </c>
      <c r="P2374" s="18">
        <f>IF(I2374="L",'Financial Inputs'!$B$4,IF(I2374="M",'Financial Inputs'!$B$5,'Financial Inputs'!$B$6))</f>
        <v>0.4</v>
      </c>
      <c r="Q2374" s="17">
        <f>O2374*P2374</f>
        <v>720000</v>
      </c>
      <c r="R2374" s="16">
        <f>'Financial Inputs'!$B$7</f>
        <v>0.35</v>
      </c>
      <c r="S2374" s="17">
        <f>Q2374*(1-R2374)</f>
        <v>468000</v>
      </c>
      <c r="T2374" s="18">
        <f>S2374/'Financial Inputs'!$B$3</f>
        <v>4.6800000000000001E-3</v>
      </c>
      <c r="U2374" s="9" t="s">
        <v>52</v>
      </c>
      <c r="V2374" s="3" t="s">
        <v>53</v>
      </c>
    </row>
    <row r="2375" spans="1:22">
      <c r="A2375" s="2" t="s">
        <v>7371</v>
      </c>
      <c r="B2375" s="2" t="s">
        <v>7372</v>
      </c>
      <c r="C2375" s="2" t="s">
        <v>7152</v>
      </c>
      <c r="D2375" s="2" t="s">
        <v>56</v>
      </c>
      <c r="E2375" s="2" t="s">
        <v>89</v>
      </c>
      <c r="F2375" s="2" t="s">
        <v>44</v>
      </c>
      <c r="G2375" s="2" t="s">
        <v>59</v>
      </c>
      <c r="H2375" s="2" t="s">
        <v>498</v>
      </c>
      <c r="I2375" s="2" t="s">
        <v>47</v>
      </c>
      <c r="J2375" s="2" t="s">
        <v>1106</v>
      </c>
      <c r="K2375" s="2" t="s">
        <v>7373</v>
      </c>
      <c r="L2375" s="2" t="s">
        <v>390</v>
      </c>
      <c r="M2375" s="2" t="s">
        <v>7154</v>
      </c>
      <c r="N2375" s="16">
        <v>1.9800000000000002E-2</v>
      </c>
      <c r="O2375" s="17">
        <f>N2375*'Financial Inputs'!$B$3</f>
        <v>1980000.0000000002</v>
      </c>
      <c r="P2375" s="18">
        <f>IF(I2375="L",'Financial Inputs'!$B$4,IF(I2375="M",'Financial Inputs'!$B$5,'Financial Inputs'!$B$6))</f>
        <v>0.4</v>
      </c>
      <c r="Q2375" s="17">
        <f>O2375*P2375</f>
        <v>792000.00000000012</v>
      </c>
      <c r="R2375" s="16">
        <f>'Financial Inputs'!$B$7</f>
        <v>0.35</v>
      </c>
      <c r="S2375" s="17">
        <f>Q2375*(1-R2375)</f>
        <v>514800.00000000012</v>
      </c>
      <c r="T2375" s="18">
        <f>S2375/'Financial Inputs'!$B$3</f>
        <v>5.1480000000000015E-3</v>
      </c>
      <c r="U2375" s="9" t="s">
        <v>52</v>
      </c>
      <c r="V2375" s="3" t="s">
        <v>53</v>
      </c>
    </row>
    <row r="2376" spans="1:22">
      <c r="A2376" s="2" t="s">
        <v>7374</v>
      </c>
      <c r="B2376" s="2" t="s">
        <v>7375</v>
      </c>
      <c r="C2376" s="2" t="s">
        <v>7152</v>
      </c>
      <c r="D2376" s="2" t="s">
        <v>64</v>
      </c>
      <c r="E2376" s="2" t="s">
        <v>96</v>
      </c>
      <c r="F2376" s="2" t="s">
        <v>58</v>
      </c>
      <c r="G2376" s="2" t="s">
        <v>67</v>
      </c>
      <c r="H2376" s="2" t="s">
        <v>498</v>
      </c>
      <c r="I2376" s="2" t="s">
        <v>47</v>
      </c>
      <c r="J2376" s="2" t="s">
        <v>1106</v>
      </c>
      <c r="K2376" s="2" t="s">
        <v>7376</v>
      </c>
      <c r="L2376" s="2" t="s">
        <v>394</v>
      </c>
      <c r="M2376" s="2" t="s">
        <v>7154</v>
      </c>
      <c r="N2376" s="16">
        <v>2.1600000000000001E-2</v>
      </c>
      <c r="O2376" s="17">
        <f>N2376*'Financial Inputs'!$B$3</f>
        <v>2160000</v>
      </c>
      <c r="P2376" s="18">
        <f>IF(I2376="L",'Financial Inputs'!$B$4,IF(I2376="M",'Financial Inputs'!$B$5,'Financial Inputs'!$B$6))</f>
        <v>0.4</v>
      </c>
      <c r="Q2376" s="17">
        <f>O2376*P2376</f>
        <v>864000</v>
      </c>
      <c r="R2376" s="16">
        <f>'Financial Inputs'!$B$7</f>
        <v>0.35</v>
      </c>
      <c r="S2376" s="17">
        <f>Q2376*(1-R2376)</f>
        <v>561600</v>
      </c>
      <c r="T2376" s="18">
        <f>S2376/'Financial Inputs'!$B$3</f>
        <v>5.6160000000000003E-3</v>
      </c>
      <c r="U2376" s="9" t="s">
        <v>52</v>
      </c>
      <c r="V2376" s="3" t="s">
        <v>53</v>
      </c>
    </row>
    <row r="2377" spans="1:22">
      <c r="A2377" s="2" t="s">
        <v>7377</v>
      </c>
      <c r="B2377" s="2" t="s">
        <v>7378</v>
      </c>
      <c r="C2377" s="2" t="s">
        <v>7152</v>
      </c>
      <c r="D2377" s="2" t="s">
        <v>127</v>
      </c>
      <c r="E2377" s="2" t="s">
        <v>220</v>
      </c>
      <c r="F2377" s="2" t="s">
        <v>104</v>
      </c>
      <c r="G2377" s="2" t="s">
        <v>45</v>
      </c>
      <c r="H2377" s="2" t="s">
        <v>498</v>
      </c>
      <c r="I2377" s="2" t="s">
        <v>47</v>
      </c>
      <c r="J2377" s="2" t="s">
        <v>1106</v>
      </c>
      <c r="K2377" s="2" t="s">
        <v>7379</v>
      </c>
      <c r="L2377" s="2" t="s">
        <v>398</v>
      </c>
      <c r="M2377" s="2" t="s">
        <v>7154</v>
      </c>
      <c r="N2377" s="16">
        <v>1.44E-2</v>
      </c>
      <c r="O2377" s="17">
        <f>N2377*'Financial Inputs'!$B$3</f>
        <v>1440000</v>
      </c>
      <c r="P2377" s="18">
        <f>IF(I2377="L",'Financial Inputs'!$B$4,IF(I2377="M",'Financial Inputs'!$B$5,'Financial Inputs'!$B$6))</f>
        <v>0.4</v>
      </c>
      <c r="Q2377" s="17">
        <f>O2377*P2377</f>
        <v>576000</v>
      </c>
      <c r="R2377" s="16">
        <f>'Financial Inputs'!$B$7</f>
        <v>0.35</v>
      </c>
      <c r="S2377" s="17">
        <f>Q2377*(1-R2377)</f>
        <v>374400</v>
      </c>
      <c r="T2377" s="18">
        <f>S2377/'Financial Inputs'!$B$3</f>
        <v>3.7439999999999999E-3</v>
      </c>
      <c r="U2377" s="9" t="s">
        <v>52</v>
      </c>
      <c r="V2377" s="3" t="s">
        <v>53</v>
      </c>
    </row>
    <row r="2378" spans="1:22">
      <c r="A2378" s="2" t="s">
        <v>7380</v>
      </c>
      <c r="B2378" s="2" t="s">
        <v>7381</v>
      </c>
      <c r="C2378" s="2" t="s">
        <v>7152</v>
      </c>
      <c r="D2378" s="2" t="s">
        <v>133</v>
      </c>
      <c r="E2378" s="2" t="s">
        <v>171</v>
      </c>
      <c r="F2378" s="2" t="s">
        <v>110</v>
      </c>
      <c r="G2378" s="2" t="s">
        <v>59</v>
      </c>
      <c r="H2378" s="2" t="s">
        <v>498</v>
      </c>
      <c r="I2378" s="2" t="s">
        <v>47</v>
      </c>
      <c r="J2378" s="2" t="s">
        <v>1106</v>
      </c>
      <c r="K2378" s="2" t="s">
        <v>7382</v>
      </c>
      <c r="L2378" s="2" t="s">
        <v>402</v>
      </c>
      <c r="M2378" s="2" t="s">
        <v>7154</v>
      </c>
      <c r="N2378" s="16">
        <v>1.6199999999999999E-2</v>
      </c>
      <c r="O2378" s="17">
        <f>N2378*'Financial Inputs'!$B$3</f>
        <v>1620000</v>
      </c>
      <c r="P2378" s="18">
        <f>IF(I2378="L",'Financial Inputs'!$B$4,IF(I2378="M",'Financial Inputs'!$B$5,'Financial Inputs'!$B$6))</f>
        <v>0.4</v>
      </c>
      <c r="Q2378" s="17">
        <f>O2378*P2378</f>
        <v>648000</v>
      </c>
      <c r="R2378" s="16">
        <f>'Financial Inputs'!$B$7</f>
        <v>0.35</v>
      </c>
      <c r="S2378" s="17">
        <f>Q2378*(1-R2378)</f>
        <v>421200</v>
      </c>
      <c r="T2378" s="18">
        <f>S2378/'Financial Inputs'!$B$3</f>
        <v>4.2119999999999996E-3</v>
      </c>
      <c r="U2378" s="9" t="s">
        <v>52</v>
      </c>
      <c r="V2378" s="3" t="s">
        <v>53</v>
      </c>
    </row>
    <row r="2379" spans="1:22">
      <c r="A2379" s="2" t="s">
        <v>7383</v>
      </c>
      <c r="B2379" s="2" t="s">
        <v>7384</v>
      </c>
      <c r="C2379" s="2" t="s">
        <v>7152</v>
      </c>
      <c r="D2379" s="2" t="s">
        <v>88</v>
      </c>
      <c r="E2379" s="2" t="s">
        <v>176</v>
      </c>
      <c r="F2379" s="2" t="s">
        <v>117</v>
      </c>
      <c r="G2379" s="2" t="s">
        <v>67</v>
      </c>
      <c r="H2379" s="2" t="s">
        <v>498</v>
      </c>
      <c r="I2379" s="2" t="s">
        <v>47</v>
      </c>
      <c r="J2379" s="2" t="s">
        <v>1106</v>
      </c>
      <c r="K2379" s="2" t="s">
        <v>7385</v>
      </c>
      <c r="L2379" s="2" t="s">
        <v>406</v>
      </c>
      <c r="M2379" s="2" t="s">
        <v>7154</v>
      </c>
      <c r="N2379" s="16">
        <v>1.7999999999999999E-2</v>
      </c>
      <c r="O2379" s="17">
        <f>N2379*'Financial Inputs'!$B$3</f>
        <v>1799999.9999999998</v>
      </c>
      <c r="P2379" s="18">
        <f>IF(I2379="L",'Financial Inputs'!$B$4,IF(I2379="M",'Financial Inputs'!$B$5,'Financial Inputs'!$B$6))</f>
        <v>0.4</v>
      </c>
      <c r="Q2379" s="17">
        <f>O2379*P2379</f>
        <v>720000</v>
      </c>
      <c r="R2379" s="16">
        <f>'Financial Inputs'!$B$7</f>
        <v>0.35</v>
      </c>
      <c r="S2379" s="17">
        <f>Q2379*(1-R2379)</f>
        <v>468000</v>
      </c>
      <c r="T2379" s="18">
        <f>S2379/'Financial Inputs'!$B$3</f>
        <v>4.6800000000000001E-3</v>
      </c>
      <c r="U2379" s="9" t="s">
        <v>52</v>
      </c>
      <c r="V2379" s="3" t="s">
        <v>53</v>
      </c>
    </row>
    <row r="2380" spans="1:22">
      <c r="A2380" s="2" t="s">
        <v>7386</v>
      </c>
      <c r="B2380" s="2" t="s">
        <v>7387</v>
      </c>
      <c r="C2380" s="2" t="s">
        <v>7152</v>
      </c>
      <c r="D2380" s="2" t="s">
        <v>95</v>
      </c>
      <c r="E2380" s="2" t="s">
        <v>122</v>
      </c>
      <c r="F2380" s="2" t="s">
        <v>90</v>
      </c>
      <c r="G2380" s="2" t="s">
        <v>75</v>
      </c>
      <c r="H2380" s="2" t="s">
        <v>498</v>
      </c>
      <c r="I2380" s="2" t="s">
        <v>47</v>
      </c>
      <c r="J2380" s="2" t="s">
        <v>1106</v>
      </c>
      <c r="K2380" s="2" t="s">
        <v>7388</v>
      </c>
      <c r="L2380" s="2" t="s">
        <v>410</v>
      </c>
      <c r="M2380" s="2" t="s">
        <v>7154</v>
      </c>
      <c r="N2380" s="16">
        <v>1.9800000000000002E-2</v>
      </c>
      <c r="O2380" s="17">
        <f>N2380*'Financial Inputs'!$B$3</f>
        <v>1980000.0000000002</v>
      </c>
      <c r="P2380" s="18">
        <f>IF(I2380="L",'Financial Inputs'!$B$4,IF(I2380="M",'Financial Inputs'!$B$5,'Financial Inputs'!$B$6))</f>
        <v>0.4</v>
      </c>
      <c r="Q2380" s="17">
        <f>O2380*P2380</f>
        <v>792000.00000000012</v>
      </c>
      <c r="R2380" s="16">
        <f>'Financial Inputs'!$B$7</f>
        <v>0.35</v>
      </c>
      <c r="S2380" s="17">
        <f>Q2380*(1-R2380)</f>
        <v>514800.00000000012</v>
      </c>
      <c r="T2380" s="18">
        <f>S2380/'Financial Inputs'!$B$3</f>
        <v>5.1480000000000015E-3</v>
      </c>
      <c r="U2380" s="9" t="s">
        <v>52</v>
      </c>
      <c r="V2380" s="3" t="s">
        <v>53</v>
      </c>
    </row>
    <row r="2381" spans="1:22">
      <c r="A2381" s="2" t="s">
        <v>7389</v>
      </c>
      <c r="B2381" s="2" t="s">
        <v>7390</v>
      </c>
      <c r="C2381" s="2" t="s">
        <v>7152</v>
      </c>
      <c r="D2381" s="2" t="s">
        <v>102</v>
      </c>
      <c r="E2381" s="2" t="s">
        <v>128</v>
      </c>
      <c r="F2381" s="2" t="s">
        <v>97</v>
      </c>
      <c r="G2381" s="2" t="s">
        <v>83</v>
      </c>
      <c r="H2381" s="2" t="s">
        <v>498</v>
      </c>
      <c r="I2381" s="2" t="s">
        <v>47</v>
      </c>
      <c r="J2381" s="2" t="s">
        <v>1106</v>
      </c>
      <c r="K2381" s="2" t="s">
        <v>7391</v>
      </c>
      <c r="L2381" s="2" t="s">
        <v>414</v>
      </c>
      <c r="M2381" s="2" t="s">
        <v>7154</v>
      </c>
      <c r="N2381" s="16">
        <v>2.1600000000000001E-2</v>
      </c>
      <c r="O2381" s="17">
        <f>N2381*'Financial Inputs'!$B$3</f>
        <v>2160000</v>
      </c>
      <c r="P2381" s="18">
        <f>IF(I2381="L",'Financial Inputs'!$B$4,IF(I2381="M",'Financial Inputs'!$B$5,'Financial Inputs'!$B$6))</f>
        <v>0.4</v>
      </c>
      <c r="Q2381" s="17">
        <f>O2381*P2381</f>
        <v>864000</v>
      </c>
      <c r="R2381" s="16">
        <f>'Financial Inputs'!$B$7</f>
        <v>0.35</v>
      </c>
      <c r="S2381" s="17">
        <f>Q2381*(1-R2381)</f>
        <v>561600</v>
      </c>
      <c r="T2381" s="18">
        <f>S2381/'Financial Inputs'!$B$3</f>
        <v>5.6160000000000003E-3</v>
      </c>
      <c r="U2381" s="9" t="s">
        <v>52</v>
      </c>
      <c r="V2381" s="3" t="s">
        <v>53</v>
      </c>
    </row>
    <row r="2382" spans="1:22">
      <c r="A2382" s="2" t="s">
        <v>7392</v>
      </c>
      <c r="B2382" s="2" t="s">
        <v>7393</v>
      </c>
      <c r="C2382" s="2" t="s">
        <v>7152</v>
      </c>
      <c r="D2382" s="2" t="s">
        <v>64</v>
      </c>
      <c r="E2382" s="2" t="s">
        <v>81</v>
      </c>
      <c r="F2382" s="2" t="s">
        <v>74</v>
      </c>
      <c r="G2382" s="2" t="s">
        <v>67</v>
      </c>
      <c r="H2382" s="2" t="s">
        <v>498</v>
      </c>
      <c r="I2382" s="2" t="s">
        <v>47</v>
      </c>
      <c r="J2382" s="2" t="s">
        <v>1106</v>
      </c>
      <c r="K2382" s="2" t="s">
        <v>7394</v>
      </c>
      <c r="L2382" s="2" t="s">
        <v>418</v>
      </c>
      <c r="M2382" s="2" t="s">
        <v>7154</v>
      </c>
      <c r="N2382" s="16">
        <v>1.44E-2</v>
      </c>
      <c r="O2382" s="17">
        <f>N2382*'Financial Inputs'!$B$3</f>
        <v>1440000</v>
      </c>
      <c r="P2382" s="18">
        <f>IF(I2382="L",'Financial Inputs'!$B$4,IF(I2382="M",'Financial Inputs'!$B$5,'Financial Inputs'!$B$6))</f>
        <v>0.4</v>
      </c>
      <c r="Q2382" s="17">
        <f>O2382*P2382</f>
        <v>576000</v>
      </c>
      <c r="R2382" s="16">
        <f>'Financial Inputs'!$B$7</f>
        <v>0.35</v>
      </c>
      <c r="S2382" s="17">
        <f>Q2382*(1-R2382)</f>
        <v>374400</v>
      </c>
      <c r="T2382" s="18">
        <f>S2382/'Financial Inputs'!$B$3</f>
        <v>3.7439999999999999E-3</v>
      </c>
      <c r="U2382" s="9" t="s">
        <v>52</v>
      </c>
      <c r="V2382" s="3" t="s">
        <v>53</v>
      </c>
    </row>
    <row r="2383" spans="1:22">
      <c r="A2383" s="2" t="s">
        <v>7395</v>
      </c>
      <c r="B2383" s="2" t="s">
        <v>7396</v>
      </c>
      <c r="C2383" s="2" t="s">
        <v>7152</v>
      </c>
      <c r="D2383" s="2" t="s">
        <v>72</v>
      </c>
      <c r="E2383" s="2" t="s">
        <v>193</v>
      </c>
      <c r="F2383" s="2" t="s">
        <v>82</v>
      </c>
      <c r="G2383" s="2" t="s">
        <v>75</v>
      </c>
      <c r="H2383" s="2" t="s">
        <v>498</v>
      </c>
      <c r="I2383" s="2" t="s">
        <v>47</v>
      </c>
      <c r="J2383" s="2" t="s">
        <v>1106</v>
      </c>
      <c r="K2383" s="2" t="s">
        <v>7397</v>
      </c>
      <c r="L2383" s="2" t="s">
        <v>422</v>
      </c>
      <c r="M2383" s="2" t="s">
        <v>7154</v>
      </c>
      <c r="N2383" s="16">
        <v>1.6199999999999999E-2</v>
      </c>
      <c r="O2383" s="17">
        <f>N2383*'Financial Inputs'!$B$3</f>
        <v>1620000</v>
      </c>
      <c r="P2383" s="18">
        <f>IF(I2383="L",'Financial Inputs'!$B$4,IF(I2383="M",'Financial Inputs'!$B$5,'Financial Inputs'!$B$6))</f>
        <v>0.4</v>
      </c>
      <c r="Q2383" s="17">
        <f>O2383*P2383</f>
        <v>648000</v>
      </c>
      <c r="R2383" s="16">
        <f>'Financial Inputs'!$B$7</f>
        <v>0.35</v>
      </c>
      <c r="S2383" s="17">
        <f>Q2383*(1-R2383)</f>
        <v>421200</v>
      </c>
      <c r="T2383" s="18">
        <f>S2383/'Financial Inputs'!$B$3</f>
        <v>4.2119999999999996E-3</v>
      </c>
      <c r="U2383" s="9" t="s">
        <v>52</v>
      </c>
      <c r="V2383" s="3" t="s">
        <v>53</v>
      </c>
    </row>
    <row r="2384" spans="1:22">
      <c r="A2384" s="2" t="s">
        <v>7398</v>
      </c>
      <c r="B2384" s="2" t="s">
        <v>7399</v>
      </c>
      <c r="C2384" s="2" t="s">
        <v>7152</v>
      </c>
      <c r="D2384" s="2" t="s">
        <v>80</v>
      </c>
      <c r="E2384" s="2" t="s">
        <v>198</v>
      </c>
      <c r="F2384" s="2" t="s">
        <v>44</v>
      </c>
      <c r="G2384" s="2" t="s">
        <v>83</v>
      </c>
      <c r="H2384" s="2" t="s">
        <v>498</v>
      </c>
      <c r="I2384" s="2" t="s">
        <v>47</v>
      </c>
      <c r="J2384" s="2" t="s">
        <v>1106</v>
      </c>
      <c r="K2384" s="2" t="s">
        <v>7400</v>
      </c>
      <c r="L2384" s="2" t="s">
        <v>426</v>
      </c>
      <c r="M2384" s="2" t="s">
        <v>7154</v>
      </c>
      <c r="N2384" s="16">
        <v>1.7999999999999999E-2</v>
      </c>
      <c r="O2384" s="17">
        <f>N2384*'Financial Inputs'!$B$3</f>
        <v>1799999.9999999998</v>
      </c>
      <c r="P2384" s="18">
        <f>IF(I2384="L",'Financial Inputs'!$B$4,IF(I2384="M",'Financial Inputs'!$B$5,'Financial Inputs'!$B$6))</f>
        <v>0.4</v>
      </c>
      <c r="Q2384" s="17">
        <f>O2384*P2384</f>
        <v>720000</v>
      </c>
      <c r="R2384" s="16">
        <f>'Financial Inputs'!$B$7</f>
        <v>0.35</v>
      </c>
      <c r="S2384" s="17">
        <f>Q2384*(1-R2384)</f>
        <v>468000</v>
      </c>
      <c r="T2384" s="18">
        <f>S2384/'Financial Inputs'!$B$3</f>
        <v>4.6800000000000001E-3</v>
      </c>
      <c r="U2384" s="9" t="s">
        <v>52</v>
      </c>
      <c r="V2384" s="3" t="s">
        <v>53</v>
      </c>
    </row>
    <row r="2385" spans="1:22">
      <c r="A2385" s="2" t="s">
        <v>7401</v>
      </c>
      <c r="B2385" s="2" t="s">
        <v>7402</v>
      </c>
      <c r="C2385" s="2" t="s">
        <v>7152</v>
      </c>
      <c r="D2385" s="2" t="s">
        <v>127</v>
      </c>
      <c r="E2385" s="2" t="s">
        <v>148</v>
      </c>
      <c r="F2385" s="2" t="s">
        <v>58</v>
      </c>
      <c r="G2385" s="2" t="s">
        <v>111</v>
      </c>
      <c r="H2385" s="2" t="s">
        <v>498</v>
      </c>
      <c r="I2385" s="2" t="s">
        <v>47</v>
      </c>
      <c r="J2385" s="2" t="s">
        <v>1106</v>
      </c>
      <c r="K2385" s="2" t="s">
        <v>7403</v>
      </c>
      <c r="L2385" s="2" t="s">
        <v>430</v>
      </c>
      <c r="M2385" s="2" t="s">
        <v>7154</v>
      </c>
      <c r="N2385" s="16">
        <v>1.9800000000000002E-2</v>
      </c>
      <c r="O2385" s="17">
        <f>N2385*'Financial Inputs'!$B$3</f>
        <v>1980000.0000000002</v>
      </c>
      <c r="P2385" s="18">
        <f>IF(I2385="L",'Financial Inputs'!$B$4,IF(I2385="M",'Financial Inputs'!$B$5,'Financial Inputs'!$B$6))</f>
        <v>0.4</v>
      </c>
      <c r="Q2385" s="17">
        <f>O2385*P2385</f>
        <v>792000.00000000012</v>
      </c>
      <c r="R2385" s="16">
        <f>'Financial Inputs'!$B$7</f>
        <v>0.35</v>
      </c>
      <c r="S2385" s="17">
        <f>Q2385*(1-R2385)</f>
        <v>514800.00000000012</v>
      </c>
      <c r="T2385" s="18">
        <f>S2385/'Financial Inputs'!$B$3</f>
        <v>5.1480000000000015E-3</v>
      </c>
      <c r="U2385" s="9" t="s">
        <v>52</v>
      </c>
      <c r="V2385" s="3" t="s">
        <v>53</v>
      </c>
    </row>
    <row r="2386" spans="1:22">
      <c r="A2386" s="2" t="s">
        <v>7404</v>
      </c>
      <c r="B2386" s="2" t="s">
        <v>7405</v>
      </c>
      <c r="C2386" s="2" t="s">
        <v>7152</v>
      </c>
      <c r="D2386" s="2" t="s">
        <v>133</v>
      </c>
      <c r="E2386" s="2" t="s">
        <v>153</v>
      </c>
      <c r="F2386" s="2" t="s">
        <v>66</v>
      </c>
      <c r="G2386" s="2" t="s">
        <v>56</v>
      </c>
      <c r="H2386" s="2" t="s">
        <v>498</v>
      </c>
      <c r="I2386" s="2" t="s">
        <v>47</v>
      </c>
      <c r="J2386" s="2" t="s">
        <v>1106</v>
      </c>
      <c r="K2386" s="2" t="s">
        <v>7406</v>
      </c>
      <c r="L2386" s="2" t="s">
        <v>434</v>
      </c>
      <c r="M2386" s="2" t="s">
        <v>7154</v>
      </c>
      <c r="N2386" s="16">
        <v>2.1600000000000001E-2</v>
      </c>
      <c r="O2386" s="17">
        <f>N2386*'Financial Inputs'!$B$3</f>
        <v>2160000</v>
      </c>
      <c r="P2386" s="18">
        <f>IF(I2386="L",'Financial Inputs'!$B$4,IF(I2386="M",'Financial Inputs'!$B$5,'Financial Inputs'!$B$6))</f>
        <v>0.4</v>
      </c>
      <c r="Q2386" s="17">
        <f>O2386*P2386</f>
        <v>864000</v>
      </c>
      <c r="R2386" s="16">
        <f>'Financial Inputs'!$B$7</f>
        <v>0.35</v>
      </c>
      <c r="S2386" s="17">
        <f>Q2386*(1-R2386)</f>
        <v>561600</v>
      </c>
      <c r="T2386" s="18">
        <f>S2386/'Financial Inputs'!$B$3</f>
        <v>5.6160000000000003E-3</v>
      </c>
      <c r="U2386" s="9" t="s">
        <v>52</v>
      </c>
      <c r="V2386" s="3" t="s">
        <v>53</v>
      </c>
    </row>
    <row r="2387" spans="1:22">
      <c r="A2387" s="2" t="s">
        <v>7407</v>
      </c>
      <c r="B2387" s="2" t="s">
        <v>7408</v>
      </c>
      <c r="C2387" s="2" t="s">
        <v>7152</v>
      </c>
      <c r="D2387" s="2" t="s">
        <v>102</v>
      </c>
      <c r="E2387" s="2" t="s">
        <v>116</v>
      </c>
      <c r="F2387" s="2" t="s">
        <v>110</v>
      </c>
      <c r="G2387" s="2" t="s">
        <v>83</v>
      </c>
      <c r="H2387" s="2" t="s">
        <v>498</v>
      </c>
      <c r="I2387" s="2" t="s">
        <v>47</v>
      </c>
      <c r="J2387" s="2" t="s">
        <v>1106</v>
      </c>
      <c r="K2387" s="2" t="s">
        <v>7409</v>
      </c>
      <c r="L2387" s="2" t="s">
        <v>438</v>
      </c>
      <c r="M2387" s="2" t="s">
        <v>7154</v>
      </c>
      <c r="N2387" s="16">
        <v>1.44E-2</v>
      </c>
      <c r="O2387" s="17">
        <f>N2387*'Financial Inputs'!$B$3</f>
        <v>1440000</v>
      </c>
      <c r="P2387" s="18">
        <f>IF(I2387="L",'Financial Inputs'!$B$4,IF(I2387="M",'Financial Inputs'!$B$5,'Financial Inputs'!$B$6))</f>
        <v>0.4</v>
      </c>
      <c r="Q2387" s="17">
        <f>O2387*P2387</f>
        <v>576000</v>
      </c>
      <c r="R2387" s="16">
        <f>'Financial Inputs'!$B$7</f>
        <v>0.35</v>
      </c>
      <c r="S2387" s="17">
        <f>Q2387*(1-R2387)</f>
        <v>374400</v>
      </c>
      <c r="T2387" s="18">
        <f>S2387/'Financial Inputs'!$B$3</f>
        <v>3.7439999999999999E-3</v>
      </c>
      <c r="U2387" s="9" t="s">
        <v>52</v>
      </c>
      <c r="V2387" s="3" t="s">
        <v>53</v>
      </c>
    </row>
    <row r="2388" spans="1:22">
      <c r="A2388" s="2" t="s">
        <v>7410</v>
      </c>
      <c r="B2388" s="2" t="s">
        <v>7411</v>
      </c>
      <c r="C2388" s="2" t="s">
        <v>7152</v>
      </c>
      <c r="D2388" s="2" t="s">
        <v>42</v>
      </c>
      <c r="E2388" s="2" t="s">
        <v>215</v>
      </c>
      <c r="F2388" s="2" t="s">
        <v>117</v>
      </c>
      <c r="G2388" s="2" t="s">
        <v>111</v>
      </c>
      <c r="H2388" s="2" t="s">
        <v>498</v>
      </c>
      <c r="I2388" s="2" t="s">
        <v>47</v>
      </c>
      <c r="J2388" s="2" t="s">
        <v>1106</v>
      </c>
      <c r="K2388" s="2" t="s">
        <v>7412</v>
      </c>
      <c r="L2388" s="2" t="s">
        <v>442</v>
      </c>
      <c r="M2388" s="2" t="s">
        <v>7154</v>
      </c>
      <c r="N2388" s="16">
        <v>1.6199999999999999E-2</v>
      </c>
      <c r="O2388" s="17">
        <f>N2388*'Financial Inputs'!$B$3</f>
        <v>1620000</v>
      </c>
      <c r="P2388" s="18">
        <f>IF(I2388="L",'Financial Inputs'!$B$4,IF(I2388="M",'Financial Inputs'!$B$5,'Financial Inputs'!$B$6))</f>
        <v>0.4</v>
      </c>
      <c r="Q2388" s="17">
        <f>O2388*P2388</f>
        <v>648000</v>
      </c>
      <c r="R2388" s="16">
        <f>'Financial Inputs'!$B$7</f>
        <v>0.35</v>
      </c>
      <c r="S2388" s="17">
        <f>Q2388*(1-R2388)</f>
        <v>421200</v>
      </c>
      <c r="T2388" s="18">
        <f>S2388/'Financial Inputs'!$B$3</f>
        <v>4.2119999999999996E-3</v>
      </c>
      <c r="U2388" s="9" t="s">
        <v>52</v>
      </c>
      <c r="V2388" s="3" t="s">
        <v>53</v>
      </c>
    </row>
    <row r="2389" spans="1:22">
      <c r="A2389" s="2" t="s">
        <v>7413</v>
      </c>
      <c r="B2389" s="2" t="s">
        <v>7414</v>
      </c>
      <c r="C2389" s="2" t="s">
        <v>7152</v>
      </c>
      <c r="D2389" s="2" t="s">
        <v>56</v>
      </c>
      <c r="E2389" s="2" t="s">
        <v>220</v>
      </c>
      <c r="F2389" s="2" t="s">
        <v>90</v>
      </c>
      <c r="G2389" s="2" t="s">
        <v>56</v>
      </c>
      <c r="H2389" s="2" t="s">
        <v>498</v>
      </c>
      <c r="I2389" s="2" t="s">
        <v>47</v>
      </c>
      <c r="J2389" s="2" t="s">
        <v>1106</v>
      </c>
      <c r="K2389" s="2" t="s">
        <v>7415</v>
      </c>
      <c r="L2389" s="2" t="s">
        <v>446</v>
      </c>
      <c r="M2389" s="2" t="s">
        <v>7154</v>
      </c>
      <c r="N2389" s="16">
        <v>1.7999999999999999E-2</v>
      </c>
      <c r="O2389" s="17">
        <f>N2389*'Financial Inputs'!$B$3</f>
        <v>1799999.9999999998</v>
      </c>
      <c r="P2389" s="18">
        <f>IF(I2389="L",'Financial Inputs'!$B$4,IF(I2389="M",'Financial Inputs'!$B$5,'Financial Inputs'!$B$6))</f>
        <v>0.4</v>
      </c>
      <c r="Q2389" s="17">
        <f>O2389*P2389</f>
        <v>720000</v>
      </c>
      <c r="R2389" s="16">
        <f>'Financial Inputs'!$B$7</f>
        <v>0.35</v>
      </c>
      <c r="S2389" s="17">
        <f>Q2389*(1-R2389)</f>
        <v>468000</v>
      </c>
      <c r="T2389" s="18">
        <f>S2389/'Financial Inputs'!$B$3</f>
        <v>4.6800000000000001E-3</v>
      </c>
      <c r="U2389" s="9" t="s">
        <v>52</v>
      </c>
      <c r="V2389" s="3" t="s">
        <v>53</v>
      </c>
    </row>
    <row r="2390" spans="1:22">
      <c r="A2390" s="2" t="s">
        <v>7416</v>
      </c>
      <c r="B2390" s="2" t="s">
        <v>7417</v>
      </c>
      <c r="C2390" s="2" t="s">
        <v>7152</v>
      </c>
      <c r="D2390" s="2" t="s">
        <v>64</v>
      </c>
      <c r="E2390" s="2" t="s">
        <v>171</v>
      </c>
      <c r="F2390" s="2" t="s">
        <v>97</v>
      </c>
      <c r="G2390" s="2" t="s">
        <v>138</v>
      </c>
      <c r="H2390" s="2" t="s">
        <v>498</v>
      </c>
      <c r="I2390" s="2" t="s">
        <v>47</v>
      </c>
      <c r="J2390" s="2" t="s">
        <v>1106</v>
      </c>
      <c r="K2390" s="2" t="s">
        <v>7418</v>
      </c>
      <c r="L2390" s="2" t="s">
        <v>450</v>
      </c>
      <c r="M2390" s="2" t="s">
        <v>7154</v>
      </c>
      <c r="N2390" s="16">
        <v>1.9800000000000002E-2</v>
      </c>
      <c r="O2390" s="17">
        <f>N2390*'Financial Inputs'!$B$3</f>
        <v>1980000.0000000002</v>
      </c>
      <c r="P2390" s="18">
        <f>IF(I2390="L",'Financial Inputs'!$B$4,IF(I2390="M",'Financial Inputs'!$B$5,'Financial Inputs'!$B$6))</f>
        <v>0.4</v>
      </c>
      <c r="Q2390" s="17">
        <f>O2390*P2390</f>
        <v>792000.00000000012</v>
      </c>
      <c r="R2390" s="16">
        <f>'Financial Inputs'!$B$7</f>
        <v>0.35</v>
      </c>
      <c r="S2390" s="17">
        <f>Q2390*(1-R2390)</f>
        <v>514800.00000000012</v>
      </c>
      <c r="T2390" s="18">
        <f>S2390/'Financial Inputs'!$B$3</f>
        <v>5.1480000000000015E-3</v>
      </c>
      <c r="U2390" s="9" t="s">
        <v>52</v>
      </c>
      <c r="V2390" s="3" t="s">
        <v>53</v>
      </c>
    </row>
    <row r="2391" spans="1:22">
      <c r="A2391" s="2" t="s">
        <v>7419</v>
      </c>
      <c r="B2391" s="2" t="s">
        <v>7420</v>
      </c>
      <c r="C2391" s="2" t="s">
        <v>7152</v>
      </c>
      <c r="D2391" s="2" t="s">
        <v>72</v>
      </c>
      <c r="E2391" s="2" t="s">
        <v>176</v>
      </c>
      <c r="F2391" s="2" t="s">
        <v>104</v>
      </c>
      <c r="G2391" s="2" t="s">
        <v>143</v>
      </c>
      <c r="H2391" s="2" t="s">
        <v>498</v>
      </c>
      <c r="I2391" s="2" t="s">
        <v>47</v>
      </c>
      <c r="J2391" s="2" t="s">
        <v>1106</v>
      </c>
      <c r="K2391" s="2" t="s">
        <v>7421</v>
      </c>
      <c r="L2391" s="2" t="s">
        <v>454</v>
      </c>
      <c r="M2391" s="2" t="s">
        <v>7154</v>
      </c>
      <c r="N2391" s="16">
        <v>2.1600000000000001E-2</v>
      </c>
      <c r="O2391" s="17">
        <f>N2391*'Financial Inputs'!$B$3</f>
        <v>2160000</v>
      </c>
      <c r="P2391" s="18">
        <f>IF(I2391="L",'Financial Inputs'!$B$4,IF(I2391="M",'Financial Inputs'!$B$5,'Financial Inputs'!$B$6))</f>
        <v>0.4</v>
      </c>
      <c r="Q2391" s="17">
        <f>O2391*P2391</f>
        <v>864000</v>
      </c>
      <c r="R2391" s="16">
        <f>'Financial Inputs'!$B$7</f>
        <v>0.35</v>
      </c>
      <c r="S2391" s="17">
        <f>Q2391*(1-R2391)</f>
        <v>561600</v>
      </c>
      <c r="T2391" s="18">
        <f>S2391/'Financial Inputs'!$B$3</f>
        <v>5.6160000000000003E-3</v>
      </c>
      <c r="U2391" s="9" t="s">
        <v>52</v>
      </c>
      <c r="V2391" s="3" t="s">
        <v>53</v>
      </c>
    </row>
    <row r="2392" spans="1:22">
      <c r="A2392" s="2" t="s">
        <v>7422</v>
      </c>
      <c r="B2392" s="2" t="s">
        <v>7423</v>
      </c>
      <c r="C2392" s="2" t="s">
        <v>7152</v>
      </c>
      <c r="D2392" s="2" t="s">
        <v>133</v>
      </c>
      <c r="E2392" s="2" t="s">
        <v>65</v>
      </c>
      <c r="F2392" s="2" t="s">
        <v>82</v>
      </c>
      <c r="G2392" s="2" t="s">
        <v>56</v>
      </c>
      <c r="H2392" s="2" t="s">
        <v>498</v>
      </c>
      <c r="I2392" s="2" t="s">
        <v>47</v>
      </c>
      <c r="J2392" s="2" t="s">
        <v>1106</v>
      </c>
      <c r="K2392" s="2" t="s">
        <v>7424</v>
      </c>
      <c r="L2392" s="2" t="s">
        <v>458</v>
      </c>
      <c r="M2392" s="2" t="s">
        <v>7154</v>
      </c>
      <c r="N2392" s="16">
        <v>1.44E-2</v>
      </c>
      <c r="O2392" s="17">
        <f>N2392*'Financial Inputs'!$B$3</f>
        <v>1440000</v>
      </c>
      <c r="P2392" s="18">
        <f>IF(I2392="L",'Financial Inputs'!$B$4,IF(I2392="M",'Financial Inputs'!$B$5,'Financial Inputs'!$B$6))</f>
        <v>0.4</v>
      </c>
      <c r="Q2392" s="17">
        <f>O2392*P2392</f>
        <v>576000</v>
      </c>
      <c r="R2392" s="16">
        <f>'Financial Inputs'!$B$7</f>
        <v>0.35</v>
      </c>
      <c r="S2392" s="17">
        <f>Q2392*(1-R2392)</f>
        <v>374400</v>
      </c>
      <c r="T2392" s="18">
        <f>S2392/'Financial Inputs'!$B$3</f>
        <v>3.7439999999999999E-3</v>
      </c>
      <c r="U2392" s="9" t="s">
        <v>52</v>
      </c>
      <c r="V2392" s="3" t="s">
        <v>53</v>
      </c>
    </row>
    <row r="2393" spans="1:22">
      <c r="A2393" s="2" t="s">
        <v>7425</v>
      </c>
      <c r="B2393" s="2" t="s">
        <v>7426</v>
      </c>
      <c r="C2393" s="2" t="s">
        <v>7152</v>
      </c>
      <c r="D2393" s="2" t="s">
        <v>88</v>
      </c>
      <c r="E2393" s="2" t="s">
        <v>73</v>
      </c>
      <c r="F2393" s="2" t="s">
        <v>44</v>
      </c>
      <c r="G2393" s="2" t="s">
        <v>138</v>
      </c>
      <c r="H2393" s="2" t="s">
        <v>498</v>
      </c>
      <c r="I2393" s="2" t="s">
        <v>47</v>
      </c>
      <c r="J2393" s="2" t="s">
        <v>1106</v>
      </c>
      <c r="K2393" s="2" t="s">
        <v>7427</v>
      </c>
      <c r="L2393" s="2" t="s">
        <v>462</v>
      </c>
      <c r="M2393" s="2" t="s">
        <v>7154</v>
      </c>
      <c r="N2393" s="16">
        <v>1.6199999999999999E-2</v>
      </c>
      <c r="O2393" s="17">
        <f>N2393*'Financial Inputs'!$B$3</f>
        <v>1620000</v>
      </c>
      <c r="P2393" s="18">
        <f>IF(I2393="L",'Financial Inputs'!$B$4,IF(I2393="M",'Financial Inputs'!$B$5,'Financial Inputs'!$B$6))</f>
        <v>0.4</v>
      </c>
      <c r="Q2393" s="17">
        <f>O2393*P2393</f>
        <v>648000</v>
      </c>
      <c r="R2393" s="16">
        <f>'Financial Inputs'!$B$7</f>
        <v>0.35</v>
      </c>
      <c r="S2393" s="17">
        <f>Q2393*(1-R2393)</f>
        <v>421200</v>
      </c>
      <c r="T2393" s="18">
        <f>S2393/'Financial Inputs'!$B$3</f>
        <v>4.2119999999999996E-3</v>
      </c>
      <c r="U2393" s="9" t="s">
        <v>52</v>
      </c>
      <c r="V2393" s="3" t="s">
        <v>53</v>
      </c>
    </row>
    <row r="2394" spans="1:22">
      <c r="A2394" s="2" t="s">
        <v>7428</v>
      </c>
      <c r="B2394" s="2" t="s">
        <v>7429</v>
      </c>
      <c r="C2394" s="2" t="s">
        <v>7152</v>
      </c>
      <c r="D2394" s="2" t="s">
        <v>95</v>
      </c>
      <c r="E2394" s="2" t="s">
        <v>81</v>
      </c>
      <c r="F2394" s="2" t="s">
        <v>58</v>
      </c>
      <c r="G2394" s="2" t="s">
        <v>143</v>
      </c>
      <c r="H2394" s="2" t="s">
        <v>498</v>
      </c>
      <c r="I2394" s="2" t="s">
        <v>47</v>
      </c>
      <c r="J2394" s="2" t="s">
        <v>1106</v>
      </c>
      <c r="K2394" s="2" t="s">
        <v>7430</v>
      </c>
      <c r="L2394" s="2" t="s">
        <v>466</v>
      </c>
      <c r="M2394" s="2" t="s">
        <v>7154</v>
      </c>
      <c r="N2394" s="16">
        <v>1.7999999999999999E-2</v>
      </c>
      <c r="O2394" s="17">
        <f>N2394*'Financial Inputs'!$B$3</f>
        <v>1799999.9999999998</v>
      </c>
      <c r="P2394" s="18">
        <f>IF(I2394="L",'Financial Inputs'!$B$4,IF(I2394="M",'Financial Inputs'!$B$5,'Financial Inputs'!$B$6))</f>
        <v>0.4</v>
      </c>
      <c r="Q2394" s="17">
        <f>O2394*P2394</f>
        <v>720000</v>
      </c>
      <c r="R2394" s="16">
        <f>'Financial Inputs'!$B$7</f>
        <v>0.35</v>
      </c>
      <c r="S2394" s="17">
        <f>Q2394*(1-R2394)</f>
        <v>468000</v>
      </c>
      <c r="T2394" s="18">
        <f>S2394/'Financial Inputs'!$B$3</f>
        <v>4.6800000000000001E-3</v>
      </c>
      <c r="U2394" s="9" t="s">
        <v>52</v>
      </c>
      <c r="V2394" s="3" t="s">
        <v>53</v>
      </c>
    </row>
    <row r="2395" spans="1:22">
      <c r="A2395" s="2" t="s">
        <v>7431</v>
      </c>
      <c r="B2395" s="2" t="s">
        <v>7432</v>
      </c>
      <c r="C2395" s="2" t="s">
        <v>7152</v>
      </c>
      <c r="D2395" s="2" t="s">
        <v>102</v>
      </c>
      <c r="E2395" s="2" t="s">
        <v>193</v>
      </c>
      <c r="F2395" s="2" t="s">
        <v>66</v>
      </c>
      <c r="G2395" s="2" t="s">
        <v>162</v>
      </c>
      <c r="H2395" s="2" t="s">
        <v>498</v>
      </c>
      <c r="I2395" s="2" t="s">
        <v>47</v>
      </c>
      <c r="J2395" s="2" t="s">
        <v>1106</v>
      </c>
      <c r="K2395" s="2" t="s">
        <v>7433</v>
      </c>
      <c r="L2395" s="2" t="s">
        <v>470</v>
      </c>
      <c r="M2395" s="2" t="s">
        <v>7154</v>
      </c>
      <c r="N2395" s="16">
        <v>1.9800000000000002E-2</v>
      </c>
      <c r="O2395" s="17">
        <f>N2395*'Financial Inputs'!$B$3</f>
        <v>1980000.0000000002</v>
      </c>
      <c r="P2395" s="18">
        <f>IF(I2395="L",'Financial Inputs'!$B$4,IF(I2395="M",'Financial Inputs'!$B$5,'Financial Inputs'!$B$6))</f>
        <v>0.4</v>
      </c>
      <c r="Q2395" s="17">
        <f>O2395*P2395</f>
        <v>792000.00000000012</v>
      </c>
      <c r="R2395" s="16">
        <f>'Financial Inputs'!$B$7</f>
        <v>0.35</v>
      </c>
      <c r="S2395" s="17">
        <f>Q2395*(1-R2395)</f>
        <v>514800.00000000012</v>
      </c>
      <c r="T2395" s="18">
        <f>S2395/'Financial Inputs'!$B$3</f>
        <v>5.1480000000000015E-3</v>
      </c>
      <c r="U2395" s="9" t="s">
        <v>52</v>
      </c>
      <c r="V2395" s="3" t="s">
        <v>53</v>
      </c>
    </row>
    <row r="2396" spans="1:22">
      <c r="A2396" s="2" t="s">
        <v>7434</v>
      </c>
      <c r="B2396" s="2" t="s">
        <v>7435</v>
      </c>
      <c r="C2396" s="2" t="s">
        <v>7152</v>
      </c>
      <c r="D2396" s="2" t="s">
        <v>42</v>
      </c>
      <c r="E2396" s="2" t="s">
        <v>198</v>
      </c>
      <c r="F2396" s="2" t="s">
        <v>74</v>
      </c>
      <c r="G2396" s="2" t="s">
        <v>45</v>
      </c>
      <c r="H2396" s="2" t="s">
        <v>498</v>
      </c>
      <c r="I2396" s="2" t="s">
        <v>47</v>
      </c>
      <c r="J2396" s="2" t="s">
        <v>1106</v>
      </c>
      <c r="K2396" s="2" t="s">
        <v>7436</v>
      </c>
      <c r="L2396" s="2" t="s">
        <v>474</v>
      </c>
      <c r="M2396" s="2" t="s">
        <v>7154</v>
      </c>
      <c r="N2396" s="16">
        <v>2.1600000000000001E-2</v>
      </c>
      <c r="O2396" s="17">
        <f>N2396*'Financial Inputs'!$B$3</f>
        <v>2160000</v>
      </c>
      <c r="P2396" s="18">
        <f>IF(I2396="L",'Financial Inputs'!$B$4,IF(I2396="M",'Financial Inputs'!$B$5,'Financial Inputs'!$B$6))</f>
        <v>0.4</v>
      </c>
      <c r="Q2396" s="17">
        <f>O2396*P2396</f>
        <v>864000</v>
      </c>
      <c r="R2396" s="16">
        <f>'Financial Inputs'!$B$7</f>
        <v>0.35</v>
      </c>
      <c r="S2396" s="17">
        <f>Q2396*(1-R2396)</f>
        <v>561600</v>
      </c>
      <c r="T2396" s="18">
        <f>S2396/'Financial Inputs'!$B$3</f>
        <v>5.6160000000000003E-3</v>
      </c>
      <c r="U2396" s="9" t="s">
        <v>52</v>
      </c>
      <c r="V2396" s="3" t="s">
        <v>53</v>
      </c>
    </row>
    <row r="2397" spans="1:22">
      <c r="A2397" s="2" t="s">
        <v>7437</v>
      </c>
      <c r="B2397" s="2" t="s">
        <v>7438</v>
      </c>
      <c r="C2397" s="2" t="s">
        <v>7152</v>
      </c>
      <c r="D2397" s="2" t="s">
        <v>72</v>
      </c>
      <c r="E2397" s="2" t="s">
        <v>103</v>
      </c>
      <c r="F2397" s="2" t="s">
        <v>117</v>
      </c>
      <c r="G2397" s="2" t="s">
        <v>143</v>
      </c>
      <c r="H2397" s="2" t="s">
        <v>498</v>
      </c>
      <c r="I2397" s="2" t="s">
        <v>47</v>
      </c>
      <c r="J2397" s="2" t="s">
        <v>1106</v>
      </c>
      <c r="K2397" s="2" t="s">
        <v>7439</v>
      </c>
      <c r="L2397" s="2" t="s">
        <v>478</v>
      </c>
      <c r="M2397" s="2" t="s">
        <v>7154</v>
      </c>
      <c r="N2397" s="16">
        <v>1.44E-2</v>
      </c>
      <c r="O2397" s="17">
        <f>N2397*'Financial Inputs'!$B$3</f>
        <v>1440000</v>
      </c>
      <c r="P2397" s="18">
        <f>IF(I2397="L",'Financial Inputs'!$B$4,IF(I2397="M",'Financial Inputs'!$B$5,'Financial Inputs'!$B$6))</f>
        <v>0.4</v>
      </c>
      <c r="Q2397" s="17">
        <f>O2397*P2397</f>
        <v>576000</v>
      </c>
      <c r="R2397" s="16">
        <f>'Financial Inputs'!$B$7</f>
        <v>0.35</v>
      </c>
      <c r="S2397" s="17">
        <f>Q2397*(1-R2397)</f>
        <v>374400</v>
      </c>
      <c r="T2397" s="18">
        <f>S2397/'Financial Inputs'!$B$3</f>
        <v>3.7439999999999999E-3</v>
      </c>
      <c r="U2397" s="9" t="s">
        <v>52</v>
      </c>
      <c r="V2397" s="3" t="s">
        <v>53</v>
      </c>
    </row>
    <row r="2398" spans="1:22">
      <c r="A2398" s="2" t="s">
        <v>7440</v>
      </c>
      <c r="B2398" s="2" t="s">
        <v>7441</v>
      </c>
      <c r="C2398" s="2" t="s">
        <v>7152</v>
      </c>
      <c r="D2398" s="2" t="s">
        <v>80</v>
      </c>
      <c r="E2398" s="2" t="s">
        <v>109</v>
      </c>
      <c r="F2398" s="2" t="s">
        <v>90</v>
      </c>
      <c r="G2398" s="2" t="s">
        <v>162</v>
      </c>
      <c r="H2398" s="2" t="s">
        <v>498</v>
      </c>
      <c r="I2398" s="2" t="s">
        <v>47</v>
      </c>
      <c r="J2398" s="2" t="s">
        <v>1106</v>
      </c>
      <c r="K2398" s="2" t="s">
        <v>7442</v>
      </c>
      <c r="L2398" s="2" t="s">
        <v>482</v>
      </c>
      <c r="M2398" s="2" t="s">
        <v>7154</v>
      </c>
      <c r="N2398" s="16">
        <v>1.6199999999999999E-2</v>
      </c>
      <c r="O2398" s="17">
        <f>N2398*'Financial Inputs'!$B$3</f>
        <v>1620000</v>
      </c>
      <c r="P2398" s="18">
        <f>IF(I2398="L",'Financial Inputs'!$B$4,IF(I2398="M",'Financial Inputs'!$B$5,'Financial Inputs'!$B$6))</f>
        <v>0.4</v>
      </c>
      <c r="Q2398" s="17">
        <f>O2398*P2398</f>
        <v>648000</v>
      </c>
      <c r="R2398" s="16">
        <f>'Financial Inputs'!$B$7</f>
        <v>0.35</v>
      </c>
      <c r="S2398" s="17">
        <f>Q2398*(1-R2398)</f>
        <v>421200</v>
      </c>
      <c r="T2398" s="18">
        <f>S2398/'Financial Inputs'!$B$3</f>
        <v>4.2119999999999996E-3</v>
      </c>
      <c r="U2398" s="9" t="s">
        <v>52</v>
      </c>
      <c r="V2398" s="3" t="s">
        <v>53</v>
      </c>
    </row>
    <row r="2399" spans="1:22">
      <c r="A2399" s="2" t="s">
        <v>7443</v>
      </c>
      <c r="B2399" s="2" t="s">
        <v>7444</v>
      </c>
      <c r="C2399" s="2" t="s">
        <v>7152</v>
      </c>
      <c r="D2399" s="2" t="s">
        <v>127</v>
      </c>
      <c r="E2399" s="2" t="s">
        <v>116</v>
      </c>
      <c r="F2399" s="2" t="s">
        <v>97</v>
      </c>
      <c r="G2399" s="2" t="s">
        <v>45</v>
      </c>
      <c r="H2399" s="2" t="s">
        <v>498</v>
      </c>
      <c r="I2399" s="2" t="s">
        <v>47</v>
      </c>
      <c r="J2399" s="2" t="s">
        <v>1106</v>
      </c>
      <c r="K2399" s="2" t="s">
        <v>7445</v>
      </c>
      <c r="L2399" s="2" t="s">
        <v>486</v>
      </c>
      <c r="M2399" s="2" t="s">
        <v>7154</v>
      </c>
      <c r="N2399" s="16">
        <v>1.7999999999999999E-2</v>
      </c>
      <c r="O2399" s="17">
        <f>N2399*'Financial Inputs'!$B$3</f>
        <v>1799999.9999999998</v>
      </c>
      <c r="P2399" s="18">
        <f>IF(I2399="L",'Financial Inputs'!$B$4,IF(I2399="M",'Financial Inputs'!$B$5,'Financial Inputs'!$B$6))</f>
        <v>0.4</v>
      </c>
      <c r="Q2399" s="17">
        <f>O2399*P2399</f>
        <v>720000</v>
      </c>
      <c r="R2399" s="16">
        <f>'Financial Inputs'!$B$7</f>
        <v>0.35</v>
      </c>
      <c r="S2399" s="17">
        <f>Q2399*(1-R2399)</f>
        <v>468000</v>
      </c>
      <c r="T2399" s="18">
        <f>S2399/'Financial Inputs'!$B$3</f>
        <v>4.6800000000000001E-3</v>
      </c>
      <c r="U2399" s="9" t="s">
        <v>52</v>
      </c>
      <c r="V2399" s="3" t="s">
        <v>53</v>
      </c>
    </row>
    <row r="2400" spans="1:22">
      <c r="A2400" s="2" t="s">
        <v>7446</v>
      </c>
      <c r="B2400" s="2" t="s">
        <v>7447</v>
      </c>
      <c r="C2400" s="2" t="s">
        <v>7152</v>
      </c>
      <c r="D2400" s="2" t="s">
        <v>133</v>
      </c>
      <c r="E2400" s="2" t="s">
        <v>215</v>
      </c>
      <c r="F2400" s="2" t="s">
        <v>104</v>
      </c>
      <c r="G2400" s="2" t="s">
        <v>59</v>
      </c>
      <c r="H2400" s="2" t="s">
        <v>498</v>
      </c>
      <c r="I2400" s="2" t="s">
        <v>47</v>
      </c>
      <c r="J2400" s="2" t="s">
        <v>1106</v>
      </c>
      <c r="K2400" s="2" t="s">
        <v>7448</v>
      </c>
      <c r="L2400" s="2" t="s">
        <v>490</v>
      </c>
      <c r="M2400" s="2" t="s">
        <v>7154</v>
      </c>
      <c r="N2400" s="16">
        <v>1.9800000000000002E-2</v>
      </c>
      <c r="O2400" s="17">
        <f>N2400*'Financial Inputs'!$B$3</f>
        <v>1980000.0000000002</v>
      </c>
      <c r="P2400" s="18">
        <f>IF(I2400="L",'Financial Inputs'!$B$4,IF(I2400="M",'Financial Inputs'!$B$5,'Financial Inputs'!$B$6))</f>
        <v>0.4</v>
      </c>
      <c r="Q2400" s="17">
        <f>O2400*P2400</f>
        <v>792000.00000000012</v>
      </c>
      <c r="R2400" s="16">
        <f>'Financial Inputs'!$B$7</f>
        <v>0.35</v>
      </c>
      <c r="S2400" s="17">
        <f>Q2400*(1-R2400)</f>
        <v>514800.00000000012</v>
      </c>
      <c r="T2400" s="18">
        <f>S2400/'Financial Inputs'!$B$3</f>
        <v>5.1480000000000015E-3</v>
      </c>
      <c r="U2400" s="9" t="s">
        <v>52</v>
      </c>
      <c r="V2400" s="3" t="s">
        <v>53</v>
      </c>
    </row>
    <row r="2401" spans="1:22">
      <c r="A2401" s="2" t="s">
        <v>7449</v>
      </c>
      <c r="B2401" s="2" t="s">
        <v>7450</v>
      </c>
      <c r="C2401" s="2" t="s">
        <v>7152</v>
      </c>
      <c r="D2401" s="2" t="s">
        <v>88</v>
      </c>
      <c r="E2401" s="2" t="s">
        <v>220</v>
      </c>
      <c r="F2401" s="2" t="s">
        <v>110</v>
      </c>
      <c r="G2401" s="2" t="s">
        <v>67</v>
      </c>
      <c r="H2401" s="2" t="s">
        <v>498</v>
      </c>
      <c r="I2401" s="2" t="s">
        <v>47</v>
      </c>
      <c r="J2401" s="2" t="s">
        <v>1106</v>
      </c>
      <c r="K2401" s="2" t="s">
        <v>7451</v>
      </c>
      <c r="L2401" s="2" t="s">
        <v>494</v>
      </c>
      <c r="M2401" s="2" t="s">
        <v>7154</v>
      </c>
      <c r="N2401" s="16">
        <v>2.1600000000000001E-2</v>
      </c>
      <c r="O2401" s="17">
        <f>N2401*'Financial Inputs'!$B$3</f>
        <v>2160000</v>
      </c>
      <c r="P2401" s="18">
        <f>IF(I2401="L",'Financial Inputs'!$B$4,IF(I2401="M",'Financial Inputs'!$B$5,'Financial Inputs'!$B$6))</f>
        <v>0.4</v>
      </c>
      <c r="Q2401" s="17">
        <f>O2401*P2401</f>
        <v>864000</v>
      </c>
      <c r="R2401" s="16">
        <f>'Financial Inputs'!$B$7</f>
        <v>0.35</v>
      </c>
      <c r="S2401" s="17">
        <f>Q2401*(1-R2401)</f>
        <v>561600</v>
      </c>
      <c r="T2401" s="18">
        <f>S2401/'Financial Inputs'!$B$3</f>
        <v>5.6160000000000003E-3</v>
      </c>
      <c r="U2401" s="9" t="s">
        <v>52</v>
      </c>
      <c r="V2401" s="3" t="s">
        <v>53</v>
      </c>
    </row>
    <row r="2402" spans="1:22">
      <c r="A2402" s="2" t="s">
        <v>7452</v>
      </c>
      <c r="B2402" s="2" t="s">
        <v>7453</v>
      </c>
      <c r="C2402" s="2" t="s">
        <v>7454</v>
      </c>
      <c r="D2402" s="2" t="s">
        <v>42</v>
      </c>
      <c r="E2402" s="2" t="s">
        <v>43</v>
      </c>
      <c r="F2402" s="2" t="s">
        <v>44</v>
      </c>
      <c r="G2402" s="2" t="s">
        <v>45</v>
      </c>
      <c r="H2402" s="2" t="s">
        <v>46</v>
      </c>
      <c r="I2402" s="2" t="s">
        <v>47</v>
      </c>
      <c r="J2402" s="2" t="s">
        <v>1106</v>
      </c>
      <c r="K2402" s="2" t="s">
        <v>7455</v>
      </c>
      <c r="L2402" s="2" t="s">
        <v>50</v>
      </c>
      <c r="M2402" s="2" t="s">
        <v>7456</v>
      </c>
      <c r="N2402" s="16">
        <v>1.44E-2</v>
      </c>
      <c r="O2402" s="17">
        <f>N2402*'Financial Inputs'!$B$3</f>
        <v>1440000</v>
      </c>
      <c r="P2402" s="18">
        <f>IF(I2402="L",'Financial Inputs'!$B$4,IF(I2402="M",'Financial Inputs'!$B$5,'Financial Inputs'!$B$6))</f>
        <v>0.4</v>
      </c>
      <c r="Q2402" s="17">
        <f>O2402*P2402</f>
        <v>576000</v>
      </c>
      <c r="R2402" s="16">
        <f>'Financial Inputs'!$B$7</f>
        <v>0.35</v>
      </c>
      <c r="S2402" s="17">
        <f>Q2402*(1-R2402)</f>
        <v>374400</v>
      </c>
      <c r="T2402" s="18">
        <f>S2402/'Financial Inputs'!$B$3</f>
        <v>3.7439999999999999E-3</v>
      </c>
      <c r="U2402" s="9" t="s">
        <v>52</v>
      </c>
      <c r="V2402" s="3" t="s">
        <v>53</v>
      </c>
    </row>
    <row r="2403" spans="1:22">
      <c r="A2403" s="2" t="s">
        <v>7457</v>
      </c>
      <c r="B2403" s="2" t="s">
        <v>7458</v>
      </c>
      <c r="C2403" s="2" t="s">
        <v>7454</v>
      </c>
      <c r="D2403" s="2" t="s">
        <v>56</v>
      </c>
      <c r="E2403" s="2" t="s">
        <v>57</v>
      </c>
      <c r="F2403" s="2" t="s">
        <v>58</v>
      </c>
      <c r="G2403" s="2" t="s">
        <v>59</v>
      </c>
      <c r="H2403" s="2" t="s">
        <v>46</v>
      </c>
      <c r="I2403" s="2" t="s">
        <v>47</v>
      </c>
      <c r="J2403" s="2" t="s">
        <v>1106</v>
      </c>
      <c r="K2403" s="2" t="s">
        <v>7459</v>
      </c>
      <c r="L2403" s="2" t="s">
        <v>61</v>
      </c>
      <c r="M2403" s="2" t="s">
        <v>7456</v>
      </c>
      <c r="N2403" s="16">
        <v>1.6199999999999999E-2</v>
      </c>
      <c r="O2403" s="17">
        <f>N2403*'Financial Inputs'!$B$3</f>
        <v>1620000</v>
      </c>
      <c r="P2403" s="18">
        <f>IF(I2403="L",'Financial Inputs'!$B$4,IF(I2403="M",'Financial Inputs'!$B$5,'Financial Inputs'!$B$6))</f>
        <v>0.4</v>
      </c>
      <c r="Q2403" s="17">
        <f>O2403*P2403</f>
        <v>648000</v>
      </c>
      <c r="R2403" s="16">
        <f>'Financial Inputs'!$B$7</f>
        <v>0.35</v>
      </c>
      <c r="S2403" s="17">
        <f>Q2403*(1-R2403)</f>
        <v>421200</v>
      </c>
      <c r="T2403" s="18">
        <f>S2403/'Financial Inputs'!$B$3</f>
        <v>4.2119999999999996E-3</v>
      </c>
      <c r="U2403" s="9" t="s">
        <v>52</v>
      </c>
      <c r="V2403" s="3" t="s">
        <v>53</v>
      </c>
    </row>
    <row r="2404" spans="1:22">
      <c r="A2404" s="2" t="s">
        <v>7460</v>
      </c>
      <c r="B2404" s="2" t="s">
        <v>7461</v>
      </c>
      <c r="C2404" s="2" t="s">
        <v>7454</v>
      </c>
      <c r="D2404" s="2" t="s">
        <v>64</v>
      </c>
      <c r="E2404" s="2" t="s">
        <v>65</v>
      </c>
      <c r="F2404" s="2" t="s">
        <v>66</v>
      </c>
      <c r="G2404" s="2" t="s">
        <v>67</v>
      </c>
      <c r="H2404" s="2" t="s">
        <v>46</v>
      </c>
      <c r="I2404" s="2" t="s">
        <v>47</v>
      </c>
      <c r="J2404" s="2" t="s">
        <v>1106</v>
      </c>
      <c r="K2404" s="2" t="s">
        <v>7462</v>
      </c>
      <c r="L2404" s="2" t="s">
        <v>69</v>
      </c>
      <c r="M2404" s="2" t="s">
        <v>7456</v>
      </c>
      <c r="N2404" s="16">
        <v>1.7999999999999999E-2</v>
      </c>
      <c r="O2404" s="17">
        <f>N2404*'Financial Inputs'!$B$3</f>
        <v>1799999.9999999998</v>
      </c>
      <c r="P2404" s="18">
        <f>IF(I2404="L",'Financial Inputs'!$B$4,IF(I2404="M",'Financial Inputs'!$B$5,'Financial Inputs'!$B$6))</f>
        <v>0.4</v>
      </c>
      <c r="Q2404" s="17">
        <f>O2404*P2404</f>
        <v>720000</v>
      </c>
      <c r="R2404" s="16">
        <f>'Financial Inputs'!$B$7</f>
        <v>0.35</v>
      </c>
      <c r="S2404" s="17">
        <f>Q2404*(1-R2404)</f>
        <v>468000</v>
      </c>
      <c r="T2404" s="18">
        <f>S2404/'Financial Inputs'!$B$3</f>
        <v>4.6800000000000001E-3</v>
      </c>
      <c r="U2404" s="9" t="s">
        <v>52</v>
      </c>
      <c r="V2404" s="3" t="s">
        <v>53</v>
      </c>
    </row>
    <row r="2405" spans="1:22">
      <c r="A2405" s="2" t="s">
        <v>7463</v>
      </c>
      <c r="B2405" s="2" t="s">
        <v>7464</v>
      </c>
      <c r="C2405" s="2" t="s">
        <v>7454</v>
      </c>
      <c r="D2405" s="2" t="s">
        <v>72</v>
      </c>
      <c r="E2405" s="2" t="s">
        <v>73</v>
      </c>
      <c r="F2405" s="2" t="s">
        <v>74</v>
      </c>
      <c r="G2405" s="2" t="s">
        <v>75</v>
      </c>
      <c r="H2405" s="2" t="s">
        <v>46</v>
      </c>
      <c r="I2405" s="2" t="s">
        <v>47</v>
      </c>
      <c r="J2405" s="2" t="s">
        <v>1106</v>
      </c>
      <c r="K2405" s="2" t="s">
        <v>7465</v>
      </c>
      <c r="L2405" s="2" t="s">
        <v>77</v>
      </c>
      <c r="M2405" s="2" t="s">
        <v>7456</v>
      </c>
      <c r="N2405" s="16">
        <v>1.9800000000000002E-2</v>
      </c>
      <c r="O2405" s="17">
        <f>N2405*'Financial Inputs'!$B$3</f>
        <v>1980000.0000000002</v>
      </c>
      <c r="P2405" s="18">
        <f>IF(I2405="L",'Financial Inputs'!$B$4,IF(I2405="M",'Financial Inputs'!$B$5,'Financial Inputs'!$B$6))</f>
        <v>0.4</v>
      </c>
      <c r="Q2405" s="17">
        <f>O2405*P2405</f>
        <v>792000.00000000012</v>
      </c>
      <c r="R2405" s="16">
        <f>'Financial Inputs'!$B$7</f>
        <v>0.35</v>
      </c>
      <c r="S2405" s="17">
        <f>Q2405*(1-R2405)</f>
        <v>514800.00000000012</v>
      </c>
      <c r="T2405" s="18">
        <f>S2405/'Financial Inputs'!$B$3</f>
        <v>5.1480000000000015E-3</v>
      </c>
      <c r="U2405" s="9" t="s">
        <v>52</v>
      </c>
      <c r="V2405" s="3" t="s">
        <v>53</v>
      </c>
    </row>
    <row r="2406" spans="1:22">
      <c r="A2406" s="2" t="s">
        <v>7466</v>
      </c>
      <c r="B2406" s="2" t="s">
        <v>7467</v>
      </c>
      <c r="C2406" s="2" t="s">
        <v>7454</v>
      </c>
      <c r="D2406" s="2" t="s">
        <v>80</v>
      </c>
      <c r="E2406" s="2" t="s">
        <v>81</v>
      </c>
      <c r="F2406" s="2" t="s">
        <v>82</v>
      </c>
      <c r="G2406" s="2" t="s">
        <v>83</v>
      </c>
      <c r="H2406" s="2" t="s">
        <v>46</v>
      </c>
      <c r="I2406" s="2" t="s">
        <v>47</v>
      </c>
      <c r="J2406" s="2" t="s">
        <v>1106</v>
      </c>
      <c r="K2406" s="2" t="s">
        <v>7468</v>
      </c>
      <c r="L2406" s="2" t="s">
        <v>85</v>
      </c>
      <c r="M2406" s="2" t="s">
        <v>7456</v>
      </c>
      <c r="N2406" s="16">
        <v>2.1600000000000001E-2</v>
      </c>
      <c r="O2406" s="17">
        <f>N2406*'Financial Inputs'!$B$3</f>
        <v>2160000</v>
      </c>
      <c r="P2406" s="18">
        <f>IF(I2406="L",'Financial Inputs'!$B$4,IF(I2406="M",'Financial Inputs'!$B$5,'Financial Inputs'!$B$6))</f>
        <v>0.4</v>
      </c>
      <c r="Q2406" s="17">
        <f>O2406*P2406</f>
        <v>864000</v>
      </c>
      <c r="R2406" s="16">
        <f>'Financial Inputs'!$B$7</f>
        <v>0.35</v>
      </c>
      <c r="S2406" s="17">
        <f>Q2406*(1-R2406)</f>
        <v>561600</v>
      </c>
      <c r="T2406" s="18">
        <f>S2406/'Financial Inputs'!$B$3</f>
        <v>5.6160000000000003E-3</v>
      </c>
      <c r="U2406" s="9" t="s">
        <v>52</v>
      </c>
      <c r="V2406" s="3" t="s">
        <v>53</v>
      </c>
    </row>
    <row r="2407" spans="1:22">
      <c r="A2407" s="2" t="s">
        <v>7469</v>
      </c>
      <c r="B2407" s="2" t="s">
        <v>7470</v>
      </c>
      <c r="C2407" s="2" t="s">
        <v>7454</v>
      </c>
      <c r="D2407" s="2" t="s">
        <v>88</v>
      </c>
      <c r="E2407" s="2" t="s">
        <v>89</v>
      </c>
      <c r="F2407" s="2" t="s">
        <v>90</v>
      </c>
      <c r="G2407" s="2" t="s">
        <v>67</v>
      </c>
      <c r="H2407" s="2" t="s">
        <v>46</v>
      </c>
      <c r="I2407" s="2" t="s">
        <v>47</v>
      </c>
      <c r="J2407" s="2" t="s">
        <v>1106</v>
      </c>
      <c r="K2407" s="2" t="s">
        <v>7471</v>
      </c>
      <c r="L2407" s="2" t="s">
        <v>92</v>
      </c>
      <c r="M2407" s="2" t="s">
        <v>7456</v>
      </c>
      <c r="N2407" s="16">
        <v>1.44E-2</v>
      </c>
      <c r="O2407" s="17">
        <f>N2407*'Financial Inputs'!$B$3</f>
        <v>1440000</v>
      </c>
      <c r="P2407" s="18">
        <f>IF(I2407="L",'Financial Inputs'!$B$4,IF(I2407="M",'Financial Inputs'!$B$5,'Financial Inputs'!$B$6))</f>
        <v>0.4</v>
      </c>
      <c r="Q2407" s="17">
        <f>O2407*P2407</f>
        <v>576000</v>
      </c>
      <c r="R2407" s="16">
        <f>'Financial Inputs'!$B$7</f>
        <v>0.35</v>
      </c>
      <c r="S2407" s="17">
        <f>Q2407*(1-R2407)</f>
        <v>374400</v>
      </c>
      <c r="T2407" s="18">
        <f>S2407/'Financial Inputs'!$B$3</f>
        <v>3.7439999999999999E-3</v>
      </c>
      <c r="U2407" s="9" t="s">
        <v>52</v>
      </c>
      <c r="V2407" s="3" t="s">
        <v>53</v>
      </c>
    </row>
    <row r="2408" spans="1:22">
      <c r="A2408" s="2" t="s">
        <v>7472</v>
      </c>
      <c r="B2408" s="2" t="s">
        <v>7473</v>
      </c>
      <c r="C2408" s="2" t="s">
        <v>7454</v>
      </c>
      <c r="D2408" s="2" t="s">
        <v>95</v>
      </c>
      <c r="E2408" s="2" t="s">
        <v>96</v>
      </c>
      <c r="F2408" s="2" t="s">
        <v>97</v>
      </c>
      <c r="G2408" s="2" t="s">
        <v>75</v>
      </c>
      <c r="H2408" s="2" t="s">
        <v>46</v>
      </c>
      <c r="I2408" s="2" t="s">
        <v>47</v>
      </c>
      <c r="J2408" s="2" t="s">
        <v>1106</v>
      </c>
      <c r="K2408" s="2" t="s">
        <v>7474</v>
      </c>
      <c r="L2408" s="2" t="s">
        <v>99</v>
      </c>
      <c r="M2408" s="2" t="s">
        <v>7456</v>
      </c>
      <c r="N2408" s="16">
        <v>1.6199999999999999E-2</v>
      </c>
      <c r="O2408" s="17">
        <f>N2408*'Financial Inputs'!$B$3</f>
        <v>1620000</v>
      </c>
      <c r="P2408" s="18">
        <f>IF(I2408="L",'Financial Inputs'!$B$4,IF(I2408="M",'Financial Inputs'!$B$5,'Financial Inputs'!$B$6))</f>
        <v>0.4</v>
      </c>
      <c r="Q2408" s="17">
        <f>O2408*P2408</f>
        <v>648000</v>
      </c>
      <c r="R2408" s="16">
        <f>'Financial Inputs'!$B$7</f>
        <v>0.35</v>
      </c>
      <c r="S2408" s="17">
        <f>Q2408*(1-R2408)</f>
        <v>421200</v>
      </c>
      <c r="T2408" s="18">
        <f>S2408/'Financial Inputs'!$B$3</f>
        <v>4.2119999999999996E-3</v>
      </c>
      <c r="U2408" s="9" t="s">
        <v>52</v>
      </c>
      <c r="V2408" s="3" t="s">
        <v>53</v>
      </c>
    </row>
    <row r="2409" spans="1:22">
      <c r="A2409" s="2" t="s">
        <v>7475</v>
      </c>
      <c r="B2409" s="2" t="s">
        <v>7476</v>
      </c>
      <c r="C2409" s="2" t="s">
        <v>7454</v>
      </c>
      <c r="D2409" s="2" t="s">
        <v>102</v>
      </c>
      <c r="E2409" s="2" t="s">
        <v>103</v>
      </c>
      <c r="F2409" s="2" t="s">
        <v>104</v>
      </c>
      <c r="G2409" s="2" t="s">
        <v>83</v>
      </c>
      <c r="H2409" s="2" t="s">
        <v>46</v>
      </c>
      <c r="I2409" s="2" t="s">
        <v>47</v>
      </c>
      <c r="J2409" s="2" t="s">
        <v>1106</v>
      </c>
      <c r="K2409" s="2" t="s">
        <v>7477</v>
      </c>
      <c r="L2409" s="2" t="s">
        <v>106</v>
      </c>
      <c r="M2409" s="2" t="s">
        <v>7456</v>
      </c>
      <c r="N2409" s="16">
        <v>1.7999999999999999E-2</v>
      </c>
      <c r="O2409" s="17">
        <f>N2409*'Financial Inputs'!$B$3</f>
        <v>1799999.9999999998</v>
      </c>
      <c r="P2409" s="18">
        <f>IF(I2409="L",'Financial Inputs'!$B$4,IF(I2409="M",'Financial Inputs'!$B$5,'Financial Inputs'!$B$6))</f>
        <v>0.4</v>
      </c>
      <c r="Q2409" s="17">
        <f>O2409*P2409</f>
        <v>720000</v>
      </c>
      <c r="R2409" s="16">
        <f>'Financial Inputs'!$B$7</f>
        <v>0.35</v>
      </c>
      <c r="S2409" s="17">
        <f>Q2409*(1-R2409)</f>
        <v>468000</v>
      </c>
      <c r="T2409" s="18">
        <f>S2409/'Financial Inputs'!$B$3</f>
        <v>4.6800000000000001E-3</v>
      </c>
      <c r="U2409" s="9" t="s">
        <v>52</v>
      </c>
      <c r="V2409" s="3" t="s">
        <v>53</v>
      </c>
    </row>
    <row r="2410" spans="1:22">
      <c r="A2410" s="2" t="s">
        <v>7478</v>
      </c>
      <c r="B2410" s="2" t="s">
        <v>7479</v>
      </c>
      <c r="C2410" s="2" t="s">
        <v>7454</v>
      </c>
      <c r="D2410" s="2" t="s">
        <v>42</v>
      </c>
      <c r="E2410" s="2" t="s">
        <v>109</v>
      </c>
      <c r="F2410" s="2" t="s">
        <v>110</v>
      </c>
      <c r="G2410" s="2" t="s">
        <v>111</v>
      </c>
      <c r="H2410" s="2" t="s">
        <v>46</v>
      </c>
      <c r="I2410" s="2" t="s">
        <v>47</v>
      </c>
      <c r="J2410" s="2" t="s">
        <v>1106</v>
      </c>
      <c r="K2410" s="2" t="s">
        <v>7480</v>
      </c>
      <c r="L2410" s="2" t="s">
        <v>113</v>
      </c>
      <c r="M2410" s="2" t="s">
        <v>7456</v>
      </c>
      <c r="N2410" s="16">
        <v>1.9800000000000002E-2</v>
      </c>
      <c r="O2410" s="17">
        <f>N2410*'Financial Inputs'!$B$3</f>
        <v>1980000.0000000002</v>
      </c>
      <c r="P2410" s="18">
        <f>IF(I2410="L",'Financial Inputs'!$B$4,IF(I2410="M",'Financial Inputs'!$B$5,'Financial Inputs'!$B$6))</f>
        <v>0.4</v>
      </c>
      <c r="Q2410" s="17">
        <f>O2410*P2410</f>
        <v>792000.00000000012</v>
      </c>
      <c r="R2410" s="16">
        <f>'Financial Inputs'!$B$7</f>
        <v>0.35</v>
      </c>
      <c r="S2410" s="17">
        <f>Q2410*(1-R2410)</f>
        <v>514800.00000000012</v>
      </c>
      <c r="T2410" s="18">
        <f>S2410/'Financial Inputs'!$B$3</f>
        <v>5.1480000000000015E-3</v>
      </c>
      <c r="U2410" s="9" t="s">
        <v>52</v>
      </c>
      <c r="V2410" s="3" t="s">
        <v>53</v>
      </c>
    </row>
    <row r="2411" spans="1:22">
      <c r="A2411" s="2" t="s">
        <v>7481</v>
      </c>
      <c r="B2411" s="2" t="s">
        <v>7482</v>
      </c>
      <c r="C2411" s="2" t="s">
        <v>7454</v>
      </c>
      <c r="D2411" s="2" t="s">
        <v>56</v>
      </c>
      <c r="E2411" s="2" t="s">
        <v>116</v>
      </c>
      <c r="F2411" s="2" t="s">
        <v>117</v>
      </c>
      <c r="G2411" s="2" t="s">
        <v>56</v>
      </c>
      <c r="H2411" s="2" t="s">
        <v>46</v>
      </c>
      <c r="I2411" s="2" t="s">
        <v>47</v>
      </c>
      <c r="J2411" s="2" t="s">
        <v>1106</v>
      </c>
      <c r="K2411" s="2" t="s">
        <v>7483</v>
      </c>
      <c r="L2411" s="2" t="s">
        <v>119</v>
      </c>
      <c r="M2411" s="2" t="s">
        <v>7456</v>
      </c>
      <c r="N2411" s="16">
        <v>2.1600000000000001E-2</v>
      </c>
      <c r="O2411" s="17">
        <f>N2411*'Financial Inputs'!$B$3</f>
        <v>2160000</v>
      </c>
      <c r="P2411" s="18">
        <f>IF(I2411="L",'Financial Inputs'!$B$4,IF(I2411="M",'Financial Inputs'!$B$5,'Financial Inputs'!$B$6))</f>
        <v>0.4</v>
      </c>
      <c r="Q2411" s="17">
        <f>O2411*P2411</f>
        <v>864000</v>
      </c>
      <c r="R2411" s="16">
        <f>'Financial Inputs'!$B$7</f>
        <v>0.35</v>
      </c>
      <c r="S2411" s="17">
        <f>Q2411*(1-R2411)</f>
        <v>561600</v>
      </c>
      <c r="T2411" s="18">
        <f>S2411/'Financial Inputs'!$B$3</f>
        <v>5.6160000000000003E-3</v>
      </c>
      <c r="U2411" s="9" t="s">
        <v>52</v>
      </c>
      <c r="V2411" s="3" t="s">
        <v>53</v>
      </c>
    </row>
    <row r="2412" spans="1:22">
      <c r="A2412" s="2" t="s">
        <v>7484</v>
      </c>
      <c r="B2412" s="2" t="s">
        <v>7485</v>
      </c>
      <c r="C2412" s="2" t="s">
        <v>7454</v>
      </c>
      <c r="D2412" s="2" t="s">
        <v>80</v>
      </c>
      <c r="E2412" s="2" t="s">
        <v>122</v>
      </c>
      <c r="F2412" s="2" t="s">
        <v>58</v>
      </c>
      <c r="G2412" s="2" t="s">
        <v>83</v>
      </c>
      <c r="H2412" s="2" t="s">
        <v>46</v>
      </c>
      <c r="I2412" s="2" t="s">
        <v>47</v>
      </c>
      <c r="J2412" s="2" t="s">
        <v>1106</v>
      </c>
      <c r="K2412" s="2" t="s">
        <v>7486</v>
      </c>
      <c r="L2412" s="2" t="s">
        <v>124</v>
      </c>
      <c r="M2412" s="2" t="s">
        <v>7456</v>
      </c>
      <c r="N2412" s="16">
        <v>1.44E-2</v>
      </c>
      <c r="O2412" s="17">
        <f>N2412*'Financial Inputs'!$B$3</f>
        <v>1440000</v>
      </c>
      <c r="P2412" s="18">
        <f>IF(I2412="L",'Financial Inputs'!$B$4,IF(I2412="M",'Financial Inputs'!$B$5,'Financial Inputs'!$B$6))</f>
        <v>0.4</v>
      </c>
      <c r="Q2412" s="17">
        <f>O2412*P2412</f>
        <v>576000</v>
      </c>
      <c r="R2412" s="16">
        <f>'Financial Inputs'!$B$7</f>
        <v>0.35</v>
      </c>
      <c r="S2412" s="17">
        <f>Q2412*(1-R2412)</f>
        <v>374400</v>
      </c>
      <c r="T2412" s="18">
        <f>S2412/'Financial Inputs'!$B$3</f>
        <v>3.7439999999999999E-3</v>
      </c>
      <c r="U2412" s="9" t="s">
        <v>52</v>
      </c>
      <c r="V2412" s="3" t="s">
        <v>53</v>
      </c>
    </row>
    <row r="2413" spans="1:22">
      <c r="A2413" s="2" t="s">
        <v>7487</v>
      </c>
      <c r="B2413" s="2" t="s">
        <v>7488</v>
      </c>
      <c r="C2413" s="2" t="s">
        <v>7454</v>
      </c>
      <c r="D2413" s="2" t="s">
        <v>127</v>
      </c>
      <c r="E2413" s="2" t="s">
        <v>128</v>
      </c>
      <c r="F2413" s="2" t="s">
        <v>66</v>
      </c>
      <c r="G2413" s="2" t="s">
        <v>111</v>
      </c>
      <c r="H2413" s="2" t="s">
        <v>46</v>
      </c>
      <c r="I2413" s="2" t="s">
        <v>47</v>
      </c>
      <c r="J2413" s="2" t="s">
        <v>1106</v>
      </c>
      <c r="K2413" s="2" t="s">
        <v>7489</v>
      </c>
      <c r="L2413" s="2" t="s">
        <v>130</v>
      </c>
      <c r="M2413" s="2" t="s">
        <v>7456</v>
      </c>
      <c r="N2413" s="16">
        <v>1.6199999999999999E-2</v>
      </c>
      <c r="O2413" s="17">
        <f>N2413*'Financial Inputs'!$B$3</f>
        <v>1620000</v>
      </c>
      <c r="P2413" s="18">
        <f>IF(I2413="L",'Financial Inputs'!$B$4,IF(I2413="M",'Financial Inputs'!$B$5,'Financial Inputs'!$B$6))</f>
        <v>0.4</v>
      </c>
      <c r="Q2413" s="17">
        <f>O2413*P2413</f>
        <v>648000</v>
      </c>
      <c r="R2413" s="16">
        <f>'Financial Inputs'!$B$7</f>
        <v>0.35</v>
      </c>
      <c r="S2413" s="17">
        <f>Q2413*(1-R2413)</f>
        <v>421200</v>
      </c>
      <c r="T2413" s="18">
        <f>S2413/'Financial Inputs'!$B$3</f>
        <v>4.2119999999999996E-3</v>
      </c>
      <c r="U2413" s="9" t="s">
        <v>52</v>
      </c>
      <c r="V2413" s="3" t="s">
        <v>53</v>
      </c>
    </row>
    <row r="2414" spans="1:22">
      <c r="A2414" s="2" t="s">
        <v>7490</v>
      </c>
      <c r="B2414" s="2" t="s">
        <v>7491</v>
      </c>
      <c r="C2414" s="2" t="s">
        <v>7454</v>
      </c>
      <c r="D2414" s="2" t="s">
        <v>133</v>
      </c>
      <c r="E2414" s="2" t="s">
        <v>43</v>
      </c>
      <c r="F2414" s="2" t="s">
        <v>74</v>
      </c>
      <c r="G2414" s="2" t="s">
        <v>56</v>
      </c>
      <c r="H2414" s="2" t="s">
        <v>46</v>
      </c>
      <c r="I2414" s="2" t="s">
        <v>47</v>
      </c>
      <c r="J2414" s="2" t="s">
        <v>1106</v>
      </c>
      <c r="K2414" s="2" t="s">
        <v>7492</v>
      </c>
      <c r="L2414" s="2" t="s">
        <v>135</v>
      </c>
      <c r="M2414" s="2" t="s">
        <v>7456</v>
      </c>
      <c r="N2414" s="16">
        <v>1.7999999999999999E-2</v>
      </c>
      <c r="O2414" s="17">
        <f>N2414*'Financial Inputs'!$B$3</f>
        <v>1799999.9999999998</v>
      </c>
      <c r="P2414" s="18">
        <f>IF(I2414="L",'Financial Inputs'!$B$4,IF(I2414="M",'Financial Inputs'!$B$5,'Financial Inputs'!$B$6))</f>
        <v>0.4</v>
      </c>
      <c r="Q2414" s="17">
        <f>O2414*P2414</f>
        <v>720000</v>
      </c>
      <c r="R2414" s="16">
        <f>'Financial Inputs'!$B$7</f>
        <v>0.35</v>
      </c>
      <c r="S2414" s="17">
        <f>Q2414*(1-R2414)</f>
        <v>468000</v>
      </c>
      <c r="T2414" s="18">
        <f>S2414/'Financial Inputs'!$B$3</f>
        <v>4.6800000000000001E-3</v>
      </c>
      <c r="U2414" s="9" t="s">
        <v>52</v>
      </c>
      <c r="V2414" s="3" t="s">
        <v>53</v>
      </c>
    </row>
    <row r="2415" spans="1:22">
      <c r="A2415" s="2" t="s">
        <v>7493</v>
      </c>
      <c r="B2415" s="2" t="s">
        <v>7494</v>
      </c>
      <c r="C2415" s="2" t="s">
        <v>7454</v>
      </c>
      <c r="D2415" s="2" t="s">
        <v>88</v>
      </c>
      <c r="E2415" s="2" t="s">
        <v>57</v>
      </c>
      <c r="F2415" s="2" t="s">
        <v>82</v>
      </c>
      <c r="G2415" s="2" t="s">
        <v>138</v>
      </c>
      <c r="H2415" s="2" t="s">
        <v>46</v>
      </c>
      <c r="I2415" s="2" t="s">
        <v>47</v>
      </c>
      <c r="J2415" s="2" t="s">
        <v>1106</v>
      </c>
      <c r="K2415" s="2" t="s">
        <v>7495</v>
      </c>
      <c r="L2415" s="2" t="s">
        <v>140</v>
      </c>
      <c r="M2415" s="2" t="s">
        <v>7456</v>
      </c>
      <c r="N2415" s="16">
        <v>1.9800000000000002E-2</v>
      </c>
      <c r="O2415" s="17">
        <f>N2415*'Financial Inputs'!$B$3</f>
        <v>1980000.0000000002</v>
      </c>
      <c r="P2415" s="18">
        <f>IF(I2415="L",'Financial Inputs'!$B$4,IF(I2415="M",'Financial Inputs'!$B$5,'Financial Inputs'!$B$6))</f>
        <v>0.4</v>
      </c>
      <c r="Q2415" s="17">
        <f>O2415*P2415</f>
        <v>792000.00000000012</v>
      </c>
      <c r="R2415" s="16">
        <f>'Financial Inputs'!$B$7</f>
        <v>0.35</v>
      </c>
      <c r="S2415" s="17">
        <f>Q2415*(1-R2415)</f>
        <v>514800.00000000012</v>
      </c>
      <c r="T2415" s="18">
        <f>S2415/'Financial Inputs'!$B$3</f>
        <v>5.1480000000000015E-3</v>
      </c>
      <c r="U2415" s="9" t="s">
        <v>52</v>
      </c>
      <c r="V2415" s="3" t="s">
        <v>53</v>
      </c>
    </row>
    <row r="2416" spans="1:22">
      <c r="A2416" s="2" t="s">
        <v>7496</v>
      </c>
      <c r="B2416" s="2" t="s">
        <v>7497</v>
      </c>
      <c r="C2416" s="2" t="s">
        <v>7454</v>
      </c>
      <c r="D2416" s="2" t="s">
        <v>95</v>
      </c>
      <c r="E2416" s="2" t="s">
        <v>65</v>
      </c>
      <c r="F2416" s="2" t="s">
        <v>44</v>
      </c>
      <c r="G2416" s="2" t="s">
        <v>143</v>
      </c>
      <c r="H2416" s="2" t="s">
        <v>46</v>
      </c>
      <c r="I2416" s="2" t="s">
        <v>47</v>
      </c>
      <c r="J2416" s="2" t="s">
        <v>1106</v>
      </c>
      <c r="K2416" s="2" t="s">
        <v>7498</v>
      </c>
      <c r="L2416" s="2" t="s">
        <v>145</v>
      </c>
      <c r="M2416" s="2" t="s">
        <v>7456</v>
      </c>
      <c r="N2416" s="16">
        <v>2.1600000000000001E-2</v>
      </c>
      <c r="O2416" s="17">
        <f>N2416*'Financial Inputs'!$B$3</f>
        <v>2160000</v>
      </c>
      <c r="P2416" s="18">
        <f>IF(I2416="L",'Financial Inputs'!$B$4,IF(I2416="M",'Financial Inputs'!$B$5,'Financial Inputs'!$B$6))</f>
        <v>0.4</v>
      </c>
      <c r="Q2416" s="17">
        <f>O2416*P2416</f>
        <v>864000</v>
      </c>
      <c r="R2416" s="16">
        <f>'Financial Inputs'!$B$7</f>
        <v>0.35</v>
      </c>
      <c r="S2416" s="17">
        <f>Q2416*(1-R2416)</f>
        <v>561600</v>
      </c>
      <c r="T2416" s="18">
        <f>S2416/'Financial Inputs'!$B$3</f>
        <v>5.6160000000000003E-3</v>
      </c>
      <c r="U2416" s="9" t="s">
        <v>52</v>
      </c>
      <c r="V2416" s="3" t="s">
        <v>53</v>
      </c>
    </row>
    <row r="2417" spans="1:22">
      <c r="A2417" s="2" t="s">
        <v>7499</v>
      </c>
      <c r="B2417" s="2" t="s">
        <v>7500</v>
      </c>
      <c r="C2417" s="2" t="s">
        <v>7454</v>
      </c>
      <c r="D2417" s="2" t="s">
        <v>56</v>
      </c>
      <c r="E2417" s="2" t="s">
        <v>148</v>
      </c>
      <c r="F2417" s="2" t="s">
        <v>97</v>
      </c>
      <c r="G2417" s="2" t="s">
        <v>56</v>
      </c>
      <c r="H2417" s="2" t="s">
        <v>46</v>
      </c>
      <c r="I2417" s="2" t="s">
        <v>47</v>
      </c>
      <c r="J2417" s="2" t="s">
        <v>1106</v>
      </c>
      <c r="K2417" s="2" t="s">
        <v>7501</v>
      </c>
      <c r="L2417" s="2" t="s">
        <v>150</v>
      </c>
      <c r="M2417" s="2" t="s">
        <v>7456</v>
      </c>
      <c r="N2417" s="16">
        <v>1.44E-2</v>
      </c>
      <c r="O2417" s="17">
        <f>N2417*'Financial Inputs'!$B$3</f>
        <v>1440000</v>
      </c>
      <c r="P2417" s="18">
        <f>IF(I2417="L",'Financial Inputs'!$B$4,IF(I2417="M",'Financial Inputs'!$B$5,'Financial Inputs'!$B$6))</f>
        <v>0.4</v>
      </c>
      <c r="Q2417" s="17">
        <f>O2417*P2417</f>
        <v>576000</v>
      </c>
      <c r="R2417" s="16">
        <f>'Financial Inputs'!$B$7</f>
        <v>0.35</v>
      </c>
      <c r="S2417" s="17">
        <f>Q2417*(1-R2417)</f>
        <v>374400</v>
      </c>
      <c r="T2417" s="18">
        <f>S2417/'Financial Inputs'!$B$3</f>
        <v>3.7439999999999999E-3</v>
      </c>
      <c r="U2417" s="9" t="s">
        <v>52</v>
      </c>
      <c r="V2417" s="3" t="s">
        <v>53</v>
      </c>
    </row>
    <row r="2418" spans="1:22">
      <c r="A2418" s="2" t="s">
        <v>7502</v>
      </c>
      <c r="B2418" s="2" t="s">
        <v>7503</v>
      </c>
      <c r="C2418" s="2" t="s">
        <v>7454</v>
      </c>
      <c r="D2418" s="2" t="s">
        <v>64</v>
      </c>
      <c r="E2418" s="2" t="s">
        <v>153</v>
      </c>
      <c r="F2418" s="2" t="s">
        <v>104</v>
      </c>
      <c r="G2418" s="2" t="s">
        <v>138</v>
      </c>
      <c r="H2418" s="2" t="s">
        <v>46</v>
      </c>
      <c r="I2418" s="2" t="s">
        <v>47</v>
      </c>
      <c r="J2418" s="2" t="s">
        <v>1106</v>
      </c>
      <c r="K2418" s="2" t="s">
        <v>7504</v>
      </c>
      <c r="L2418" s="2" t="s">
        <v>155</v>
      </c>
      <c r="M2418" s="2" t="s">
        <v>7456</v>
      </c>
      <c r="N2418" s="16">
        <v>1.6199999999999999E-2</v>
      </c>
      <c r="O2418" s="17">
        <f>N2418*'Financial Inputs'!$B$3</f>
        <v>1620000</v>
      </c>
      <c r="P2418" s="18">
        <f>IF(I2418="L",'Financial Inputs'!$B$4,IF(I2418="M",'Financial Inputs'!$B$5,'Financial Inputs'!$B$6))</f>
        <v>0.4</v>
      </c>
      <c r="Q2418" s="17">
        <f>O2418*P2418</f>
        <v>648000</v>
      </c>
      <c r="R2418" s="16">
        <f>'Financial Inputs'!$B$7</f>
        <v>0.35</v>
      </c>
      <c r="S2418" s="17">
        <f>Q2418*(1-R2418)</f>
        <v>421200</v>
      </c>
      <c r="T2418" s="18">
        <f>S2418/'Financial Inputs'!$B$3</f>
        <v>4.2119999999999996E-3</v>
      </c>
      <c r="U2418" s="9" t="s">
        <v>52</v>
      </c>
      <c r="V2418" s="3" t="s">
        <v>53</v>
      </c>
    </row>
    <row r="2419" spans="1:22">
      <c r="A2419" s="2" t="s">
        <v>7505</v>
      </c>
      <c r="B2419" s="2" t="s">
        <v>7506</v>
      </c>
      <c r="C2419" s="2" t="s">
        <v>7454</v>
      </c>
      <c r="D2419" s="2" t="s">
        <v>72</v>
      </c>
      <c r="E2419" s="2" t="s">
        <v>89</v>
      </c>
      <c r="F2419" s="2" t="s">
        <v>110</v>
      </c>
      <c r="G2419" s="2" t="s">
        <v>143</v>
      </c>
      <c r="H2419" s="2" t="s">
        <v>46</v>
      </c>
      <c r="I2419" s="2" t="s">
        <v>47</v>
      </c>
      <c r="J2419" s="2" t="s">
        <v>1106</v>
      </c>
      <c r="K2419" s="2" t="s">
        <v>7507</v>
      </c>
      <c r="L2419" s="2" t="s">
        <v>159</v>
      </c>
      <c r="M2419" s="2" t="s">
        <v>7456</v>
      </c>
      <c r="N2419" s="16">
        <v>1.7999999999999999E-2</v>
      </c>
      <c r="O2419" s="17">
        <f>N2419*'Financial Inputs'!$B$3</f>
        <v>1799999.9999999998</v>
      </c>
      <c r="P2419" s="18">
        <f>IF(I2419="L",'Financial Inputs'!$B$4,IF(I2419="M",'Financial Inputs'!$B$5,'Financial Inputs'!$B$6))</f>
        <v>0.4</v>
      </c>
      <c r="Q2419" s="17">
        <f>O2419*P2419</f>
        <v>720000</v>
      </c>
      <c r="R2419" s="16">
        <f>'Financial Inputs'!$B$7</f>
        <v>0.35</v>
      </c>
      <c r="S2419" s="17">
        <f>Q2419*(1-R2419)</f>
        <v>468000</v>
      </c>
      <c r="T2419" s="18">
        <f>S2419/'Financial Inputs'!$B$3</f>
        <v>4.6800000000000001E-3</v>
      </c>
      <c r="U2419" s="9" t="s">
        <v>52</v>
      </c>
      <c r="V2419" s="3" t="s">
        <v>53</v>
      </c>
    </row>
    <row r="2420" spans="1:22">
      <c r="A2420" s="2" t="s">
        <v>7508</v>
      </c>
      <c r="B2420" s="2" t="s">
        <v>7509</v>
      </c>
      <c r="C2420" s="2" t="s">
        <v>7454</v>
      </c>
      <c r="D2420" s="2" t="s">
        <v>80</v>
      </c>
      <c r="E2420" s="2" t="s">
        <v>96</v>
      </c>
      <c r="F2420" s="2" t="s">
        <v>117</v>
      </c>
      <c r="G2420" s="2" t="s">
        <v>162</v>
      </c>
      <c r="H2420" s="2" t="s">
        <v>46</v>
      </c>
      <c r="I2420" s="2" t="s">
        <v>47</v>
      </c>
      <c r="J2420" s="2" t="s">
        <v>1106</v>
      </c>
      <c r="K2420" s="2" t="s">
        <v>7510</v>
      </c>
      <c r="L2420" s="2" t="s">
        <v>164</v>
      </c>
      <c r="M2420" s="2" t="s">
        <v>7456</v>
      </c>
      <c r="N2420" s="16">
        <v>1.9800000000000002E-2</v>
      </c>
      <c r="O2420" s="17">
        <f>N2420*'Financial Inputs'!$B$3</f>
        <v>1980000.0000000002</v>
      </c>
      <c r="P2420" s="18">
        <f>IF(I2420="L",'Financial Inputs'!$B$4,IF(I2420="M",'Financial Inputs'!$B$5,'Financial Inputs'!$B$6))</f>
        <v>0.4</v>
      </c>
      <c r="Q2420" s="17">
        <f>O2420*P2420</f>
        <v>792000.00000000012</v>
      </c>
      <c r="R2420" s="16">
        <f>'Financial Inputs'!$B$7</f>
        <v>0.35</v>
      </c>
      <c r="S2420" s="17">
        <f>Q2420*(1-R2420)</f>
        <v>514800.00000000012</v>
      </c>
      <c r="T2420" s="18">
        <f>S2420/'Financial Inputs'!$B$3</f>
        <v>5.1480000000000015E-3</v>
      </c>
      <c r="U2420" s="9" t="s">
        <v>52</v>
      </c>
      <c r="V2420" s="3" t="s">
        <v>53</v>
      </c>
    </row>
    <row r="2421" spans="1:22">
      <c r="A2421" s="2" t="s">
        <v>7511</v>
      </c>
      <c r="B2421" s="2" t="s">
        <v>7512</v>
      </c>
      <c r="C2421" s="2" t="s">
        <v>7454</v>
      </c>
      <c r="D2421" s="2" t="s">
        <v>127</v>
      </c>
      <c r="E2421" s="2" t="s">
        <v>103</v>
      </c>
      <c r="F2421" s="2" t="s">
        <v>90</v>
      </c>
      <c r="G2421" s="2" t="s">
        <v>45</v>
      </c>
      <c r="H2421" s="2" t="s">
        <v>46</v>
      </c>
      <c r="I2421" s="2" t="s">
        <v>47</v>
      </c>
      <c r="J2421" s="2" t="s">
        <v>1106</v>
      </c>
      <c r="K2421" s="2" t="s">
        <v>7513</v>
      </c>
      <c r="L2421" s="2" t="s">
        <v>168</v>
      </c>
      <c r="M2421" s="2" t="s">
        <v>7456</v>
      </c>
      <c r="N2421" s="16">
        <v>2.1600000000000001E-2</v>
      </c>
      <c r="O2421" s="17">
        <f>N2421*'Financial Inputs'!$B$3</f>
        <v>2160000</v>
      </c>
      <c r="P2421" s="18">
        <f>IF(I2421="L",'Financial Inputs'!$B$4,IF(I2421="M",'Financial Inputs'!$B$5,'Financial Inputs'!$B$6))</f>
        <v>0.4</v>
      </c>
      <c r="Q2421" s="17">
        <f>O2421*P2421</f>
        <v>864000</v>
      </c>
      <c r="R2421" s="16">
        <f>'Financial Inputs'!$B$7</f>
        <v>0.35</v>
      </c>
      <c r="S2421" s="17">
        <f>Q2421*(1-R2421)</f>
        <v>561600</v>
      </c>
      <c r="T2421" s="18">
        <f>S2421/'Financial Inputs'!$B$3</f>
        <v>5.6160000000000003E-3</v>
      </c>
      <c r="U2421" s="9" t="s">
        <v>52</v>
      </c>
      <c r="V2421" s="3" t="s">
        <v>53</v>
      </c>
    </row>
    <row r="2422" spans="1:22">
      <c r="A2422" s="2" t="s">
        <v>7514</v>
      </c>
      <c r="B2422" s="2" t="s">
        <v>7515</v>
      </c>
      <c r="C2422" s="2" t="s">
        <v>7454</v>
      </c>
      <c r="D2422" s="2" t="s">
        <v>95</v>
      </c>
      <c r="E2422" s="2" t="s">
        <v>171</v>
      </c>
      <c r="F2422" s="2" t="s">
        <v>66</v>
      </c>
      <c r="G2422" s="2" t="s">
        <v>143</v>
      </c>
      <c r="H2422" s="2" t="s">
        <v>46</v>
      </c>
      <c r="I2422" s="2" t="s">
        <v>47</v>
      </c>
      <c r="J2422" s="2" t="s">
        <v>1106</v>
      </c>
      <c r="K2422" s="2" t="s">
        <v>7516</v>
      </c>
      <c r="L2422" s="2" t="s">
        <v>173</v>
      </c>
      <c r="M2422" s="2" t="s">
        <v>7456</v>
      </c>
      <c r="N2422" s="16">
        <v>1.44E-2</v>
      </c>
      <c r="O2422" s="17">
        <f>N2422*'Financial Inputs'!$B$3</f>
        <v>1440000</v>
      </c>
      <c r="P2422" s="18">
        <f>IF(I2422="L",'Financial Inputs'!$B$4,IF(I2422="M",'Financial Inputs'!$B$5,'Financial Inputs'!$B$6))</f>
        <v>0.4</v>
      </c>
      <c r="Q2422" s="17">
        <f>O2422*P2422</f>
        <v>576000</v>
      </c>
      <c r="R2422" s="16">
        <f>'Financial Inputs'!$B$7</f>
        <v>0.35</v>
      </c>
      <c r="S2422" s="17">
        <f>Q2422*(1-R2422)</f>
        <v>374400</v>
      </c>
      <c r="T2422" s="18">
        <f>S2422/'Financial Inputs'!$B$3</f>
        <v>3.7439999999999999E-3</v>
      </c>
      <c r="U2422" s="9" t="s">
        <v>52</v>
      </c>
      <c r="V2422" s="3" t="s">
        <v>53</v>
      </c>
    </row>
    <row r="2423" spans="1:22">
      <c r="A2423" s="2" t="s">
        <v>7517</v>
      </c>
      <c r="B2423" s="2" t="s">
        <v>7518</v>
      </c>
      <c r="C2423" s="2" t="s">
        <v>7454</v>
      </c>
      <c r="D2423" s="2" t="s">
        <v>102</v>
      </c>
      <c r="E2423" s="2" t="s">
        <v>176</v>
      </c>
      <c r="F2423" s="2" t="s">
        <v>74</v>
      </c>
      <c r="G2423" s="2" t="s">
        <v>162</v>
      </c>
      <c r="H2423" s="2" t="s">
        <v>46</v>
      </c>
      <c r="I2423" s="2" t="s">
        <v>47</v>
      </c>
      <c r="J2423" s="2" t="s">
        <v>1106</v>
      </c>
      <c r="K2423" s="2" t="s">
        <v>7519</v>
      </c>
      <c r="L2423" s="2" t="s">
        <v>178</v>
      </c>
      <c r="M2423" s="2" t="s">
        <v>7456</v>
      </c>
      <c r="N2423" s="16">
        <v>1.6199999999999999E-2</v>
      </c>
      <c r="O2423" s="17">
        <f>N2423*'Financial Inputs'!$B$3</f>
        <v>1620000</v>
      </c>
      <c r="P2423" s="18">
        <f>IF(I2423="L",'Financial Inputs'!$B$4,IF(I2423="M",'Financial Inputs'!$B$5,'Financial Inputs'!$B$6))</f>
        <v>0.4</v>
      </c>
      <c r="Q2423" s="17">
        <f>O2423*P2423</f>
        <v>648000</v>
      </c>
      <c r="R2423" s="16">
        <f>'Financial Inputs'!$B$7</f>
        <v>0.35</v>
      </c>
      <c r="S2423" s="17">
        <f>Q2423*(1-R2423)</f>
        <v>421200</v>
      </c>
      <c r="T2423" s="18">
        <f>S2423/'Financial Inputs'!$B$3</f>
        <v>4.2119999999999996E-3</v>
      </c>
      <c r="U2423" s="9" t="s">
        <v>52</v>
      </c>
      <c r="V2423" s="3" t="s">
        <v>53</v>
      </c>
    </row>
    <row r="2424" spans="1:22">
      <c r="A2424" s="2" t="s">
        <v>7520</v>
      </c>
      <c r="B2424" s="2" t="s">
        <v>7521</v>
      </c>
      <c r="C2424" s="2" t="s">
        <v>7454</v>
      </c>
      <c r="D2424" s="2" t="s">
        <v>42</v>
      </c>
      <c r="E2424" s="2" t="s">
        <v>122</v>
      </c>
      <c r="F2424" s="2" t="s">
        <v>82</v>
      </c>
      <c r="G2424" s="2" t="s">
        <v>45</v>
      </c>
      <c r="H2424" s="2" t="s">
        <v>46</v>
      </c>
      <c r="I2424" s="2" t="s">
        <v>47</v>
      </c>
      <c r="J2424" s="2" t="s">
        <v>1106</v>
      </c>
      <c r="K2424" s="2" t="s">
        <v>7522</v>
      </c>
      <c r="L2424" s="2" t="s">
        <v>182</v>
      </c>
      <c r="M2424" s="2" t="s">
        <v>7456</v>
      </c>
      <c r="N2424" s="16">
        <v>1.7999999999999999E-2</v>
      </c>
      <c r="O2424" s="17">
        <f>N2424*'Financial Inputs'!$B$3</f>
        <v>1799999.9999999998</v>
      </c>
      <c r="P2424" s="18">
        <f>IF(I2424="L",'Financial Inputs'!$B$4,IF(I2424="M",'Financial Inputs'!$B$5,'Financial Inputs'!$B$6))</f>
        <v>0.4</v>
      </c>
      <c r="Q2424" s="17">
        <f>O2424*P2424</f>
        <v>720000</v>
      </c>
      <c r="R2424" s="16">
        <f>'Financial Inputs'!$B$7</f>
        <v>0.35</v>
      </c>
      <c r="S2424" s="17">
        <f>Q2424*(1-R2424)</f>
        <v>468000</v>
      </c>
      <c r="T2424" s="18">
        <f>S2424/'Financial Inputs'!$B$3</f>
        <v>4.6800000000000001E-3</v>
      </c>
      <c r="U2424" s="9" t="s">
        <v>52</v>
      </c>
      <c r="V2424" s="3" t="s">
        <v>53</v>
      </c>
    </row>
    <row r="2425" spans="1:22">
      <c r="A2425" s="2" t="s">
        <v>7523</v>
      </c>
      <c r="B2425" s="2" t="s">
        <v>7524</v>
      </c>
      <c r="C2425" s="2" t="s">
        <v>7454</v>
      </c>
      <c r="D2425" s="2" t="s">
        <v>56</v>
      </c>
      <c r="E2425" s="2" t="s">
        <v>128</v>
      </c>
      <c r="F2425" s="2" t="s">
        <v>44</v>
      </c>
      <c r="G2425" s="2" t="s">
        <v>59</v>
      </c>
      <c r="H2425" s="2" t="s">
        <v>46</v>
      </c>
      <c r="I2425" s="2" t="s">
        <v>47</v>
      </c>
      <c r="J2425" s="2" t="s">
        <v>1106</v>
      </c>
      <c r="K2425" s="2" t="s">
        <v>7525</v>
      </c>
      <c r="L2425" s="2" t="s">
        <v>186</v>
      </c>
      <c r="M2425" s="2" t="s">
        <v>7456</v>
      </c>
      <c r="N2425" s="16">
        <v>1.9800000000000002E-2</v>
      </c>
      <c r="O2425" s="17">
        <f>N2425*'Financial Inputs'!$B$3</f>
        <v>1980000.0000000002</v>
      </c>
      <c r="P2425" s="18">
        <f>IF(I2425="L",'Financial Inputs'!$B$4,IF(I2425="M",'Financial Inputs'!$B$5,'Financial Inputs'!$B$6))</f>
        <v>0.4</v>
      </c>
      <c r="Q2425" s="17">
        <f>O2425*P2425</f>
        <v>792000.00000000012</v>
      </c>
      <c r="R2425" s="16">
        <f>'Financial Inputs'!$B$7</f>
        <v>0.35</v>
      </c>
      <c r="S2425" s="17">
        <f>Q2425*(1-R2425)</f>
        <v>514800.00000000012</v>
      </c>
      <c r="T2425" s="18">
        <f>S2425/'Financial Inputs'!$B$3</f>
        <v>5.1480000000000015E-3</v>
      </c>
      <c r="U2425" s="9" t="s">
        <v>52</v>
      </c>
      <c r="V2425" s="3" t="s">
        <v>53</v>
      </c>
    </row>
    <row r="2426" spans="1:22">
      <c r="A2426" s="2" t="s">
        <v>7526</v>
      </c>
      <c r="B2426" s="2" t="s">
        <v>7527</v>
      </c>
      <c r="C2426" s="2" t="s">
        <v>7454</v>
      </c>
      <c r="D2426" s="2" t="s">
        <v>64</v>
      </c>
      <c r="E2426" s="2" t="s">
        <v>43</v>
      </c>
      <c r="F2426" s="2" t="s">
        <v>58</v>
      </c>
      <c r="G2426" s="2" t="s">
        <v>67</v>
      </c>
      <c r="H2426" s="2" t="s">
        <v>46</v>
      </c>
      <c r="I2426" s="2" t="s">
        <v>47</v>
      </c>
      <c r="J2426" s="2" t="s">
        <v>1106</v>
      </c>
      <c r="K2426" s="2" t="s">
        <v>7528</v>
      </c>
      <c r="L2426" s="2" t="s">
        <v>190</v>
      </c>
      <c r="M2426" s="2" t="s">
        <v>7456</v>
      </c>
      <c r="N2426" s="16">
        <v>2.1600000000000001E-2</v>
      </c>
      <c r="O2426" s="17">
        <f>N2426*'Financial Inputs'!$B$3</f>
        <v>2160000</v>
      </c>
      <c r="P2426" s="18">
        <f>IF(I2426="L",'Financial Inputs'!$B$4,IF(I2426="M",'Financial Inputs'!$B$5,'Financial Inputs'!$B$6))</f>
        <v>0.4</v>
      </c>
      <c r="Q2426" s="17">
        <f>O2426*P2426</f>
        <v>864000</v>
      </c>
      <c r="R2426" s="16">
        <f>'Financial Inputs'!$B$7</f>
        <v>0.35</v>
      </c>
      <c r="S2426" s="17">
        <f>Q2426*(1-R2426)</f>
        <v>561600</v>
      </c>
      <c r="T2426" s="18">
        <f>S2426/'Financial Inputs'!$B$3</f>
        <v>5.6160000000000003E-3</v>
      </c>
      <c r="U2426" s="9" t="s">
        <v>52</v>
      </c>
      <c r="V2426" s="3" t="s">
        <v>53</v>
      </c>
    </row>
    <row r="2427" spans="1:22">
      <c r="A2427" s="2" t="s">
        <v>7529</v>
      </c>
      <c r="B2427" s="2" t="s">
        <v>7530</v>
      </c>
      <c r="C2427" s="2" t="s">
        <v>7454</v>
      </c>
      <c r="D2427" s="2" t="s">
        <v>127</v>
      </c>
      <c r="E2427" s="2" t="s">
        <v>193</v>
      </c>
      <c r="F2427" s="2" t="s">
        <v>104</v>
      </c>
      <c r="G2427" s="2" t="s">
        <v>45</v>
      </c>
      <c r="H2427" s="2" t="s">
        <v>46</v>
      </c>
      <c r="I2427" s="2" t="s">
        <v>47</v>
      </c>
      <c r="J2427" s="2" t="s">
        <v>1106</v>
      </c>
      <c r="K2427" s="2" t="s">
        <v>7531</v>
      </c>
      <c r="L2427" s="2" t="s">
        <v>195</v>
      </c>
      <c r="M2427" s="2" t="s">
        <v>7456</v>
      </c>
      <c r="N2427" s="16">
        <v>1.44E-2</v>
      </c>
      <c r="O2427" s="17">
        <f>N2427*'Financial Inputs'!$B$3</f>
        <v>1440000</v>
      </c>
      <c r="P2427" s="18">
        <f>IF(I2427="L",'Financial Inputs'!$B$4,IF(I2427="M",'Financial Inputs'!$B$5,'Financial Inputs'!$B$6))</f>
        <v>0.4</v>
      </c>
      <c r="Q2427" s="17">
        <f>O2427*P2427</f>
        <v>576000</v>
      </c>
      <c r="R2427" s="16">
        <f>'Financial Inputs'!$B$7</f>
        <v>0.35</v>
      </c>
      <c r="S2427" s="17">
        <f>Q2427*(1-R2427)</f>
        <v>374400</v>
      </c>
      <c r="T2427" s="18">
        <f>S2427/'Financial Inputs'!$B$3</f>
        <v>3.7439999999999999E-3</v>
      </c>
      <c r="U2427" s="9" t="s">
        <v>52</v>
      </c>
      <c r="V2427" s="3" t="s">
        <v>53</v>
      </c>
    </row>
    <row r="2428" spans="1:22">
      <c r="A2428" s="2" t="s">
        <v>7532</v>
      </c>
      <c r="B2428" s="2" t="s">
        <v>7533</v>
      </c>
      <c r="C2428" s="2" t="s">
        <v>7454</v>
      </c>
      <c r="D2428" s="2" t="s">
        <v>133</v>
      </c>
      <c r="E2428" s="2" t="s">
        <v>198</v>
      </c>
      <c r="F2428" s="2" t="s">
        <v>110</v>
      </c>
      <c r="G2428" s="2" t="s">
        <v>59</v>
      </c>
      <c r="H2428" s="2" t="s">
        <v>46</v>
      </c>
      <c r="I2428" s="2" t="s">
        <v>47</v>
      </c>
      <c r="J2428" s="2" t="s">
        <v>1106</v>
      </c>
      <c r="K2428" s="2" t="s">
        <v>7534</v>
      </c>
      <c r="L2428" s="2" t="s">
        <v>200</v>
      </c>
      <c r="M2428" s="2" t="s">
        <v>7456</v>
      </c>
      <c r="N2428" s="16">
        <v>1.6199999999999999E-2</v>
      </c>
      <c r="O2428" s="17">
        <f>N2428*'Financial Inputs'!$B$3</f>
        <v>1620000</v>
      </c>
      <c r="P2428" s="18">
        <f>IF(I2428="L",'Financial Inputs'!$B$4,IF(I2428="M",'Financial Inputs'!$B$5,'Financial Inputs'!$B$6))</f>
        <v>0.4</v>
      </c>
      <c r="Q2428" s="17">
        <f>O2428*P2428</f>
        <v>648000</v>
      </c>
      <c r="R2428" s="16">
        <f>'Financial Inputs'!$B$7</f>
        <v>0.35</v>
      </c>
      <c r="S2428" s="17">
        <f>Q2428*(1-R2428)</f>
        <v>421200</v>
      </c>
      <c r="T2428" s="18">
        <f>S2428/'Financial Inputs'!$B$3</f>
        <v>4.2119999999999996E-3</v>
      </c>
      <c r="U2428" s="9" t="s">
        <v>52</v>
      </c>
      <c r="V2428" s="3" t="s">
        <v>53</v>
      </c>
    </row>
    <row r="2429" spans="1:22">
      <c r="A2429" s="2" t="s">
        <v>7535</v>
      </c>
      <c r="B2429" s="2" t="s">
        <v>7536</v>
      </c>
      <c r="C2429" s="2" t="s">
        <v>7454</v>
      </c>
      <c r="D2429" s="2" t="s">
        <v>88</v>
      </c>
      <c r="E2429" s="2" t="s">
        <v>148</v>
      </c>
      <c r="F2429" s="2" t="s">
        <v>117</v>
      </c>
      <c r="G2429" s="2" t="s">
        <v>67</v>
      </c>
      <c r="H2429" s="2" t="s">
        <v>46</v>
      </c>
      <c r="I2429" s="2" t="s">
        <v>47</v>
      </c>
      <c r="J2429" s="2" t="s">
        <v>1106</v>
      </c>
      <c r="K2429" s="2" t="s">
        <v>7537</v>
      </c>
      <c r="L2429" s="2" t="s">
        <v>204</v>
      </c>
      <c r="M2429" s="2" t="s">
        <v>7456</v>
      </c>
      <c r="N2429" s="16">
        <v>1.7999999999999999E-2</v>
      </c>
      <c r="O2429" s="17">
        <f>N2429*'Financial Inputs'!$B$3</f>
        <v>1799999.9999999998</v>
      </c>
      <c r="P2429" s="18">
        <f>IF(I2429="L",'Financial Inputs'!$B$4,IF(I2429="M",'Financial Inputs'!$B$5,'Financial Inputs'!$B$6))</f>
        <v>0.4</v>
      </c>
      <c r="Q2429" s="17">
        <f>O2429*P2429</f>
        <v>720000</v>
      </c>
      <c r="R2429" s="16">
        <f>'Financial Inputs'!$B$7</f>
        <v>0.35</v>
      </c>
      <c r="S2429" s="17">
        <f>Q2429*(1-R2429)</f>
        <v>468000</v>
      </c>
      <c r="T2429" s="18">
        <f>S2429/'Financial Inputs'!$B$3</f>
        <v>4.6800000000000001E-3</v>
      </c>
      <c r="U2429" s="9" t="s">
        <v>52</v>
      </c>
      <c r="V2429" s="3" t="s">
        <v>53</v>
      </c>
    </row>
    <row r="2430" spans="1:22">
      <c r="A2430" s="2" t="s">
        <v>7538</v>
      </c>
      <c r="B2430" s="2" t="s">
        <v>7539</v>
      </c>
      <c r="C2430" s="2" t="s">
        <v>7454</v>
      </c>
      <c r="D2430" s="2" t="s">
        <v>95</v>
      </c>
      <c r="E2430" s="2" t="s">
        <v>153</v>
      </c>
      <c r="F2430" s="2" t="s">
        <v>90</v>
      </c>
      <c r="G2430" s="2" t="s">
        <v>75</v>
      </c>
      <c r="H2430" s="2" t="s">
        <v>46</v>
      </c>
      <c r="I2430" s="2" t="s">
        <v>47</v>
      </c>
      <c r="J2430" s="2" t="s">
        <v>1106</v>
      </c>
      <c r="K2430" s="2" t="s">
        <v>7540</v>
      </c>
      <c r="L2430" s="2" t="s">
        <v>208</v>
      </c>
      <c r="M2430" s="2" t="s">
        <v>7456</v>
      </c>
      <c r="N2430" s="16">
        <v>1.9800000000000002E-2</v>
      </c>
      <c r="O2430" s="17">
        <f>N2430*'Financial Inputs'!$B$3</f>
        <v>1980000.0000000002</v>
      </c>
      <c r="P2430" s="18">
        <f>IF(I2430="L",'Financial Inputs'!$B$4,IF(I2430="M",'Financial Inputs'!$B$5,'Financial Inputs'!$B$6))</f>
        <v>0.4</v>
      </c>
      <c r="Q2430" s="17">
        <f>O2430*P2430</f>
        <v>792000.00000000012</v>
      </c>
      <c r="R2430" s="16">
        <f>'Financial Inputs'!$B$7</f>
        <v>0.35</v>
      </c>
      <c r="S2430" s="17">
        <f>Q2430*(1-R2430)</f>
        <v>514800.00000000012</v>
      </c>
      <c r="T2430" s="18">
        <f>S2430/'Financial Inputs'!$B$3</f>
        <v>5.1480000000000015E-3</v>
      </c>
      <c r="U2430" s="9" t="s">
        <v>52</v>
      </c>
      <c r="V2430" s="3" t="s">
        <v>53</v>
      </c>
    </row>
    <row r="2431" spans="1:22">
      <c r="A2431" s="2" t="s">
        <v>7541</v>
      </c>
      <c r="B2431" s="2" t="s">
        <v>7542</v>
      </c>
      <c r="C2431" s="2" t="s">
        <v>7454</v>
      </c>
      <c r="D2431" s="2" t="s">
        <v>102</v>
      </c>
      <c r="E2431" s="2" t="s">
        <v>89</v>
      </c>
      <c r="F2431" s="2" t="s">
        <v>97</v>
      </c>
      <c r="G2431" s="2" t="s">
        <v>83</v>
      </c>
      <c r="H2431" s="2" t="s">
        <v>46</v>
      </c>
      <c r="I2431" s="2" t="s">
        <v>47</v>
      </c>
      <c r="J2431" s="2" t="s">
        <v>1106</v>
      </c>
      <c r="K2431" s="2" t="s">
        <v>7543</v>
      </c>
      <c r="L2431" s="2" t="s">
        <v>212</v>
      </c>
      <c r="M2431" s="2" t="s">
        <v>7456</v>
      </c>
      <c r="N2431" s="16">
        <v>2.1600000000000001E-2</v>
      </c>
      <c r="O2431" s="17">
        <f>N2431*'Financial Inputs'!$B$3</f>
        <v>2160000</v>
      </c>
      <c r="P2431" s="18">
        <f>IF(I2431="L",'Financial Inputs'!$B$4,IF(I2431="M",'Financial Inputs'!$B$5,'Financial Inputs'!$B$6))</f>
        <v>0.4</v>
      </c>
      <c r="Q2431" s="17">
        <f>O2431*P2431</f>
        <v>864000</v>
      </c>
      <c r="R2431" s="16">
        <f>'Financial Inputs'!$B$7</f>
        <v>0.35</v>
      </c>
      <c r="S2431" s="17">
        <f>Q2431*(1-R2431)</f>
        <v>561600</v>
      </c>
      <c r="T2431" s="18">
        <f>S2431/'Financial Inputs'!$B$3</f>
        <v>5.6160000000000003E-3</v>
      </c>
      <c r="U2431" s="9" t="s">
        <v>52</v>
      </c>
      <c r="V2431" s="3" t="s">
        <v>53</v>
      </c>
    </row>
    <row r="2432" spans="1:22">
      <c r="A2432" s="2" t="s">
        <v>7544</v>
      </c>
      <c r="B2432" s="2" t="s">
        <v>7545</v>
      </c>
      <c r="C2432" s="2" t="s">
        <v>7454</v>
      </c>
      <c r="D2432" s="2" t="s">
        <v>64</v>
      </c>
      <c r="E2432" s="2" t="s">
        <v>215</v>
      </c>
      <c r="F2432" s="2" t="s">
        <v>74</v>
      </c>
      <c r="G2432" s="2" t="s">
        <v>67</v>
      </c>
      <c r="H2432" s="2" t="s">
        <v>46</v>
      </c>
      <c r="I2432" s="2" t="s">
        <v>47</v>
      </c>
      <c r="J2432" s="2" t="s">
        <v>1106</v>
      </c>
      <c r="K2432" s="2" t="s">
        <v>7546</v>
      </c>
      <c r="L2432" s="2" t="s">
        <v>217</v>
      </c>
      <c r="M2432" s="2" t="s">
        <v>7456</v>
      </c>
      <c r="N2432" s="16">
        <v>1.44E-2</v>
      </c>
      <c r="O2432" s="17">
        <f>N2432*'Financial Inputs'!$B$3</f>
        <v>1440000</v>
      </c>
      <c r="P2432" s="18">
        <f>IF(I2432="L",'Financial Inputs'!$B$4,IF(I2432="M",'Financial Inputs'!$B$5,'Financial Inputs'!$B$6))</f>
        <v>0.4</v>
      </c>
      <c r="Q2432" s="17">
        <f>O2432*P2432</f>
        <v>576000</v>
      </c>
      <c r="R2432" s="16">
        <f>'Financial Inputs'!$B$7</f>
        <v>0.35</v>
      </c>
      <c r="S2432" s="17">
        <f>Q2432*(1-R2432)</f>
        <v>374400</v>
      </c>
      <c r="T2432" s="18">
        <f>S2432/'Financial Inputs'!$B$3</f>
        <v>3.7439999999999999E-3</v>
      </c>
      <c r="U2432" s="9" t="s">
        <v>52</v>
      </c>
      <c r="V2432" s="3" t="s">
        <v>53</v>
      </c>
    </row>
    <row r="2433" spans="1:22">
      <c r="A2433" s="2" t="s">
        <v>7547</v>
      </c>
      <c r="B2433" s="2" t="s">
        <v>7548</v>
      </c>
      <c r="C2433" s="2" t="s">
        <v>7454</v>
      </c>
      <c r="D2433" s="2" t="s">
        <v>72</v>
      </c>
      <c r="E2433" s="2" t="s">
        <v>220</v>
      </c>
      <c r="F2433" s="2" t="s">
        <v>82</v>
      </c>
      <c r="G2433" s="2" t="s">
        <v>75</v>
      </c>
      <c r="H2433" s="2" t="s">
        <v>46</v>
      </c>
      <c r="I2433" s="2" t="s">
        <v>47</v>
      </c>
      <c r="J2433" s="2" t="s">
        <v>1106</v>
      </c>
      <c r="K2433" s="2" t="s">
        <v>7549</v>
      </c>
      <c r="L2433" s="2" t="s">
        <v>222</v>
      </c>
      <c r="M2433" s="2" t="s">
        <v>7456</v>
      </c>
      <c r="N2433" s="16">
        <v>1.6199999999999999E-2</v>
      </c>
      <c r="O2433" s="17">
        <f>N2433*'Financial Inputs'!$B$3</f>
        <v>1620000</v>
      </c>
      <c r="P2433" s="18">
        <f>IF(I2433="L",'Financial Inputs'!$B$4,IF(I2433="M",'Financial Inputs'!$B$5,'Financial Inputs'!$B$6))</f>
        <v>0.4</v>
      </c>
      <c r="Q2433" s="17">
        <f>O2433*P2433</f>
        <v>648000</v>
      </c>
      <c r="R2433" s="16">
        <f>'Financial Inputs'!$B$7</f>
        <v>0.35</v>
      </c>
      <c r="S2433" s="17">
        <f>Q2433*(1-R2433)</f>
        <v>421200</v>
      </c>
      <c r="T2433" s="18">
        <f>S2433/'Financial Inputs'!$B$3</f>
        <v>4.2119999999999996E-3</v>
      </c>
      <c r="U2433" s="9" t="s">
        <v>52</v>
      </c>
      <c r="V2433" s="3" t="s">
        <v>53</v>
      </c>
    </row>
    <row r="2434" spans="1:22">
      <c r="A2434" s="2" t="s">
        <v>7550</v>
      </c>
      <c r="B2434" s="2" t="s">
        <v>7551</v>
      </c>
      <c r="C2434" s="2" t="s">
        <v>7454</v>
      </c>
      <c r="D2434" s="2" t="s">
        <v>80</v>
      </c>
      <c r="E2434" s="2" t="s">
        <v>171</v>
      </c>
      <c r="F2434" s="2" t="s">
        <v>44</v>
      </c>
      <c r="G2434" s="2" t="s">
        <v>83</v>
      </c>
      <c r="H2434" s="2" t="s">
        <v>46</v>
      </c>
      <c r="I2434" s="2" t="s">
        <v>47</v>
      </c>
      <c r="J2434" s="2" t="s">
        <v>1106</v>
      </c>
      <c r="K2434" s="2" t="s">
        <v>7552</v>
      </c>
      <c r="L2434" s="2" t="s">
        <v>226</v>
      </c>
      <c r="M2434" s="2" t="s">
        <v>7456</v>
      </c>
      <c r="N2434" s="16">
        <v>1.7999999999999999E-2</v>
      </c>
      <c r="O2434" s="17">
        <f>N2434*'Financial Inputs'!$B$3</f>
        <v>1799999.9999999998</v>
      </c>
      <c r="P2434" s="18">
        <f>IF(I2434="L",'Financial Inputs'!$B$4,IF(I2434="M",'Financial Inputs'!$B$5,'Financial Inputs'!$B$6))</f>
        <v>0.4</v>
      </c>
      <c r="Q2434" s="17">
        <f>O2434*P2434</f>
        <v>720000</v>
      </c>
      <c r="R2434" s="16">
        <f>'Financial Inputs'!$B$7</f>
        <v>0.35</v>
      </c>
      <c r="S2434" s="17">
        <f>Q2434*(1-R2434)</f>
        <v>468000</v>
      </c>
      <c r="T2434" s="18">
        <f>S2434/'Financial Inputs'!$B$3</f>
        <v>4.6800000000000001E-3</v>
      </c>
      <c r="U2434" s="9" t="s">
        <v>52</v>
      </c>
      <c r="V2434" s="3" t="s">
        <v>53</v>
      </c>
    </row>
    <row r="2435" spans="1:22">
      <c r="A2435" s="2" t="s">
        <v>7553</v>
      </c>
      <c r="B2435" s="2" t="s">
        <v>7554</v>
      </c>
      <c r="C2435" s="2" t="s">
        <v>7454</v>
      </c>
      <c r="D2435" s="2" t="s">
        <v>127</v>
      </c>
      <c r="E2435" s="2" t="s">
        <v>176</v>
      </c>
      <c r="F2435" s="2" t="s">
        <v>58</v>
      </c>
      <c r="G2435" s="2" t="s">
        <v>111</v>
      </c>
      <c r="H2435" s="2" t="s">
        <v>46</v>
      </c>
      <c r="I2435" s="2" t="s">
        <v>47</v>
      </c>
      <c r="J2435" s="2" t="s">
        <v>1106</v>
      </c>
      <c r="K2435" s="2" t="s">
        <v>7555</v>
      </c>
      <c r="L2435" s="2" t="s">
        <v>230</v>
      </c>
      <c r="M2435" s="2" t="s">
        <v>7456</v>
      </c>
      <c r="N2435" s="16">
        <v>1.9800000000000002E-2</v>
      </c>
      <c r="O2435" s="17">
        <f>N2435*'Financial Inputs'!$B$3</f>
        <v>1980000.0000000002</v>
      </c>
      <c r="P2435" s="18">
        <f>IF(I2435="L",'Financial Inputs'!$B$4,IF(I2435="M",'Financial Inputs'!$B$5,'Financial Inputs'!$B$6))</f>
        <v>0.4</v>
      </c>
      <c r="Q2435" s="17">
        <f>O2435*P2435</f>
        <v>792000.00000000012</v>
      </c>
      <c r="R2435" s="16">
        <f>'Financial Inputs'!$B$7</f>
        <v>0.35</v>
      </c>
      <c r="S2435" s="17">
        <f>Q2435*(1-R2435)</f>
        <v>514800.00000000012</v>
      </c>
      <c r="T2435" s="18">
        <f>S2435/'Financial Inputs'!$B$3</f>
        <v>5.1480000000000015E-3</v>
      </c>
      <c r="U2435" s="9" t="s">
        <v>52</v>
      </c>
      <c r="V2435" s="3" t="s">
        <v>53</v>
      </c>
    </row>
    <row r="2436" spans="1:22">
      <c r="A2436" s="2" t="s">
        <v>7556</v>
      </c>
      <c r="B2436" s="2" t="s">
        <v>7557</v>
      </c>
      <c r="C2436" s="2" t="s">
        <v>7454</v>
      </c>
      <c r="D2436" s="2" t="s">
        <v>133</v>
      </c>
      <c r="E2436" s="2" t="s">
        <v>122</v>
      </c>
      <c r="F2436" s="2" t="s">
        <v>66</v>
      </c>
      <c r="G2436" s="2" t="s">
        <v>56</v>
      </c>
      <c r="H2436" s="2" t="s">
        <v>46</v>
      </c>
      <c r="I2436" s="2" t="s">
        <v>47</v>
      </c>
      <c r="J2436" s="2" t="s">
        <v>1106</v>
      </c>
      <c r="K2436" s="2" t="s">
        <v>7558</v>
      </c>
      <c r="L2436" s="2" t="s">
        <v>234</v>
      </c>
      <c r="M2436" s="2" t="s">
        <v>7456</v>
      </c>
      <c r="N2436" s="16">
        <v>2.1600000000000001E-2</v>
      </c>
      <c r="O2436" s="17">
        <f>N2436*'Financial Inputs'!$B$3</f>
        <v>2160000</v>
      </c>
      <c r="P2436" s="18">
        <f>IF(I2436="L",'Financial Inputs'!$B$4,IF(I2436="M",'Financial Inputs'!$B$5,'Financial Inputs'!$B$6))</f>
        <v>0.4</v>
      </c>
      <c r="Q2436" s="17">
        <f>O2436*P2436</f>
        <v>864000</v>
      </c>
      <c r="R2436" s="16">
        <f>'Financial Inputs'!$B$7</f>
        <v>0.35</v>
      </c>
      <c r="S2436" s="17">
        <f>Q2436*(1-R2436)</f>
        <v>561600</v>
      </c>
      <c r="T2436" s="18">
        <f>S2436/'Financial Inputs'!$B$3</f>
        <v>5.6160000000000003E-3</v>
      </c>
      <c r="U2436" s="9" t="s">
        <v>52</v>
      </c>
      <c r="V2436" s="3" t="s">
        <v>53</v>
      </c>
    </row>
    <row r="2437" spans="1:22">
      <c r="A2437" s="2" t="s">
        <v>7559</v>
      </c>
      <c r="B2437" s="2" t="s">
        <v>7560</v>
      </c>
      <c r="C2437" s="2" t="s">
        <v>7454</v>
      </c>
      <c r="D2437" s="2" t="s">
        <v>102</v>
      </c>
      <c r="E2437" s="2" t="s">
        <v>73</v>
      </c>
      <c r="F2437" s="2" t="s">
        <v>110</v>
      </c>
      <c r="G2437" s="2" t="s">
        <v>83</v>
      </c>
      <c r="H2437" s="2" t="s">
        <v>46</v>
      </c>
      <c r="I2437" s="2" t="s">
        <v>47</v>
      </c>
      <c r="J2437" s="2" t="s">
        <v>1106</v>
      </c>
      <c r="K2437" s="2" t="s">
        <v>7561</v>
      </c>
      <c r="L2437" s="2" t="s">
        <v>238</v>
      </c>
      <c r="M2437" s="2" t="s">
        <v>7456</v>
      </c>
      <c r="N2437" s="16">
        <v>1.44E-2</v>
      </c>
      <c r="O2437" s="17">
        <f>N2437*'Financial Inputs'!$B$3</f>
        <v>1440000</v>
      </c>
      <c r="P2437" s="18">
        <f>IF(I2437="L",'Financial Inputs'!$B$4,IF(I2437="M",'Financial Inputs'!$B$5,'Financial Inputs'!$B$6))</f>
        <v>0.4</v>
      </c>
      <c r="Q2437" s="17">
        <f>O2437*P2437</f>
        <v>576000</v>
      </c>
      <c r="R2437" s="16">
        <f>'Financial Inputs'!$B$7</f>
        <v>0.35</v>
      </c>
      <c r="S2437" s="17">
        <f>Q2437*(1-R2437)</f>
        <v>374400</v>
      </c>
      <c r="T2437" s="18">
        <f>S2437/'Financial Inputs'!$B$3</f>
        <v>3.7439999999999999E-3</v>
      </c>
      <c r="U2437" s="9" t="s">
        <v>52</v>
      </c>
      <c r="V2437" s="3" t="s">
        <v>53</v>
      </c>
    </row>
    <row r="2438" spans="1:22">
      <c r="A2438" s="2" t="s">
        <v>7562</v>
      </c>
      <c r="B2438" s="2" t="s">
        <v>7563</v>
      </c>
      <c r="C2438" s="2" t="s">
        <v>7454</v>
      </c>
      <c r="D2438" s="2" t="s">
        <v>42</v>
      </c>
      <c r="E2438" s="2" t="s">
        <v>81</v>
      </c>
      <c r="F2438" s="2" t="s">
        <v>117</v>
      </c>
      <c r="G2438" s="2" t="s">
        <v>111</v>
      </c>
      <c r="H2438" s="2" t="s">
        <v>46</v>
      </c>
      <c r="I2438" s="2" t="s">
        <v>47</v>
      </c>
      <c r="J2438" s="2" t="s">
        <v>1106</v>
      </c>
      <c r="K2438" s="2" t="s">
        <v>7564</v>
      </c>
      <c r="L2438" s="2" t="s">
        <v>242</v>
      </c>
      <c r="M2438" s="2" t="s">
        <v>7456</v>
      </c>
      <c r="N2438" s="16">
        <v>1.6199999999999999E-2</v>
      </c>
      <c r="O2438" s="17">
        <f>N2438*'Financial Inputs'!$B$3</f>
        <v>1620000</v>
      </c>
      <c r="P2438" s="18">
        <f>IF(I2438="L",'Financial Inputs'!$B$4,IF(I2438="M",'Financial Inputs'!$B$5,'Financial Inputs'!$B$6))</f>
        <v>0.4</v>
      </c>
      <c r="Q2438" s="17">
        <f>O2438*P2438</f>
        <v>648000</v>
      </c>
      <c r="R2438" s="16">
        <f>'Financial Inputs'!$B$7</f>
        <v>0.35</v>
      </c>
      <c r="S2438" s="17">
        <f>Q2438*(1-R2438)</f>
        <v>421200</v>
      </c>
      <c r="T2438" s="18">
        <f>S2438/'Financial Inputs'!$B$3</f>
        <v>4.2119999999999996E-3</v>
      </c>
      <c r="U2438" s="9" t="s">
        <v>52</v>
      </c>
      <c r="V2438" s="3" t="s">
        <v>53</v>
      </c>
    </row>
    <row r="2439" spans="1:22">
      <c r="A2439" s="2" t="s">
        <v>7565</v>
      </c>
      <c r="B2439" s="2" t="s">
        <v>7566</v>
      </c>
      <c r="C2439" s="2" t="s">
        <v>7454</v>
      </c>
      <c r="D2439" s="2" t="s">
        <v>56</v>
      </c>
      <c r="E2439" s="2" t="s">
        <v>193</v>
      </c>
      <c r="F2439" s="2" t="s">
        <v>90</v>
      </c>
      <c r="G2439" s="2" t="s">
        <v>56</v>
      </c>
      <c r="H2439" s="2" t="s">
        <v>46</v>
      </c>
      <c r="I2439" s="2" t="s">
        <v>47</v>
      </c>
      <c r="J2439" s="2" t="s">
        <v>1106</v>
      </c>
      <c r="K2439" s="2" t="s">
        <v>7567</v>
      </c>
      <c r="L2439" s="2" t="s">
        <v>246</v>
      </c>
      <c r="M2439" s="2" t="s">
        <v>7456</v>
      </c>
      <c r="N2439" s="16">
        <v>1.7999999999999999E-2</v>
      </c>
      <c r="O2439" s="17">
        <f>N2439*'Financial Inputs'!$B$3</f>
        <v>1799999.9999999998</v>
      </c>
      <c r="P2439" s="18">
        <f>IF(I2439="L",'Financial Inputs'!$B$4,IF(I2439="M",'Financial Inputs'!$B$5,'Financial Inputs'!$B$6))</f>
        <v>0.4</v>
      </c>
      <c r="Q2439" s="17">
        <f>O2439*P2439</f>
        <v>720000</v>
      </c>
      <c r="R2439" s="16">
        <f>'Financial Inputs'!$B$7</f>
        <v>0.35</v>
      </c>
      <c r="S2439" s="17">
        <f>Q2439*(1-R2439)</f>
        <v>468000</v>
      </c>
      <c r="T2439" s="18">
        <f>S2439/'Financial Inputs'!$B$3</f>
        <v>4.6800000000000001E-3</v>
      </c>
      <c r="U2439" s="9" t="s">
        <v>52</v>
      </c>
      <c r="V2439" s="3" t="s">
        <v>53</v>
      </c>
    </row>
    <row r="2440" spans="1:22">
      <c r="A2440" s="2" t="s">
        <v>7568</v>
      </c>
      <c r="B2440" s="2" t="s">
        <v>7569</v>
      </c>
      <c r="C2440" s="2" t="s">
        <v>7454</v>
      </c>
      <c r="D2440" s="2" t="s">
        <v>64</v>
      </c>
      <c r="E2440" s="2" t="s">
        <v>198</v>
      </c>
      <c r="F2440" s="2" t="s">
        <v>97</v>
      </c>
      <c r="G2440" s="2" t="s">
        <v>138</v>
      </c>
      <c r="H2440" s="2" t="s">
        <v>46</v>
      </c>
      <c r="I2440" s="2" t="s">
        <v>47</v>
      </c>
      <c r="J2440" s="2" t="s">
        <v>1106</v>
      </c>
      <c r="K2440" s="2" t="s">
        <v>7570</v>
      </c>
      <c r="L2440" s="2" t="s">
        <v>250</v>
      </c>
      <c r="M2440" s="2" t="s">
        <v>7456</v>
      </c>
      <c r="N2440" s="16">
        <v>1.9800000000000002E-2</v>
      </c>
      <c r="O2440" s="17">
        <f>N2440*'Financial Inputs'!$B$3</f>
        <v>1980000.0000000002</v>
      </c>
      <c r="P2440" s="18">
        <f>IF(I2440="L",'Financial Inputs'!$B$4,IF(I2440="M",'Financial Inputs'!$B$5,'Financial Inputs'!$B$6))</f>
        <v>0.4</v>
      </c>
      <c r="Q2440" s="17">
        <f>O2440*P2440</f>
        <v>792000.00000000012</v>
      </c>
      <c r="R2440" s="16">
        <f>'Financial Inputs'!$B$7</f>
        <v>0.35</v>
      </c>
      <c r="S2440" s="17">
        <f>Q2440*(1-R2440)</f>
        <v>514800.00000000012</v>
      </c>
      <c r="T2440" s="18">
        <f>S2440/'Financial Inputs'!$B$3</f>
        <v>5.1480000000000015E-3</v>
      </c>
      <c r="U2440" s="9" t="s">
        <v>52</v>
      </c>
      <c r="V2440" s="3" t="s">
        <v>53</v>
      </c>
    </row>
    <row r="2441" spans="1:22">
      <c r="A2441" s="2" t="s">
        <v>7571</v>
      </c>
      <c r="B2441" s="2" t="s">
        <v>7572</v>
      </c>
      <c r="C2441" s="2" t="s">
        <v>7454</v>
      </c>
      <c r="D2441" s="2" t="s">
        <v>72</v>
      </c>
      <c r="E2441" s="2" t="s">
        <v>148</v>
      </c>
      <c r="F2441" s="2" t="s">
        <v>104</v>
      </c>
      <c r="G2441" s="2" t="s">
        <v>143</v>
      </c>
      <c r="H2441" s="2" t="s">
        <v>46</v>
      </c>
      <c r="I2441" s="2" t="s">
        <v>47</v>
      </c>
      <c r="J2441" s="2" t="s">
        <v>1106</v>
      </c>
      <c r="K2441" s="2" t="s">
        <v>7573</v>
      </c>
      <c r="L2441" s="2" t="s">
        <v>254</v>
      </c>
      <c r="M2441" s="2" t="s">
        <v>7456</v>
      </c>
      <c r="N2441" s="16">
        <v>2.1600000000000001E-2</v>
      </c>
      <c r="O2441" s="17">
        <f>N2441*'Financial Inputs'!$B$3</f>
        <v>2160000</v>
      </c>
      <c r="P2441" s="18">
        <f>IF(I2441="L",'Financial Inputs'!$B$4,IF(I2441="M",'Financial Inputs'!$B$5,'Financial Inputs'!$B$6))</f>
        <v>0.4</v>
      </c>
      <c r="Q2441" s="17">
        <f>O2441*P2441</f>
        <v>864000</v>
      </c>
      <c r="R2441" s="16">
        <f>'Financial Inputs'!$B$7</f>
        <v>0.35</v>
      </c>
      <c r="S2441" s="17">
        <f>Q2441*(1-R2441)</f>
        <v>561600</v>
      </c>
      <c r="T2441" s="18">
        <f>S2441/'Financial Inputs'!$B$3</f>
        <v>5.6160000000000003E-3</v>
      </c>
      <c r="U2441" s="9" t="s">
        <v>52</v>
      </c>
      <c r="V2441" s="3" t="s">
        <v>53</v>
      </c>
    </row>
    <row r="2442" spans="1:22">
      <c r="A2442" s="2" t="s">
        <v>7574</v>
      </c>
      <c r="B2442" s="2" t="s">
        <v>7575</v>
      </c>
      <c r="C2442" s="2" t="s">
        <v>7454</v>
      </c>
      <c r="D2442" s="2" t="s">
        <v>133</v>
      </c>
      <c r="E2442" s="2" t="s">
        <v>109</v>
      </c>
      <c r="F2442" s="2" t="s">
        <v>82</v>
      </c>
      <c r="G2442" s="2" t="s">
        <v>56</v>
      </c>
      <c r="H2442" s="2" t="s">
        <v>46</v>
      </c>
      <c r="I2442" s="2" t="s">
        <v>47</v>
      </c>
      <c r="J2442" s="2" t="s">
        <v>1106</v>
      </c>
      <c r="K2442" s="2" t="s">
        <v>7576</v>
      </c>
      <c r="L2442" s="2" t="s">
        <v>258</v>
      </c>
      <c r="M2442" s="2" t="s">
        <v>7456</v>
      </c>
      <c r="N2442" s="16">
        <v>1.44E-2</v>
      </c>
      <c r="O2442" s="17">
        <f>N2442*'Financial Inputs'!$B$3</f>
        <v>1440000</v>
      </c>
      <c r="P2442" s="18">
        <f>IF(I2442="L",'Financial Inputs'!$B$4,IF(I2442="M",'Financial Inputs'!$B$5,'Financial Inputs'!$B$6))</f>
        <v>0.4</v>
      </c>
      <c r="Q2442" s="17">
        <f>O2442*P2442</f>
        <v>576000</v>
      </c>
      <c r="R2442" s="16">
        <f>'Financial Inputs'!$B$7</f>
        <v>0.35</v>
      </c>
      <c r="S2442" s="17">
        <f>Q2442*(1-R2442)</f>
        <v>374400</v>
      </c>
      <c r="T2442" s="18">
        <f>S2442/'Financial Inputs'!$B$3</f>
        <v>3.7439999999999999E-3</v>
      </c>
      <c r="U2442" s="9" t="s">
        <v>52</v>
      </c>
      <c r="V2442" s="3" t="s">
        <v>53</v>
      </c>
    </row>
    <row r="2443" spans="1:22">
      <c r="A2443" s="2" t="s">
        <v>7577</v>
      </c>
      <c r="B2443" s="2" t="s">
        <v>7578</v>
      </c>
      <c r="C2443" s="2" t="s">
        <v>7454</v>
      </c>
      <c r="D2443" s="2" t="s">
        <v>88</v>
      </c>
      <c r="E2443" s="2" t="s">
        <v>116</v>
      </c>
      <c r="F2443" s="2" t="s">
        <v>44</v>
      </c>
      <c r="G2443" s="2" t="s">
        <v>138</v>
      </c>
      <c r="H2443" s="2" t="s">
        <v>46</v>
      </c>
      <c r="I2443" s="2" t="s">
        <v>47</v>
      </c>
      <c r="J2443" s="2" t="s">
        <v>1106</v>
      </c>
      <c r="K2443" s="2" t="s">
        <v>7579</v>
      </c>
      <c r="L2443" s="2" t="s">
        <v>262</v>
      </c>
      <c r="M2443" s="2" t="s">
        <v>7456</v>
      </c>
      <c r="N2443" s="16">
        <v>1.6199999999999999E-2</v>
      </c>
      <c r="O2443" s="17">
        <f>N2443*'Financial Inputs'!$B$3</f>
        <v>1620000</v>
      </c>
      <c r="P2443" s="18">
        <f>IF(I2443="L",'Financial Inputs'!$B$4,IF(I2443="M",'Financial Inputs'!$B$5,'Financial Inputs'!$B$6))</f>
        <v>0.4</v>
      </c>
      <c r="Q2443" s="17">
        <f>O2443*P2443</f>
        <v>648000</v>
      </c>
      <c r="R2443" s="16">
        <f>'Financial Inputs'!$B$7</f>
        <v>0.35</v>
      </c>
      <c r="S2443" s="17">
        <f>Q2443*(1-R2443)</f>
        <v>421200</v>
      </c>
      <c r="T2443" s="18">
        <f>S2443/'Financial Inputs'!$B$3</f>
        <v>4.2119999999999996E-3</v>
      </c>
      <c r="U2443" s="9" t="s">
        <v>52</v>
      </c>
      <c r="V2443" s="3" t="s">
        <v>53</v>
      </c>
    </row>
    <row r="2444" spans="1:22">
      <c r="A2444" s="2" t="s">
        <v>7580</v>
      </c>
      <c r="B2444" s="2" t="s">
        <v>7581</v>
      </c>
      <c r="C2444" s="2" t="s">
        <v>7454</v>
      </c>
      <c r="D2444" s="2" t="s">
        <v>95</v>
      </c>
      <c r="E2444" s="2" t="s">
        <v>215</v>
      </c>
      <c r="F2444" s="2" t="s">
        <v>58</v>
      </c>
      <c r="G2444" s="2" t="s">
        <v>143</v>
      </c>
      <c r="H2444" s="2" t="s">
        <v>46</v>
      </c>
      <c r="I2444" s="2" t="s">
        <v>47</v>
      </c>
      <c r="J2444" s="2" t="s">
        <v>1106</v>
      </c>
      <c r="K2444" s="2" t="s">
        <v>7582</v>
      </c>
      <c r="L2444" s="2" t="s">
        <v>266</v>
      </c>
      <c r="M2444" s="2" t="s">
        <v>7456</v>
      </c>
      <c r="N2444" s="16">
        <v>1.7999999999999999E-2</v>
      </c>
      <c r="O2444" s="17">
        <f>N2444*'Financial Inputs'!$B$3</f>
        <v>1799999.9999999998</v>
      </c>
      <c r="P2444" s="18">
        <f>IF(I2444="L",'Financial Inputs'!$B$4,IF(I2444="M",'Financial Inputs'!$B$5,'Financial Inputs'!$B$6))</f>
        <v>0.4</v>
      </c>
      <c r="Q2444" s="17">
        <f>O2444*P2444</f>
        <v>720000</v>
      </c>
      <c r="R2444" s="16">
        <f>'Financial Inputs'!$B$7</f>
        <v>0.35</v>
      </c>
      <c r="S2444" s="17">
        <f>Q2444*(1-R2444)</f>
        <v>468000</v>
      </c>
      <c r="T2444" s="18">
        <f>S2444/'Financial Inputs'!$B$3</f>
        <v>4.6800000000000001E-3</v>
      </c>
      <c r="U2444" s="9" t="s">
        <v>52</v>
      </c>
      <c r="V2444" s="3" t="s">
        <v>53</v>
      </c>
    </row>
    <row r="2445" spans="1:22">
      <c r="A2445" s="2" t="s">
        <v>7583</v>
      </c>
      <c r="B2445" s="2" t="s">
        <v>7584</v>
      </c>
      <c r="C2445" s="2" t="s">
        <v>7454</v>
      </c>
      <c r="D2445" s="2" t="s">
        <v>102</v>
      </c>
      <c r="E2445" s="2" t="s">
        <v>220</v>
      </c>
      <c r="F2445" s="2" t="s">
        <v>66</v>
      </c>
      <c r="G2445" s="2" t="s">
        <v>162</v>
      </c>
      <c r="H2445" s="2" t="s">
        <v>46</v>
      </c>
      <c r="I2445" s="2" t="s">
        <v>47</v>
      </c>
      <c r="J2445" s="2" t="s">
        <v>1106</v>
      </c>
      <c r="K2445" s="2" t="s">
        <v>7585</v>
      </c>
      <c r="L2445" s="2" t="s">
        <v>270</v>
      </c>
      <c r="M2445" s="2" t="s">
        <v>7456</v>
      </c>
      <c r="N2445" s="16">
        <v>1.9800000000000002E-2</v>
      </c>
      <c r="O2445" s="17">
        <f>N2445*'Financial Inputs'!$B$3</f>
        <v>1980000.0000000002</v>
      </c>
      <c r="P2445" s="18">
        <f>IF(I2445="L",'Financial Inputs'!$B$4,IF(I2445="M",'Financial Inputs'!$B$5,'Financial Inputs'!$B$6))</f>
        <v>0.4</v>
      </c>
      <c r="Q2445" s="17">
        <f>O2445*P2445</f>
        <v>792000.00000000012</v>
      </c>
      <c r="R2445" s="16">
        <f>'Financial Inputs'!$B$7</f>
        <v>0.35</v>
      </c>
      <c r="S2445" s="17">
        <f>Q2445*(1-R2445)</f>
        <v>514800.00000000012</v>
      </c>
      <c r="T2445" s="18">
        <f>S2445/'Financial Inputs'!$B$3</f>
        <v>5.1480000000000015E-3</v>
      </c>
      <c r="U2445" s="9" t="s">
        <v>52</v>
      </c>
      <c r="V2445" s="3" t="s">
        <v>53</v>
      </c>
    </row>
    <row r="2446" spans="1:22">
      <c r="A2446" s="2" t="s">
        <v>7586</v>
      </c>
      <c r="B2446" s="2" t="s">
        <v>7587</v>
      </c>
      <c r="C2446" s="2" t="s">
        <v>7454</v>
      </c>
      <c r="D2446" s="2" t="s">
        <v>42</v>
      </c>
      <c r="E2446" s="2" t="s">
        <v>171</v>
      </c>
      <c r="F2446" s="2" t="s">
        <v>74</v>
      </c>
      <c r="G2446" s="2" t="s">
        <v>45</v>
      </c>
      <c r="H2446" s="2" t="s">
        <v>46</v>
      </c>
      <c r="I2446" s="2" t="s">
        <v>47</v>
      </c>
      <c r="J2446" s="2" t="s">
        <v>1106</v>
      </c>
      <c r="K2446" s="2" t="s">
        <v>7588</v>
      </c>
      <c r="L2446" s="2" t="s">
        <v>274</v>
      </c>
      <c r="M2446" s="2" t="s">
        <v>7456</v>
      </c>
      <c r="N2446" s="16">
        <v>2.1600000000000001E-2</v>
      </c>
      <c r="O2446" s="17">
        <f>N2446*'Financial Inputs'!$B$3</f>
        <v>2160000</v>
      </c>
      <c r="P2446" s="18">
        <f>IF(I2446="L",'Financial Inputs'!$B$4,IF(I2446="M",'Financial Inputs'!$B$5,'Financial Inputs'!$B$6))</f>
        <v>0.4</v>
      </c>
      <c r="Q2446" s="17">
        <f>O2446*P2446</f>
        <v>864000</v>
      </c>
      <c r="R2446" s="16">
        <f>'Financial Inputs'!$B$7</f>
        <v>0.35</v>
      </c>
      <c r="S2446" s="17">
        <f>Q2446*(1-R2446)</f>
        <v>561600</v>
      </c>
      <c r="T2446" s="18">
        <f>S2446/'Financial Inputs'!$B$3</f>
        <v>5.6160000000000003E-3</v>
      </c>
      <c r="U2446" s="9" t="s">
        <v>52</v>
      </c>
      <c r="V2446" s="3" t="s">
        <v>53</v>
      </c>
    </row>
    <row r="2447" spans="1:22">
      <c r="A2447" s="2" t="s">
        <v>7589</v>
      </c>
      <c r="B2447" s="2" t="s">
        <v>7590</v>
      </c>
      <c r="C2447" s="2" t="s">
        <v>7454</v>
      </c>
      <c r="D2447" s="2" t="s">
        <v>72</v>
      </c>
      <c r="E2447" s="2" t="s">
        <v>57</v>
      </c>
      <c r="F2447" s="2" t="s">
        <v>117</v>
      </c>
      <c r="G2447" s="2" t="s">
        <v>143</v>
      </c>
      <c r="H2447" s="2" t="s">
        <v>46</v>
      </c>
      <c r="I2447" s="2" t="s">
        <v>47</v>
      </c>
      <c r="J2447" s="2" t="s">
        <v>1106</v>
      </c>
      <c r="K2447" s="2" t="s">
        <v>7591</v>
      </c>
      <c r="L2447" s="2" t="s">
        <v>278</v>
      </c>
      <c r="M2447" s="2" t="s">
        <v>7456</v>
      </c>
      <c r="N2447" s="16">
        <v>1.44E-2</v>
      </c>
      <c r="O2447" s="17">
        <f>N2447*'Financial Inputs'!$B$3</f>
        <v>1440000</v>
      </c>
      <c r="P2447" s="18">
        <f>IF(I2447="L",'Financial Inputs'!$B$4,IF(I2447="M",'Financial Inputs'!$B$5,'Financial Inputs'!$B$6))</f>
        <v>0.4</v>
      </c>
      <c r="Q2447" s="17">
        <f>O2447*P2447</f>
        <v>576000</v>
      </c>
      <c r="R2447" s="16">
        <f>'Financial Inputs'!$B$7</f>
        <v>0.35</v>
      </c>
      <c r="S2447" s="17">
        <f>Q2447*(1-R2447)</f>
        <v>374400</v>
      </c>
      <c r="T2447" s="18">
        <f>S2447/'Financial Inputs'!$B$3</f>
        <v>3.7439999999999999E-3</v>
      </c>
      <c r="U2447" s="9" t="s">
        <v>52</v>
      </c>
      <c r="V2447" s="3" t="s">
        <v>53</v>
      </c>
    </row>
    <row r="2448" spans="1:22">
      <c r="A2448" s="2" t="s">
        <v>7592</v>
      </c>
      <c r="B2448" s="2" t="s">
        <v>7593</v>
      </c>
      <c r="C2448" s="2" t="s">
        <v>7454</v>
      </c>
      <c r="D2448" s="2" t="s">
        <v>80</v>
      </c>
      <c r="E2448" s="2" t="s">
        <v>65</v>
      </c>
      <c r="F2448" s="2" t="s">
        <v>90</v>
      </c>
      <c r="G2448" s="2" t="s">
        <v>162</v>
      </c>
      <c r="H2448" s="2" t="s">
        <v>46</v>
      </c>
      <c r="I2448" s="2" t="s">
        <v>47</v>
      </c>
      <c r="J2448" s="2" t="s">
        <v>1106</v>
      </c>
      <c r="K2448" s="2" t="s">
        <v>7594</v>
      </c>
      <c r="L2448" s="2" t="s">
        <v>282</v>
      </c>
      <c r="M2448" s="2" t="s">
        <v>7456</v>
      </c>
      <c r="N2448" s="16">
        <v>1.6199999999999999E-2</v>
      </c>
      <c r="O2448" s="17">
        <f>N2448*'Financial Inputs'!$B$3</f>
        <v>1620000</v>
      </c>
      <c r="P2448" s="18">
        <f>IF(I2448="L",'Financial Inputs'!$B$4,IF(I2448="M",'Financial Inputs'!$B$5,'Financial Inputs'!$B$6))</f>
        <v>0.4</v>
      </c>
      <c r="Q2448" s="17">
        <f>O2448*P2448</f>
        <v>648000</v>
      </c>
      <c r="R2448" s="16">
        <f>'Financial Inputs'!$B$7</f>
        <v>0.35</v>
      </c>
      <c r="S2448" s="17">
        <f>Q2448*(1-R2448)</f>
        <v>421200</v>
      </c>
      <c r="T2448" s="18">
        <f>S2448/'Financial Inputs'!$B$3</f>
        <v>4.2119999999999996E-3</v>
      </c>
      <c r="U2448" s="9" t="s">
        <v>52</v>
      </c>
      <c r="V2448" s="3" t="s">
        <v>53</v>
      </c>
    </row>
    <row r="2449" spans="1:22">
      <c r="A2449" s="2" t="s">
        <v>7595</v>
      </c>
      <c r="B2449" s="2" t="s">
        <v>7596</v>
      </c>
      <c r="C2449" s="2" t="s">
        <v>7454</v>
      </c>
      <c r="D2449" s="2" t="s">
        <v>127</v>
      </c>
      <c r="E2449" s="2" t="s">
        <v>73</v>
      </c>
      <c r="F2449" s="2" t="s">
        <v>97</v>
      </c>
      <c r="G2449" s="2" t="s">
        <v>45</v>
      </c>
      <c r="H2449" s="2" t="s">
        <v>46</v>
      </c>
      <c r="I2449" s="2" t="s">
        <v>47</v>
      </c>
      <c r="J2449" s="2" t="s">
        <v>1106</v>
      </c>
      <c r="K2449" s="2" t="s">
        <v>7597</v>
      </c>
      <c r="L2449" s="2" t="s">
        <v>286</v>
      </c>
      <c r="M2449" s="2" t="s">
        <v>7456</v>
      </c>
      <c r="N2449" s="16">
        <v>1.7999999999999999E-2</v>
      </c>
      <c r="O2449" s="17">
        <f>N2449*'Financial Inputs'!$B$3</f>
        <v>1799999.9999999998</v>
      </c>
      <c r="P2449" s="18">
        <f>IF(I2449="L",'Financial Inputs'!$B$4,IF(I2449="M",'Financial Inputs'!$B$5,'Financial Inputs'!$B$6))</f>
        <v>0.4</v>
      </c>
      <c r="Q2449" s="17">
        <f>O2449*P2449</f>
        <v>720000</v>
      </c>
      <c r="R2449" s="16">
        <f>'Financial Inputs'!$B$7</f>
        <v>0.35</v>
      </c>
      <c r="S2449" s="17">
        <f>Q2449*(1-R2449)</f>
        <v>468000</v>
      </c>
      <c r="T2449" s="18">
        <f>S2449/'Financial Inputs'!$B$3</f>
        <v>4.6800000000000001E-3</v>
      </c>
      <c r="U2449" s="9" t="s">
        <v>52</v>
      </c>
      <c r="V2449" s="3" t="s">
        <v>53</v>
      </c>
    </row>
    <row r="2450" spans="1:22">
      <c r="A2450" s="2" t="s">
        <v>7598</v>
      </c>
      <c r="B2450" s="2" t="s">
        <v>7599</v>
      </c>
      <c r="C2450" s="2" t="s">
        <v>7454</v>
      </c>
      <c r="D2450" s="2" t="s">
        <v>133</v>
      </c>
      <c r="E2450" s="2" t="s">
        <v>81</v>
      </c>
      <c r="F2450" s="2" t="s">
        <v>104</v>
      </c>
      <c r="G2450" s="2" t="s">
        <v>59</v>
      </c>
      <c r="H2450" s="2" t="s">
        <v>46</v>
      </c>
      <c r="I2450" s="2" t="s">
        <v>47</v>
      </c>
      <c r="J2450" s="2" t="s">
        <v>1106</v>
      </c>
      <c r="K2450" s="2" t="s">
        <v>7600</v>
      </c>
      <c r="L2450" s="2" t="s">
        <v>290</v>
      </c>
      <c r="M2450" s="2" t="s">
        <v>7456</v>
      </c>
      <c r="N2450" s="16">
        <v>1.9800000000000002E-2</v>
      </c>
      <c r="O2450" s="17">
        <f>N2450*'Financial Inputs'!$B$3</f>
        <v>1980000.0000000002</v>
      </c>
      <c r="P2450" s="18">
        <f>IF(I2450="L",'Financial Inputs'!$B$4,IF(I2450="M",'Financial Inputs'!$B$5,'Financial Inputs'!$B$6))</f>
        <v>0.4</v>
      </c>
      <c r="Q2450" s="17">
        <f>O2450*P2450</f>
        <v>792000.00000000012</v>
      </c>
      <c r="R2450" s="16">
        <f>'Financial Inputs'!$B$7</f>
        <v>0.35</v>
      </c>
      <c r="S2450" s="17">
        <f>Q2450*(1-R2450)</f>
        <v>514800.00000000012</v>
      </c>
      <c r="T2450" s="18">
        <f>S2450/'Financial Inputs'!$B$3</f>
        <v>5.1480000000000015E-3</v>
      </c>
      <c r="U2450" s="9" t="s">
        <v>52</v>
      </c>
      <c r="V2450" s="3" t="s">
        <v>53</v>
      </c>
    </row>
    <row r="2451" spans="1:22">
      <c r="A2451" s="2" t="s">
        <v>7601</v>
      </c>
      <c r="B2451" s="2" t="s">
        <v>7602</v>
      </c>
      <c r="C2451" s="2" t="s">
        <v>7454</v>
      </c>
      <c r="D2451" s="2" t="s">
        <v>88</v>
      </c>
      <c r="E2451" s="2" t="s">
        <v>193</v>
      </c>
      <c r="F2451" s="2" t="s">
        <v>110</v>
      </c>
      <c r="G2451" s="2" t="s">
        <v>67</v>
      </c>
      <c r="H2451" s="2" t="s">
        <v>46</v>
      </c>
      <c r="I2451" s="2" t="s">
        <v>47</v>
      </c>
      <c r="J2451" s="2" t="s">
        <v>1106</v>
      </c>
      <c r="K2451" s="2" t="s">
        <v>7603</v>
      </c>
      <c r="L2451" s="2" t="s">
        <v>294</v>
      </c>
      <c r="M2451" s="2" t="s">
        <v>7456</v>
      </c>
      <c r="N2451" s="16">
        <v>2.1600000000000001E-2</v>
      </c>
      <c r="O2451" s="17">
        <f>N2451*'Financial Inputs'!$B$3</f>
        <v>2160000</v>
      </c>
      <c r="P2451" s="18">
        <f>IF(I2451="L",'Financial Inputs'!$B$4,IF(I2451="M",'Financial Inputs'!$B$5,'Financial Inputs'!$B$6))</f>
        <v>0.4</v>
      </c>
      <c r="Q2451" s="17">
        <f>O2451*P2451</f>
        <v>864000</v>
      </c>
      <c r="R2451" s="16">
        <f>'Financial Inputs'!$B$7</f>
        <v>0.35</v>
      </c>
      <c r="S2451" s="17">
        <f>Q2451*(1-R2451)</f>
        <v>561600</v>
      </c>
      <c r="T2451" s="18">
        <f>S2451/'Financial Inputs'!$B$3</f>
        <v>5.6160000000000003E-3</v>
      </c>
      <c r="U2451" s="9" t="s">
        <v>52</v>
      </c>
      <c r="V2451" s="3" t="s">
        <v>53</v>
      </c>
    </row>
    <row r="2452" spans="1:22">
      <c r="A2452" s="2" t="s">
        <v>7604</v>
      </c>
      <c r="B2452" s="2" t="s">
        <v>7605</v>
      </c>
      <c r="C2452" s="2" t="s">
        <v>7454</v>
      </c>
      <c r="D2452" s="2" t="s">
        <v>42</v>
      </c>
      <c r="E2452" s="2" t="s">
        <v>96</v>
      </c>
      <c r="F2452" s="2" t="s">
        <v>44</v>
      </c>
      <c r="G2452" s="2" t="s">
        <v>45</v>
      </c>
      <c r="H2452" s="2" t="s">
        <v>46</v>
      </c>
      <c r="I2452" s="2" t="s">
        <v>47</v>
      </c>
      <c r="J2452" s="2" t="s">
        <v>1106</v>
      </c>
      <c r="K2452" s="2" t="s">
        <v>7606</v>
      </c>
      <c r="L2452" s="2" t="s">
        <v>298</v>
      </c>
      <c r="M2452" s="2" t="s">
        <v>7456</v>
      </c>
      <c r="N2452" s="16">
        <v>1.44E-2</v>
      </c>
      <c r="O2452" s="17">
        <f>N2452*'Financial Inputs'!$B$3</f>
        <v>1440000</v>
      </c>
      <c r="P2452" s="18">
        <f>IF(I2452="L",'Financial Inputs'!$B$4,IF(I2452="M",'Financial Inputs'!$B$5,'Financial Inputs'!$B$6))</f>
        <v>0.4</v>
      </c>
      <c r="Q2452" s="17">
        <f>O2452*P2452</f>
        <v>576000</v>
      </c>
      <c r="R2452" s="16">
        <f>'Financial Inputs'!$B$7</f>
        <v>0.35</v>
      </c>
      <c r="S2452" s="17">
        <f>Q2452*(1-R2452)</f>
        <v>374400</v>
      </c>
      <c r="T2452" s="18">
        <f>S2452/'Financial Inputs'!$B$3</f>
        <v>3.7439999999999999E-3</v>
      </c>
      <c r="U2452" s="9" t="s">
        <v>52</v>
      </c>
      <c r="V2452" s="3" t="s">
        <v>53</v>
      </c>
    </row>
    <row r="2453" spans="1:22">
      <c r="A2453" s="2" t="s">
        <v>7607</v>
      </c>
      <c r="B2453" s="2" t="s">
        <v>7608</v>
      </c>
      <c r="C2453" s="2" t="s">
        <v>7454</v>
      </c>
      <c r="D2453" s="2" t="s">
        <v>56</v>
      </c>
      <c r="E2453" s="2" t="s">
        <v>103</v>
      </c>
      <c r="F2453" s="2" t="s">
        <v>58</v>
      </c>
      <c r="G2453" s="2" t="s">
        <v>59</v>
      </c>
      <c r="H2453" s="2" t="s">
        <v>46</v>
      </c>
      <c r="I2453" s="2" t="s">
        <v>47</v>
      </c>
      <c r="J2453" s="2" t="s">
        <v>1106</v>
      </c>
      <c r="K2453" s="2" t="s">
        <v>7609</v>
      </c>
      <c r="L2453" s="2" t="s">
        <v>302</v>
      </c>
      <c r="M2453" s="2" t="s">
        <v>7456</v>
      </c>
      <c r="N2453" s="16">
        <v>1.6199999999999999E-2</v>
      </c>
      <c r="O2453" s="17">
        <f>N2453*'Financial Inputs'!$B$3</f>
        <v>1620000</v>
      </c>
      <c r="P2453" s="18">
        <f>IF(I2453="L",'Financial Inputs'!$B$4,IF(I2453="M",'Financial Inputs'!$B$5,'Financial Inputs'!$B$6))</f>
        <v>0.4</v>
      </c>
      <c r="Q2453" s="17">
        <f>O2453*P2453</f>
        <v>648000</v>
      </c>
      <c r="R2453" s="16">
        <f>'Financial Inputs'!$B$7</f>
        <v>0.35</v>
      </c>
      <c r="S2453" s="17">
        <f>Q2453*(1-R2453)</f>
        <v>421200</v>
      </c>
      <c r="T2453" s="18">
        <f>S2453/'Financial Inputs'!$B$3</f>
        <v>4.2119999999999996E-3</v>
      </c>
      <c r="U2453" s="9" t="s">
        <v>52</v>
      </c>
      <c r="V2453" s="3" t="s">
        <v>53</v>
      </c>
    </row>
    <row r="2454" spans="1:22">
      <c r="A2454" s="2" t="s">
        <v>7610</v>
      </c>
      <c r="B2454" s="2" t="s">
        <v>7611</v>
      </c>
      <c r="C2454" s="2" t="s">
        <v>7454</v>
      </c>
      <c r="D2454" s="2" t="s">
        <v>64</v>
      </c>
      <c r="E2454" s="2" t="s">
        <v>109</v>
      </c>
      <c r="F2454" s="2" t="s">
        <v>66</v>
      </c>
      <c r="G2454" s="2" t="s">
        <v>67</v>
      </c>
      <c r="H2454" s="2" t="s">
        <v>46</v>
      </c>
      <c r="I2454" s="2" t="s">
        <v>47</v>
      </c>
      <c r="J2454" s="2" t="s">
        <v>1106</v>
      </c>
      <c r="K2454" s="2" t="s">
        <v>7612</v>
      </c>
      <c r="L2454" s="2" t="s">
        <v>306</v>
      </c>
      <c r="M2454" s="2" t="s">
        <v>7456</v>
      </c>
      <c r="N2454" s="16">
        <v>1.7999999999999999E-2</v>
      </c>
      <c r="O2454" s="17">
        <f>N2454*'Financial Inputs'!$B$3</f>
        <v>1799999.9999999998</v>
      </c>
      <c r="P2454" s="18">
        <f>IF(I2454="L",'Financial Inputs'!$B$4,IF(I2454="M",'Financial Inputs'!$B$5,'Financial Inputs'!$B$6))</f>
        <v>0.4</v>
      </c>
      <c r="Q2454" s="17">
        <f>O2454*P2454</f>
        <v>720000</v>
      </c>
      <c r="R2454" s="16">
        <f>'Financial Inputs'!$B$7</f>
        <v>0.35</v>
      </c>
      <c r="S2454" s="17">
        <f>Q2454*(1-R2454)</f>
        <v>468000</v>
      </c>
      <c r="T2454" s="18">
        <f>S2454/'Financial Inputs'!$B$3</f>
        <v>4.6800000000000001E-3</v>
      </c>
      <c r="U2454" s="9" t="s">
        <v>52</v>
      </c>
      <c r="V2454" s="3" t="s">
        <v>53</v>
      </c>
    </row>
    <row r="2455" spans="1:22">
      <c r="A2455" s="2" t="s">
        <v>7613</v>
      </c>
      <c r="B2455" s="2" t="s">
        <v>7614</v>
      </c>
      <c r="C2455" s="2" t="s">
        <v>7454</v>
      </c>
      <c r="D2455" s="2" t="s">
        <v>72</v>
      </c>
      <c r="E2455" s="2" t="s">
        <v>116</v>
      </c>
      <c r="F2455" s="2" t="s">
        <v>74</v>
      </c>
      <c r="G2455" s="2" t="s">
        <v>75</v>
      </c>
      <c r="H2455" s="2" t="s">
        <v>46</v>
      </c>
      <c r="I2455" s="2" t="s">
        <v>47</v>
      </c>
      <c r="J2455" s="2" t="s">
        <v>1106</v>
      </c>
      <c r="K2455" s="2" t="s">
        <v>7615</v>
      </c>
      <c r="L2455" s="2" t="s">
        <v>310</v>
      </c>
      <c r="M2455" s="2" t="s">
        <v>7456</v>
      </c>
      <c r="N2455" s="16">
        <v>1.9800000000000002E-2</v>
      </c>
      <c r="O2455" s="17">
        <f>N2455*'Financial Inputs'!$B$3</f>
        <v>1980000.0000000002</v>
      </c>
      <c r="P2455" s="18">
        <f>IF(I2455="L",'Financial Inputs'!$B$4,IF(I2455="M",'Financial Inputs'!$B$5,'Financial Inputs'!$B$6))</f>
        <v>0.4</v>
      </c>
      <c r="Q2455" s="17">
        <f>O2455*P2455</f>
        <v>792000.00000000012</v>
      </c>
      <c r="R2455" s="16">
        <f>'Financial Inputs'!$B$7</f>
        <v>0.35</v>
      </c>
      <c r="S2455" s="17">
        <f>Q2455*(1-R2455)</f>
        <v>514800.00000000012</v>
      </c>
      <c r="T2455" s="18">
        <f>S2455/'Financial Inputs'!$B$3</f>
        <v>5.1480000000000015E-3</v>
      </c>
      <c r="U2455" s="9" t="s">
        <v>52</v>
      </c>
      <c r="V2455" s="3" t="s">
        <v>53</v>
      </c>
    </row>
    <row r="2456" spans="1:22">
      <c r="A2456" s="2" t="s">
        <v>7616</v>
      </c>
      <c r="B2456" s="2" t="s">
        <v>7617</v>
      </c>
      <c r="C2456" s="2" t="s">
        <v>7454</v>
      </c>
      <c r="D2456" s="2" t="s">
        <v>80</v>
      </c>
      <c r="E2456" s="2" t="s">
        <v>215</v>
      </c>
      <c r="F2456" s="2" t="s">
        <v>82</v>
      </c>
      <c r="G2456" s="2" t="s">
        <v>83</v>
      </c>
      <c r="H2456" s="2" t="s">
        <v>46</v>
      </c>
      <c r="I2456" s="2" t="s">
        <v>47</v>
      </c>
      <c r="J2456" s="2" t="s">
        <v>1106</v>
      </c>
      <c r="K2456" s="2" t="s">
        <v>7618</v>
      </c>
      <c r="L2456" s="2" t="s">
        <v>314</v>
      </c>
      <c r="M2456" s="2" t="s">
        <v>7456</v>
      </c>
      <c r="N2456" s="16">
        <v>2.1600000000000001E-2</v>
      </c>
      <c r="O2456" s="17">
        <f>N2456*'Financial Inputs'!$B$3</f>
        <v>2160000</v>
      </c>
      <c r="P2456" s="18">
        <f>IF(I2456="L",'Financial Inputs'!$B$4,IF(I2456="M",'Financial Inputs'!$B$5,'Financial Inputs'!$B$6))</f>
        <v>0.4</v>
      </c>
      <c r="Q2456" s="17">
        <f>O2456*P2456</f>
        <v>864000</v>
      </c>
      <c r="R2456" s="16">
        <f>'Financial Inputs'!$B$7</f>
        <v>0.35</v>
      </c>
      <c r="S2456" s="17">
        <f>Q2456*(1-R2456)</f>
        <v>561600</v>
      </c>
      <c r="T2456" s="18">
        <f>S2456/'Financial Inputs'!$B$3</f>
        <v>5.6160000000000003E-3</v>
      </c>
      <c r="U2456" s="9" t="s">
        <v>52</v>
      </c>
      <c r="V2456" s="3" t="s">
        <v>53</v>
      </c>
    </row>
    <row r="2457" spans="1:22">
      <c r="A2457" s="2" t="s">
        <v>7619</v>
      </c>
      <c r="B2457" s="2" t="s">
        <v>7620</v>
      </c>
      <c r="C2457" s="2" t="s">
        <v>7454</v>
      </c>
      <c r="D2457" s="2" t="s">
        <v>88</v>
      </c>
      <c r="E2457" s="2" t="s">
        <v>128</v>
      </c>
      <c r="F2457" s="2" t="s">
        <v>90</v>
      </c>
      <c r="G2457" s="2" t="s">
        <v>67</v>
      </c>
      <c r="H2457" s="2" t="s">
        <v>46</v>
      </c>
      <c r="I2457" s="2" t="s">
        <v>47</v>
      </c>
      <c r="J2457" s="2" t="s">
        <v>1106</v>
      </c>
      <c r="K2457" s="2" t="s">
        <v>7621</v>
      </c>
      <c r="L2457" s="2" t="s">
        <v>318</v>
      </c>
      <c r="M2457" s="2" t="s">
        <v>7456</v>
      </c>
      <c r="N2457" s="16">
        <v>1.44E-2</v>
      </c>
      <c r="O2457" s="17">
        <f>N2457*'Financial Inputs'!$B$3</f>
        <v>1440000</v>
      </c>
      <c r="P2457" s="18">
        <f>IF(I2457="L",'Financial Inputs'!$B$4,IF(I2457="M",'Financial Inputs'!$B$5,'Financial Inputs'!$B$6))</f>
        <v>0.4</v>
      </c>
      <c r="Q2457" s="17">
        <f>O2457*P2457</f>
        <v>576000</v>
      </c>
      <c r="R2457" s="16">
        <f>'Financial Inputs'!$B$7</f>
        <v>0.35</v>
      </c>
      <c r="S2457" s="17">
        <f>Q2457*(1-R2457)</f>
        <v>374400</v>
      </c>
      <c r="T2457" s="18">
        <f>S2457/'Financial Inputs'!$B$3</f>
        <v>3.7439999999999999E-3</v>
      </c>
      <c r="U2457" s="9" t="s">
        <v>52</v>
      </c>
      <c r="V2457" s="3" t="s">
        <v>53</v>
      </c>
    </row>
    <row r="2458" spans="1:22">
      <c r="A2458" s="2" t="s">
        <v>7622</v>
      </c>
      <c r="B2458" s="2" t="s">
        <v>7623</v>
      </c>
      <c r="C2458" s="2" t="s">
        <v>7454</v>
      </c>
      <c r="D2458" s="2" t="s">
        <v>95</v>
      </c>
      <c r="E2458" s="2" t="s">
        <v>43</v>
      </c>
      <c r="F2458" s="2" t="s">
        <v>97</v>
      </c>
      <c r="G2458" s="2" t="s">
        <v>75</v>
      </c>
      <c r="H2458" s="2" t="s">
        <v>46</v>
      </c>
      <c r="I2458" s="2" t="s">
        <v>47</v>
      </c>
      <c r="J2458" s="2" t="s">
        <v>1106</v>
      </c>
      <c r="K2458" s="2" t="s">
        <v>7624</v>
      </c>
      <c r="L2458" s="2" t="s">
        <v>322</v>
      </c>
      <c r="M2458" s="2" t="s">
        <v>7456</v>
      </c>
      <c r="N2458" s="16">
        <v>1.6199999999999999E-2</v>
      </c>
      <c r="O2458" s="17">
        <f>N2458*'Financial Inputs'!$B$3</f>
        <v>1620000</v>
      </c>
      <c r="P2458" s="18">
        <f>IF(I2458="L",'Financial Inputs'!$B$4,IF(I2458="M",'Financial Inputs'!$B$5,'Financial Inputs'!$B$6))</f>
        <v>0.4</v>
      </c>
      <c r="Q2458" s="17">
        <f>O2458*P2458</f>
        <v>648000</v>
      </c>
      <c r="R2458" s="16">
        <f>'Financial Inputs'!$B$7</f>
        <v>0.35</v>
      </c>
      <c r="S2458" s="17">
        <f>Q2458*(1-R2458)</f>
        <v>421200</v>
      </c>
      <c r="T2458" s="18">
        <f>S2458/'Financial Inputs'!$B$3</f>
        <v>4.2119999999999996E-3</v>
      </c>
      <c r="U2458" s="9" t="s">
        <v>52</v>
      </c>
      <c r="V2458" s="3" t="s">
        <v>53</v>
      </c>
    </row>
    <row r="2459" spans="1:22">
      <c r="A2459" s="2" t="s">
        <v>7625</v>
      </c>
      <c r="B2459" s="2" t="s">
        <v>7626</v>
      </c>
      <c r="C2459" s="2" t="s">
        <v>7454</v>
      </c>
      <c r="D2459" s="2" t="s">
        <v>102</v>
      </c>
      <c r="E2459" s="2" t="s">
        <v>57</v>
      </c>
      <c r="F2459" s="2" t="s">
        <v>104</v>
      </c>
      <c r="G2459" s="2" t="s">
        <v>83</v>
      </c>
      <c r="H2459" s="2" t="s">
        <v>46</v>
      </c>
      <c r="I2459" s="2" t="s">
        <v>47</v>
      </c>
      <c r="J2459" s="2" t="s">
        <v>1106</v>
      </c>
      <c r="K2459" s="2" t="s">
        <v>7627</v>
      </c>
      <c r="L2459" s="2" t="s">
        <v>326</v>
      </c>
      <c r="M2459" s="2" t="s">
        <v>7456</v>
      </c>
      <c r="N2459" s="16">
        <v>1.7999999999999999E-2</v>
      </c>
      <c r="O2459" s="17">
        <f>N2459*'Financial Inputs'!$B$3</f>
        <v>1799999.9999999998</v>
      </c>
      <c r="P2459" s="18">
        <f>IF(I2459="L",'Financial Inputs'!$B$4,IF(I2459="M",'Financial Inputs'!$B$5,'Financial Inputs'!$B$6))</f>
        <v>0.4</v>
      </c>
      <c r="Q2459" s="17">
        <f>O2459*P2459</f>
        <v>720000</v>
      </c>
      <c r="R2459" s="16">
        <f>'Financial Inputs'!$B$7</f>
        <v>0.35</v>
      </c>
      <c r="S2459" s="17">
        <f>Q2459*(1-R2459)</f>
        <v>468000</v>
      </c>
      <c r="T2459" s="18">
        <f>S2459/'Financial Inputs'!$B$3</f>
        <v>4.6800000000000001E-3</v>
      </c>
      <c r="U2459" s="9" t="s">
        <v>52</v>
      </c>
      <c r="V2459" s="3" t="s">
        <v>53</v>
      </c>
    </row>
    <row r="2460" spans="1:22">
      <c r="A2460" s="2" t="s">
        <v>7628</v>
      </c>
      <c r="B2460" s="2" t="s">
        <v>7629</v>
      </c>
      <c r="C2460" s="2" t="s">
        <v>7454</v>
      </c>
      <c r="D2460" s="2" t="s">
        <v>42</v>
      </c>
      <c r="E2460" s="2" t="s">
        <v>65</v>
      </c>
      <c r="F2460" s="2" t="s">
        <v>110</v>
      </c>
      <c r="G2460" s="2" t="s">
        <v>111</v>
      </c>
      <c r="H2460" s="2" t="s">
        <v>46</v>
      </c>
      <c r="I2460" s="2" t="s">
        <v>47</v>
      </c>
      <c r="J2460" s="2" t="s">
        <v>1106</v>
      </c>
      <c r="K2460" s="2" t="s">
        <v>7630</v>
      </c>
      <c r="L2460" s="2" t="s">
        <v>330</v>
      </c>
      <c r="M2460" s="2" t="s">
        <v>7456</v>
      </c>
      <c r="N2460" s="16">
        <v>1.9800000000000002E-2</v>
      </c>
      <c r="O2460" s="17">
        <f>N2460*'Financial Inputs'!$B$3</f>
        <v>1980000.0000000002</v>
      </c>
      <c r="P2460" s="18">
        <f>IF(I2460="L",'Financial Inputs'!$B$4,IF(I2460="M",'Financial Inputs'!$B$5,'Financial Inputs'!$B$6))</f>
        <v>0.4</v>
      </c>
      <c r="Q2460" s="17">
        <f>O2460*P2460</f>
        <v>792000.00000000012</v>
      </c>
      <c r="R2460" s="16">
        <f>'Financial Inputs'!$B$7</f>
        <v>0.35</v>
      </c>
      <c r="S2460" s="17">
        <f>Q2460*(1-R2460)</f>
        <v>514800.00000000012</v>
      </c>
      <c r="T2460" s="18">
        <f>S2460/'Financial Inputs'!$B$3</f>
        <v>5.1480000000000015E-3</v>
      </c>
      <c r="U2460" s="9" t="s">
        <v>52</v>
      </c>
      <c r="V2460" s="3" t="s">
        <v>53</v>
      </c>
    </row>
    <row r="2461" spans="1:22">
      <c r="A2461" s="2" t="s">
        <v>7631</v>
      </c>
      <c r="B2461" s="2" t="s">
        <v>7632</v>
      </c>
      <c r="C2461" s="2" t="s">
        <v>7454</v>
      </c>
      <c r="D2461" s="2" t="s">
        <v>56</v>
      </c>
      <c r="E2461" s="2" t="s">
        <v>73</v>
      </c>
      <c r="F2461" s="2" t="s">
        <v>117</v>
      </c>
      <c r="G2461" s="2" t="s">
        <v>56</v>
      </c>
      <c r="H2461" s="2" t="s">
        <v>46</v>
      </c>
      <c r="I2461" s="2" t="s">
        <v>47</v>
      </c>
      <c r="J2461" s="2" t="s">
        <v>1106</v>
      </c>
      <c r="K2461" s="2" t="s">
        <v>7633</v>
      </c>
      <c r="L2461" s="2" t="s">
        <v>334</v>
      </c>
      <c r="M2461" s="2" t="s">
        <v>7456</v>
      </c>
      <c r="N2461" s="16">
        <v>2.1600000000000001E-2</v>
      </c>
      <c r="O2461" s="17">
        <f>N2461*'Financial Inputs'!$B$3</f>
        <v>2160000</v>
      </c>
      <c r="P2461" s="18">
        <f>IF(I2461="L",'Financial Inputs'!$B$4,IF(I2461="M",'Financial Inputs'!$B$5,'Financial Inputs'!$B$6))</f>
        <v>0.4</v>
      </c>
      <c r="Q2461" s="17">
        <f>O2461*P2461</f>
        <v>864000</v>
      </c>
      <c r="R2461" s="16">
        <f>'Financial Inputs'!$B$7</f>
        <v>0.35</v>
      </c>
      <c r="S2461" s="17">
        <f>Q2461*(1-R2461)</f>
        <v>561600</v>
      </c>
      <c r="T2461" s="18">
        <f>S2461/'Financial Inputs'!$B$3</f>
        <v>5.6160000000000003E-3</v>
      </c>
      <c r="U2461" s="9" t="s">
        <v>52</v>
      </c>
      <c r="V2461" s="3" t="s">
        <v>53</v>
      </c>
    </row>
    <row r="2462" spans="1:22">
      <c r="A2462" s="2" t="s">
        <v>7634</v>
      </c>
      <c r="B2462" s="2" t="s">
        <v>7635</v>
      </c>
      <c r="C2462" s="2" t="s">
        <v>7454</v>
      </c>
      <c r="D2462" s="2" t="s">
        <v>80</v>
      </c>
      <c r="E2462" s="2" t="s">
        <v>153</v>
      </c>
      <c r="F2462" s="2" t="s">
        <v>58</v>
      </c>
      <c r="G2462" s="2" t="s">
        <v>83</v>
      </c>
      <c r="H2462" s="2" t="s">
        <v>46</v>
      </c>
      <c r="I2462" s="2" t="s">
        <v>47</v>
      </c>
      <c r="J2462" s="2" t="s">
        <v>1106</v>
      </c>
      <c r="K2462" s="2" t="s">
        <v>7636</v>
      </c>
      <c r="L2462" s="2" t="s">
        <v>338</v>
      </c>
      <c r="M2462" s="2" t="s">
        <v>7456</v>
      </c>
      <c r="N2462" s="16">
        <v>1.44E-2</v>
      </c>
      <c r="O2462" s="17">
        <f>N2462*'Financial Inputs'!$B$3</f>
        <v>1440000</v>
      </c>
      <c r="P2462" s="18">
        <f>IF(I2462="L",'Financial Inputs'!$B$4,IF(I2462="M",'Financial Inputs'!$B$5,'Financial Inputs'!$B$6))</f>
        <v>0.4</v>
      </c>
      <c r="Q2462" s="17">
        <f>O2462*P2462</f>
        <v>576000</v>
      </c>
      <c r="R2462" s="16">
        <f>'Financial Inputs'!$B$7</f>
        <v>0.35</v>
      </c>
      <c r="S2462" s="17">
        <f>Q2462*(1-R2462)</f>
        <v>374400</v>
      </c>
      <c r="T2462" s="18">
        <f>S2462/'Financial Inputs'!$B$3</f>
        <v>3.7439999999999999E-3</v>
      </c>
      <c r="U2462" s="9" t="s">
        <v>52</v>
      </c>
      <c r="V2462" s="3" t="s">
        <v>53</v>
      </c>
    </row>
    <row r="2463" spans="1:22">
      <c r="A2463" s="2" t="s">
        <v>7637</v>
      </c>
      <c r="B2463" s="2" t="s">
        <v>7638</v>
      </c>
      <c r="C2463" s="2" t="s">
        <v>7454</v>
      </c>
      <c r="D2463" s="2" t="s">
        <v>127</v>
      </c>
      <c r="E2463" s="2" t="s">
        <v>89</v>
      </c>
      <c r="F2463" s="2" t="s">
        <v>66</v>
      </c>
      <c r="G2463" s="2" t="s">
        <v>111</v>
      </c>
      <c r="H2463" s="2" t="s">
        <v>46</v>
      </c>
      <c r="I2463" s="2" t="s">
        <v>47</v>
      </c>
      <c r="J2463" s="2" t="s">
        <v>1106</v>
      </c>
      <c r="K2463" s="2" t="s">
        <v>7639</v>
      </c>
      <c r="L2463" s="2" t="s">
        <v>342</v>
      </c>
      <c r="M2463" s="2" t="s">
        <v>7456</v>
      </c>
      <c r="N2463" s="16">
        <v>1.6199999999999999E-2</v>
      </c>
      <c r="O2463" s="17">
        <f>N2463*'Financial Inputs'!$B$3</f>
        <v>1620000</v>
      </c>
      <c r="P2463" s="18">
        <f>IF(I2463="L",'Financial Inputs'!$B$4,IF(I2463="M",'Financial Inputs'!$B$5,'Financial Inputs'!$B$6))</f>
        <v>0.4</v>
      </c>
      <c r="Q2463" s="17">
        <f>O2463*P2463</f>
        <v>648000</v>
      </c>
      <c r="R2463" s="16">
        <f>'Financial Inputs'!$B$7</f>
        <v>0.35</v>
      </c>
      <c r="S2463" s="17">
        <f>Q2463*(1-R2463)</f>
        <v>421200</v>
      </c>
      <c r="T2463" s="18">
        <f>S2463/'Financial Inputs'!$B$3</f>
        <v>4.2119999999999996E-3</v>
      </c>
      <c r="U2463" s="9" t="s">
        <v>52</v>
      </c>
      <c r="V2463" s="3" t="s">
        <v>53</v>
      </c>
    </row>
    <row r="2464" spans="1:22">
      <c r="A2464" s="2" t="s">
        <v>7640</v>
      </c>
      <c r="B2464" s="2" t="s">
        <v>7641</v>
      </c>
      <c r="C2464" s="2" t="s">
        <v>7454</v>
      </c>
      <c r="D2464" s="2" t="s">
        <v>133</v>
      </c>
      <c r="E2464" s="2" t="s">
        <v>96</v>
      </c>
      <c r="F2464" s="2" t="s">
        <v>74</v>
      </c>
      <c r="G2464" s="2" t="s">
        <v>56</v>
      </c>
      <c r="H2464" s="2" t="s">
        <v>46</v>
      </c>
      <c r="I2464" s="2" t="s">
        <v>47</v>
      </c>
      <c r="J2464" s="2" t="s">
        <v>1106</v>
      </c>
      <c r="K2464" s="2" t="s">
        <v>7642</v>
      </c>
      <c r="L2464" s="2" t="s">
        <v>346</v>
      </c>
      <c r="M2464" s="2" t="s">
        <v>7456</v>
      </c>
      <c r="N2464" s="16">
        <v>1.7999999999999999E-2</v>
      </c>
      <c r="O2464" s="17">
        <f>N2464*'Financial Inputs'!$B$3</f>
        <v>1799999.9999999998</v>
      </c>
      <c r="P2464" s="18">
        <f>IF(I2464="L",'Financial Inputs'!$B$4,IF(I2464="M",'Financial Inputs'!$B$5,'Financial Inputs'!$B$6))</f>
        <v>0.4</v>
      </c>
      <c r="Q2464" s="17">
        <f>O2464*P2464</f>
        <v>720000</v>
      </c>
      <c r="R2464" s="16">
        <f>'Financial Inputs'!$B$7</f>
        <v>0.35</v>
      </c>
      <c r="S2464" s="17">
        <f>Q2464*(1-R2464)</f>
        <v>468000</v>
      </c>
      <c r="T2464" s="18">
        <f>S2464/'Financial Inputs'!$B$3</f>
        <v>4.6800000000000001E-3</v>
      </c>
      <c r="U2464" s="9" t="s">
        <v>52</v>
      </c>
      <c r="V2464" s="3" t="s">
        <v>53</v>
      </c>
    </row>
    <row r="2465" spans="1:22">
      <c r="A2465" s="2" t="s">
        <v>7643</v>
      </c>
      <c r="B2465" s="2" t="s">
        <v>7644</v>
      </c>
      <c r="C2465" s="2" t="s">
        <v>7454</v>
      </c>
      <c r="D2465" s="2" t="s">
        <v>88</v>
      </c>
      <c r="E2465" s="2" t="s">
        <v>103</v>
      </c>
      <c r="F2465" s="2" t="s">
        <v>82</v>
      </c>
      <c r="G2465" s="2" t="s">
        <v>138</v>
      </c>
      <c r="H2465" s="2" t="s">
        <v>46</v>
      </c>
      <c r="I2465" s="2" t="s">
        <v>47</v>
      </c>
      <c r="J2465" s="2" t="s">
        <v>1106</v>
      </c>
      <c r="K2465" s="2" t="s">
        <v>7645</v>
      </c>
      <c r="L2465" s="2" t="s">
        <v>350</v>
      </c>
      <c r="M2465" s="2" t="s">
        <v>7456</v>
      </c>
      <c r="N2465" s="16">
        <v>1.9800000000000002E-2</v>
      </c>
      <c r="O2465" s="17">
        <f>N2465*'Financial Inputs'!$B$3</f>
        <v>1980000.0000000002</v>
      </c>
      <c r="P2465" s="18">
        <f>IF(I2465="L",'Financial Inputs'!$B$4,IF(I2465="M",'Financial Inputs'!$B$5,'Financial Inputs'!$B$6))</f>
        <v>0.4</v>
      </c>
      <c r="Q2465" s="17">
        <f>O2465*P2465</f>
        <v>792000.00000000012</v>
      </c>
      <c r="R2465" s="16">
        <f>'Financial Inputs'!$B$7</f>
        <v>0.35</v>
      </c>
      <c r="S2465" s="17">
        <f>Q2465*(1-R2465)</f>
        <v>514800.00000000012</v>
      </c>
      <c r="T2465" s="18">
        <f>S2465/'Financial Inputs'!$B$3</f>
        <v>5.1480000000000015E-3</v>
      </c>
      <c r="U2465" s="9" t="s">
        <v>52</v>
      </c>
      <c r="V2465" s="3" t="s">
        <v>53</v>
      </c>
    </row>
    <row r="2466" spans="1:22">
      <c r="A2466" s="2" t="s">
        <v>7646</v>
      </c>
      <c r="B2466" s="2" t="s">
        <v>7647</v>
      </c>
      <c r="C2466" s="2" t="s">
        <v>7454</v>
      </c>
      <c r="D2466" s="2" t="s">
        <v>95</v>
      </c>
      <c r="E2466" s="2" t="s">
        <v>109</v>
      </c>
      <c r="F2466" s="2" t="s">
        <v>44</v>
      </c>
      <c r="G2466" s="2" t="s">
        <v>143</v>
      </c>
      <c r="H2466" s="2" t="s">
        <v>46</v>
      </c>
      <c r="I2466" s="2" t="s">
        <v>47</v>
      </c>
      <c r="J2466" s="2" t="s">
        <v>1106</v>
      </c>
      <c r="K2466" s="2" t="s">
        <v>7648</v>
      </c>
      <c r="L2466" s="2" t="s">
        <v>354</v>
      </c>
      <c r="M2466" s="2" t="s">
        <v>7456</v>
      </c>
      <c r="N2466" s="16">
        <v>2.1600000000000001E-2</v>
      </c>
      <c r="O2466" s="17">
        <f>N2466*'Financial Inputs'!$B$3</f>
        <v>2160000</v>
      </c>
      <c r="P2466" s="18">
        <f>IF(I2466="L",'Financial Inputs'!$B$4,IF(I2466="M",'Financial Inputs'!$B$5,'Financial Inputs'!$B$6))</f>
        <v>0.4</v>
      </c>
      <c r="Q2466" s="17">
        <f>O2466*P2466</f>
        <v>864000</v>
      </c>
      <c r="R2466" s="16">
        <f>'Financial Inputs'!$B$7</f>
        <v>0.35</v>
      </c>
      <c r="S2466" s="17">
        <f>Q2466*(1-R2466)</f>
        <v>561600</v>
      </c>
      <c r="T2466" s="18">
        <f>S2466/'Financial Inputs'!$B$3</f>
        <v>5.6160000000000003E-3</v>
      </c>
      <c r="U2466" s="9" t="s">
        <v>52</v>
      </c>
      <c r="V2466" s="3" t="s">
        <v>53</v>
      </c>
    </row>
    <row r="2467" spans="1:22">
      <c r="A2467" s="2" t="s">
        <v>7649</v>
      </c>
      <c r="B2467" s="2" t="s">
        <v>7650</v>
      </c>
      <c r="C2467" s="2" t="s">
        <v>7454</v>
      </c>
      <c r="D2467" s="2" t="s">
        <v>56</v>
      </c>
      <c r="E2467" s="2" t="s">
        <v>176</v>
      </c>
      <c r="F2467" s="2" t="s">
        <v>97</v>
      </c>
      <c r="G2467" s="2" t="s">
        <v>56</v>
      </c>
      <c r="H2467" s="2" t="s">
        <v>46</v>
      </c>
      <c r="I2467" s="2" t="s">
        <v>47</v>
      </c>
      <c r="J2467" s="2" t="s">
        <v>1106</v>
      </c>
      <c r="K2467" s="2" t="s">
        <v>7651</v>
      </c>
      <c r="L2467" s="2" t="s">
        <v>358</v>
      </c>
      <c r="M2467" s="2" t="s">
        <v>7456</v>
      </c>
      <c r="N2467" s="16">
        <v>1.44E-2</v>
      </c>
      <c r="O2467" s="17">
        <f>N2467*'Financial Inputs'!$B$3</f>
        <v>1440000</v>
      </c>
      <c r="P2467" s="18">
        <f>IF(I2467="L",'Financial Inputs'!$B$4,IF(I2467="M",'Financial Inputs'!$B$5,'Financial Inputs'!$B$6))</f>
        <v>0.4</v>
      </c>
      <c r="Q2467" s="17">
        <f>O2467*P2467</f>
        <v>576000</v>
      </c>
      <c r="R2467" s="16">
        <f>'Financial Inputs'!$B$7</f>
        <v>0.35</v>
      </c>
      <c r="S2467" s="17">
        <f>Q2467*(1-R2467)</f>
        <v>374400</v>
      </c>
      <c r="T2467" s="18">
        <f>S2467/'Financial Inputs'!$B$3</f>
        <v>3.7439999999999999E-3</v>
      </c>
      <c r="U2467" s="9" t="s">
        <v>52</v>
      </c>
      <c r="V2467" s="3" t="s">
        <v>53</v>
      </c>
    </row>
    <row r="2468" spans="1:22">
      <c r="A2468" s="2" t="s">
        <v>7652</v>
      </c>
      <c r="B2468" s="2" t="s">
        <v>7653</v>
      </c>
      <c r="C2468" s="2" t="s">
        <v>7454</v>
      </c>
      <c r="D2468" s="2" t="s">
        <v>64</v>
      </c>
      <c r="E2468" s="2" t="s">
        <v>122</v>
      </c>
      <c r="F2468" s="2" t="s">
        <v>104</v>
      </c>
      <c r="G2468" s="2" t="s">
        <v>138</v>
      </c>
      <c r="H2468" s="2" t="s">
        <v>46</v>
      </c>
      <c r="I2468" s="2" t="s">
        <v>47</v>
      </c>
      <c r="J2468" s="2" t="s">
        <v>1106</v>
      </c>
      <c r="K2468" s="2" t="s">
        <v>7654</v>
      </c>
      <c r="L2468" s="2" t="s">
        <v>362</v>
      </c>
      <c r="M2468" s="2" t="s">
        <v>7456</v>
      </c>
      <c r="N2468" s="16">
        <v>1.6199999999999999E-2</v>
      </c>
      <c r="O2468" s="17">
        <f>N2468*'Financial Inputs'!$B$3</f>
        <v>1620000</v>
      </c>
      <c r="P2468" s="18">
        <f>IF(I2468="L",'Financial Inputs'!$B$4,IF(I2468="M",'Financial Inputs'!$B$5,'Financial Inputs'!$B$6))</f>
        <v>0.4</v>
      </c>
      <c r="Q2468" s="17">
        <f>O2468*P2468</f>
        <v>648000</v>
      </c>
      <c r="R2468" s="16">
        <f>'Financial Inputs'!$B$7</f>
        <v>0.35</v>
      </c>
      <c r="S2468" s="17">
        <f>Q2468*(1-R2468)</f>
        <v>421200</v>
      </c>
      <c r="T2468" s="18">
        <f>S2468/'Financial Inputs'!$B$3</f>
        <v>4.2119999999999996E-3</v>
      </c>
      <c r="U2468" s="9" t="s">
        <v>52</v>
      </c>
      <c r="V2468" s="3" t="s">
        <v>53</v>
      </c>
    </row>
    <row r="2469" spans="1:22">
      <c r="A2469" s="2" t="s">
        <v>7655</v>
      </c>
      <c r="B2469" s="2" t="s">
        <v>7656</v>
      </c>
      <c r="C2469" s="2" t="s">
        <v>7454</v>
      </c>
      <c r="D2469" s="2" t="s">
        <v>72</v>
      </c>
      <c r="E2469" s="2" t="s">
        <v>128</v>
      </c>
      <c r="F2469" s="2" t="s">
        <v>110</v>
      </c>
      <c r="G2469" s="2" t="s">
        <v>143</v>
      </c>
      <c r="H2469" s="2" t="s">
        <v>46</v>
      </c>
      <c r="I2469" s="2" t="s">
        <v>47</v>
      </c>
      <c r="J2469" s="2" t="s">
        <v>1106</v>
      </c>
      <c r="K2469" s="2" t="s">
        <v>7657</v>
      </c>
      <c r="L2469" s="2" t="s">
        <v>366</v>
      </c>
      <c r="M2469" s="2" t="s">
        <v>7456</v>
      </c>
      <c r="N2469" s="16">
        <v>1.7999999999999999E-2</v>
      </c>
      <c r="O2469" s="17">
        <f>N2469*'Financial Inputs'!$B$3</f>
        <v>1799999.9999999998</v>
      </c>
      <c r="P2469" s="18">
        <f>IF(I2469="L",'Financial Inputs'!$B$4,IF(I2469="M",'Financial Inputs'!$B$5,'Financial Inputs'!$B$6))</f>
        <v>0.4</v>
      </c>
      <c r="Q2469" s="17">
        <f>O2469*P2469</f>
        <v>720000</v>
      </c>
      <c r="R2469" s="16">
        <f>'Financial Inputs'!$B$7</f>
        <v>0.35</v>
      </c>
      <c r="S2469" s="17">
        <f>Q2469*(1-R2469)</f>
        <v>468000</v>
      </c>
      <c r="T2469" s="18">
        <f>S2469/'Financial Inputs'!$B$3</f>
        <v>4.6800000000000001E-3</v>
      </c>
      <c r="U2469" s="9" t="s">
        <v>52</v>
      </c>
      <c r="V2469" s="3" t="s">
        <v>53</v>
      </c>
    </row>
    <row r="2470" spans="1:22">
      <c r="A2470" s="2" t="s">
        <v>7658</v>
      </c>
      <c r="B2470" s="2" t="s">
        <v>7659</v>
      </c>
      <c r="C2470" s="2" t="s">
        <v>7454</v>
      </c>
      <c r="D2470" s="2" t="s">
        <v>80</v>
      </c>
      <c r="E2470" s="2" t="s">
        <v>43</v>
      </c>
      <c r="F2470" s="2" t="s">
        <v>117</v>
      </c>
      <c r="G2470" s="2" t="s">
        <v>162</v>
      </c>
      <c r="H2470" s="2" t="s">
        <v>46</v>
      </c>
      <c r="I2470" s="2" t="s">
        <v>47</v>
      </c>
      <c r="J2470" s="2" t="s">
        <v>1106</v>
      </c>
      <c r="K2470" s="2" t="s">
        <v>7660</v>
      </c>
      <c r="L2470" s="2" t="s">
        <v>370</v>
      </c>
      <c r="M2470" s="2" t="s">
        <v>7456</v>
      </c>
      <c r="N2470" s="16">
        <v>1.9800000000000002E-2</v>
      </c>
      <c r="O2470" s="17">
        <f>N2470*'Financial Inputs'!$B$3</f>
        <v>1980000.0000000002</v>
      </c>
      <c r="P2470" s="18">
        <f>IF(I2470="L",'Financial Inputs'!$B$4,IF(I2470="M",'Financial Inputs'!$B$5,'Financial Inputs'!$B$6))</f>
        <v>0.4</v>
      </c>
      <c r="Q2470" s="17">
        <f>O2470*P2470</f>
        <v>792000.00000000012</v>
      </c>
      <c r="R2470" s="16">
        <f>'Financial Inputs'!$B$7</f>
        <v>0.35</v>
      </c>
      <c r="S2470" s="17">
        <f>Q2470*(1-R2470)</f>
        <v>514800.00000000012</v>
      </c>
      <c r="T2470" s="18">
        <f>S2470/'Financial Inputs'!$B$3</f>
        <v>5.1480000000000015E-3</v>
      </c>
      <c r="U2470" s="9" t="s">
        <v>52</v>
      </c>
      <c r="V2470" s="3" t="s">
        <v>53</v>
      </c>
    </row>
    <row r="2471" spans="1:22">
      <c r="A2471" s="2" t="s">
        <v>7661</v>
      </c>
      <c r="B2471" s="2" t="s">
        <v>7662</v>
      </c>
      <c r="C2471" s="2" t="s">
        <v>7454</v>
      </c>
      <c r="D2471" s="2" t="s">
        <v>127</v>
      </c>
      <c r="E2471" s="2" t="s">
        <v>57</v>
      </c>
      <c r="F2471" s="2" t="s">
        <v>90</v>
      </c>
      <c r="G2471" s="2" t="s">
        <v>45</v>
      </c>
      <c r="H2471" s="2" t="s">
        <v>46</v>
      </c>
      <c r="I2471" s="2" t="s">
        <v>47</v>
      </c>
      <c r="J2471" s="2" t="s">
        <v>1106</v>
      </c>
      <c r="K2471" s="2" t="s">
        <v>7663</v>
      </c>
      <c r="L2471" s="2" t="s">
        <v>374</v>
      </c>
      <c r="M2471" s="2" t="s">
        <v>7456</v>
      </c>
      <c r="N2471" s="16">
        <v>2.1600000000000001E-2</v>
      </c>
      <c r="O2471" s="17">
        <f>N2471*'Financial Inputs'!$B$3</f>
        <v>2160000</v>
      </c>
      <c r="P2471" s="18">
        <f>IF(I2471="L",'Financial Inputs'!$B$4,IF(I2471="M",'Financial Inputs'!$B$5,'Financial Inputs'!$B$6))</f>
        <v>0.4</v>
      </c>
      <c r="Q2471" s="17">
        <f>O2471*P2471</f>
        <v>864000</v>
      </c>
      <c r="R2471" s="16">
        <f>'Financial Inputs'!$B$7</f>
        <v>0.35</v>
      </c>
      <c r="S2471" s="17">
        <f>Q2471*(1-R2471)</f>
        <v>561600</v>
      </c>
      <c r="T2471" s="18">
        <f>S2471/'Financial Inputs'!$B$3</f>
        <v>5.6160000000000003E-3</v>
      </c>
      <c r="U2471" s="9" t="s">
        <v>52</v>
      </c>
      <c r="V2471" s="3" t="s">
        <v>53</v>
      </c>
    </row>
    <row r="2472" spans="1:22">
      <c r="A2472" s="2" t="s">
        <v>7664</v>
      </c>
      <c r="B2472" s="2" t="s">
        <v>7665</v>
      </c>
      <c r="C2472" s="2" t="s">
        <v>7454</v>
      </c>
      <c r="D2472" s="2" t="s">
        <v>95</v>
      </c>
      <c r="E2472" s="2" t="s">
        <v>198</v>
      </c>
      <c r="F2472" s="2" t="s">
        <v>66</v>
      </c>
      <c r="G2472" s="2" t="s">
        <v>143</v>
      </c>
      <c r="H2472" s="2" t="s">
        <v>46</v>
      </c>
      <c r="I2472" s="2" t="s">
        <v>47</v>
      </c>
      <c r="J2472" s="2" t="s">
        <v>1106</v>
      </c>
      <c r="K2472" s="2" t="s">
        <v>7666</v>
      </c>
      <c r="L2472" s="2" t="s">
        <v>378</v>
      </c>
      <c r="M2472" s="2" t="s">
        <v>7456</v>
      </c>
      <c r="N2472" s="16">
        <v>1.44E-2</v>
      </c>
      <c r="O2472" s="17">
        <f>N2472*'Financial Inputs'!$B$3</f>
        <v>1440000</v>
      </c>
      <c r="P2472" s="18">
        <f>IF(I2472="L",'Financial Inputs'!$B$4,IF(I2472="M",'Financial Inputs'!$B$5,'Financial Inputs'!$B$6))</f>
        <v>0.4</v>
      </c>
      <c r="Q2472" s="17">
        <f>O2472*P2472</f>
        <v>576000</v>
      </c>
      <c r="R2472" s="16">
        <f>'Financial Inputs'!$B$7</f>
        <v>0.35</v>
      </c>
      <c r="S2472" s="17">
        <f>Q2472*(1-R2472)</f>
        <v>374400</v>
      </c>
      <c r="T2472" s="18">
        <f>S2472/'Financial Inputs'!$B$3</f>
        <v>3.7439999999999999E-3</v>
      </c>
      <c r="U2472" s="9" t="s">
        <v>52</v>
      </c>
      <c r="V2472" s="3" t="s">
        <v>53</v>
      </c>
    </row>
    <row r="2473" spans="1:22">
      <c r="A2473" s="2" t="s">
        <v>7667</v>
      </c>
      <c r="B2473" s="2" t="s">
        <v>7668</v>
      </c>
      <c r="C2473" s="2" t="s">
        <v>7454</v>
      </c>
      <c r="D2473" s="2" t="s">
        <v>102</v>
      </c>
      <c r="E2473" s="2" t="s">
        <v>148</v>
      </c>
      <c r="F2473" s="2" t="s">
        <v>74</v>
      </c>
      <c r="G2473" s="2" t="s">
        <v>162</v>
      </c>
      <c r="H2473" s="2" t="s">
        <v>46</v>
      </c>
      <c r="I2473" s="2" t="s">
        <v>47</v>
      </c>
      <c r="J2473" s="2" t="s">
        <v>1106</v>
      </c>
      <c r="K2473" s="2" t="s">
        <v>7669</v>
      </c>
      <c r="L2473" s="2" t="s">
        <v>382</v>
      </c>
      <c r="M2473" s="2" t="s">
        <v>7456</v>
      </c>
      <c r="N2473" s="16">
        <v>1.6199999999999999E-2</v>
      </c>
      <c r="O2473" s="17">
        <f>N2473*'Financial Inputs'!$B$3</f>
        <v>1620000</v>
      </c>
      <c r="P2473" s="18">
        <f>IF(I2473="L",'Financial Inputs'!$B$4,IF(I2473="M",'Financial Inputs'!$B$5,'Financial Inputs'!$B$6))</f>
        <v>0.4</v>
      </c>
      <c r="Q2473" s="17">
        <f>O2473*P2473</f>
        <v>648000</v>
      </c>
      <c r="R2473" s="16">
        <f>'Financial Inputs'!$B$7</f>
        <v>0.35</v>
      </c>
      <c r="S2473" s="17">
        <f>Q2473*(1-R2473)</f>
        <v>421200</v>
      </c>
      <c r="T2473" s="18">
        <f>S2473/'Financial Inputs'!$B$3</f>
        <v>4.2119999999999996E-3</v>
      </c>
      <c r="U2473" s="9" t="s">
        <v>52</v>
      </c>
      <c r="V2473" s="3" t="s">
        <v>53</v>
      </c>
    </row>
    <row r="2474" spans="1:22">
      <c r="A2474" s="2" t="s">
        <v>7670</v>
      </c>
      <c r="B2474" s="2" t="s">
        <v>7671</v>
      </c>
      <c r="C2474" s="2" t="s">
        <v>7454</v>
      </c>
      <c r="D2474" s="2" t="s">
        <v>42</v>
      </c>
      <c r="E2474" s="2" t="s">
        <v>153</v>
      </c>
      <c r="F2474" s="2" t="s">
        <v>82</v>
      </c>
      <c r="G2474" s="2" t="s">
        <v>45</v>
      </c>
      <c r="H2474" s="2" t="s">
        <v>46</v>
      </c>
      <c r="I2474" s="2" t="s">
        <v>47</v>
      </c>
      <c r="J2474" s="2" t="s">
        <v>1106</v>
      </c>
      <c r="K2474" s="2" t="s">
        <v>7672</v>
      </c>
      <c r="L2474" s="2" t="s">
        <v>386</v>
      </c>
      <c r="M2474" s="2" t="s">
        <v>7456</v>
      </c>
      <c r="N2474" s="16">
        <v>1.7999999999999999E-2</v>
      </c>
      <c r="O2474" s="17">
        <f>N2474*'Financial Inputs'!$B$3</f>
        <v>1799999.9999999998</v>
      </c>
      <c r="P2474" s="18">
        <f>IF(I2474="L",'Financial Inputs'!$B$4,IF(I2474="M",'Financial Inputs'!$B$5,'Financial Inputs'!$B$6))</f>
        <v>0.4</v>
      </c>
      <c r="Q2474" s="17">
        <f>O2474*P2474</f>
        <v>720000</v>
      </c>
      <c r="R2474" s="16">
        <f>'Financial Inputs'!$B$7</f>
        <v>0.35</v>
      </c>
      <c r="S2474" s="17">
        <f>Q2474*(1-R2474)</f>
        <v>468000</v>
      </c>
      <c r="T2474" s="18">
        <f>S2474/'Financial Inputs'!$B$3</f>
        <v>4.6800000000000001E-3</v>
      </c>
      <c r="U2474" s="9" t="s">
        <v>52</v>
      </c>
      <c r="V2474" s="3" t="s">
        <v>53</v>
      </c>
    </row>
    <row r="2475" spans="1:22">
      <c r="A2475" s="2" t="s">
        <v>7673</v>
      </c>
      <c r="B2475" s="2" t="s">
        <v>7674</v>
      </c>
      <c r="C2475" s="2" t="s">
        <v>7454</v>
      </c>
      <c r="D2475" s="2" t="s">
        <v>56</v>
      </c>
      <c r="E2475" s="2" t="s">
        <v>89</v>
      </c>
      <c r="F2475" s="2" t="s">
        <v>44</v>
      </c>
      <c r="G2475" s="2" t="s">
        <v>59</v>
      </c>
      <c r="H2475" s="2" t="s">
        <v>46</v>
      </c>
      <c r="I2475" s="2" t="s">
        <v>47</v>
      </c>
      <c r="J2475" s="2" t="s">
        <v>1106</v>
      </c>
      <c r="K2475" s="2" t="s">
        <v>7675</v>
      </c>
      <c r="L2475" s="2" t="s">
        <v>390</v>
      </c>
      <c r="M2475" s="2" t="s">
        <v>7456</v>
      </c>
      <c r="N2475" s="16">
        <v>1.9800000000000002E-2</v>
      </c>
      <c r="O2475" s="17">
        <f>N2475*'Financial Inputs'!$B$3</f>
        <v>1980000.0000000002</v>
      </c>
      <c r="P2475" s="18">
        <f>IF(I2475="L",'Financial Inputs'!$B$4,IF(I2475="M",'Financial Inputs'!$B$5,'Financial Inputs'!$B$6))</f>
        <v>0.4</v>
      </c>
      <c r="Q2475" s="17">
        <f>O2475*P2475</f>
        <v>792000.00000000012</v>
      </c>
      <c r="R2475" s="16">
        <f>'Financial Inputs'!$B$7</f>
        <v>0.35</v>
      </c>
      <c r="S2475" s="17">
        <f>Q2475*(1-R2475)</f>
        <v>514800.00000000012</v>
      </c>
      <c r="T2475" s="18">
        <f>S2475/'Financial Inputs'!$B$3</f>
        <v>5.1480000000000015E-3</v>
      </c>
      <c r="U2475" s="9" t="s">
        <v>52</v>
      </c>
      <c r="V2475" s="3" t="s">
        <v>53</v>
      </c>
    </row>
    <row r="2476" spans="1:22">
      <c r="A2476" s="2" t="s">
        <v>7676</v>
      </c>
      <c r="B2476" s="2" t="s">
        <v>7677</v>
      </c>
      <c r="C2476" s="2" t="s">
        <v>7454</v>
      </c>
      <c r="D2476" s="2" t="s">
        <v>64</v>
      </c>
      <c r="E2476" s="2" t="s">
        <v>96</v>
      </c>
      <c r="F2476" s="2" t="s">
        <v>58</v>
      </c>
      <c r="G2476" s="2" t="s">
        <v>67</v>
      </c>
      <c r="H2476" s="2" t="s">
        <v>46</v>
      </c>
      <c r="I2476" s="2" t="s">
        <v>47</v>
      </c>
      <c r="J2476" s="2" t="s">
        <v>1106</v>
      </c>
      <c r="K2476" s="2" t="s">
        <v>7678</v>
      </c>
      <c r="L2476" s="2" t="s">
        <v>394</v>
      </c>
      <c r="M2476" s="2" t="s">
        <v>7456</v>
      </c>
      <c r="N2476" s="16">
        <v>2.1600000000000001E-2</v>
      </c>
      <c r="O2476" s="17">
        <f>N2476*'Financial Inputs'!$B$3</f>
        <v>2160000</v>
      </c>
      <c r="P2476" s="18">
        <f>IF(I2476="L",'Financial Inputs'!$B$4,IF(I2476="M",'Financial Inputs'!$B$5,'Financial Inputs'!$B$6))</f>
        <v>0.4</v>
      </c>
      <c r="Q2476" s="17">
        <f>O2476*P2476</f>
        <v>864000</v>
      </c>
      <c r="R2476" s="16">
        <f>'Financial Inputs'!$B$7</f>
        <v>0.35</v>
      </c>
      <c r="S2476" s="17">
        <f>Q2476*(1-R2476)</f>
        <v>561600</v>
      </c>
      <c r="T2476" s="18">
        <f>S2476/'Financial Inputs'!$B$3</f>
        <v>5.6160000000000003E-3</v>
      </c>
      <c r="U2476" s="9" t="s">
        <v>52</v>
      </c>
      <c r="V2476" s="3" t="s">
        <v>53</v>
      </c>
    </row>
    <row r="2477" spans="1:22">
      <c r="A2477" s="2" t="s">
        <v>7679</v>
      </c>
      <c r="B2477" s="2" t="s">
        <v>7680</v>
      </c>
      <c r="C2477" s="2" t="s">
        <v>7454</v>
      </c>
      <c r="D2477" s="2" t="s">
        <v>127</v>
      </c>
      <c r="E2477" s="2" t="s">
        <v>220</v>
      </c>
      <c r="F2477" s="2" t="s">
        <v>104</v>
      </c>
      <c r="G2477" s="2" t="s">
        <v>45</v>
      </c>
      <c r="H2477" s="2" t="s">
        <v>46</v>
      </c>
      <c r="I2477" s="2" t="s">
        <v>47</v>
      </c>
      <c r="J2477" s="2" t="s">
        <v>1106</v>
      </c>
      <c r="K2477" s="2" t="s">
        <v>7681</v>
      </c>
      <c r="L2477" s="2" t="s">
        <v>398</v>
      </c>
      <c r="M2477" s="2" t="s">
        <v>7456</v>
      </c>
      <c r="N2477" s="16">
        <v>1.44E-2</v>
      </c>
      <c r="O2477" s="17">
        <f>N2477*'Financial Inputs'!$B$3</f>
        <v>1440000</v>
      </c>
      <c r="P2477" s="18">
        <f>IF(I2477="L",'Financial Inputs'!$B$4,IF(I2477="M",'Financial Inputs'!$B$5,'Financial Inputs'!$B$6))</f>
        <v>0.4</v>
      </c>
      <c r="Q2477" s="17">
        <f>O2477*P2477</f>
        <v>576000</v>
      </c>
      <c r="R2477" s="16">
        <f>'Financial Inputs'!$B$7</f>
        <v>0.35</v>
      </c>
      <c r="S2477" s="17">
        <f>Q2477*(1-R2477)</f>
        <v>374400</v>
      </c>
      <c r="T2477" s="18">
        <f>S2477/'Financial Inputs'!$B$3</f>
        <v>3.7439999999999999E-3</v>
      </c>
      <c r="U2477" s="9" t="s">
        <v>52</v>
      </c>
      <c r="V2477" s="3" t="s">
        <v>53</v>
      </c>
    </row>
    <row r="2478" spans="1:22">
      <c r="A2478" s="2" t="s">
        <v>7682</v>
      </c>
      <c r="B2478" s="2" t="s">
        <v>7683</v>
      </c>
      <c r="C2478" s="2" t="s">
        <v>7454</v>
      </c>
      <c r="D2478" s="2" t="s">
        <v>133</v>
      </c>
      <c r="E2478" s="2" t="s">
        <v>171</v>
      </c>
      <c r="F2478" s="2" t="s">
        <v>110</v>
      </c>
      <c r="G2478" s="2" t="s">
        <v>59</v>
      </c>
      <c r="H2478" s="2" t="s">
        <v>46</v>
      </c>
      <c r="I2478" s="2" t="s">
        <v>47</v>
      </c>
      <c r="J2478" s="2" t="s">
        <v>1106</v>
      </c>
      <c r="K2478" s="2" t="s">
        <v>7684</v>
      </c>
      <c r="L2478" s="2" t="s">
        <v>402</v>
      </c>
      <c r="M2478" s="2" t="s">
        <v>7456</v>
      </c>
      <c r="N2478" s="16">
        <v>1.6199999999999999E-2</v>
      </c>
      <c r="O2478" s="17">
        <f>N2478*'Financial Inputs'!$B$3</f>
        <v>1620000</v>
      </c>
      <c r="P2478" s="18">
        <f>IF(I2478="L",'Financial Inputs'!$B$4,IF(I2478="M",'Financial Inputs'!$B$5,'Financial Inputs'!$B$6))</f>
        <v>0.4</v>
      </c>
      <c r="Q2478" s="17">
        <f>O2478*P2478</f>
        <v>648000</v>
      </c>
      <c r="R2478" s="16">
        <f>'Financial Inputs'!$B$7</f>
        <v>0.35</v>
      </c>
      <c r="S2478" s="17">
        <f>Q2478*(1-R2478)</f>
        <v>421200</v>
      </c>
      <c r="T2478" s="18">
        <f>S2478/'Financial Inputs'!$B$3</f>
        <v>4.2119999999999996E-3</v>
      </c>
      <c r="U2478" s="9" t="s">
        <v>52</v>
      </c>
      <c r="V2478" s="3" t="s">
        <v>53</v>
      </c>
    </row>
    <row r="2479" spans="1:22">
      <c r="A2479" s="2" t="s">
        <v>7685</v>
      </c>
      <c r="B2479" s="2" t="s">
        <v>7686</v>
      </c>
      <c r="C2479" s="2" t="s">
        <v>7454</v>
      </c>
      <c r="D2479" s="2" t="s">
        <v>88</v>
      </c>
      <c r="E2479" s="2" t="s">
        <v>176</v>
      </c>
      <c r="F2479" s="2" t="s">
        <v>117</v>
      </c>
      <c r="G2479" s="2" t="s">
        <v>67</v>
      </c>
      <c r="H2479" s="2" t="s">
        <v>46</v>
      </c>
      <c r="I2479" s="2" t="s">
        <v>47</v>
      </c>
      <c r="J2479" s="2" t="s">
        <v>1106</v>
      </c>
      <c r="K2479" s="2" t="s">
        <v>7687</v>
      </c>
      <c r="L2479" s="2" t="s">
        <v>406</v>
      </c>
      <c r="M2479" s="2" t="s">
        <v>7456</v>
      </c>
      <c r="N2479" s="16">
        <v>1.7999999999999999E-2</v>
      </c>
      <c r="O2479" s="17">
        <f>N2479*'Financial Inputs'!$B$3</f>
        <v>1799999.9999999998</v>
      </c>
      <c r="P2479" s="18">
        <f>IF(I2479="L",'Financial Inputs'!$B$4,IF(I2479="M",'Financial Inputs'!$B$5,'Financial Inputs'!$B$6))</f>
        <v>0.4</v>
      </c>
      <c r="Q2479" s="17">
        <f>O2479*P2479</f>
        <v>720000</v>
      </c>
      <c r="R2479" s="16">
        <f>'Financial Inputs'!$B$7</f>
        <v>0.35</v>
      </c>
      <c r="S2479" s="17">
        <f>Q2479*(1-R2479)</f>
        <v>468000</v>
      </c>
      <c r="T2479" s="18">
        <f>S2479/'Financial Inputs'!$B$3</f>
        <v>4.6800000000000001E-3</v>
      </c>
      <c r="U2479" s="9" t="s">
        <v>52</v>
      </c>
      <c r="V2479" s="3" t="s">
        <v>53</v>
      </c>
    </row>
    <row r="2480" spans="1:22">
      <c r="A2480" s="2" t="s">
        <v>7688</v>
      </c>
      <c r="B2480" s="2" t="s">
        <v>7689</v>
      </c>
      <c r="C2480" s="2" t="s">
        <v>7454</v>
      </c>
      <c r="D2480" s="2" t="s">
        <v>95</v>
      </c>
      <c r="E2480" s="2" t="s">
        <v>122</v>
      </c>
      <c r="F2480" s="2" t="s">
        <v>90</v>
      </c>
      <c r="G2480" s="2" t="s">
        <v>75</v>
      </c>
      <c r="H2480" s="2" t="s">
        <v>46</v>
      </c>
      <c r="I2480" s="2" t="s">
        <v>47</v>
      </c>
      <c r="J2480" s="2" t="s">
        <v>1106</v>
      </c>
      <c r="K2480" s="2" t="s">
        <v>7690</v>
      </c>
      <c r="L2480" s="2" t="s">
        <v>410</v>
      </c>
      <c r="M2480" s="2" t="s">
        <v>7456</v>
      </c>
      <c r="N2480" s="16">
        <v>1.9800000000000002E-2</v>
      </c>
      <c r="O2480" s="17">
        <f>N2480*'Financial Inputs'!$B$3</f>
        <v>1980000.0000000002</v>
      </c>
      <c r="P2480" s="18">
        <f>IF(I2480="L",'Financial Inputs'!$B$4,IF(I2480="M",'Financial Inputs'!$B$5,'Financial Inputs'!$B$6))</f>
        <v>0.4</v>
      </c>
      <c r="Q2480" s="17">
        <f>O2480*P2480</f>
        <v>792000.00000000012</v>
      </c>
      <c r="R2480" s="16">
        <f>'Financial Inputs'!$B$7</f>
        <v>0.35</v>
      </c>
      <c r="S2480" s="17">
        <f>Q2480*(1-R2480)</f>
        <v>514800.00000000012</v>
      </c>
      <c r="T2480" s="18">
        <f>S2480/'Financial Inputs'!$B$3</f>
        <v>5.1480000000000015E-3</v>
      </c>
      <c r="U2480" s="9" t="s">
        <v>52</v>
      </c>
      <c r="V2480" s="3" t="s">
        <v>53</v>
      </c>
    </row>
    <row r="2481" spans="1:22">
      <c r="A2481" s="2" t="s">
        <v>7691</v>
      </c>
      <c r="B2481" s="2" t="s">
        <v>7692</v>
      </c>
      <c r="C2481" s="2" t="s">
        <v>7454</v>
      </c>
      <c r="D2481" s="2" t="s">
        <v>102</v>
      </c>
      <c r="E2481" s="2" t="s">
        <v>128</v>
      </c>
      <c r="F2481" s="2" t="s">
        <v>97</v>
      </c>
      <c r="G2481" s="2" t="s">
        <v>83</v>
      </c>
      <c r="H2481" s="2" t="s">
        <v>46</v>
      </c>
      <c r="I2481" s="2" t="s">
        <v>47</v>
      </c>
      <c r="J2481" s="2" t="s">
        <v>1106</v>
      </c>
      <c r="K2481" s="2" t="s">
        <v>7693</v>
      </c>
      <c r="L2481" s="2" t="s">
        <v>414</v>
      </c>
      <c r="M2481" s="2" t="s">
        <v>7456</v>
      </c>
      <c r="N2481" s="16">
        <v>2.1600000000000001E-2</v>
      </c>
      <c r="O2481" s="17">
        <f>N2481*'Financial Inputs'!$B$3</f>
        <v>2160000</v>
      </c>
      <c r="P2481" s="18">
        <f>IF(I2481="L",'Financial Inputs'!$B$4,IF(I2481="M",'Financial Inputs'!$B$5,'Financial Inputs'!$B$6))</f>
        <v>0.4</v>
      </c>
      <c r="Q2481" s="17">
        <f>O2481*P2481</f>
        <v>864000</v>
      </c>
      <c r="R2481" s="16">
        <f>'Financial Inputs'!$B$7</f>
        <v>0.35</v>
      </c>
      <c r="S2481" s="17">
        <f>Q2481*(1-R2481)</f>
        <v>561600</v>
      </c>
      <c r="T2481" s="18">
        <f>S2481/'Financial Inputs'!$B$3</f>
        <v>5.6160000000000003E-3</v>
      </c>
      <c r="U2481" s="9" t="s">
        <v>52</v>
      </c>
      <c r="V2481" s="3" t="s">
        <v>53</v>
      </c>
    </row>
    <row r="2482" spans="1:22">
      <c r="A2482" s="2" t="s">
        <v>7694</v>
      </c>
      <c r="B2482" s="2" t="s">
        <v>7695</v>
      </c>
      <c r="C2482" s="2" t="s">
        <v>7454</v>
      </c>
      <c r="D2482" s="2" t="s">
        <v>64</v>
      </c>
      <c r="E2482" s="2" t="s">
        <v>81</v>
      </c>
      <c r="F2482" s="2" t="s">
        <v>74</v>
      </c>
      <c r="G2482" s="2" t="s">
        <v>67</v>
      </c>
      <c r="H2482" s="2" t="s">
        <v>46</v>
      </c>
      <c r="I2482" s="2" t="s">
        <v>47</v>
      </c>
      <c r="J2482" s="2" t="s">
        <v>1106</v>
      </c>
      <c r="K2482" s="2" t="s">
        <v>7696</v>
      </c>
      <c r="L2482" s="2" t="s">
        <v>418</v>
      </c>
      <c r="M2482" s="2" t="s">
        <v>7456</v>
      </c>
      <c r="N2482" s="16">
        <v>1.44E-2</v>
      </c>
      <c r="O2482" s="17">
        <f>N2482*'Financial Inputs'!$B$3</f>
        <v>1440000</v>
      </c>
      <c r="P2482" s="18">
        <f>IF(I2482="L",'Financial Inputs'!$B$4,IF(I2482="M",'Financial Inputs'!$B$5,'Financial Inputs'!$B$6))</f>
        <v>0.4</v>
      </c>
      <c r="Q2482" s="17">
        <f>O2482*P2482</f>
        <v>576000</v>
      </c>
      <c r="R2482" s="16">
        <f>'Financial Inputs'!$B$7</f>
        <v>0.35</v>
      </c>
      <c r="S2482" s="17">
        <f>Q2482*(1-R2482)</f>
        <v>374400</v>
      </c>
      <c r="T2482" s="18">
        <f>S2482/'Financial Inputs'!$B$3</f>
        <v>3.7439999999999999E-3</v>
      </c>
      <c r="U2482" s="9" t="s">
        <v>52</v>
      </c>
      <c r="V2482" s="3" t="s">
        <v>53</v>
      </c>
    </row>
    <row r="2483" spans="1:22">
      <c r="A2483" s="2" t="s">
        <v>7697</v>
      </c>
      <c r="B2483" s="2" t="s">
        <v>7698</v>
      </c>
      <c r="C2483" s="2" t="s">
        <v>7454</v>
      </c>
      <c r="D2483" s="2" t="s">
        <v>72</v>
      </c>
      <c r="E2483" s="2" t="s">
        <v>193</v>
      </c>
      <c r="F2483" s="2" t="s">
        <v>82</v>
      </c>
      <c r="G2483" s="2" t="s">
        <v>75</v>
      </c>
      <c r="H2483" s="2" t="s">
        <v>46</v>
      </c>
      <c r="I2483" s="2" t="s">
        <v>47</v>
      </c>
      <c r="J2483" s="2" t="s">
        <v>1106</v>
      </c>
      <c r="K2483" s="2" t="s">
        <v>7699</v>
      </c>
      <c r="L2483" s="2" t="s">
        <v>422</v>
      </c>
      <c r="M2483" s="2" t="s">
        <v>7456</v>
      </c>
      <c r="N2483" s="16">
        <v>1.6199999999999999E-2</v>
      </c>
      <c r="O2483" s="17">
        <f>N2483*'Financial Inputs'!$B$3</f>
        <v>1620000</v>
      </c>
      <c r="P2483" s="18">
        <f>IF(I2483="L",'Financial Inputs'!$B$4,IF(I2483="M",'Financial Inputs'!$B$5,'Financial Inputs'!$B$6))</f>
        <v>0.4</v>
      </c>
      <c r="Q2483" s="17">
        <f>O2483*P2483</f>
        <v>648000</v>
      </c>
      <c r="R2483" s="16">
        <f>'Financial Inputs'!$B$7</f>
        <v>0.35</v>
      </c>
      <c r="S2483" s="17">
        <f>Q2483*(1-R2483)</f>
        <v>421200</v>
      </c>
      <c r="T2483" s="18">
        <f>S2483/'Financial Inputs'!$B$3</f>
        <v>4.2119999999999996E-3</v>
      </c>
      <c r="U2483" s="9" t="s">
        <v>52</v>
      </c>
      <c r="V2483" s="3" t="s">
        <v>53</v>
      </c>
    </row>
    <row r="2484" spans="1:22">
      <c r="A2484" s="2" t="s">
        <v>7700</v>
      </c>
      <c r="B2484" s="2" t="s">
        <v>7701</v>
      </c>
      <c r="C2484" s="2" t="s">
        <v>7454</v>
      </c>
      <c r="D2484" s="2" t="s">
        <v>80</v>
      </c>
      <c r="E2484" s="2" t="s">
        <v>198</v>
      </c>
      <c r="F2484" s="2" t="s">
        <v>44</v>
      </c>
      <c r="G2484" s="2" t="s">
        <v>83</v>
      </c>
      <c r="H2484" s="2" t="s">
        <v>46</v>
      </c>
      <c r="I2484" s="2" t="s">
        <v>47</v>
      </c>
      <c r="J2484" s="2" t="s">
        <v>1106</v>
      </c>
      <c r="K2484" s="2" t="s">
        <v>7702</v>
      </c>
      <c r="L2484" s="2" t="s">
        <v>426</v>
      </c>
      <c r="M2484" s="2" t="s">
        <v>7456</v>
      </c>
      <c r="N2484" s="16">
        <v>1.7999999999999999E-2</v>
      </c>
      <c r="O2484" s="17">
        <f>N2484*'Financial Inputs'!$B$3</f>
        <v>1799999.9999999998</v>
      </c>
      <c r="P2484" s="18">
        <f>IF(I2484="L",'Financial Inputs'!$B$4,IF(I2484="M",'Financial Inputs'!$B$5,'Financial Inputs'!$B$6))</f>
        <v>0.4</v>
      </c>
      <c r="Q2484" s="17">
        <f>O2484*P2484</f>
        <v>720000</v>
      </c>
      <c r="R2484" s="16">
        <f>'Financial Inputs'!$B$7</f>
        <v>0.35</v>
      </c>
      <c r="S2484" s="17">
        <f>Q2484*(1-R2484)</f>
        <v>468000</v>
      </c>
      <c r="T2484" s="18">
        <f>S2484/'Financial Inputs'!$B$3</f>
        <v>4.6800000000000001E-3</v>
      </c>
      <c r="U2484" s="9" t="s">
        <v>52</v>
      </c>
      <c r="V2484" s="3" t="s">
        <v>53</v>
      </c>
    </row>
    <row r="2485" spans="1:22">
      <c r="A2485" s="2" t="s">
        <v>7703</v>
      </c>
      <c r="B2485" s="2" t="s">
        <v>7704</v>
      </c>
      <c r="C2485" s="2" t="s">
        <v>7454</v>
      </c>
      <c r="D2485" s="2" t="s">
        <v>127</v>
      </c>
      <c r="E2485" s="2" t="s">
        <v>148</v>
      </c>
      <c r="F2485" s="2" t="s">
        <v>58</v>
      </c>
      <c r="G2485" s="2" t="s">
        <v>111</v>
      </c>
      <c r="H2485" s="2" t="s">
        <v>46</v>
      </c>
      <c r="I2485" s="2" t="s">
        <v>47</v>
      </c>
      <c r="J2485" s="2" t="s">
        <v>1106</v>
      </c>
      <c r="K2485" s="2" t="s">
        <v>7705</v>
      </c>
      <c r="L2485" s="2" t="s">
        <v>430</v>
      </c>
      <c r="M2485" s="2" t="s">
        <v>7456</v>
      </c>
      <c r="N2485" s="16">
        <v>1.9800000000000002E-2</v>
      </c>
      <c r="O2485" s="17">
        <f>N2485*'Financial Inputs'!$B$3</f>
        <v>1980000.0000000002</v>
      </c>
      <c r="P2485" s="18">
        <f>IF(I2485="L",'Financial Inputs'!$B$4,IF(I2485="M",'Financial Inputs'!$B$5,'Financial Inputs'!$B$6))</f>
        <v>0.4</v>
      </c>
      <c r="Q2485" s="17">
        <f>O2485*P2485</f>
        <v>792000.00000000012</v>
      </c>
      <c r="R2485" s="16">
        <f>'Financial Inputs'!$B$7</f>
        <v>0.35</v>
      </c>
      <c r="S2485" s="17">
        <f>Q2485*(1-R2485)</f>
        <v>514800.00000000012</v>
      </c>
      <c r="T2485" s="18">
        <f>S2485/'Financial Inputs'!$B$3</f>
        <v>5.1480000000000015E-3</v>
      </c>
      <c r="U2485" s="9" t="s">
        <v>52</v>
      </c>
      <c r="V2485" s="3" t="s">
        <v>53</v>
      </c>
    </row>
    <row r="2486" spans="1:22">
      <c r="A2486" s="2" t="s">
        <v>7706</v>
      </c>
      <c r="B2486" s="2" t="s">
        <v>7707</v>
      </c>
      <c r="C2486" s="2" t="s">
        <v>7454</v>
      </c>
      <c r="D2486" s="2" t="s">
        <v>133</v>
      </c>
      <c r="E2486" s="2" t="s">
        <v>153</v>
      </c>
      <c r="F2486" s="2" t="s">
        <v>66</v>
      </c>
      <c r="G2486" s="2" t="s">
        <v>56</v>
      </c>
      <c r="H2486" s="2" t="s">
        <v>46</v>
      </c>
      <c r="I2486" s="2" t="s">
        <v>47</v>
      </c>
      <c r="J2486" s="2" t="s">
        <v>1106</v>
      </c>
      <c r="K2486" s="2" t="s">
        <v>7708</v>
      </c>
      <c r="L2486" s="2" t="s">
        <v>434</v>
      </c>
      <c r="M2486" s="2" t="s">
        <v>7456</v>
      </c>
      <c r="N2486" s="16">
        <v>2.1600000000000001E-2</v>
      </c>
      <c r="O2486" s="17">
        <f>N2486*'Financial Inputs'!$B$3</f>
        <v>2160000</v>
      </c>
      <c r="P2486" s="18">
        <f>IF(I2486="L",'Financial Inputs'!$B$4,IF(I2486="M",'Financial Inputs'!$B$5,'Financial Inputs'!$B$6))</f>
        <v>0.4</v>
      </c>
      <c r="Q2486" s="17">
        <f>O2486*P2486</f>
        <v>864000</v>
      </c>
      <c r="R2486" s="16">
        <f>'Financial Inputs'!$B$7</f>
        <v>0.35</v>
      </c>
      <c r="S2486" s="17">
        <f>Q2486*(1-R2486)</f>
        <v>561600</v>
      </c>
      <c r="T2486" s="18">
        <f>S2486/'Financial Inputs'!$B$3</f>
        <v>5.6160000000000003E-3</v>
      </c>
      <c r="U2486" s="9" t="s">
        <v>52</v>
      </c>
      <c r="V2486" s="3" t="s">
        <v>53</v>
      </c>
    </row>
    <row r="2487" spans="1:22">
      <c r="A2487" s="2" t="s">
        <v>7709</v>
      </c>
      <c r="B2487" s="2" t="s">
        <v>7710</v>
      </c>
      <c r="C2487" s="2" t="s">
        <v>7454</v>
      </c>
      <c r="D2487" s="2" t="s">
        <v>102</v>
      </c>
      <c r="E2487" s="2" t="s">
        <v>116</v>
      </c>
      <c r="F2487" s="2" t="s">
        <v>110</v>
      </c>
      <c r="G2487" s="2" t="s">
        <v>83</v>
      </c>
      <c r="H2487" s="2" t="s">
        <v>46</v>
      </c>
      <c r="I2487" s="2" t="s">
        <v>47</v>
      </c>
      <c r="J2487" s="2" t="s">
        <v>1106</v>
      </c>
      <c r="K2487" s="2" t="s">
        <v>7711</v>
      </c>
      <c r="L2487" s="2" t="s">
        <v>438</v>
      </c>
      <c r="M2487" s="2" t="s">
        <v>7456</v>
      </c>
      <c r="N2487" s="16">
        <v>1.44E-2</v>
      </c>
      <c r="O2487" s="17">
        <f>N2487*'Financial Inputs'!$B$3</f>
        <v>1440000</v>
      </c>
      <c r="P2487" s="18">
        <f>IF(I2487="L",'Financial Inputs'!$B$4,IF(I2487="M",'Financial Inputs'!$B$5,'Financial Inputs'!$B$6))</f>
        <v>0.4</v>
      </c>
      <c r="Q2487" s="17">
        <f>O2487*P2487</f>
        <v>576000</v>
      </c>
      <c r="R2487" s="16">
        <f>'Financial Inputs'!$B$7</f>
        <v>0.35</v>
      </c>
      <c r="S2487" s="17">
        <f>Q2487*(1-R2487)</f>
        <v>374400</v>
      </c>
      <c r="T2487" s="18">
        <f>S2487/'Financial Inputs'!$B$3</f>
        <v>3.7439999999999999E-3</v>
      </c>
      <c r="U2487" s="9" t="s">
        <v>52</v>
      </c>
      <c r="V2487" s="3" t="s">
        <v>53</v>
      </c>
    </row>
    <row r="2488" spans="1:22">
      <c r="A2488" s="2" t="s">
        <v>7712</v>
      </c>
      <c r="B2488" s="2" t="s">
        <v>7713</v>
      </c>
      <c r="C2488" s="2" t="s">
        <v>7454</v>
      </c>
      <c r="D2488" s="2" t="s">
        <v>42</v>
      </c>
      <c r="E2488" s="2" t="s">
        <v>215</v>
      </c>
      <c r="F2488" s="2" t="s">
        <v>117</v>
      </c>
      <c r="G2488" s="2" t="s">
        <v>111</v>
      </c>
      <c r="H2488" s="2" t="s">
        <v>46</v>
      </c>
      <c r="I2488" s="2" t="s">
        <v>47</v>
      </c>
      <c r="J2488" s="2" t="s">
        <v>1106</v>
      </c>
      <c r="K2488" s="2" t="s">
        <v>7714</v>
      </c>
      <c r="L2488" s="2" t="s">
        <v>442</v>
      </c>
      <c r="M2488" s="2" t="s">
        <v>7456</v>
      </c>
      <c r="N2488" s="16">
        <v>1.6199999999999999E-2</v>
      </c>
      <c r="O2488" s="17">
        <f>N2488*'Financial Inputs'!$B$3</f>
        <v>1620000</v>
      </c>
      <c r="P2488" s="18">
        <f>IF(I2488="L",'Financial Inputs'!$B$4,IF(I2488="M",'Financial Inputs'!$B$5,'Financial Inputs'!$B$6))</f>
        <v>0.4</v>
      </c>
      <c r="Q2488" s="17">
        <f>O2488*P2488</f>
        <v>648000</v>
      </c>
      <c r="R2488" s="16">
        <f>'Financial Inputs'!$B$7</f>
        <v>0.35</v>
      </c>
      <c r="S2488" s="17">
        <f>Q2488*(1-R2488)</f>
        <v>421200</v>
      </c>
      <c r="T2488" s="18">
        <f>S2488/'Financial Inputs'!$B$3</f>
        <v>4.2119999999999996E-3</v>
      </c>
      <c r="U2488" s="9" t="s">
        <v>52</v>
      </c>
      <c r="V2488" s="3" t="s">
        <v>53</v>
      </c>
    </row>
    <row r="2489" spans="1:22">
      <c r="A2489" s="2" t="s">
        <v>7715</v>
      </c>
      <c r="B2489" s="2" t="s">
        <v>7716</v>
      </c>
      <c r="C2489" s="2" t="s">
        <v>7454</v>
      </c>
      <c r="D2489" s="2" t="s">
        <v>56</v>
      </c>
      <c r="E2489" s="2" t="s">
        <v>220</v>
      </c>
      <c r="F2489" s="2" t="s">
        <v>90</v>
      </c>
      <c r="G2489" s="2" t="s">
        <v>56</v>
      </c>
      <c r="H2489" s="2" t="s">
        <v>46</v>
      </c>
      <c r="I2489" s="2" t="s">
        <v>47</v>
      </c>
      <c r="J2489" s="2" t="s">
        <v>1106</v>
      </c>
      <c r="K2489" s="2" t="s">
        <v>7717</v>
      </c>
      <c r="L2489" s="2" t="s">
        <v>446</v>
      </c>
      <c r="M2489" s="2" t="s">
        <v>7456</v>
      </c>
      <c r="N2489" s="16">
        <v>1.7999999999999999E-2</v>
      </c>
      <c r="O2489" s="17">
        <f>N2489*'Financial Inputs'!$B$3</f>
        <v>1799999.9999999998</v>
      </c>
      <c r="P2489" s="18">
        <f>IF(I2489="L",'Financial Inputs'!$B$4,IF(I2489="M",'Financial Inputs'!$B$5,'Financial Inputs'!$B$6))</f>
        <v>0.4</v>
      </c>
      <c r="Q2489" s="17">
        <f>O2489*P2489</f>
        <v>720000</v>
      </c>
      <c r="R2489" s="16">
        <f>'Financial Inputs'!$B$7</f>
        <v>0.35</v>
      </c>
      <c r="S2489" s="17">
        <f>Q2489*(1-R2489)</f>
        <v>468000</v>
      </c>
      <c r="T2489" s="18">
        <f>S2489/'Financial Inputs'!$B$3</f>
        <v>4.6800000000000001E-3</v>
      </c>
      <c r="U2489" s="9" t="s">
        <v>52</v>
      </c>
      <c r="V2489" s="3" t="s">
        <v>53</v>
      </c>
    </row>
    <row r="2490" spans="1:22">
      <c r="A2490" s="2" t="s">
        <v>7718</v>
      </c>
      <c r="B2490" s="2" t="s">
        <v>7719</v>
      </c>
      <c r="C2490" s="2" t="s">
        <v>7454</v>
      </c>
      <c r="D2490" s="2" t="s">
        <v>64</v>
      </c>
      <c r="E2490" s="2" t="s">
        <v>171</v>
      </c>
      <c r="F2490" s="2" t="s">
        <v>97</v>
      </c>
      <c r="G2490" s="2" t="s">
        <v>138</v>
      </c>
      <c r="H2490" s="2" t="s">
        <v>46</v>
      </c>
      <c r="I2490" s="2" t="s">
        <v>47</v>
      </c>
      <c r="J2490" s="2" t="s">
        <v>1106</v>
      </c>
      <c r="K2490" s="2" t="s">
        <v>7720</v>
      </c>
      <c r="L2490" s="2" t="s">
        <v>450</v>
      </c>
      <c r="M2490" s="2" t="s">
        <v>7456</v>
      </c>
      <c r="N2490" s="16">
        <v>1.9800000000000002E-2</v>
      </c>
      <c r="O2490" s="17">
        <f>N2490*'Financial Inputs'!$B$3</f>
        <v>1980000.0000000002</v>
      </c>
      <c r="P2490" s="18">
        <f>IF(I2490="L",'Financial Inputs'!$B$4,IF(I2490="M",'Financial Inputs'!$B$5,'Financial Inputs'!$B$6))</f>
        <v>0.4</v>
      </c>
      <c r="Q2490" s="17">
        <f>O2490*P2490</f>
        <v>792000.00000000012</v>
      </c>
      <c r="R2490" s="16">
        <f>'Financial Inputs'!$B$7</f>
        <v>0.35</v>
      </c>
      <c r="S2490" s="17">
        <f>Q2490*(1-R2490)</f>
        <v>514800.00000000012</v>
      </c>
      <c r="T2490" s="18">
        <f>S2490/'Financial Inputs'!$B$3</f>
        <v>5.1480000000000015E-3</v>
      </c>
      <c r="U2490" s="9" t="s">
        <v>52</v>
      </c>
      <c r="V2490" s="3" t="s">
        <v>53</v>
      </c>
    </row>
    <row r="2491" spans="1:22">
      <c r="A2491" s="2" t="s">
        <v>7721</v>
      </c>
      <c r="B2491" s="2" t="s">
        <v>7722</v>
      </c>
      <c r="C2491" s="2" t="s">
        <v>7454</v>
      </c>
      <c r="D2491" s="2" t="s">
        <v>72</v>
      </c>
      <c r="E2491" s="2" t="s">
        <v>176</v>
      </c>
      <c r="F2491" s="2" t="s">
        <v>104</v>
      </c>
      <c r="G2491" s="2" t="s">
        <v>143</v>
      </c>
      <c r="H2491" s="2" t="s">
        <v>46</v>
      </c>
      <c r="I2491" s="2" t="s">
        <v>47</v>
      </c>
      <c r="J2491" s="2" t="s">
        <v>1106</v>
      </c>
      <c r="K2491" s="2" t="s">
        <v>7723</v>
      </c>
      <c r="L2491" s="2" t="s">
        <v>454</v>
      </c>
      <c r="M2491" s="2" t="s">
        <v>7456</v>
      </c>
      <c r="N2491" s="16">
        <v>2.1600000000000001E-2</v>
      </c>
      <c r="O2491" s="17">
        <f>N2491*'Financial Inputs'!$B$3</f>
        <v>2160000</v>
      </c>
      <c r="P2491" s="18">
        <f>IF(I2491="L",'Financial Inputs'!$B$4,IF(I2491="M",'Financial Inputs'!$B$5,'Financial Inputs'!$B$6))</f>
        <v>0.4</v>
      </c>
      <c r="Q2491" s="17">
        <f>O2491*P2491</f>
        <v>864000</v>
      </c>
      <c r="R2491" s="16">
        <f>'Financial Inputs'!$B$7</f>
        <v>0.35</v>
      </c>
      <c r="S2491" s="17">
        <f>Q2491*(1-R2491)</f>
        <v>561600</v>
      </c>
      <c r="T2491" s="18">
        <f>S2491/'Financial Inputs'!$B$3</f>
        <v>5.6160000000000003E-3</v>
      </c>
      <c r="U2491" s="9" t="s">
        <v>52</v>
      </c>
      <c r="V2491" s="3" t="s">
        <v>53</v>
      </c>
    </row>
    <row r="2492" spans="1:22">
      <c r="A2492" s="2" t="s">
        <v>7724</v>
      </c>
      <c r="B2492" s="2" t="s">
        <v>7725</v>
      </c>
      <c r="C2492" s="2" t="s">
        <v>7454</v>
      </c>
      <c r="D2492" s="2" t="s">
        <v>133</v>
      </c>
      <c r="E2492" s="2" t="s">
        <v>65</v>
      </c>
      <c r="F2492" s="2" t="s">
        <v>82</v>
      </c>
      <c r="G2492" s="2" t="s">
        <v>56</v>
      </c>
      <c r="H2492" s="2" t="s">
        <v>46</v>
      </c>
      <c r="I2492" s="2" t="s">
        <v>47</v>
      </c>
      <c r="J2492" s="2" t="s">
        <v>1106</v>
      </c>
      <c r="K2492" s="2" t="s">
        <v>7726</v>
      </c>
      <c r="L2492" s="2" t="s">
        <v>458</v>
      </c>
      <c r="M2492" s="2" t="s">
        <v>7456</v>
      </c>
      <c r="N2492" s="16">
        <v>1.44E-2</v>
      </c>
      <c r="O2492" s="17">
        <f>N2492*'Financial Inputs'!$B$3</f>
        <v>1440000</v>
      </c>
      <c r="P2492" s="18">
        <f>IF(I2492="L",'Financial Inputs'!$B$4,IF(I2492="M",'Financial Inputs'!$B$5,'Financial Inputs'!$B$6))</f>
        <v>0.4</v>
      </c>
      <c r="Q2492" s="17">
        <f>O2492*P2492</f>
        <v>576000</v>
      </c>
      <c r="R2492" s="16">
        <f>'Financial Inputs'!$B$7</f>
        <v>0.35</v>
      </c>
      <c r="S2492" s="17">
        <f>Q2492*(1-R2492)</f>
        <v>374400</v>
      </c>
      <c r="T2492" s="18">
        <f>S2492/'Financial Inputs'!$B$3</f>
        <v>3.7439999999999999E-3</v>
      </c>
      <c r="U2492" s="9" t="s">
        <v>52</v>
      </c>
      <c r="V2492" s="3" t="s">
        <v>53</v>
      </c>
    </row>
    <row r="2493" spans="1:22">
      <c r="A2493" s="2" t="s">
        <v>7727</v>
      </c>
      <c r="B2493" s="2" t="s">
        <v>7728</v>
      </c>
      <c r="C2493" s="2" t="s">
        <v>7454</v>
      </c>
      <c r="D2493" s="2" t="s">
        <v>88</v>
      </c>
      <c r="E2493" s="2" t="s">
        <v>73</v>
      </c>
      <c r="F2493" s="2" t="s">
        <v>44</v>
      </c>
      <c r="G2493" s="2" t="s">
        <v>138</v>
      </c>
      <c r="H2493" s="2" t="s">
        <v>46</v>
      </c>
      <c r="I2493" s="2" t="s">
        <v>47</v>
      </c>
      <c r="J2493" s="2" t="s">
        <v>1106</v>
      </c>
      <c r="K2493" s="2" t="s">
        <v>7729</v>
      </c>
      <c r="L2493" s="2" t="s">
        <v>462</v>
      </c>
      <c r="M2493" s="2" t="s">
        <v>7456</v>
      </c>
      <c r="N2493" s="16">
        <v>1.6199999999999999E-2</v>
      </c>
      <c r="O2493" s="17">
        <f>N2493*'Financial Inputs'!$B$3</f>
        <v>1620000</v>
      </c>
      <c r="P2493" s="18">
        <f>IF(I2493="L",'Financial Inputs'!$B$4,IF(I2493="M",'Financial Inputs'!$B$5,'Financial Inputs'!$B$6))</f>
        <v>0.4</v>
      </c>
      <c r="Q2493" s="17">
        <f>O2493*P2493</f>
        <v>648000</v>
      </c>
      <c r="R2493" s="16">
        <f>'Financial Inputs'!$B$7</f>
        <v>0.35</v>
      </c>
      <c r="S2493" s="17">
        <f>Q2493*(1-R2493)</f>
        <v>421200</v>
      </c>
      <c r="T2493" s="18">
        <f>S2493/'Financial Inputs'!$B$3</f>
        <v>4.2119999999999996E-3</v>
      </c>
      <c r="U2493" s="9" t="s">
        <v>52</v>
      </c>
      <c r="V2493" s="3" t="s">
        <v>53</v>
      </c>
    </row>
    <row r="2494" spans="1:22">
      <c r="A2494" s="2" t="s">
        <v>7730</v>
      </c>
      <c r="B2494" s="2" t="s">
        <v>7731</v>
      </c>
      <c r="C2494" s="2" t="s">
        <v>7454</v>
      </c>
      <c r="D2494" s="2" t="s">
        <v>95</v>
      </c>
      <c r="E2494" s="2" t="s">
        <v>81</v>
      </c>
      <c r="F2494" s="2" t="s">
        <v>58</v>
      </c>
      <c r="G2494" s="2" t="s">
        <v>143</v>
      </c>
      <c r="H2494" s="2" t="s">
        <v>46</v>
      </c>
      <c r="I2494" s="2" t="s">
        <v>47</v>
      </c>
      <c r="J2494" s="2" t="s">
        <v>1106</v>
      </c>
      <c r="K2494" s="2" t="s">
        <v>7732</v>
      </c>
      <c r="L2494" s="2" t="s">
        <v>466</v>
      </c>
      <c r="M2494" s="2" t="s">
        <v>7456</v>
      </c>
      <c r="N2494" s="16">
        <v>1.7999999999999999E-2</v>
      </c>
      <c r="O2494" s="17">
        <f>N2494*'Financial Inputs'!$B$3</f>
        <v>1799999.9999999998</v>
      </c>
      <c r="P2494" s="18">
        <f>IF(I2494="L",'Financial Inputs'!$B$4,IF(I2494="M",'Financial Inputs'!$B$5,'Financial Inputs'!$B$6))</f>
        <v>0.4</v>
      </c>
      <c r="Q2494" s="17">
        <f>O2494*P2494</f>
        <v>720000</v>
      </c>
      <c r="R2494" s="16">
        <f>'Financial Inputs'!$B$7</f>
        <v>0.35</v>
      </c>
      <c r="S2494" s="17">
        <f>Q2494*(1-R2494)</f>
        <v>468000</v>
      </c>
      <c r="T2494" s="18">
        <f>S2494/'Financial Inputs'!$B$3</f>
        <v>4.6800000000000001E-3</v>
      </c>
      <c r="U2494" s="9" t="s">
        <v>52</v>
      </c>
      <c r="V2494" s="3" t="s">
        <v>53</v>
      </c>
    </row>
    <row r="2495" spans="1:22">
      <c r="A2495" s="2" t="s">
        <v>7733</v>
      </c>
      <c r="B2495" s="2" t="s">
        <v>7734</v>
      </c>
      <c r="C2495" s="2" t="s">
        <v>7454</v>
      </c>
      <c r="D2495" s="2" t="s">
        <v>102</v>
      </c>
      <c r="E2495" s="2" t="s">
        <v>193</v>
      </c>
      <c r="F2495" s="2" t="s">
        <v>66</v>
      </c>
      <c r="G2495" s="2" t="s">
        <v>162</v>
      </c>
      <c r="H2495" s="2" t="s">
        <v>46</v>
      </c>
      <c r="I2495" s="2" t="s">
        <v>47</v>
      </c>
      <c r="J2495" s="2" t="s">
        <v>1106</v>
      </c>
      <c r="K2495" s="2" t="s">
        <v>7735</v>
      </c>
      <c r="L2495" s="2" t="s">
        <v>470</v>
      </c>
      <c r="M2495" s="2" t="s">
        <v>7456</v>
      </c>
      <c r="N2495" s="16">
        <v>1.9800000000000002E-2</v>
      </c>
      <c r="O2495" s="17">
        <f>N2495*'Financial Inputs'!$B$3</f>
        <v>1980000.0000000002</v>
      </c>
      <c r="P2495" s="18">
        <f>IF(I2495="L",'Financial Inputs'!$B$4,IF(I2495="M",'Financial Inputs'!$B$5,'Financial Inputs'!$B$6))</f>
        <v>0.4</v>
      </c>
      <c r="Q2495" s="17">
        <f>O2495*P2495</f>
        <v>792000.00000000012</v>
      </c>
      <c r="R2495" s="16">
        <f>'Financial Inputs'!$B$7</f>
        <v>0.35</v>
      </c>
      <c r="S2495" s="17">
        <f>Q2495*(1-R2495)</f>
        <v>514800.00000000012</v>
      </c>
      <c r="T2495" s="18">
        <f>S2495/'Financial Inputs'!$B$3</f>
        <v>5.1480000000000015E-3</v>
      </c>
      <c r="U2495" s="9" t="s">
        <v>52</v>
      </c>
      <c r="V2495" s="3" t="s">
        <v>53</v>
      </c>
    </row>
    <row r="2496" spans="1:22">
      <c r="A2496" s="2" t="s">
        <v>7736</v>
      </c>
      <c r="B2496" s="2" t="s">
        <v>7737</v>
      </c>
      <c r="C2496" s="2" t="s">
        <v>7454</v>
      </c>
      <c r="D2496" s="2" t="s">
        <v>42</v>
      </c>
      <c r="E2496" s="2" t="s">
        <v>198</v>
      </c>
      <c r="F2496" s="2" t="s">
        <v>74</v>
      </c>
      <c r="G2496" s="2" t="s">
        <v>45</v>
      </c>
      <c r="H2496" s="2" t="s">
        <v>46</v>
      </c>
      <c r="I2496" s="2" t="s">
        <v>47</v>
      </c>
      <c r="J2496" s="2" t="s">
        <v>1106</v>
      </c>
      <c r="K2496" s="2" t="s">
        <v>7738</v>
      </c>
      <c r="L2496" s="2" t="s">
        <v>474</v>
      </c>
      <c r="M2496" s="2" t="s">
        <v>7456</v>
      </c>
      <c r="N2496" s="16">
        <v>2.1600000000000001E-2</v>
      </c>
      <c r="O2496" s="17">
        <f>N2496*'Financial Inputs'!$B$3</f>
        <v>2160000</v>
      </c>
      <c r="P2496" s="18">
        <f>IF(I2496="L",'Financial Inputs'!$B$4,IF(I2496="M",'Financial Inputs'!$B$5,'Financial Inputs'!$B$6))</f>
        <v>0.4</v>
      </c>
      <c r="Q2496" s="17">
        <f>O2496*P2496</f>
        <v>864000</v>
      </c>
      <c r="R2496" s="16">
        <f>'Financial Inputs'!$B$7</f>
        <v>0.35</v>
      </c>
      <c r="S2496" s="17">
        <f>Q2496*(1-R2496)</f>
        <v>561600</v>
      </c>
      <c r="T2496" s="18">
        <f>S2496/'Financial Inputs'!$B$3</f>
        <v>5.6160000000000003E-3</v>
      </c>
      <c r="U2496" s="9" t="s">
        <v>52</v>
      </c>
      <c r="V2496" s="3" t="s">
        <v>53</v>
      </c>
    </row>
    <row r="2497" spans="1:22">
      <c r="A2497" s="2" t="s">
        <v>7739</v>
      </c>
      <c r="B2497" s="2" t="s">
        <v>7740</v>
      </c>
      <c r="C2497" s="2" t="s">
        <v>7454</v>
      </c>
      <c r="D2497" s="2" t="s">
        <v>72</v>
      </c>
      <c r="E2497" s="2" t="s">
        <v>103</v>
      </c>
      <c r="F2497" s="2" t="s">
        <v>117</v>
      </c>
      <c r="G2497" s="2" t="s">
        <v>143</v>
      </c>
      <c r="H2497" s="2" t="s">
        <v>46</v>
      </c>
      <c r="I2497" s="2" t="s">
        <v>47</v>
      </c>
      <c r="J2497" s="2" t="s">
        <v>1106</v>
      </c>
      <c r="K2497" s="2" t="s">
        <v>7741</v>
      </c>
      <c r="L2497" s="2" t="s">
        <v>478</v>
      </c>
      <c r="M2497" s="2" t="s">
        <v>7456</v>
      </c>
      <c r="N2497" s="16">
        <v>1.44E-2</v>
      </c>
      <c r="O2497" s="17">
        <f>N2497*'Financial Inputs'!$B$3</f>
        <v>1440000</v>
      </c>
      <c r="P2497" s="18">
        <f>IF(I2497="L",'Financial Inputs'!$B$4,IF(I2497="M",'Financial Inputs'!$B$5,'Financial Inputs'!$B$6))</f>
        <v>0.4</v>
      </c>
      <c r="Q2497" s="17">
        <f>O2497*P2497</f>
        <v>576000</v>
      </c>
      <c r="R2497" s="16">
        <f>'Financial Inputs'!$B$7</f>
        <v>0.35</v>
      </c>
      <c r="S2497" s="17">
        <f>Q2497*(1-R2497)</f>
        <v>374400</v>
      </c>
      <c r="T2497" s="18">
        <f>S2497/'Financial Inputs'!$B$3</f>
        <v>3.7439999999999999E-3</v>
      </c>
      <c r="U2497" s="9" t="s">
        <v>52</v>
      </c>
      <c r="V2497" s="3" t="s">
        <v>53</v>
      </c>
    </row>
    <row r="2498" spans="1:22">
      <c r="A2498" s="2" t="s">
        <v>7742</v>
      </c>
      <c r="B2498" s="2" t="s">
        <v>7743</v>
      </c>
      <c r="C2498" s="2" t="s">
        <v>7454</v>
      </c>
      <c r="D2498" s="2" t="s">
        <v>80</v>
      </c>
      <c r="E2498" s="2" t="s">
        <v>109</v>
      </c>
      <c r="F2498" s="2" t="s">
        <v>90</v>
      </c>
      <c r="G2498" s="2" t="s">
        <v>162</v>
      </c>
      <c r="H2498" s="2" t="s">
        <v>46</v>
      </c>
      <c r="I2498" s="2" t="s">
        <v>47</v>
      </c>
      <c r="J2498" s="2" t="s">
        <v>1106</v>
      </c>
      <c r="K2498" s="2" t="s">
        <v>7744</v>
      </c>
      <c r="L2498" s="2" t="s">
        <v>482</v>
      </c>
      <c r="M2498" s="2" t="s">
        <v>7456</v>
      </c>
      <c r="N2498" s="16">
        <v>1.6199999999999999E-2</v>
      </c>
      <c r="O2498" s="17">
        <f>N2498*'Financial Inputs'!$B$3</f>
        <v>1620000</v>
      </c>
      <c r="P2498" s="18">
        <f>IF(I2498="L",'Financial Inputs'!$B$4,IF(I2498="M",'Financial Inputs'!$B$5,'Financial Inputs'!$B$6))</f>
        <v>0.4</v>
      </c>
      <c r="Q2498" s="17">
        <f>O2498*P2498</f>
        <v>648000</v>
      </c>
      <c r="R2498" s="16">
        <f>'Financial Inputs'!$B$7</f>
        <v>0.35</v>
      </c>
      <c r="S2498" s="17">
        <f>Q2498*(1-R2498)</f>
        <v>421200</v>
      </c>
      <c r="T2498" s="18">
        <f>S2498/'Financial Inputs'!$B$3</f>
        <v>4.2119999999999996E-3</v>
      </c>
      <c r="U2498" s="9" t="s">
        <v>52</v>
      </c>
      <c r="V2498" s="3" t="s">
        <v>53</v>
      </c>
    </row>
    <row r="2499" spans="1:22">
      <c r="A2499" s="2" t="s">
        <v>7745</v>
      </c>
      <c r="B2499" s="2" t="s">
        <v>7746</v>
      </c>
      <c r="C2499" s="2" t="s">
        <v>7454</v>
      </c>
      <c r="D2499" s="2" t="s">
        <v>127</v>
      </c>
      <c r="E2499" s="2" t="s">
        <v>116</v>
      </c>
      <c r="F2499" s="2" t="s">
        <v>97</v>
      </c>
      <c r="G2499" s="2" t="s">
        <v>45</v>
      </c>
      <c r="H2499" s="2" t="s">
        <v>46</v>
      </c>
      <c r="I2499" s="2" t="s">
        <v>47</v>
      </c>
      <c r="J2499" s="2" t="s">
        <v>1106</v>
      </c>
      <c r="K2499" s="2" t="s">
        <v>7747</v>
      </c>
      <c r="L2499" s="2" t="s">
        <v>486</v>
      </c>
      <c r="M2499" s="2" t="s">
        <v>7456</v>
      </c>
      <c r="N2499" s="16">
        <v>1.7999999999999999E-2</v>
      </c>
      <c r="O2499" s="17">
        <f>N2499*'Financial Inputs'!$B$3</f>
        <v>1799999.9999999998</v>
      </c>
      <c r="P2499" s="18">
        <f>IF(I2499="L",'Financial Inputs'!$B$4,IF(I2499="M",'Financial Inputs'!$B$5,'Financial Inputs'!$B$6))</f>
        <v>0.4</v>
      </c>
      <c r="Q2499" s="17">
        <f>O2499*P2499</f>
        <v>720000</v>
      </c>
      <c r="R2499" s="16">
        <f>'Financial Inputs'!$B$7</f>
        <v>0.35</v>
      </c>
      <c r="S2499" s="17">
        <f>Q2499*(1-R2499)</f>
        <v>468000</v>
      </c>
      <c r="T2499" s="18">
        <f>S2499/'Financial Inputs'!$B$3</f>
        <v>4.6800000000000001E-3</v>
      </c>
      <c r="U2499" s="9" t="s">
        <v>52</v>
      </c>
      <c r="V2499" s="3" t="s">
        <v>53</v>
      </c>
    </row>
    <row r="2500" spans="1:22">
      <c r="A2500" s="2" t="s">
        <v>7748</v>
      </c>
      <c r="B2500" s="2" t="s">
        <v>7749</v>
      </c>
      <c r="C2500" s="2" t="s">
        <v>7454</v>
      </c>
      <c r="D2500" s="2" t="s">
        <v>133</v>
      </c>
      <c r="E2500" s="2" t="s">
        <v>215</v>
      </c>
      <c r="F2500" s="2" t="s">
        <v>104</v>
      </c>
      <c r="G2500" s="2" t="s">
        <v>59</v>
      </c>
      <c r="H2500" s="2" t="s">
        <v>46</v>
      </c>
      <c r="I2500" s="2" t="s">
        <v>47</v>
      </c>
      <c r="J2500" s="2" t="s">
        <v>1106</v>
      </c>
      <c r="K2500" s="2" t="s">
        <v>7750</v>
      </c>
      <c r="L2500" s="2" t="s">
        <v>490</v>
      </c>
      <c r="M2500" s="2" t="s">
        <v>7456</v>
      </c>
      <c r="N2500" s="16">
        <v>1.9800000000000002E-2</v>
      </c>
      <c r="O2500" s="17">
        <f>N2500*'Financial Inputs'!$B$3</f>
        <v>1980000.0000000002</v>
      </c>
      <c r="P2500" s="18">
        <f>IF(I2500="L",'Financial Inputs'!$B$4,IF(I2500="M",'Financial Inputs'!$B$5,'Financial Inputs'!$B$6))</f>
        <v>0.4</v>
      </c>
      <c r="Q2500" s="17">
        <f>O2500*P2500</f>
        <v>792000.00000000012</v>
      </c>
      <c r="R2500" s="16">
        <f>'Financial Inputs'!$B$7</f>
        <v>0.35</v>
      </c>
      <c r="S2500" s="17">
        <f>Q2500*(1-R2500)</f>
        <v>514800.00000000012</v>
      </c>
      <c r="T2500" s="18">
        <f>S2500/'Financial Inputs'!$B$3</f>
        <v>5.1480000000000015E-3</v>
      </c>
      <c r="U2500" s="9" t="s">
        <v>52</v>
      </c>
      <c r="V2500" s="3" t="s">
        <v>53</v>
      </c>
    </row>
    <row r="2501" spans="1:22">
      <c r="A2501" s="2" t="s">
        <v>7751</v>
      </c>
      <c r="B2501" s="2" t="s">
        <v>7752</v>
      </c>
      <c r="C2501" s="2" t="s">
        <v>7454</v>
      </c>
      <c r="D2501" s="2" t="s">
        <v>88</v>
      </c>
      <c r="E2501" s="2" t="s">
        <v>220</v>
      </c>
      <c r="F2501" s="2" t="s">
        <v>110</v>
      </c>
      <c r="G2501" s="2" t="s">
        <v>67</v>
      </c>
      <c r="H2501" s="2" t="s">
        <v>46</v>
      </c>
      <c r="I2501" s="2" t="s">
        <v>47</v>
      </c>
      <c r="J2501" s="2" t="s">
        <v>1106</v>
      </c>
      <c r="K2501" s="2" t="s">
        <v>7753</v>
      </c>
      <c r="L2501" s="2" t="s">
        <v>494</v>
      </c>
      <c r="M2501" s="2" t="s">
        <v>7456</v>
      </c>
      <c r="N2501" s="16">
        <v>2.1600000000000001E-2</v>
      </c>
      <c r="O2501" s="17">
        <f>N2501*'Financial Inputs'!$B$3</f>
        <v>2160000</v>
      </c>
      <c r="P2501" s="18">
        <f>IF(I2501="L",'Financial Inputs'!$B$4,IF(I2501="M",'Financial Inputs'!$B$5,'Financial Inputs'!$B$6))</f>
        <v>0.4</v>
      </c>
      <c r="Q2501" s="17">
        <f>O2501*P2501</f>
        <v>864000</v>
      </c>
      <c r="R2501" s="16">
        <f>'Financial Inputs'!$B$7</f>
        <v>0.35</v>
      </c>
      <c r="S2501" s="17">
        <f>Q2501*(1-R2501)</f>
        <v>561600</v>
      </c>
      <c r="T2501" s="18">
        <f>S2501/'Financial Inputs'!$B$3</f>
        <v>5.6160000000000003E-3</v>
      </c>
      <c r="U2501" s="9" t="s">
        <v>52</v>
      </c>
      <c r="V2501" s="3" t="s">
        <v>53</v>
      </c>
    </row>
    <row r="2502" spans="1:22">
      <c r="A2502" s="2" t="s">
        <v>7754</v>
      </c>
      <c r="B2502" s="2" t="s">
        <v>7755</v>
      </c>
      <c r="C2502" s="2" t="s">
        <v>95</v>
      </c>
      <c r="D2502" s="2" t="s">
        <v>42</v>
      </c>
      <c r="E2502" s="2" t="s">
        <v>43</v>
      </c>
      <c r="F2502" s="2" t="s">
        <v>44</v>
      </c>
      <c r="G2502" s="2" t="s">
        <v>45</v>
      </c>
      <c r="H2502" s="2" t="s">
        <v>498</v>
      </c>
      <c r="I2502" s="2" t="s">
        <v>499</v>
      </c>
      <c r="J2502" s="2" t="s">
        <v>7756</v>
      </c>
      <c r="K2502" s="2" t="s">
        <v>7757</v>
      </c>
      <c r="L2502" s="2" t="s">
        <v>50</v>
      </c>
      <c r="M2502" s="2" t="s">
        <v>7758</v>
      </c>
      <c r="N2502" s="16">
        <v>0.02</v>
      </c>
      <c r="O2502" s="17">
        <f>N2502*'Financial Inputs'!$B$3</f>
        <v>2000000</v>
      </c>
      <c r="P2502" s="18">
        <f>IF(I2502="L",'Financial Inputs'!$B$4,IF(I2502="M",'Financial Inputs'!$B$5,'Financial Inputs'!$B$6))</f>
        <v>0.7</v>
      </c>
      <c r="Q2502" s="17">
        <f>O2502*P2502</f>
        <v>1400000</v>
      </c>
      <c r="R2502" s="16">
        <f>'Financial Inputs'!$B$7</f>
        <v>0.35</v>
      </c>
      <c r="S2502" s="17">
        <f>Q2502*(1-R2502)</f>
        <v>910000</v>
      </c>
      <c r="T2502" s="18">
        <f>S2502/'Financial Inputs'!$B$3</f>
        <v>9.1000000000000004E-3</v>
      </c>
      <c r="U2502" s="9" t="s">
        <v>52</v>
      </c>
      <c r="V2502" s="3" t="s">
        <v>53</v>
      </c>
    </row>
    <row r="2503" spans="1:22">
      <c r="A2503" s="2" t="s">
        <v>7759</v>
      </c>
      <c r="B2503" s="2" t="s">
        <v>7760</v>
      </c>
      <c r="C2503" s="2" t="s">
        <v>95</v>
      </c>
      <c r="D2503" s="2" t="s">
        <v>56</v>
      </c>
      <c r="E2503" s="2" t="s">
        <v>57</v>
      </c>
      <c r="F2503" s="2" t="s">
        <v>58</v>
      </c>
      <c r="G2503" s="2" t="s">
        <v>59</v>
      </c>
      <c r="H2503" s="2" t="s">
        <v>498</v>
      </c>
      <c r="I2503" s="2" t="s">
        <v>499</v>
      </c>
      <c r="J2503" s="2" t="s">
        <v>7756</v>
      </c>
      <c r="K2503" s="2" t="s">
        <v>7761</v>
      </c>
      <c r="L2503" s="2" t="s">
        <v>61</v>
      </c>
      <c r="M2503" s="2" t="s">
        <v>7758</v>
      </c>
      <c r="N2503" s="16">
        <v>2.2499999999999999E-2</v>
      </c>
      <c r="O2503" s="17">
        <f>N2503*'Financial Inputs'!$B$3</f>
        <v>2250000</v>
      </c>
      <c r="P2503" s="18">
        <f>IF(I2503="L",'Financial Inputs'!$B$4,IF(I2503="M",'Financial Inputs'!$B$5,'Financial Inputs'!$B$6))</f>
        <v>0.7</v>
      </c>
      <c r="Q2503" s="17">
        <f>O2503*P2503</f>
        <v>1575000</v>
      </c>
      <c r="R2503" s="16">
        <f>'Financial Inputs'!$B$7</f>
        <v>0.35</v>
      </c>
      <c r="S2503" s="17">
        <f>Q2503*(1-R2503)</f>
        <v>1023750</v>
      </c>
      <c r="T2503" s="18">
        <f>S2503/'Financial Inputs'!$B$3</f>
        <v>1.02375E-2</v>
      </c>
      <c r="U2503" s="9" t="s">
        <v>52</v>
      </c>
      <c r="V2503" s="3" t="s">
        <v>53</v>
      </c>
    </row>
    <row r="2504" spans="1:22">
      <c r="A2504" s="2" t="s">
        <v>7762</v>
      </c>
      <c r="B2504" s="2" t="s">
        <v>7763</v>
      </c>
      <c r="C2504" s="2" t="s">
        <v>95</v>
      </c>
      <c r="D2504" s="2" t="s">
        <v>64</v>
      </c>
      <c r="E2504" s="2" t="s">
        <v>65</v>
      </c>
      <c r="F2504" s="2" t="s">
        <v>66</v>
      </c>
      <c r="G2504" s="2" t="s">
        <v>67</v>
      </c>
      <c r="H2504" s="2" t="s">
        <v>498</v>
      </c>
      <c r="I2504" s="2" t="s">
        <v>499</v>
      </c>
      <c r="J2504" s="2" t="s">
        <v>7756</v>
      </c>
      <c r="K2504" s="2" t="s">
        <v>7764</v>
      </c>
      <c r="L2504" s="2" t="s">
        <v>69</v>
      </c>
      <c r="M2504" s="2" t="s">
        <v>7758</v>
      </c>
      <c r="N2504" s="16">
        <v>2.5000000000000001E-2</v>
      </c>
      <c r="O2504" s="17">
        <f>N2504*'Financial Inputs'!$B$3</f>
        <v>2500000</v>
      </c>
      <c r="P2504" s="18">
        <f>IF(I2504="L",'Financial Inputs'!$B$4,IF(I2504="M",'Financial Inputs'!$B$5,'Financial Inputs'!$B$6))</f>
        <v>0.7</v>
      </c>
      <c r="Q2504" s="17">
        <f>O2504*P2504</f>
        <v>1750000</v>
      </c>
      <c r="R2504" s="16">
        <f>'Financial Inputs'!$B$7</f>
        <v>0.35</v>
      </c>
      <c r="S2504" s="17">
        <f>Q2504*(1-R2504)</f>
        <v>1137500</v>
      </c>
      <c r="T2504" s="18">
        <f>S2504/'Financial Inputs'!$B$3</f>
        <v>1.1375E-2</v>
      </c>
      <c r="U2504" s="9" t="s">
        <v>52</v>
      </c>
      <c r="V2504" s="3" t="s">
        <v>53</v>
      </c>
    </row>
    <row r="2505" spans="1:22">
      <c r="A2505" s="2" t="s">
        <v>7765</v>
      </c>
      <c r="B2505" s="2" t="s">
        <v>7766</v>
      </c>
      <c r="C2505" s="2" t="s">
        <v>95</v>
      </c>
      <c r="D2505" s="2" t="s">
        <v>72</v>
      </c>
      <c r="E2505" s="2" t="s">
        <v>73</v>
      </c>
      <c r="F2505" s="2" t="s">
        <v>74</v>
      </c>
      <c r="G2505" s="2" t="s">
        <v>75</v>
      </c>
      <c r="H2505" s="2" t="s">
        <v>498</v>
      </c>
      <c r="I2505" s="2" t="s">
        <v>499</v>
      </c>
      <c r="J2505" s="2" t="s">
        <v>7756</v>
      </c>
      <c r="K2505" s="2" t="s">
        <v>7767</v>
      </c>
      <c r="L2505" s="2" t="s">
        <v>77</v>
      </c>
      <c r="M2505" s="2" t="s">
        <v>7758</v>
      </c>
      <c r="N2505" s="16">
        <v>2.75E-2</v>
      </c>
      <c r="O2505" s="17">
        <f>N2505*'Financial Inputs'!$B$3</f>
        <v>2750000</v>
      </c>
      <c r="P2505" s="18">
        <f>IF(I2505="L",'Financial Inputs'!$B$4,IF(I2505="M",'Financial Inputs'!$B$5,'Financial Inputs'!$B$6))</f>
        <v>0.7</v>
      </c>
      <c r="Q2505" s="17">
        <f>O2505*P2505</f>
        <v>1924999.9999999998</v>
      </c>
      <c r="R2505" s="16">
        <f>'Financial Inputs'!$B$7</f>
        <v>0.35</v>
      </c>
      <c r="S2505" s="17">
        <f>Q2505*(1-R2505)</f>
        <v>1251250</v>
      </c>
      <c r="T2505" s="18">
        <f>S2505/'Financial Inputs'!$B$3</f>
        <v>1.2512499999999999E-2</v>
      </c>
      <c r="U2505" s="9" t="s">
        <v>52</v>
      </c>
      <c r="V2505" s="3" t="s">
        <v>53</v>
      </c>
    </row>
    <row r="2506" spans="1:22">
      <c r="A2506" s="2" t="s">
        <v>7768</v>
      </c>
      <c r="B2506" s="2" t="s">
        <v>7769</v>
      </c>
      <c r="C2506" s="2" t="s">
        <v>95</v>
      </c>
      <c r="D2506" s="2" t="s">
        <v>80</v>
      </c>
      <c r="E2506" s="2" t="s">
        <v>81</v>
      </c>
      <c r="F2506" s="2" t="s">
        <v>82</v>
      </c>
      <c r="G2506" s="2" t="s">
        <v>83</v>
      </c>
      <c r="H2506" s="2" t="s">
        <v>498</v>
      </c>
      <c r="I2506" s="2" t="s">
        <v>499</v>
      </c>
      <c r="J2506" s="2" t="s">
        <v>7756</v>
      </c>
      <c r="K2506" s="2" t="s">
        <v>7770</v>
      </c>
      <c r="L2506" s="2" t="s">
        <v>85</v>
      </c>
      <c r="M2506" s="2" t="s">
        <v>7758</v>
      </c>
      <c r="N2506" s="16">
        <v>3.0000000000000009E-2</v>
      </c>
      <c r="O2506" s="17">
        <f>N2506*'Financial Inputs'!$B$3</f>
        <v>3000000.0000000009</v>
      </c>
      <c r="P2506" s="18">
        <f>IF(I2506="L",'Financial Inputs'!$B$4,IF(I2506="M",'Financial Inputs'!$B$5,'Financial Inputs'!$B$6))</f>
        <v>0.7</v>
      </c>
      <c r="Q2506" s="17">
        <f>O2506*P2506</f>
        <v>2100000.0000000005</v>
      </c>
      <c r="R2506" s="16">
        <f>'Financial Inputs'!$B$7</f>
        <v>0.35</v>
      </c>
      <c r="S2506" s="17">
        <f>Q2506*(1-R2506)</f>
        <v>1365000.0000000005</v>
      </c>
      <c r="T2506" s="18">
        <f>S2506/'Financial Inputs'!$B$3</f>
        <v>1.3650000000000004E-2</v>
      </c>
      <c r="U2506" s="9" t="s">
        <v>52</v>
      </c>
      <c r="V2506" s="3" t="s">
        <v>53</v>
      </c>
    </row>
    <row r="2507" spans="1:22">
      <c r="A2507" s="2" t="s">
        <v>7771</v>
      </c>
      <c r="B2507" s="2" t="s">
        <v>7772</v>
      </c>
      <c r="C2507" s="2" t="s">
        <v>95</v>
      </c>
      <c r="D2507" s="2" t="s">
        <v>88</v>
      </c>
      <c r="E2507" s="2" t="s">
        <v>89</v>
      </c>
      <c r="F2507" s="2" t="s">
        <v>90</v>
      </c>
      <c r="G2507" s="2" t="s">
        <v>67</v>
      </c>
      <c r="H2507" s="2" t="s">
        <v>498</v>
      </c>
      <c r="I2507" s="2" t="s">
        <v>499</v>
      </c>
      <c r="J2507" s="2" t="s">
        <v>7756</v>
      </c>
      <c r="K2507" s="2" t="s">
        <v>7773</v>
      </c>
      <c r="L2507" s="2" t="s">
        <v>92</v>
      </c>
      <c r="M2507" s="2" t="s">
        <v>7758</v>
      </c>
      <c r="N2507" s="16">
        <v>0.02</v>
      </c>
      <c r="O2507" s="17">
        <f>N2507*'Financial Inputs'!$B$3</f>
        <v>2000000</v>
      </c>
      <c r="P2507" s="18">
        <f>IF(I2507="L",'Financial Inputs'!$B$4,IF(I2507="M",'Financial Inputs'!$B$5,'Financial Inputs'!$B$6))</f>
        <v>0.7</v>
      </c>
      <c r="Q2507" s="17">
        <f>O2507*P2507</f>
        <v>1400000</v>
      </c>
      <c r="R2507" s="16">
        <f>'Financial Inputs'!$B$7</f>
        <v>0.35</v>
      </c>
      <c r="S2507" s="17">
        <f>Q2507*(1-R2507)</f>
        <v>910000</v>
      </c>
      <c r="T2507" s="18">
        <f>S2507/'Financial Inputs'!$B$3</f>
        <v>9.1000000000000004E-3</v>
      </c>
      <c r="U2507" s="9" t="s">
        <v>52</v>
      </c>
      <c r="V2507" s="3" t="s">
        <v>53</v>
      </c>
    </row>
    <row r="2508" spans="1:22">
      <c r="A2508" s="2" t="s">
        <v>7774</v>
      </c>
      <c r="B2508" s="2" t="s">
        <v>7775</v>
      </c>
      <c r="C2508" s="2" t="s">
        <v>95</v>
      </c>
      <c r="D2508" s="2" t="s">
        <v>95</v>
      </c>
      <c r="E2508" s="2" t="s">
        <v>96</v>
      </c>
      <c r="F2508" s="2" t="s">
        <v>97</v>
      </c>
      <c r="G2508" s="2" t="s">
        <v>75</v>
      </c>
      <c r="H2508" s="2" t="s">
        <v>498</v>
      </c>
      <c r="I2508" s="2" t="s">
        <v>499</v>
      </c>
      <c r="J2508" s="2" t="s">
        <v>7756</v>
      </c>
      <c r="K2508" s="2" t="s">
        <v>7776</v>
      </c>
      <c r="L2508" s="2" t="s">
        <v>99</v>
      </c>
      <c r="M2508" s="2" t="s">
        <v>7758</v>
      </c>
      <c r="N2508" s="16">
        <v>2.2499999999999999E-2</v>
      </c>
      <c r="O2508" s="17">
        <f>N2508*'Financial Inputs'!$B$3</f>
        <v>2250000</v>
      </c>
      <c r="P2508" s="18">
        <f>IF(I2508="L",'Financial Inputs'!$B$4,IF(I2508="M",'Financial Inputs'!$B$5,'Financial Inputs'!$B$6))</f>
        <v>0.7</v>
      </c>
      <c r="Q2508" s="17">
        <f>O2508*P2508</f>
        <v>1575000</v>
      </c>
      <c r="R2508" s="16">
        <f>'Financial Inputs'!$B$7</f>
        <v>0.35</v>
      </c>
      <c r="S2508" s="17">
        <f>Q2508*(1-R2508)</f>
        <v>1023750</v>
      </c>
      <c r="T2508" s="18">
        <f>S2508/'Financial Inputs'!$B$3</f>
        <v>1.02375E-2</v>
      </c>
      <c r="U2508" s="9" t="s">
        <v>52</v>
      </c>
      <c r="V2508" s="3" t="s">
        <v>53</v>
      </c>
    </row>
    <row r="2509" spans="1:22">
      <c r="A2509" s="2" t="s">
        <v>7777</v>
      </c>
      <c r="B2509" s="2" t="s">
        <v>7778</v>
      </c>
      <c r="C2509" s="2" t="s">
        <v>95</v>
      </c>
      <c r="D2509" s="2" t="s">
        <v>102</v>
      </c>
      <c r="E2509" s="2" t="s">
        <v>103</v>
      </c>
      <c r="F2509" s="2" t="s">
        <v>104</v>
      </c>
      <c r="G2509" s="2" t="s">
        <v>83</v>
      </c>
      <c r="H2509" s="2" t="s">
        <v>498</v>
      </c>
      <c r="I2509" s="2" t="s">
        <v>499</v>
      </c>
      <c r="J2509" s="2" t="s">
        <v>7756</v>
      </c>
      <c r="K2509" s="2" t="s">
        <v>7779</v>
      </c>
      <c r="L2509" s="2" t="s">
        <v>106</v>
      </c>
      <c r="M2509" s="2" t="s">
        <v>7758</v>
      </c>
      <c r="N2509" s="16">
        <v>2.5000000000000001E-2</v>
      </c>
      <c r="O2509" s="17">
        <f>N2509*'Financial Inputs'!$B$3</f>
        <v>2500000</v>
      </c>
      <c r="P2509" s="18">
        <f>IF(I2509="L",'Financial Inputs'!$B$4,IF(I2509="M",'Financial Inputs'!$B$5,'Financial Inputs'!$B$6))</f>
        <v>0.7</v>
      </c>
      <c r="Q2509" s="17">
        <f>O2509*P2509</f>
        <v>1750000</v>
      </c>
      <c r="R2509" s="16">
        <f>'Financial Inputs'!$B$7</f>
        <v>0.35</v>
      </c>
      <c r="S2509" s="17">
        <f>Q2509*(1-R2509)</f>
        <v>1137500</v>
      </c>
      <c r="T2509" s="18">
        <f>S2509/'Financial Inputs'!$B$3</f>
        <v>1.1375E-2</v>
      </c>
      <c r="U2509" s="9" t="s">
        <v>52</v>
      </c>
      <c r="V2509" s="3" t="s">
        <v>53</v>
      </c>
    </row>
    <row r="2510" spans="1:22">
      <c r="A2510" s="2" t="s">
        <v>7780</v>
      </c>
      <c r="B2510" s="2" t="s">
        <v>7781</v>
      </c>
      <c r="C2510" s="2" t="s">
        <v>95</v>
      </c>
      <c r="D2510" s="2" t="s">
        <v>42</v>
      </c>
      <c r="E2510" s="2" t="s">
        <v>109</v>
      </c>
      <c r="F2510" s="2" t="s">
        <v>110</v>
      </c>
      <c r="G2510" s="2" t="s">
        <v>111</v>
      </c>
      <c r="H2510" s="2" t="s">
        <v>498</v>
      </c>
      <c r="I2510" s="2" t="s">
        <v>499</v>
      </c>
      <c r="J2510" s="2" t="s">
        <v>7756</v>
      </c>
      <c r="K2510" s="2" t="s">
        <v>7782</v>
      </c>
      <c r="L2510" s="2" t="s">
        <v>113</v>
      </c>
      <c r="M2510" s="2" t="s">
        <v>7758</v>
      </c>
      <c r="N2510" s="16">
        <v>2.75E-2</v>
      </c>
      <c r="O2510" s="17">
        <f>N2510*'Financial Inputs'!$B$3</f>
        <v>2750000</v>
      </c>
      <c r="P2510" s="18">
        <f>IF(I2510="L",'Financial Inputs'!$B$4,IF(I2510="M",'Financial Inputs'!$B$5,'Financial Inputs'!$B$6))</f>
        <v>0.7</v>
      </c>
      <c r="Q2510" s="17">
        <f>O2510*P2510</f>
        <v>1924999.9999999998</v>
      </c>
      <c r="R2510" s="16">
        <f>'Financial Inputs'!$B$7</f>
        <v>0.35</v>
      </c>
      <c r="S2510" s="17">
        <f>Q2510*(1-R2510)</f>
        <v>1251250</v>
      </c>
      <c r="T2510" s="18">
        <f>S2510/'Financial Inputs'!$B$3</f>
        <v>1.2512499999999999E-2</v>
      </c>
      <c r="U2510" s="9" t="s">
        <v>52</v>
      </c>
      <c r="V2510" s="3" t="s">
        <v>53</v>
      </c>
    </row>
    <row r="2511" spans="1:22">
      <c r="A2511" s="2" t="s">
        <v>7783</v>
      </c>
      <c r="B2511" s="2" t="s">
        <v>7784</v>
      </c>
      <c r="C2511" s="2" t="s">
        <v>95</v>
      </c>
      <c r="D2511" s="2" t="s">
        <v>56</v>
      </c>
      <c r="E2511" s="2" t="s">
        <v>116</v>
      </c>
      <c r="F2511" s="2" t="s">
        <v>117</v>
      </c>
      <c r="G2511" s="2" t="s">
        <v>56</v>
      </c>
      <c r="H2511" s="2" t="s">
        <v>498</v>
      </c>
      <c r="I2511" s="2" t="s">
        <v>499</v>
      </c>
      <c r="J2511" s="2" t="s">
        <v>7756</v>
      </c>
      <c r="K2511" s="2" t="s">
        <v>7785</v>
      </c>
      <c r="L2511" s="2" t="s">
        <v>119</v>
      </c>
      <c r="M2511" s="2" t="s">
        <v>7758</v>
      </c>
      <c r="N2511" s="16">
        <v>3.0000000000000009E-2</v>
      </c>
      <c r="O2511" s="17">
        <f>N2511*'Financial Inputs'!$B$3</f>
        <v>3000000.0000000009</v>
      </c>
      <c r="P2511" s="18">
        <f>IF(I2511="L",'Financial Inputs'!$B$4,IF(I2511="M",'Financial Inputs'!$B$5,'Financial Inputs'!$B$6))</f>
        <v>0.7</v>
      </c>
      <c r="Q2511" s="17">
        <f>O2511*P2511</f>
        <v>2100000.0000000005</v>
      </c>
      <c r="R2511" s="16">
        <f>'Financial Inputs'!$B$7</f>
        <v>0.35</v>
      </c>
      <c r="S2511" s="17">
        <f>Q2511*(1-R2511)</f>
        <v>1365000.0000000005</v>
      </c>
      <c r="T2511" s="18">
        <f>S2511/'Financial Inputs'!$B$3</f>
        <v>1.3650000000000004E-2</v>
      </c>
      <c r="U2511" s="9" t="s">
        <v>52</v>
      </c>
      <c r="V2511" s="3" t="s">
        <v>53</v>
      </c>
    </row>
    <row r="2512" spans="1:22">
      <c r="A2512" s="2" t="s">
        <v>7786</v>
      </c>
      <c r="B2512" s="2" t="s">
        <v>7787</v>
      </c>
      <c r="C2512" s="2" t="s">
        <v>95</v>
      </c>
      <c r="D2512" s="2" t="s">
        <v>80</v>
      </c>
      <c r="E2512" s="2" t="s">
        <v>122</v>
      </c>
      <c r="F2512" s="2" t="s">
        <v>58</v>
      </c>
      <c r="G2512" s="2" t="s">
        <v>83</v>
      </c>
      <c r="H2512" s="2" t="s">
        <v>498</v>
      </c>
      <c r="I2512" s="2" t="s">
        <v>499</v>
      </c>
      <c r="J2512" s="2" t="s">
        <v>7756</v>
      </c>
      <c r="K2512" s="2" t="s">
        <v>7788</v>
      </c>
      <c r="L2512" s="2" t="s">
        <v>124</v>
      </c>
      <c r="M2512" s="2" t="s">
        <v>7758</v>
      </c>
      <c r="N2512" s="16">
        <v>0.02</v>
      </c>
      <c r="O2512" s="17">
        <f>N2512*'Financial Inputs'!$B$3</f>
        <v>2000000</v>
      </c>
      <c r="P2512" s="18">
        <f>IF(I2512="L",'Financial Inputs'!$B$4,IF(I2512="M",'Financial Inputs'!$B$5,'Financial Inputs'!$B$6))</f>
        <v>0.7</v>
      </c>
      <c r="Q2512" s="17">
        <f>O2512*P2512</f>
        <v>1400000</v>
      </c>
      <c r="R2512" s="16">
        <f>'Financial Inputs'!$B$7</f>
        <v>0.35</v>
      </c>
      <c r="S2512" s="17">
        <f>Q2512*(1-R2512)</f>
        <v>910000</v>
      </c>
      <c r="T2512" s="18">
        <f>S2512/'Financial Inputs'!$B$3</f>
        <v>9.1000000000000004E-3</v>
      </c>
      <c r="U2512" s="9" t="s">
        <v>52</v>
      </c>
      <c r="V2512" s="3" t="s">
        <v>53</v>
      </c>
    </row>
    <row r="2513" spans="1:22">
      <c r="A2513" s="2" t="s">
        <v>7789</v>
      </c>
      <c r="B2513" s="2" t="s">
        <v>7790</v>
      </c>
      <c r="C2513" s="2" t="s">
        <v>95</v>
      </c>
      <c r="D2513" s="2" t="s">
        <v>127</v>
      </c>
      <c r="E2513" s="2" t="s">
        <v>128</v>
      </c>
      <c r="F2513" s="2" t="s">
        <v>66</v>
      </c>
      <c r="G2513" s="2" t="s">
        <v>111</v>
      </c>
      <c r="H2513" s="2" t="s">
        <v>498</v>
      </c>
      <c r="I2513" s="2" t="s">
        <v>499</v>
      </c>
      <c r="J2513" s="2" t="s">
        <v>7756</v>
      </c>
      <c r="K2513" s="2" t="s">
        <v>7791</v>
      </c>
      <c r="L2513" s="2" t="s">
        <v>130</v>
      </c>
      <c r="M2513" s="2" t="s">
        <v>7758</v>
      </c>
      <c r="N2513" s="16">
        <v>2.2499999999999999E-2</v>
      </c>
      <c r="O2513" s="17">
        <f>N2513*'Financial Inputs'!$B$3</f>
        <v>2250000</v>
      </c>
      <c r="P2513" s="18">
        <f>IF(I2513="L",'Financial Inputs'!$B$4,IF(I2513="M",'Financial Inputs'!$B$5,'Financial Inputs'!$B$6))</f>
        <v>0.7</v>
      </c>
      <c r="Q2513" s="17">
        <f>O2513*P2513</f>
        <v>1575000</v>
      </c>
      <c r="R2513" s="16">
        <f>'Financial Inputs'!$B$7</f>
        <v>0.35</v>
      </c>
      <c r="S2513" s="17">
        <f>Q2513*(1-R2513)</f>
        <v>1023750</v>
      </c>
      <c r="T2513" s="18">
        <f>S2513/'Financial Inputs'!$B$3</f>
        <v>1.02375E-2</v>
      </c>
      <c r="U2513" s="9" t="s">
        <v>52</v>
      </c>
      <c r="V2513" s="3" t="s">
        <v>53</v>
      </c>
    </row>
    <row r="2514" spans="1:22">
      <c r="A2514" s="2" t="s">
        <v>7792</v>
      </c>
      <c r="B2514" s="2" t="s">
        <v>7793</v>
      </c>
      <c r="C2514" s="2" t="s">
        <v>95</v>
      </c>
      <c r="D2514" s="2" t="s">
        <v>133</v>
      </c>
      <c r="E2514" s="2" t="s">
        <v>43</v>
      </c>
      <c r="F2514" s="2" t="s">
        <v>74</v>
      </c>
      <c r="G2514" s="2" t="s">
        <v>56</v>
      </c>
      <c r="H2514" s="2" t="s">
        <v>498</v>
      </c>
      <c r="I2514" s="2" t="s">
        <v>499</v>
      </c>
      <c r="J2514" s="2" t="s">
        <v>7756</v>
      </c>
      <c r="K2514" s="2" t="s">
        <v>7794</v>
      </c>
      <c r="L2514" s="2" t="s">
        <v>135</v>
      </c>
      <c r="M2514" s="2" t="s">
        <v>7758</v>
      </c>
      <c r="N2514" s="16">
        <v>2.5000000000000001E-2</v>
      </c>
      <c r="O2514" s="17">
        <f>N2514*'Financial Inputs'!$B$3</f>
        <v>2500000</v>
      </c>
      <c r="P2514" s="18">
        <f>IF(I2514="L",'Financial Inputs'!$B$4,IF(I2514="M",'Financial Inputs'!$B$5,'Financial Inputs'!$B$6))</f>
        <v>0.7</v>
      </c>
      <c r="Q2514" s="17">
        <f>O2514*P2514</f>
        <v>1750000</v>
      </c>
      <c r="R2514" s="16">
        <f>'Financial Inputs'!$B$7</f>
        <v>0.35</v>
      </c>
      <c r="S2514" s="17">
        <f>Q2514*(1-R2514)</f>
        <v>1137500</v>
      </c>
      <c r="T2514" s="18">
        <f>S2514/'Financial Inputs'!$B$3</f>
        <v>1.1375E-2</v>
      </c>
      <c r="U2514" s="9" t="s">
        <v>52</v>
      </c>
      <c r="V2514" s="3" t="s">
        <v>53</v>
      </c>
    </row>
    <row r="2515" spans="1:22">
      <c r="A2515" s="2" t="s">
        <v>7795</v>
      </c>
      <c r="B2515" s="2" t="s">
        <v>7796</v>
      </c>
      <c r="C2515" s="2" t="s">
        <v>95</v>
      </c>
      <c r="D2515" s="2" t="s">
        <v>88</v>
      </c>
      <c r="E2515" s="2" t="s">
        <v>57</v>
      </c>
      <c r="F2515" s="2" t="s">
        <v>82</v>
      </c>
      <c r="G2515" s="2" t="s">
        <v>138</v>
      </c>
      <c r="H2515" s="2" t="s">
        <v>498</v>
      </c>
      <c r="I2515" s="2" t="s">
        <v>499</v>
      </c>
      <c r="J2515" s="2" t="s">
        <v>7756</v>
      </c>
      <c r="K2515" s="2" t="s">
        <v>7797</v>
      </c>
      <c r="L2515" s="2" t="s">
        <v>140</v>
      </c>
      <c r="M2515" s="2" t="s">
        <v>7758</v>
      </c>
      <c r="N2515" s="16">
        <v>2.75E-2</v>
      </c>
      <c r="O2515" s="17">
        <f>N2515*'Financial Inputs'!$B$3</f>
        <v>2750000</v>
      </c>
      <c r="P2515" s="18">
        <f>IF(I2515="L",'Financial Inputs'!$B$4,IF(I2515="M",'Financial Inputs'!$B$5,'Financial Inputs'!$B$6))</f>
        <v>0.7</v>
      </c>
      <c r="Q2515" s="17">
        <f>O2515*P2515</f>
        <v>1924999.9999999998</v>
      </c>
      <c r="R2515" s="16">
        <f>'Financial Inputs'!$B$7</f>
        <v>0.35</v>
      </c>
      <c r="S2515" s="17">
        <f>Q2515*(1-R2515)</f>
        <v>1251250</v>
      </c>
      <c r="T2515" s="18">
        <f>S2515/'Financial Inputs'!$B$3</f>
        <v>1.2512499999999999E-2</v>
      </c>
      <c r="U2515" s="9" t="s">
        <v>52</v>
      </c>
      <c r="V2515" s="3" t="s">
        <v>53</v>
      </c>
    </row>
    <row r="2516" spans="1:22">
      <c r="A2516" s="2" t="s">
        <v>7798</v>
      </c>
      <c r="B2516" s="2" t="s">
        <v>7799</v>
      </c>
      <c r="C2516" s="2" t="s">
        <v>95</v>
      </c>
      <c r="D2516" s="2" t="s">
        <v>95</v>
      </c>
      <c r="E2516" s="2" t="s">
        <v>65</v>
      </c>
      <c r="F2516" s="2" t="s">
        <v>44</v>
      </c>
      <c r="G2516" s="2" t="s">
        <v>143</v>
      </c>
      <c r="H2516" s="2" t="s">
        <v>498</v>
      </c>
      <c r="I2516" s="2" t="s">
        <v>499</v>
      </c>
      <c r="J2516" s="2" t="s">
        <v>7756</v>
      </c>
      <c r="K2516" s="2" t="s">
        <v>7800</v>
      </c>
      <c r="L2516" s="2" t="s">
        <v>145</v>
      </c>
      <c r="M2516" s="2" t="s">
        <v>7758</v>
      </c>
      <c r="N2516" s="16">
        <v>3.0000000000000009E-2</v>
      </c>
      <c r="O2516" s="17">
        <f>N2516*'Financial Inputs'!$B$3</f>
        <v>3000000.0000000009</v>
      </c>
      <c r="P2516" s="18">
        <f>IF(I2516="L",'Financial Inputs'!$B$4,IF(I2516="M",'Financial Inputs'!$B$5,'Financial Inputs'!$B$6))</f>
        <v>0.7</v>
      </c>
      <c r="Q2516" s="17">
        <f>O2516*P2516</f>
        <v>2100000.0000000005</v>
      </c>
      <c r="R2516" s="16">
        <f>'Financial Inputs'!$B$7</f>
        <v>0.35</v>
      </c>
      <c r="S2516" s="17">
        <f>Q2516*(1-R2516)</f>
        <v>1365000.0000000005</v>
      </c>
      <c r="T2516" s="18">
        <f>S2516/'Financial Inputs'!$B$3</f>
        <v>1.3650000000000004E-2</v>
      </c>
      <c r="U2516" s="9" t="s">
        <v>52</v>
      </c>
      <c r="V2516" s="3" t="s">
        <v>53</v>
      </c>
    </row>
    <row r="2517" spans="1:22">
      <c r="A2517" s="2" t="s">
        <v>7801</v>
      </c>
      <c r="B2517" s="2" t="s">
        <v>7802</v>
      </c>
      <c r="C2517" s="2" t="s">
        <v>95</v>
      </c>
      <c r="D2517" s="2" t="s">
        <v>56</v>
      </c>
      <c r="E2517" s="2" t="s">
        <v>148</v>
      </c>
      <c r="F2517" s="2" t="s">
        <v>97</v>
      </c>
      <c r="G2517" s="2" t="s">
        <v>56</v>
      </c>
      <c r="H2517" s="2" t="s">
        <v>498</v>
      </c>
      <c r="I2517" s="2" t="s">
        <v>499</v>
      </c>
      <c r="J2517" s="2" t="s">
        <v>7756</v>
      </c>
      <c r="K2517" s="2" t="s">
        <v>7803</v>
      </c>
      <c r="L2517" s="2" t="s">
        <v>150</v>
      </c>
      <c r="M2517" s="2" t="s">
        <v>7758</v>
      </c>
      <c r="N2517" s="16">
        <v>0.02</v>
      </c>
      <c r="O2517" s="17">
        <f>N2517*'Financial Inputs'!$B$3</f>
        <v>2000000</v>
      </c>
      <c r="P2517" s="18">
        <f>IF(I2517="L",'Financial Inputs'!$B$4,IF(I2517="M",'Financial Inputs'!$B$5,'Financial Inputs'!$B$6))</f>
        <v>0.7</v>
      </c>
      <c r="Q2517" s="17">
        <f>O2517*P2517</f>
        <v>1400000</v>
      </c>
      <c r="R2517" s="16">
        <f>'Financial Inputs'!$B$7</f>
        <v>0.35</v>
      </c>
      <c r="S2517" s="17">
        <f>Q2517*(1-R2517)</f>
        <v>910000</v>
      </c>
      <c r="T2517" s="18">
        <f>S2517/'Financial Inputs'!$B$3</f>
        <v>9.1000000000000004E-3</v>
      </c>
      <c r="U2517" s="9" t="s">
        <v>52</v>
      </c>
      <c r="V2517" s="3" t="s">
        <v>53</v>
      </c>
    </row>
    <row r="2518" spans="1:22">
      <c r="A2518" s="2" t="s">
        <v>7804</v>
      </c>
      <c r="B2518" s="2" t="s">
        <v>7805</v>
      </c>
      <c r="C2518" s="2" t="s">
        <v>95</v>
      </c>
      <c r="D2518" s="2" t="s">
        <v>64</v>
      </c>
      <c r="E2518" s="2" t="s">
        <v>153</v>
      </c>
      <c r="F2518" s="2" t="s">
        <v>104</v>
      </c>
      <c r="G2518" s="2" t="s">
        <v>138</v>
      </c>
      <c r="H2518" s="2" t="s">
        <v>498</v>
      </c>
      <c r="I2518" s="2" t="s">
        <v>499</v>
      </c>
      <c r="J2518" s="2" t="s">
        <v>7756</v>
      </c>
      <c r="K2518" s="2" t="s">
        <v>7806</v>
      </c>
      <c r="L2518" s="2" t="s">
        <v>155</v>
      </c>
      <c r="M2518" s="2" t="s">
        <v>7758</v>
      </c>
      <c r="N2518" s="16">
        <v>2.2499999999999999E-2</v>
      </c>
      <c r="O2518" s="17">
        <f>N2518*'Financial Inputs'!$B$3</f>
        <v>2250000</v>
      </c>
      <c r="P2518" s="18">
        <f>IF(I2518="L",'Financial Inputs'!$B$4,IF(I2518="M",'Financial Inputs'!$B$5,'Financial Inputs'!$B$6))</f>
        <v>0.7</v>
      </c>
      <c r="Q2518" s="17">
        <f>O2518*P2518</f>
        <v>1575000</v>
      </c>
      <c r="R2518" s="16">
        <f>'Financial Inputs'!$B$7</f>
        <v>0.35</v>
      </c>
      <c r="S2518" s="17">
        <f>Q2518*(1-R2518)</f>
        <v>1023750</v>
      </c>
      <c r="T2518" s="18">
        <f>S2518/'Financial Inputs'!$B$3</f>
        <v>1.02375E-2</v>
      </c>
      <c r="U2518" s="9" t="s">
        <v>52</v>
      </c>
      <c r="V2518" s="3" t="s">
        <v>53</v>
      </c>
    </row>
    <row r="2519" spans="1:22">
      <c r="A2519" s="2" t="s">
        <v>7807</v>
      </c>
      <c r="B2519" s="2" t="s">
        <v>7808</v>
      </c>
      <c r="C2519" s="2" t="s">
        <v>95</v>
      </c>
      <c r="D2519" s="2" t="s">
        <v>72</v>
      </c>
      <c r="E2519" s="2" t="s">
        <v>89</v>
      </c>
      <c r="F2519" s="2" t="s">
        <v>110</v>
      </c>
      <c r="G2519" s="2" t="s">
        <v>143</v>
      </c>
      <c r="H2519" s="2" t="s">
        <v>498</v>
      </c>
      <c r="I2519" s="2" t="s">
        <v>499</v>
      </c>
      <c r="J2519" s="2" t="s">
        <v>7756</v>
      </c>
      <c r="K2519" s="2" t="s">
        <v>7809</v>
      </c>
      <c r="L2519" s="2" t="s">
        <v>159</v>
      </c>
      <c r="M2519" s="2" t="s">
        <v>7758</v>
      </c>
      <c r="N2519" s="16">
        <v>2.5000000000000001E-2</v>
      </c>
      <c r="O2519" s="17">
        <f>N2519*'Financial Inputs'!$B$3</f>
        <v>2500000</v>
      </c>
      <c r="P2519" s="18">
        <f>IF(I2519="L",'Financial Inputs'!$B$4,IF(I2519="M",'Financial Inputs'!$B$5,'Financial Inputs'!$B$6))</f>
        <v>0.7</v>
      </c>
      <c r="Q2519" s="17">
        <f>O2519*P2519</f>
        <v>1750000</v>
      </c>
      <c r="R2519" s="16">
        <f>'Financial Inputs'!$B$7</f>
        <v>0.35</v>
      </c>
      <c r="S2519" s="17">
        <f>Q2519*(1-R2519)</f>
        <v>1137500</v>
      </c>
      <c r="T2519" s="18">
        <f>S2519/'Financial Inputs'!$B$3</f>
        <v>1.1375E-2</v>
      </c>
      <c r="U2519" s="9" t="s">
        <v>52</v>
      </c>
      <c r="V2519" s="3" t="s">
        <v>53</v>
      </c>
    </row>
    <row r="2520" spans="1:22">
      <c r="A2520" s="2" t="s">
        <v>7810</v>
      </c>
      <c r="B2520" s="2" t="s">
        <v>7811</v>
      </c>
      <c r="C2520" s="2" t="s">
        <v>95</v>
      </c>
      <c r="D2520" s="2" t="s">
        <v>80</v>
      </c>
      <c r="E2520" s="2" t="s">
        <v>96</v>
      </c>
      <c r="F2520" s="2" t="s">
        <v>117</v>
      </c>
      <c r="G2520" s="2" t="s">
        <v>162</v>
      </c>
      <c r="H2520" s="2" t="s">
        <v>498</v>
      </c>
      <c r="I2520" s="2" t="s">
        <v>499</v>
      </c>
      <c r="J2520" s="2" t="s">
        <v>7756</v>
      </c>
      <c r="K2520" s="2" t="s">
        <v>7812</v>
      </c>
      <c r="L2520" s="2" t="s">
        <v>164</v>
      </c>
      <c r="M2520" s="2" t="s">
        <v>7758</v>
      </c>
      <c r="N2520" s="16">
        <v>2.75E-2</v>
      </c>
      <c r="O2520" s="17">
        <f>N2520*'Financial Inputs'!$B$3</f>
        <v>2750000</v>
      </c>
      <c r="P2520" s="18">
        <f>IF(I2520="L",'Financial Inputs'!$B$4,IF(I2520="M",'Financial Inputs'!$B$5,'Financial Inputs'!$B$6))</f>
        <v>0.7</v>
      </c>
      <c r="Q2520" s="17">
        <f>O2520*P2520</f>
        <v>1924999.9999999998</v>
      </c>
      <c r="R2520" s="16">
        <f>'Financial Inputs'!$B$7</f>
        <v>0.35</v>
      </c>
      <c r="S2520" s="17">
        <f>Q2520*(1-R2520)</f>
        <v>1251250</v>
      </c>
      <c r="T2520" s="18">
        <f>S2520/'Financial Inputs'!$B$3</f>
        <v>1.2512499999999999E-2</v>
      </c>
      <c r="U2520" s="9" t="s">
        <v>52</v>
      </c>
      <c r="V2520" s="3" t="s">
        <v>53</v>
      </c>
    </row>
    <row r="2521" spans="1:22">
      <c r="A2521" s="2" t="s">
        <v>7813</v>
      </c>
      <c r="B2521" s="2" t="s">
        <v>7814</v>
      </c>
      <c r="C2521" s="2" t="s">
        <v>95</v>
      </c>
      <c r="D2521" s="2" t="s">
        <v>127</v>
      </c>
      <c r="E2521" s="2" t="s">
        <v>103</v>
      </c>
      <c r="F2521" s="2" t="s">
        <v>90</v>
      </c>
      <c r="G2521" s="2" t="s">
        <v>45</v>
      </c>
      <c r="H2521" s="2" t="s">
        <v>498</v>
      </c>
      <c r="I2521" s="2" t="s">
        <v>499</v>
      </c>
      <c r="J2521" s="2" t="s">
        <v>7756</v>
      </c>
      <c r="K2521" s="2" t="s">
        <v>7815</v>
      </c>
      <c r="L2521" s="2" t="s">
        <v>168</v>
      </c>
      <c r="M2521" s="2" t="s">
        <v>7758</v>
      </c>
      <c r="N2521" s="16">
        <v>3.0000000000000009E-2</v>
      </c>
      <c r="O2521" s="17">
        <f>N2521*'Financial Inputs'!$B$3</f>
        <v>3000000.0000000009</v>
      </c>
      <c r="P2521" s="18">
        <f>IF(I2521="L",'Financial Inputs'!$B$4,IF(I2521="M",'Financial Inputs'!$B$5,'Financial Inputs'!$B$6))</f>
        <v>0.7</v>
      </c>
      <c r="Q2521" s="17">
        <f>O2521*P2521</f>
        <v>2100000.0000000005</v>
      </c>
      <c r="R2521" s="16">
        <f>'Financial Inputs'!$B$7</f>
        <v>0.35</v>
      </c>
      <c r="S2521" s="17">
        <f>Q2521*(1-R2521)</f>
        <v>1365000.0000000005</v>
      </c>
      <c r="T2521" s="18">
        <f>S2521/'Financial Inputs'!$B$3</f>
        <v>1.3650000000000004E-2</v>
      </c>
      <c r="U2521" s="9" t="s">
        <v>52</v>
      </c>
      <c r="V2521" s="3" t="s">
        <v>53</v>
      </c>
    </row>
    <row r="2522" spans="1:22">
      <c r="A2522" s="2" t="s">
        <v>7816</v>
      </c>
      <c r="B2522" s="2" t="s">
        <v>7817</v>
      </c>
      <c r="C2522" s="2" t="s">
        <v>95</v>
      </c>
      <c r="D2522" s="2" t="s">
        <v>95</v>
      </c>
      <c r="E2522" s="2" t="s">
        <v>171</v>
      </c>
      <c r="F2522" s="2" t="s">
        <v>66</v>
      </c>
      <c r="G2522" s="2" t="s">
        <v>143</v>
      </c>
      <c r="H2522" s="2" t="s">
        <v>498</v>
      </c>
      <c r="I2522" s="2" t="s">
        <v>499</v>
      </c>
      <c r="J2522" s="2" t="s">
        <v>7756</v>
      </c>
      <c r="K2522" s="2" t="s">
        <v>7818</v>
      </c>
      <c r="L2522" s="2" t="s">
        <v>173</v>
      </c>
      <c r="M2522" s="2" t="s">
        <v>7758</v>
      </c>
      <c r="N2522" s="16">
        <v>0.02</v>
      </c>
      <c r="O2522" s="17">
        <f>N2522*'Financial Inputs'!$B$3</f>
        <v>2000000</v>
      </c>
      <c r="P2522" s="18">
        <f>IF(I2522="L",'Financial Inputs'!$B$4,IF(I2522="M",'Financial Inputs'!$B$5,'Financial Inputs'!$B$6))</f>
        <v>0.7</v>
      </c>
      <c r="Q2522" s="17">
        <f>O2522*P2522</f>
        <v>1400000</v>
      </c>
      <c r="R2522" s="16">
        <f>'Financial Inputs'!$B$7</f>
        <v>0.35</v>
      </c>
      <c r="S2522" s="17">
        <f>Q2522*(1-R2522)</f>
        <v>910000</v>
      </c>
      <c r="T2522" s="18">
        <f>S2522/'Financial Inputs'!$B$3</f>
        <v>9.1000000000000004E-3</v>
      </c>
      <c r="U2522" s="9" t="s">
        <v>52</v>
      </c>
      <c r="V2522" s="3" t="s">
        <v>53</v>
      </c>
    </row>
    <row r="2523" spans="1:22">
      <c r="A2523" s="2" t="s">
        <v>7819</v>
      </c>
      <c r="B2523" s="2" t="s">
        <v>7820</v>
      </c>
      <c r="C2523" s="2" t="s">
        <v>95</v>
      </c>
      <c r="D2523" s="2" t="s">
        <v>102</v>
      </c>
      <c r="E2523" s="2" t="s">
        <v>176</v>
      </c>
      <c r="F2523" s="2" t="s">
        <v>74</v>
      </c>
      <c r="G2523" s="2" t="s">
        <v>162</v>
      </c>
      <c r="H2523" s="2" t="s">
        <v>498</v>
      </c>
      <c r="I2523" s="2" t="s">
        <v>499</v>
      </c>
      <c r="J2523" s="2" t="s">
        <v>7756</v>
      </c>
      <c r="K2523" s="2" t="s">
        <v>7821</v>
      </c>
      <c r="L2523" s="2" t="s">
        <v>178</v>
      </c>
      <c r="M2523" s="2" t="s">
        <v>7758</v>
      </c>
      <c r="N2523" s="16">
        <v>2.2499999999999999E-2</v>
      </c>
      <c r="O2523" s="17">
        <f>N2523*'Financial Inputs'!$B$3</f>
        <v>2250000</v>
      </c>
      <c r="P2523" s="18">
        <f>IF(I2523="L",'Financial Inputs'!$B$4,IF(I2523="M",'Financial Inputs'!$B$5,'Financial Inputs'!$B$6))</f>
        <v>0.7</v>
      </c>
      <c r="Q2523" s="17">
        <f>O2523*P2523</f>
        <v>1575000</v>
      </c>
      <c r="R2523" s="16">
        <f>'Financial Inputs'!$B$7</f>
        <v>0.35</v>
      </c>
      <c r="S2523" s="17">
        <f>Q2523*(1-R2523)</f>
        <v>1023750</v>
      </c>
      <c r="T2523" s="18">
        <f>S2523/'Financial Inputs'!$B$3</f>
        <v>1.02375E-2</v>
      </c>
      <c r="U2523" s="9" t="s">
        <v>52</v>
      </c>
      <c r="V2523" s="3" t="s">
        <v>53</v>
      </c>
    </row>
    <row r="2524" spans="1:22">
      <c r="A2524" s="2" t="s">
        <v>7822</v>
      </c>
      <c r="B2524" s="2" t="s">
        <v>7823</v>
      </c>
      <c r="C2524" s="2" t="s">
        <v>95</v>
      </c>
      <c r="D2524" s="2" t="s">
        <v>42</v>
      </c>
      <c r="E2524" s="2" t="s">
        <v>122</v>
      </c>
      <c r="F2524" s="2" t="s">
        <v>82</v>
      </c>
      <c r="G2524" s="2" t="s">
        <v>45</v>
      </c>
      <c r="H2524" s="2" t="s">
        <v>498</v>
      </c>
      <c r="I2524" s="2" t="s">
        <v>499</v>
      </c>
      <c r="J2524" s="2" t="s">
        <v>7756</v>
      </c>
      <c r="K2524" s="2" t="s">
        <v>7824</v>
      </c>
      <c r="L2524" s="2" t="s">
        <v>182</v>
      </c>
      <c r="M2524" s="2" t="s">
        <v>7758</v>
      </c>
      <c r="N2524" s="16">
        <v>2.5000000000000001E-2</v>
      </c>
      <c r="O2524" s="17">
        <f>N2524*'Financial Inputs'!$B$3</f>
        <v>2500000</v>
      </c>
      <c r="P2524" s="18">
        <f>IF(I2524="L",'Financial Inputs'!$B$4,IF(I2524="M",'Financial Inputs'!$B$5,'Financial Inputs'!$B$6))</f>
        <v>0.7</v>
      </c>
      <c r="Q2524" s="17">
        <f>O2524*P2524</f>
        <v>1750000</v>
      </c>
      <c r="R2524" s="16">
        <f>'Financial Inputs'!$B$7</f>
        <v>0.35</v>
      </c>
      <c r="S2524" s="17">
        <f>Q2524*(1-R2524)</f>
        <v>1137500</v>
      </c>
      <c r="T2524" s="18">
        <f>S2524/'Financial Inputs'!$B$3</f>
        <v>1.1375E-2</v>
      </c>
      <c r="U2524" s="9" t="s">
        <v>52</v>
      </c>
      <c r="V2524" s="3" t="s">
        <v>53</v>
      </c>
    </row>
    <row r="2525" spans="1:22">
      <c r="A2525" s="2" t="s">
        <v>7825</v>
      </c>
      <c r="B2525" s="2" t="s">
        <v>7826</v>
      </c>
      <c r="C2525" s="2" t="s">
        <v>95</v>
      </c>
      <c r="D2525" s="2" t="s">
        <v>56</v>
      </c>
      <c r="E2525" s="2" t="s">
        <v>128</v>
      </c>
      <c r="F2525" s="2" t="s">
        <v>44</v>
      </c>
      <c r="G2525" s="2" t="s">
        <v>59</v>
      </c>
      <c r="H2525" s="2" t="s">
        <v>498</v>
      </c>
      <c r="I2525" s="2" t="s">
        <v>499</v>
      </c>
      <c r="J2525" s="2" t="s">
        <v>7756</v>
      </c>
      <c r="K2525" s="2" t="s">
        <v>7827</v>
      </c>
      <c r="L2525" s="2" t="s">
        <v>186</v>
      </c>
      <c r="M2525" s="2" t="s">
        <v>7758</v>
      </c>
      <c r="N2525" s="16">
        <v>2.75E-2</v>
      </c>
      <c r="O2525" s="17">
        <f>N2525*'Financial Inputs'!$B$3</f>
        <v>2750000</v>
      </c>
      <c r="P2525" s="18">
        <f>IF(I2525="L",'Financial Inputs'!$B$4,IF(I2525="M",'Financial Inputs'!$B$5,'Financial Inputs'!$B$6))</f>
        <v>0.7</v>
      </c>
      <c r="Q2525" s="17">
        <f>O2525*P2525</f>
        <v>1924999.9999999998</v>
      </c>
      <c r="R2525" s="16">
        <f>'Financial Inputs'!$B$7</f>
        <v>0.35</v>
      </c>
      <c r="S2525" s="17">
        <f>Q2525*(1-R2525)</f>
        <v>1251250</v>
      </c>
      <c r="T2525" s="18">
        <f>S2525/'Financial Inputs'!$B$3</f>
        <v>1.2512499999999999E-2</v>
      </c>
      <c r="U2525" s="9" t="s">
        <v>52</v>
      </c>
      <c r="V2525" s="3" t="s">
        <v>53</v>
      </c>
    </row>
    <row r="2526" spans="1:22">
      <c r="A2526" s="2" t="s">
        <v>7828</v>
      </c>
      <c r="B2526" s="2" t="s">
        <v>7829</v>
      </c>
      <c r="C2526" s="2" t="s">
        <v>95</v>
      </c>
      <c r="D2526" s="2" t="s">
        <v>64</v>
      </c>
      <c r="E2526" s="2" t="s">
        <v>43</v>
      </c>
      <c r="F2526" s="2" t="s">
        <v>58</v>
      </c>
      <c r="G2526" s="2" t="s">
        <v>67</v>
      </c>
      <c r="H2526" s="2" t="s">
        <v>498</v>
      </c>
      <c r="I2526" s="2" t="s">
        <v>499</v>
      </c>
      <c r="J2526" s="2" t="s">
        <v>7756</v>
      </c>
      <c r="K2526" s="2" t="s">
        <v>7830</v>
      </c>
      <c r="L2526" s="2" t="s">
        <v>190</v>
      </c>
      <c r="M2526" s="2" t="s">
        <v>7758</v>
      </c>
      <c r="N2526" s="16">
        <v>3.0000000000000009E-2</v>
      </c>
      <c r="O2526" s="17">
        <f>N2526*'Financial Inputs'!$B$3</f>
        <v>3000000.0000000009</v>
      </c>
      <c r="P2526" s="18">
        <f>IF(I2526="L",'Financial Inputs'!$B$4,IF(I2526="M",'Financial Inputs'!$B$5,'Financial Inputs'!$B$6))</f>
        <v>0.7</v>
      </c>
      <c r="Q2526" s="17">
        <f>O2526*P2526</f>
        <v>2100000.0000000005</v>
      </c>
      <c r="R2526" s="16">
        <f>'Financial Inputs'!$B$7</f>
        <v>0.35</v>
      </c>
      <c r="S2526" s="17">
        <f>Q2526*(1-R2526)</f>
        <v>1365000.0000000005</v>
      </c>
      <c r="T2526" s="18">
        <f>S2526/'Financial Inputs'!$B$3</f>
        <v>1.3650000000000004E-2</v>
      </c>
      <c r="U2526" s="9" t="s">
        <v>52</v>
      </c>
      <c r="V2526" s="3" t="s">
        <v>53</v>
      </c>
    </row>
    <row r="2527" spans="1:22">
      <c r="A2527" s="2" t="s">
        <v>7831</v>
      </c>
      <c r="B2527" s="2" t="s">
        <v>7832</v>
      </c>
      <c r="C2527" s="2" t="s">
        <v>95</v>
      </c>
      <c r="D2527" s="2" t="s">
        <v>127</v>
      </c>
      <c r="E2527" s="2" t="s">
        <v>193</v>
      </c>
      <c r="F2527" s="2" t="s">
        <v>104</v>
      </c>
      <c r="G2527" s="2" t="s">
        <v>45</v>
      </c>
      <c r="H2527" s="2" t="s">
        <v>498</v>
      </c>
      <c r="I2527" s="2" t="s">
        <v>499</v>
      </c>
      <c r="J2527" s="2" t="s">
        <v>7756</v>
      </c>
      <c r="K2527" s="2" t="s">
        <v>7833</v>
      </c>
      <c r="L2527" s="2" t="s">
        <v>195</v>
      </c>
      <c r="M2527" s="2" t="s">
        <v>7758</v>
      </c>
      <c r="N2527" s="16">
        <v>0.02</v>
      </c>
      <c r="O2527" s="17">
        <f>N2527*'Financial Inputs'!$B$3</f>
        <v>2000000</v>
      </c>
      <c r="P2527" s="18">
        <f>IF(I2527="L",'Financial Inputs'!$B$4,IF(I2527="M",'Financial Inputs'!$B$5,'Financial Inputs'!$B$6))</f>
        <v>0.7</v>
      </c>
      <c r="Q2527" s="17">
        <f>O2527*P2527</f>
        <v>1400000</v>
      </c>
      <c r="R2527" s="16">
        <f>'Financial Inputs'!$B$7</f>
        <v>0.35</v>
      </c>
      <c r="S2527" s="17">
        <f>Q2527*(1-R2527)</f>
        <v>910000</v>
      </c>
      <c r="T2527" s="18">
        <f>S2527/'Financial Inputs'!$B$3</f>
        <v>9.1000000000000004E-3</v>
      </c>
      <c r="U2527" s="9" t="s">
        <v>52</v>
      </c>
      <c r="V2527" s="3" t="s">
        <v>53</v>
      </c>
    </row>
    <row r="2528" spans="1:22">
      <c r="A2528" s="2" t="s">
        <v>7834</v>
      </c>
      <c r="B2528" s="2" t="s">
        <v>7835</v>
      </c>
      <c r="C2528" s="2" t="s">
        <v>95</v>
      </c>
      <c r="D2528" s="2" t="s">
        <v>133</v>
      </c>
      <c r="E2528" s="2" t="s">
        <v>198</v>
      </c>
      <c r="F2528" s="2" t="s">
        <v>110</v>
      </c>
      <c r="G2528" s="2" t="s">
        <v>59</v>
      </c>
      <c r="H2528" s="2" t="s">
        <v>498</v>
      </c>
      <c r="I2528" s="2" t="s">
        <v>499</v>
      </c>
      <c r="J2528" s="2" t="s">
        <v>7756</v>
      </c>
      <c r="K2528" s="2" t="s">
        <v>7836</v>
      </c>
      <c r="L2528" s="2" t="s">
        <v>200</v>
      </c>
      <c r="M2528" s="2" t="s">
        <v>7758</v>
      </c>
      <c r="N2528" s="16">
        <v>2.2499999999999999E-2</v>
      </c>
      <c r="O2528" s="17">
        <f>N2528*'Financial Inputs'!$B$3</f>
        <v>2250000</v>
      </c>
      <c r="P2528" s="18">
        <f>IF(I2528="L",'Financial Inputs'!$B$4,IF(I2528="M",'Financial Inputs'!$B$5,'Financial Inputs'!$B$6))</f>
        <v>0.7</v>
      </c>
      <c r="Q2528" s="17">
        <f>O2528*P2528</f>
        <v>1575000</v>
      </c>
      <c r="R2528" s="16">
        <f>'Financial Inputs'!$B$7</f>
        <v>0.35</v>
      </c>
      <c r="S2528" s="17">
        <f>Q2528*(1-R2528)</f>
        <v>1023750</v>
      </c>
      <c r="T2528" s="18">
        <f>S2528/'Financial Inputs'!$B$3</f>
        <v>1.02375E-2</v>
      </c>
      <c r="U2528" s="9" t="s">
        <v>52</v>
      </c>
      <c r="V2528" s="3" t="s">
        <v>53</v>
      </c>
    </row>
    <row r="2529" spans="1:22">
      <c r="A2529" s="2" t="s">
        <v>7837</v>
      </c>
      <c r="B2529" s="2" t="s">
        <v>7838</v>
      </c>
      <c r="C2529" s="2" t="s">
        <v>95</v>
      </c>
      <c r="D2529" s="2" t="s">
        <v>88</v>
      </c>
      <c r="E2529" s="2" t="s">
        <v>148</v>
      </c>
      <c r="F2529" s="2" t="s">
        <v>117</v>
      </c>
      <c r="G2529" s="2" t="s">
        <v>67</v>
      </c>
      <c r="H2529" s="2" t="s">
        <v>498</v>
      </c>
      <c r="I2529" s="2" t="s">
        <v>499</v>
      </c>
      <c r="J2529" s="2" t="s">
        <v>7756</v>
      </c>
      <c r="K2529" s="2" t="s">
        <v>7839</v>
      </c>
      <c r="L2529" s="2" t="s">
        <v>204</v>
      </c>
      <c r="M2529" s="2" t="s">
        <v>7758</v>
      </c>
      <c r="N2529" s="16">
        <v>2.5000000000000001E-2</v>
      </c>
      <c r="O2529" s="17">
        <f>N2529*'Financial Inputs'!$B$3</f>
        <v>2500000</v>
      </c>
      <c r="P2529" s="18">
        <f>IF(I2529="L",'Financial Inputs'!$B$4,IF(I2529="M",'Financial Inputs'!$B$5,'Financial Inputs'!$B$6))</f>
        <v>0.7</v>
      </c>
      <c r="Q2529" s="17">
        <f>O2529*P2529</f>
        <v>1750000</v>
      </c>
      <c r="R2529" s="16">
        <f>'Financial Inputs'!$B$7</f>
        <v>0.35</v>
      </c>
      <c r="S2529" s="17">
        <f>Q2529*(1-R2529)</f>
        <v>1137500</v>
      </c>
      <c r="T2529" s="18">
        <f>S2529/'Financial Inputs'!$B$3</f>
        <v>1.1375E-2</v>
      </c>
      <c r="U2529" s="9" t="s">
        <v>52</v>
      </c>
      <c r="V2529" s="3" t="s">
        <v>53</v>
      </c>
    </row>
    <row r="2530" spans="1:22">
      <c r="A2530" s="2" t="s">
        <v>7840</v>
      </c>
      <c r="B2530" s="2" t="s">
        <v>7841</v>
      </c>
      <c r="C2530" s="2" t="s">
        <v>95</v>
      </c>
      <c r="D2530" s="2" t="s">
        <v>95</v>
      </c>
      <c r="E2530" s="2" t="s">
        <v>153</v>
      </c>
      <c r="F2530" s="2" t="s">
        <v>90</v>
      </c>
      <c r="G2530" s="2" t="s">
        <v>75</v>
      </c>
      <c r="H2530" s="2" t="s">
        <v>498</v>
      </c>
      <c r="I2530" s="2" t="s">
        <v>499</v>
      </c>
      <c r="J2530" s="2" t="s">
        <v>7756</v>
      </c>
      <c r="K2530" s="2" t="s">
        <v>7842</v>
      </c>
      <c r="L2530" s="2" t="s">
        <v>208</v>
      </c>
      <c r="M2530" s="2" t="s">
        <v>7758</v>
      </c>
      <c r="N2530" s="16">
        <v>2.75E-2</v>
      </c>
      <c r="O2530" s="17">
        <f>N2530*'Financial Inputs'!$B$3</f>
        <v>2750000</v>
      </c>
      <c r="P2530" s="18">
        <f>IF(I2530="L",'Financial Inputs'!$B$4,IF(I2530="M",'Financial Inputs'!$B$5,'Financial Inputs'!$B$6))</f>
        <v>0.7</v>
      </c>
      <c r="Q2530" s="17">
        <f>O2530*P2530</f>
        <v>1924999.9999999998</v>
      </c>
      <c r="R2530" s="16">
        <f>'Financial Inputs'!$B$7</f>
        <v>0.35</v>
      </c>
      <c r="S2530" s="17">
        <f>Q2530*(1-R2530)</f>
        <v>1251250</v>
      </c>
      <c r="T2530" s="18">
        <f>S2530/'Financial Inputs'!$B$3</f>
        <v>1.2512499999999999E-2</v>
      </c>
      <c r="U2530" s="9" t="s">
        <v>52</v>
      </c>
      <c r="V2530" s="3" t="s">
        <v>53</v>
      </c>
    </row>
    <row r="2531" spans="1:22">
      <c r="A2531" s="2" t="s">
        <v>7843</v>
      </c>
      <c r="B2531" s="2" t="s">
        <v>7844</v>
      </c>
      <c r="C2531" s="2" t="s">
        <v>95</v>
      </c>
      <c r="D2531" s="2" t="s">
        <v>102</v>
      </c>
      <c r="E2531" s="2" t="s">
        <v>89</v>
      </c>
      <c r="F2531" s="2" t="s">
        <v>97</v>
      </c>
      <c r="G2531" s="2" t="s">
        <v>83</v>
      </c>
      <c r="H2531" s="2" t="s">
        <v>498</v>
      </c>
      <c r="I2531" s="2" t="s">
        <v>499</v>
      </c>
      <c r="J2531" s="2" t="s">
        <v>7756</v>
      </c>
      <c r="K2531" s="2" t="s">
        <v>7845</v>
      </c>
      <c r="L2531" s="2" t="s">
        <v>212</v>
      </c>
      <c r="M2531" s="2" t="s">
        <v>7758</v>
      </c>
      <c r="N2531" s="16">
        <v>3.0000000000000009E-2</v>
      </c>
      <c r="O2531" s="17">
        <f>N2531*'Financial Inputs'!$B$3</f>
        <v>3000000.0000000009</v>
      </c>
      <c r="P2531" s="18">
        <f>IF(I2531="L",'Financial Inputs'!$B$4,IF(I2531="M",'Financial Inputs'!$B$5,'Financial Inputs'!$B$6))</f>
        <v>0.7</v>
      </c>
      <c r="Q2531" s="17">
        <f>O2531*P2531</f>
        <v>2100000.0000000005</v>
      </c>
      <c r="R2531" s="16">
        <f>'Financial Inputs'!$B$7</f>
        <v>0.35</v>
      </c>
      <c r="S2531" s="17">
        <f>Q2531*(1-R2531)</f>
        <v>1365000.0000000005</v>
      </c>
      <c r="T2531" s="18">
        <f>S2531/'Financial Inputs'!$B$3</f>
        <v>1.3650000000000004E-2</v>
      </c>
      <c r="U2531" s="9" t="s">
        <v>52</v>
      </c>
      <c r="V2531" s="3" t="s">
        <v>53</v>
      </c>
    </row>
    <row r="2532" spans="1:22">
      <c r="A2532" s="2" t="s">
        <v>7846</v>
      </c>
      <c r="B2532" s="2" t="s">
        <v>7847</v>
      </c>
      <c r="C2532" s="2" t="s">
        <v>95</v>
      </c>
      <c r="D2532" s="2" t="s">
        <v>64</v>
      </c>
      <c r="E2532" s="2" t="s">
        <v>215</v>
      </c>
      <c r="F2532" s="2" t="s">
        <v>74</v>
      </c>
      <c r="G2532" s="2" t="s">
        <v>67</v>
      </c>
      <c r="H2532" s="2" t="s">
        <v>498</v>
      </c>
      <c r="I2532" s="2" t="s">
        <v>499</v>
      </c>
      <c r="J2532" s="2" t="s">
        <v>7756</v>
      </c>
      <c r="K2532" s="2" t="s">
        <v>7848</v>
      </c>
      <c r="L2532" s="2" t="s">
        <v>217</v>
      </c>
      <c r="M2532" s="2" t="s">
        <v>7758</v>
      </c>
      <c r="N2532" s="16">
        <v>0.02</v>
      </c>
      <c r="O2532" s="17">
        <f>N2532*'Financial Inputs'!$B$3</f>
        <v>2000000</v>
      </c>
      <c r="P2532" s="18">
        <f>IF(I2532="L",'Financial Inputs'!$B$4,IF(I2532="M",'Financial Inputs'!$B$5,'Financial Inputs'!$B$6))</f>
        <v>0.7</v>
      </c>
      <c r="Q2532" s="17">
        <f>O2532*P2532</f>
        <v>1400000</v>
      </c>
      <c r="R2532" s="16">
        <f>'Financial Inputs'!$B$7</f>
        <v>0.35</v>
      </c>
      <c r="S2532" s="17">
        <f>Q2532*(1-R2532)</f>
        <v>910000</v>
      </c>
      <c r="T2532" s="18">
        <f>S2532/'Financial Inputs'!$B$3</f>
        <v>9.1000000000000004E-3</v>
      </c>
      <c r="U2532" s="9" t="s">
        <v>52</v>
      </c>
      <c r="V2532" s="3" t="s">
        <v>53</v>
      </c>
    </row>
    <row r="2533" spans="1:22">
      <c r="A2533" s="2" t="s">
        <v>7849</v>
      </c>
      <c r="B2533" s="2" t="s">
        <v>7850</v>
      </c>
      <c r="C2533" s="2" t="s">
        <v>95</v>
      </c>
      <c r="D2533" s="2" t="s">
        <v>72</v>
      </c>
      <c r="E2533" s="2" t="s">
        <v>220</v>
      </c>
      <c r="F2533" s="2" t="s">
        <v>82</v>
      </c>
      <c r="G2533" s="2" t="s">
        <v>75</v>
      </c>
      <c r="H2533" s="2" t="s">
        <v>498</v>
      </c>
      <c r="I2533" s="2" t="s">
        <v>499</v>
      </c>
      <c r="J2533" s="2" t="s">
        <v>7756</v>
      </c>
      <c r="K2533" s="2" t="s">
        <v>7851</v>
      </c>
      <c r="L2533" s="2" t="s">
        <v>222</v>
      </c>
      <c r="M2533" s="2" t="s">
        <v>7758</v>
      </c>
      <c r="N2533" s="16">
        <v>2.2499999999999999E-2</v>
      </c>
      <c r="O2533" s="17">
        <f>N2533*'Financial Inputs'!$B$3</f>
        <v>2250000</v>
      </c>
      <c r="P2533" s="18">
        <f>IF(I2533="L",'Financial Inputs'!$B$4,IF(I2533="M",'Financial Inputs'!$B$5,'Financial Inputs'!$B$6))</f>
        <v>0.7</v>
      </c>
      <c r="Q2533" s="17">
        <f>O2533*P2533</f>
        <v>1575000</v>
      </c>
      <c r="R2533" s="16">
        <f>'Financial Inputs'!$B$7</f>
        <v>0.35</v>
      </c>
      <c r="S2533" s="17">
        <f>Q2533*(1-R2533)</f>
        <v>1023750</v>
      </c>
      <c r="T2533" s="18">
        <f>S2533/'Financial Inputs'!$B$3</f>
        <v>1.02375E-2</v>
      </c>
      <c r="U2533" s="9" t="s">
        <v>52</v>
      </c>
      <c r="V2533" s="3" t="s">
        <v>53</v>
      </c>
    </row>
    <row r="2534" spans="1:22">
      <c r="A2534" s="2" t="s">
        <v>7852</v>
      </c>
      <c r="B2534" s="2" t="s">
        <v>7853</v>
      </c>
      <c r="C2534" s="2" t="s">
        <v>95</v>
      </c>
      <c r="D2534" s="2" t="s">
        <v>80</v>
      </c>
      <c r="E2534" s="2" t="s">
        <v>171</v>
      </c>
      <c r="F2534" s="2" t="s">
        <v>44</v>
      </c>
      <c r="G2534" s="2" t="s">
        <v>83</v>
      </c>
      <c r="H2534" s="2" t="s">
        <v>498</v>
      </c>
      <c r="I2534" s="2" t="s">
        <v>499</v>
      </c>
      <c r="J2534" s="2" t="s">
        <v>7756</v>
      </c>
      <c r="K2534" s="2" t="s">
        <v>7854</v>
      </c>
      <c r="L2534" s="2" t="s">
        <v>226</v>
      </c>
      <c r="M2534" s="2" t="s">
        <v>7758</v>
      </c>
      <c r="N2534" s="16">
        <v>2.5000000000000001E-2</v>
      </c>
      <c r="O2534" s="17">
        <f>N2534*'Financial Inputs'!$B$3</f>
        <v>2500000</v>
      </c>
      <c r="P2534" s="18">
        <f>IF(I2534="L",'Financial Inputs'!$B$4,IF(I2534="M",'Financial Inputs'!$B$5,'Financial Inputs'!$B$6))</f>
        <v>0.7</v>
      </c>
      <c r="Q2534" s="17">
        <f>O2534*P2534</f>
        <v>1750000</v>
      </c>
      <c r="R2534" s="16">
        <f>'Financial Inputs'!$B$7</f>
        <v>0.35</v>
      </c>
      <c r="S2534" s="17">
        <f>Q2534*(1-R2534)</f>
        <v>1137500</v>
      </c>
      <c r="T2534" s="18">
        <f>S2534/'Financial Inputs'!$B$3</f>
        <v>1.1375E-2</v>
      </c>
      <c r="U2534" s="9" t="s">
        <v>52</v>
      </c>
      <c r="V2534" s="3" t="s">
        <v>53</v>
      </c>
    </row>
    <row r="2535" spans="1:22">
      <c r="A2535" s="2" t="s">
        <v>7855</v>
      </c>
      <c r="B2535" s="2" t="s">
        <v>7856</v>
      </c>
      <c r="C2535" s="2" t="s">
        <v>95</v>
      </c>
      <c r="D2535" s="2" t="s">
        <v>127</v>
      </c>
      <c r="E2535" s="2" t="s">
        <v>176</v>
      </c>
      <c r="F2535" s="2" t="s">
        <v>58</v>
      </c>
      <c r="G2535" s="2" t="s">
        <v>111</v>
      </c>
      <c r="H2535" s="2" t="s">
        <v>498</v>
      </c>
      <c r="I2535" s="2" t="s">
        <v>499</v>
      </c>
      <c r="J2535" s="2" t="s">
        <v>7756</v>
      </c>
      <c r="K2535" s="2" t="s">
        <v>7857</v>
      </c>
      <c r="L2535" s="2" t="s">
        <v>230</v>
      </c>
      <c r="M2535" s="2" t="s">
        <v>7758</v>
      </c>
      <c r="N2535" s="16">
        <v>2.75E-2</v>
      </c>
      <c r="O2535" s="17">
        <f>N2535*'Financial Inputs'!$B$3</f>
        <v>2750000</v>
      </c>
      <c r="P2535" s="18">
        <f>IF(I2535="L",'Financial Inputs'!$B$4,IF(I2535="M",'Financial Inputs'!$B$5,'Financial Inputs'!$B$6))</f>
        <v>0.7</v>
      </c>
      <c r="Q2535" s="17">
        <f>O2535*P2535</f>
        <v>1924999.9999999998</v>
      </c>
      <c r="R2535" s="16">
        <f>'Financial Inputs'!$B$7</f>
        <v>0.35</v>
      </c>
      <c r="S2535" s="17">
        <f>Q2535*(1-R2535)</f>
        <v>1251250</v>
      </c>
      <c r="T2535" s="18">
        <f>S2535/'Financial Inputs'!$B$3</f>
        <v>1.2512499999999999E-2</v>
      </c>
      <c r="U2535" s="9" t="s">
        <v>52</v>
      </c>
      <c r="V2535" s="3" t="s">
        <v>53</v>
      </c>
    </row>
    <row r="2536" spans="1:22">
      <c r="A2536" s="2" t="s">
        <v>7858</v>
      </c>
      <c r="B2536" s="2" t="s">
        <v>7859</v>
      </c>
      <c r="C2536" s="2" t="s">
        <v>95</v>
      </c>
      <c r="D2536" s="2" t="s">
        <v>133</v>
      </c>
      <c r="E2536" s="2" t="s">
        <v>122</v>
      </c>
      <c r="F2536" s="2" t="s">
        <v>66</v>
      </c>
      <c r="G2536" s="2" t="s">
        <v>56</v>
      </c>
      <c r="H2536" s="2" t="s">
        <v>498</v>
      </c>
      <c r="I2536" s="2" t="s">
        <v>499</v>
      </c>
      <c r="J2536" s="2" t="s">
        <v>7756</v>
      </c>
      <c r="K2536" s="2" t="s">
        <v>7860</v>
      </c>
      <c r="L2536" s="2" t="s">
        <v>234</v>
      </c>
      <c r="M2536" s="2" t="s">
        <v>7758</v>
      </c>
      <c r="N2536" s="16">
        <v>3.0000000000000009E-2</v>
      </c>
      <c r="O2536" s="17">
        <f>N2536*'Financial Inputs'!$B$3</f>
        <v>3000000.0000000009</v>
      </c>
      <c r="P2536" s="18">
        <f>IF(I2536="L",'Financial Inputs'!$B$4,IF(I2536="M",'Financial Inputs'!$B$5,'Financial Inputs'!$B$6))</f>
        <v>0.7</v>
      </c>
      <c r="Q2536" s="17">
        <f>O2536*P2536</f>
        <v>2100000.0000000005</v>
      </c>
      <c r="R2536" s="16">
        <f>'Financial Inputs'!$B$7</f>
        <v>0.35</v>
      </c>
      <c r="S2536" s="17">
        <f>Q2536*(1-R2536)</f>
        <v>1365000.0000000005</v>
      </c>
      <c r="T2536" s="18">
        <f>S2536/'Financial Inputs'!$B$3</f>
        <v>1.3650000000000004E-2</v>
      </c>
      <c r="U2536" s="9" t="s">
        <v>52</v>
      </c>
      <c r="V2536" s="3" t="s">
        <v>53</v>
      </c>
    </row>
    <row r="2537" spans="1:22">
      <c r="A2537" s="2" t="s">
        <v>7861</v>
      </c>
      <c r="B2537" s="2" t="s">
        <v>7862</v>
      </c>
      <c r="C2537" s="2" t="s">
        <v>95</v>
      </c>
      <c r="D2537" s="2" t="s">
        <v>102</v>
      </c>
      <c r="E2537" s="2" t="s">
        <v>73</v>
      </c>
      <c r="F2537" s="2" t="s">
        <v>110</v>
      </c>
      <c r="G2537" s="2" t="s">
        <v>83</v>
      </c>
      <c r="H2537" s="2" t="s">
        <v>498</v>
      </c>
      <c r="I2537" s="2" t="s">
        <v>499</v>
      </c>
      <c r="J2537" s="2" t="s">
        <v>7756</v>
      </c>
      <c r="K2537" s="2" t="s">
        <v>7863</v>
      </c>
      <c r="L2537" s="2" t="s">
        <v>238</v>
      </c>
      <c r="M2537" s="2" t="s">
        <v>7758</v>
      </c>
      <c r="N2537" s="16">
        <v>0.02</v>
      </c>
      <c r="O2537" s="17">
        <f>N2537*'Financial Inputs'!$B$3</f>
        <v>2000000</v>
      </c>
      <c r="P2537" s="18">
        <f>IF(I2537="L",'Financial Inputs'!$B$4,IF(I2537="M",'Financial Inputs'!$B$5,'Financial Inputs'!$B$6))</f>
        <v>0.7</v>
      </c>
      <c r="Q2537" s="17">
        <f>O2537*P2537</f>
        <v>1400000</v>
      </c>
      <c r="R2537" s="16">
        <f>'Financial Inputs'!$B$7</f>
        <v>0.35</v>
      </c>
      <c r="S2537" s="17">
        <f>Q2537*(1-R2537)</f>
        <v>910000</v>
      </c>
      <c r="T2537" s="18">
        <f>S2537/'Financial Inputs'!$B$3</f>
        <v>9.1000000000000004E-3</v>
      </c>
      <c r="U2537" s="9" t="s">
        <v>52</v>
      </c>
      <c r="V2537" s="3" t="s">
        <v>53</v>
      </c>
    </row>
    <row r="2538" spans="1:22">
      <c r="A2538" s="2" t="s">
        <v>7864</v>
      </c>
      <c r="B2538" s="2" t="s">
        <v>7865</v>
      </c>
      <c r="C2538" s="2" t="s">
        <v>95</v>
      </c>
      <c r="D2538" s="2" t="s">
        <v>42</v>
      </c>
      <c r="E2538" s="2" t="s">
        <v>81</v>
      </c>
      <c r="F2538" s="2" t="s">
        <v>117</v>
      </c>
      <c r="G2538" s="2" t="s">
        <v>111</v>
      </c>
      <c r="H2538" s="2" t="s">
        <v>498</v>
      </c>
      <c r="I2538" s="2" t="s">
        <v>499</v>
      </c>
      <c r="J2538" s="2" t="s">
        <v>7756</v>
      </c>
      <c r="K2538" s="2" t="s">
        <v>7866</v>
      </c>
      <c r="L2538" s="2" t="s">
        <v>242</v>
      </c>
      <c r="M2538" s="2" t="s">
        <v>7758</v>
      </c>
      <c r="N2538" s="16">
        <v>2.2499999999999999E-2</v>
      </c>
      <c r="O2538" s="17">
        <f>N2538*'Financial Inputs'!$B$3</f>
        <v>2250000</v>
      </c>
      <c r="P2538" s="18">
        <f>IF(I2538="L",'Financial Inputs'!$B$4,IF(I2538="M",'Financial Inputs'!$B$5,'Financial Inputs'!$B$6))</f>
        <v>0.7</v>
      </c>
      <c r="Q2538" s="17">
        <f>O2538*P2538</f>
        <v>1575000</v>
      </c>
      <c r="R2538" s="16">
        <f>'Financial Inputs'!$B$7</f>
        <v>0.35</v>
      </c>
      <c r="S2538" s="17">
        <f>Q2538*(1-R2538)</f>
        <v>1023750</v>
      </c>
      <c r="T2538" s="18">
        <f>S2538/'Financial Inputs'!$B$3</f>
        <v>1.02375E-2</v>
      </c>
      <c r="U2538" s="9" t="s">
        <v>52</v>
      </c>
      <c r="V2538" s="3" t="s">
        <v>53</v>
      </c>
    </row>
    <row r="2539" spans="1:22">
      <c r="A2539" s="2" t="s">
        <v>7867</v>
      </c>
      <c r="B2539" s="2" t="s">
        <v>7868</v>
      </c>
      <c r="C2539" s="2" t="s">
        <v>95</v>
      </c>
      <c r="D2539" s="2" t="s">
        <v>56</v>
      </c>
      <c r="E2539" s="2" t="s">
        <v>193</v>
      </c>
      <c r="F2539" s="2" t="s">
        <v>90</v>
      </c>
      <c r="G2539" s="2" t="s">
        <v>56</v>
      </c>
      <c r="H2539" s="2" t="s">
        <v>498</v>
      </c>
      <c r="I2539" s="2" t="s">
        <v>499</v>
      </c>
      <c r="J2539" s="2" t="s">
        <v>7756</v>
      </c>
      <c r="K2539" s="2" t="s">
        <v>7869</v>
      </c>
      <c r="L2539" s="2" t="s">
        <v>246</v>
      </c>
      <c r="M2539" s="2" t="s">
        <v>7758</v>
      </c>
      <c r="N2539" s="16">
        <v>2.5000000000000001E-2</v>
      </c>
      <c r="O2539" s="17">
        <f>N2539*'Financial Inputs'!$B$3</f>
        <v>2500000</v>
      </c>
      <c r="P2539" s="18">
        <f>IF(I2539="L",'Financial Inputs'!$B$4,IF(I2539="M",'Financial Inputs'!$B$5,'Financial Inputs'!$B$6))</f>
        <v>0.7</v>
      </c>
      <c r="Q2539" s="17">
        <f>O2539*P2539</f>
        <v>1750000</v>
      </c>
      <c r="R2539" s="16">
        <f>'Financial Inputs'!$B$7</f>
        <v>0.35</v>
      </c>
      <c r="S2539" s="17">
        <f>Q2539*(1-R2539)</f>
        <v>1137500</v>
      </c>
      <c r="T2539" s="18">
        <f>S2539/'Financial Inputs'!$B$3</f>
        <v>1.1375E-2</v>
      </c>
      <c r="U2539" s="9" t="s">
        <v>52</v>
      </c>
      <c r="V2539" s="3" t="s">
        <v>53</v>
      </c>
    </row>
    <row r="2540" spans="1:22">
      <c r="A2540" s="2" t="s">
        <v>7870</v>
      </c>
      <c r="B2540" s="2" t="s">
        <v>7871</v>
      </c>
      <c r="C2540" s="2" t="s">
        <v>95</v>
      </c>
      <c r="D2540" s="2" t="s">
        <v>64</v>
      </c>
      <c r="E2540" s="2" t="s">
        <v>198</v>
      </c>
      <c r="F2540" s="2" t="s">
        <v>97</v>
      </c>
      <c r="G2540" s="2" t="s">
        <v>138</v>
      </c>
      <c r="H2540" s="2" t="s">
        <v>498</v>
      </c>
      <c r="I2540" s="2" t="s">
        <v>499</v>
      </c>
      <c r="J2540" s="2" t="s">
        <v>7756</v>
      </c>
      <c r="K2540" s="2" t="s">
        <v>7872</v>
      </c>
      <c r="L2540" s="2" t="s">
        <v>250</v>
      </c>
      <c r="M2540" s="2" t="s">
        <v>7758</v>
      </c>
      <c r="N2540" s="16">
        <v>2.75E-2</v>
      </c>
      <c r="O2540" s="17">
        <f>N2540*'Financial Inputs'!$B$3</f>
        <v>2750000</v>
      </c>
      <c r="P2540" s="18">
        <f>IF(I2540="L",'Financial Inputs'!$B$4,IF(I2540="M",'Financial Inputs'!$B$5,'Financial Inputs'!$B$6))</f>
        <v>0.7</v>
      </c>
      <c r="Q2540" s="17">
        <f>O2540*P2540</f>
        <v>1924999.9999999998</v>
      </c>
      <c r="R2540" s="16">
        <f>'Financial Inputs'!$B$7</f>
        <v>0.35</v>
      </c>
      <c r="S2540" s="17">
        <f>Q2540*(1-R2540)</f>
        <v>1251250</v>
      </c>
      <c r="T2540" s="18">
        <f>S2540/'Financial Inputs'!$B$3</f>
        <v>1.2512499999999999E-2</v>
      </c>
      <c r="U2540" s="9" t="s">
        <v>52</v>
      </c>
      <c r="V2540" s="3" t="s">
        <v>53</v>
      </c>
    </row>
    <row r="2541" spans="1:22">
      <c r="A2541" s="2" t="s">
        <v>7873</v>
      </c>
      <c r="B2541" s="2" t="s">
        <v>7874</v>
      </c>
      <c r="C2541" s="2" t="s">
        <v>95</v>
      </c>
      <c r="D2541" s="2" t="s">
        <v>72</v>
      </c>
      <c r="E2541" s="2" t="s">
        <v>148</v>
      </c>
      <c r="F2541" s="2" t="s">
        <v>104</v>
      </c>
      <c r="G2541" s="2" t="s">
        <v>143</v>
      </c>
      <c r="H2541" s="2" t="s">
        <v>498</v>
      </c>
      <c r="I2541" s="2" t="s">
        <v>499</v>
      </c>
      <c r="J2541" s="2" t="s">
        <v>7756</v>
      </c>
      <c r="K2541" s="2" t="s">
        <v>7875</v>
      </c>
      <c r="L2541" s="2" t="s">
        <v>254</v>
      </c>
      <c r="M2541" s="2" t="s">
        <v>7758</v>
      </c>
      <c r="N2541" s="16">
        <v>3.0000000000000009E-2</v>
      </c>
      <c r="O2541" s="17">
        <f>N2541*'Financial Inputs'!$B$3</f>
        <v>3000000.0000000009</v>
      </c>
      <c r="P2541" s="18">
        <f>IF(I2541="L",'Financial Inputs'!$B$4,IF(I2541="M",'Financial Inputs'!$B$5,'Financial Inputs'!$B$6))</f>
        <v>0.7</v>
      </c>
      <c r="Q2541" s="17">
        <f>O2541*P2541</f>
        <v>2100000.0000000005</v>
      </c>
      <c r="R2541" s="16">
        <f>'Financial Inputs'!$B$7</f>
        <v>0.35</v>
      </c>
      <c r="S2541" s="17">
        <f>Q2541*(1-R2541)</f>
        <v>1365000.0000000005</v>
      </c>
      <c r="T2541" s="18">
        <f>S2541/'Financial Inputs'!$B$3</f>
        <v>1.3650000000000004E-2</v>
      </c>
      <c r="U2541" s="9" t="s">
        <v>52</v>
      </c>
      <c r="V2541" s="3" t="s">
        <v>53</v>
      </c>
    </row>
    <row r="2542" spans="1:22">
      <c r="A2542" s="2" t="s">
        <v>7876</v>
      </c>
      <c r="B2542" s="2" t="s">
        <v>7877</v>
      </c>
      <c r="C2542" s="2" t="s">
        <v>95</v>
      </c>
      <c r="D2542" s="2" t="s">
        <v>133</v>
      </c>
      <c r="E2542" s="2" t="s">
        <v>109</v>
      </c>
      <c r="F2542" s="2" t="s">
        <v>82</v>
      </c>
      <c r="G2542" s="2" t="s">
        <v>56</v>
      </c>
      <c r="H2542" s="2" t="s">
        <v>498</v>
      </c>
      <c r="I2542" s="2" t="s">
        <v>499</v>
      </c>
      <c r="J2542" s="2" t="s">
        <v>7756</v>
      </c>
      <c r="K2542" s="2" t="s">
        <v>7878</v>
      </c>
      <c r="L2542" s="2" t="s">
        <v>258</v>
      </c>
      <c r="M2542" s="2" t="s">
        <v>7758</v>
      </c>
      <c r="N2542" s="16">
        <v>0.02</v>
      </c>
      <c r="O2542" s="17">
        <f>N2542*'Financial Inputs'!$B$3</f>
        <v>2000000</v>
      </c>
      <c r="P2542" s="18">
        <f>IF(I2542="L",'Financial Inputs'!$B$4,IF(I2542="M",'Financial Inputs'!$B$5,'Financial Inputs'!$B$6))</f>
        <v>0.7</v>
      </c>
      <c r="Q2542" s="17">
        <f>O2542*P2542</f>
        <v>1400000</v>
      </c>
      <c r="R2542" s="16">
        <f>'Financial Inputs'!$B$7</f>
        <v>0.35</v>
      </c>
      <c r="S2542" s="17">
        <f>Q2542*(1-R2542)</f>
        <v>910000</v>
      </c>
      <c r="T2542" s="18">
        <f>S2542/'Financial Inputs'!$B$3</f>
        <v>9.1000000000000004E-3</v>
      </c>
      <c r="U2542" s="9" t="s">
        <v>52</v>
      </c>
      <c r="V2542" s="3" t="s">
        <v>53</v>
      </c>
    </row>
    <row r="2543" spans="1:22">
      <c r="A2543" s="2" t="s">
        <v>7879</v>
      </c>
      <c r="B2543" s="2" t="s">
        <v>7880</v>
      </c>
      <c r="C2543" s="2" t="s">
        <v>95</v>
      </c>
      <c r="D2543" s="2" t="s">
        <v>88</v>
      </c>
      <c r="E2543" s="2" t="s">
        <v>116</v>
      </c>
      <c r="F2543" s="2" t="s">
        <v>44</v>
      </c>
      <c r="G2543" s="2" t="s">
        <v>138</v>
      </c>
      <c r="H2543" s="2" t="s">
        <v>498</v>
      </c>
      <c r="I2543" s="2" t="s">
        <v>499</v>
      </c>
      <c r="J2543" s="2" t="s">
        <v>7756</v>
      </c>
      <c r="K2543" s="2" t="s">
        <v>7881</v>
      </c>
      <c r="L2543" s="2" t="s">
        <v>262</v>
      </c>
      <c r="M2543" s="2" t="s">
        <v>7758</v>
      </c>
      <c r="N2543" s="16">
        <v>2.2499999999999999E-2</v>
      </c>
      <c r="O2543" s="17">
        <f>N2543*'Financial Inputs'!$B$3</f>
        <v>2250000</v>
      </c>
      <c r="P2543" s="18">
        <f>IF(I2543="L",'Financial Inputs'!$B$4,IF(I2543="M",'Financial Inputs'!$B$5,'Financial Inputs'!$B$6))</f>
        <v>0.7</v>
      </c>
      <c r="Q2543" s="17">
        <f>O2543*P2543</f>
        <v>1575000</v>
      </c>
      <c r="R2543" s="16">
        <f>'Financial Inputs'!$B$7</f>
        <v>0.35</v>
      </c>
      <c r="S2543" s="17">
        <f>Q2543*(1-R2543)</f>
        <v>1023750</v>
      </c>
      <c r="T2543" s="18">
        <f>S2543/'Financial Inputs'!$B$3</f>
        <v>1.02375E-2</v>
      </c>
      <c r="U2543" s="9" t="s">
        <v>52</v>
      </c>
      <c r="V2543" s="3" t="s">
        <v>53</v>
      </c>
    </row>
    <row r="2544" spans="1:22">
      <c r="A2544" s="2" t="s">
        <v>7882</v>
      </c>
      <c r="B2544" s="2" t="s">
        <v>7883</v>
      </c>
      <c r="C2544" s="2" t="s">
        <v>95</v>
      </c>
      <c r="D2544" s="2" t="s">
        <v>95</v>
      </c>
      <c r="E2544" s="2" t="s">
        <v>215</v>
      </c>
      <c r="F2544" s="2" t="s">
        <v>58</v>
      </c>
      <c r="G2544" s="2" t="s">
        <v>143</v>
      </c>
      <c r="H2544" s="2" t="s">
        <v>498</v>
      </c>
      <c r="I2544" s="2" t="s">
        <v>499</v>
      </c>
      <c r="J2544" s="2" t="s">
        <v>7756</v>
      </c>
      <c r="K2544" s="2" t="s">
        <v>7884</v>
      </c>
      <c r="L2544" s="2" t="s">
        <v>266</v>
      </c>
      <c r="M2544" s="2" t="s">
        <v>7758</v>
      </c>
      <c r="N2544" s="16">
        <v>2.5000000000000001E-2</v>
      </c>
      <c r="O2544" s="17">
        <f>N2544*'Financial Inputs'!$B$3</f>
        <v>2500000</v>
      </c>
      <c r="P2544" s="18">
        <f>IF(I2544="L",'Financial Inputs'!$B$4,IF(I2544="M",'Financial Inputs'!$B$5,'Financial Inputs'!$B$6))</f>
        <v>0.7</v>
      </c>
      <c r="Q2544" s="17">
        <f>O2544*P2544</f>
        <v>1750000</v>
      </c>
      <c r="R2544" s="16">
        <f>'Financial Inputs'!$B$7</f>
        <v>0.35</v>
      </c>
      <c r="S2544" s="17">
        <f>Q2544*(1-R2544)</f>
        <v>1137500</v>
      </c>
      <c r="T2544" s="18">
        <f>S2544/'Financial Inputs'!$B$3</f>
        <v>1.1375E-2</v>
      </c>
      <c r="U2544" s="9" t="s">
        <v>52</v>
      </c>
      <c r="V2544" s="3" t="s">
        <v>53</v>
      </c>
    </row>
    <row r="2545" spans="1:22">
      <c r="A2545" s="2" t="s">
        <v>7885</v>
      </c>
      <c r="B2545" s="2" t="s">
        <v>7886</v>
      </c>
      <c r="C2545" s="2" t="s">
        <v>95</v>
      </c>
      <c r="D2545" s="2" t="s">
        <v>102</v>
      </c>
      <c r="E2545" s="2" t="s">
        <v>220</v>
      </c>
      <c r="F2545" s="2" t="s">
        <v>66</v>
      </c>
      <c r="G2545" s="2" t="s">
        <v>162</v>
      </c>
      <c r="H2545" s="2" t="s">
        <v>498</v>
      </c>
      <c r="I2545" s="2" t="s">
        <v>499</v>
      </c>
      <c r="J2545" s="2" t="s">
        <v>7756</v>
      </c>
      <c r="K2545" s="2" t="s">
        <v>7887</v>
      </c>
      <c r="L2545" s="2" t="s">
        <v>270</v>
      </c>
      <c r="M2545" s="2" t="s">
        <v>7758</v>
      </c>
      <c r="N2545" s="16">
        <v>2.75E-2</v>
      </c>
      <c r="O2545" s="17">
        <f>N2545*'Financial Inputs'!$B$3</f>
        <v>2750000</v>
      </c>
      <c r="P2545" s="18">
        <f>IF(I2545="L",'Financial Inputs'!$B$4,IF(I2545="M",'Financial Inputs'!$B$5,'Financial Inputs'!$B$6))</f>
        <v>0.7</v>
      </c>
      <c r="Q2545" s="17">
        <f>O2545*P2545</f>
        <v>1924999.9999999998</v>
      </c>
      <c r="R2545" s="16">
        <f>'Financial Inputs'!$B$7</f>
        <v>0.35</v>
      </c>
      <c r="S2545" s="17">
        <f>Q2545*(1-R2545)</f>
        <v>1251250</v>
      </c>
      <c r="T2545" s="18">
        <f>S2545/'Financial Inputs'!$B$3</f>
        <v>1.2512499999999999E-2</v>
      </c>
      <c r="U2545" s="9" t="s">
        <v>52</v>
      </c>
      <c r="V2545" s="3" t="s">
        <v>53</v>
      </c>
    </row>
    <row r="2546" spans="1:22">
      <c r="A2546" s="2" t="s">
        <v>7888</v>
      </c>
      <c r="B2546" s="2" t="s">
        <v>7889</v>
      </c>
      <c r="C2546" s="2" t="s">
        <v>95</v>
      </c>
      <c r="D2546" s="2" t="s">
        <v>42</v>
      </c>
      <c r="E2546" s="2" t="s">
        <v>171</v>
      </c>
      <c r="F2546" s="2" t="s">
        <v>74</v>
      </c>
      <c r="G2546" s="2" t="s">
        <v>45</v>
      </c>
      <c r="H2546" s="2" t="s">
        <v>498</v>
      </c>
      <c r="I2546" s="2" t="s">
        <v>499</v>
      </c>
      <c r="J2546" s="2" t="s">
        <v>7756</v>
      </c>
      <c r="K2546" s="2" t="s">
        <v>7890</v>
      </c>
      <c r="L2546" s="2" t="s">
        <v>274</v>
      </c>
      <c r="M2546" s="2" t="s">
        <v>7758</v>
      </c>
      <c r="N2546" s="16">
        <v>3.0000000000000009E-2</v>
      </c>
      <c r="O2546" s="17">
        <f>N2546*'Financial Inputs'!$B$3</f>
        <v>3000000.0000000009</v>
      </c>
      <c r="P2546" s="18">
        <f>IF(I2546="L",'Financial Inputs'!$B$4,IF(I2546="M",'Financial Inputs'!$B$5,'Financial Inputs'!$B$6))</f>
        <v>0.7</v>
      </c>
      <c r="Q2546" s="17">
        <f>O2546*P2546</f>
        <v>2100000.0000000005</v>
      </c>
      <c r="R2546" s="16">
        <f>'Financial Inputs'!$B$7</f>
        <v>0.35</v>
      </c>
      <c r="S2546" s="17">
        <f>Q2546*(1-R2546)</f>
        <v>1365000.0000000005</v>
      </c>
      <c r="T2546" s="18">
        <f>S2546/'Financial Inputs'!$B$3</f>
        <v>1.3650000000000004E-2</v>
      </c>
      <c r="U2546" s="9" t="s">
        <v>52</v>
      </c>
      <c r="V2546" s="3" t="s">
        <v>53</v>
      </c>
    </row>
    <row r="2547" spans="1:22">
      <c r="A2547" s="2" t="s">
        <v>7891</v>
      </c>
      <c r="B2547" s="2" t="s">
        <v>7892</v>
      </c>
      <c r="C2547" s="2" t="s">
        <v>95</v>
      </c>
      <c r="D2547" s="2" t="s">
        <v>72</v>
      </c>
      <c r="E2547" s="2" t="s">
        <v>57</v>
      </c>
      <c r="F2547" s="2" t="s">
        <v>117</v>
      </c>
      <c r="G2547" s="2" t="s">
        <v>143</v>
      </c>
      <c r="H2547" s="2" t="s">
        <v>498</v>
      </c>
      <c r="I2547" s="2" t="s">
        <v>499</v>
      </c>
      <c r="J2547" s="2" t="s">
        <v>7756</v>
      </c>
      <c r="K2547" s="2" t="s">
        <v>7893</v>
      </c>
      <c r="L2547" s="2" t="s">
        <v>278</v>
      </c>
      <c r="M2547" s="2" t="s">
        <v>7758</v>
      </c>
      <c r="N2547" s="16">
        <v>0.02</v>
      </c>
      <c r="O2547" s="17">
        <f>N2547*'Financial Inputs'!$B$3</f>
        <v>2000000</v>
      </c>
      <c r="P2547" s="18">
        <f>IF(I2547="L",'Financial Inputs'!$B$4,IF(I2547="M",'Financial Inputs'!$B$5,'Financial Inputs'!$B$6))</f>
        <v>0.7</v>
      </c>
      <c r="Q2547" s="17">
        <f>O2547*P2547</f>
        <v>1400000</v>
      </c>
      <c r="R2547" s="16">
        <f>'Financial Inputs'!$B$7</f>
        <v>0.35</v>
      </c>
      <c r="S2547" s="17">
        <f>Q2547*(1-R2547)</f>
        <v>910000</v>
      </c>
      <c r="T2547" s="18">
        <f>S2547/'Financial Inputs'!$B$3</f>
        <v>9.1000000000000004E-3</v>
      </c>
      <c r="U2547" s="9" t="s">
        <v>52</v>
      </c>
      <c r="V2547" s="3" t="s">
        <v>53</v>
      </c>
    </row>
    <row r="2548" spans="1:22">
      <c r="A2548" s="2" t="s">
        <v>7894</v>
      </c>
      <c r="B2548" s="2" t="s">
        <v>7895</v>
      </c>
      <c r="C2548" s="2" t="s">
        <v>95</v>
      </c>
      <c r="D2548" s="2" t="s">
        <v>80</v>
      </c>
      <c r="E2548" s="2" t="s">
        <v>65</v>
      </c>
      <c r="F2548" s="2" t="s">
        <v>90</v>
      </c>
      <c r="G2548" s="2" t="s">
        <v>162</v>
      </c>
      <c r="H2548" s="2" t="s">
        <v>498</v>
      </c>
      <c r="I2548" s="2" t="s">
        <v>499</v>
      </c>
      <c r="J2548" s="2" t="s">
        <v>7756</v>
      </c>
      <c r="K2548" s="2" t="s">
        <v>7896</v>
      </c>
      <c r="L2548" s="2" t="s">
        <v>282</v>
      </c>
      <c r="M2548" s="2" t="s">
        <v>7758</v>
      </c>
      <c r="N2548" s="16">
        <v>2.2499999999999999E-2</v>
      </c>
      <c r="O2548" s="17">
        <f>N2548*'Financial Inputs'!$B$3</f>
        <v>2250000</v>
      </c>
      <c r="P2548" s="18">
        <f>IF(I2548="L",'Financial Inputs'!$B$4,IF(I2548="M",'Financial Inputs'!$B$5,'Financial Inputs'!$B$6))</f>
        <v>0.7</v>
      </c>
      <c r="Q2548" s="17">
        <f>O2548*P2548</f>
        <v>1575000</v>
      </c>
      <c r="R2548" s="16">
        <f>'Financial Inputs'!$B$7</f>
        <v>0.35</v>
      </c>
      <c r="S2548" s="17">
        <f>Q2548*(1-R2548)</f>
        <v>1023750</v>
      </c>
      <c r="T2548" s="18">
        <f>S2548/'Financial Inputs'!$B$3</f>
        <v>1.02375E-2</v>
      </c>
      <c r="U2548" s="9" t="s">
        <v>52</v>
      </c>
      <c r="V2548" s="3" t="s">
        <v>53</v>
      </c>
    </row>
    <row r="2549" spans="1:22">
      <c r="A2549" s="2" t="s">
        <v>7897</v>
      </c>
      <c r="B2549" s="2" t="s">
        <v>7898</v>
      </c>
      <c r="C2549" s="2" t="s">
        <v>95</v>
      </c>
      <c r="D2549" s="2" t="s">
        <v>127</v>
      </c>
      <c r="E2549" s="2" t="s">
        <v>73</v>
      </c>
      <c r="F2549" s="2" t="s">
        <v>97</v>
      </c>
      <c r="G2549" s="2" t="s">
        <v>45</v>
      </c>
      <c r="H2549" s="2" t="s">
        <v>498</v>
      </c>
      <c r="I2549" s="2" t="s">
        <v>499</v>
      </c>
      <c r="J2549" s="2" t="s">
        <v>7756</v>
      </c>
      <c r="K2549" s="2" t="s">
        <v>7899</v>
      </c>
      <c r="L2549" s="2" t="s">
        <v>286</v>
      </c>
      <c r="M2549" s="2" t="s">
        <v>7758</v>
      </c>
      <c r="N2549" s="16">
        <v>2.5000000000000001E-2</v>
      </c>
      <c r="O2549" s="17">
        <f>N2549*'Financial Inputs'!$B$3</f>
        <v>2500000</v>
      </c>
      <c r="P2549" s="18">
        <f>IF(I2549="L",'Financial Inputs'!$B$4,IF(I2549="M",'Financial Inputs'!$B$5,'Financial Inputs'!$B$6))</f>
        <v>0.7</v>
      </c>
      <c r="Q2549" s="17">
        <f>O2549*P2549</f>
        <v>1750000</v>
      </c>
      <c r="R2549" s="16">
        <f>'Financial Inputs'!$B$7</f>
        <v>0.35</v>
      </c>
      <c r="S2549" s="17">
        <f>Q2549*(1-R2549)</f>
        <v>1137500</v>
      </c>
      <c r="T2549" s="18">
        <f>S2549/'Financial Inputs'!$B$3</f>
        <v>1.1375E-2</v>
      </c>
      <c r="U2549" s="9" t="s">
        <v>52</v>
      </c>
      <c r="V2549" s="3" t="s">
        <v>53</v>
      </c>
    </row>
    <row r="2550" spans="1:22">
      <c r="A2550" s="2" t="s">
        <v>7900</v>
      </c>
      <c r="B2550" s="2" t="s">
        <v>7901</v>
      </c>
      <c r="C2550" s="2" t="s">
        <v>95</v>
      </c>
      <c r="D2550" s="2" t="s">
        <v>133</v>
      </c>
      <c r="E2550" s="2" t="s">
        <v>81</v>
      </c>
      <c r="F2550" s="2" t="s">
        <v>104</v>
      </c>
      <c r="G2550" s="2" t="s">
        <v>59</v>
      </c>
      <c r="H2550" s="2" t="s">
        <v>498</v>
      </c>
      <c r="I2550" s="2" t="s">
        <v>499</v>
      </c>
      <c r="J2550" s="2" t="s">
        <v>7756</v>
      </c>
      <c r="K2550" s="2" t="s">
        <v>7902</v>
      </c>
      <c r="L2550" s="2" t="s">
        <v>290</v>
      </c>
      <c r="M2550" s="2" t="s">
        <v>7758</v>
      </c>
      <c r="N2550" s="16">
        <v>2.75E-2</v>
      </c>
      <c r="O2550" s="17">
        <f>N2550*'Financial Inputs'!$B$3</f>
        <v>2750000</v>
      </c>
      <c r="P2550" s="18">
        <f>IF(I2550="L",'Financial Inputs'!$B$4,IF(I2550="M",'Financial Inputs'!$B$5,'Financial Inputs'!$B$6))</f>
        <v>0.7</v>
      </c>
      <c r="Q2550" s="17">
        <f>O2550*P2550</f>
        <v>1924999.9999999998</v>
      </c>
      <c r="R2550" s="16">
        <f>'Financial Inputs'!$B$7</f>
        <v>0.35</v>
      </c>
      <c r="S2550" s="17">
        <f>Q2550*(1-R2550)</f>
        <v>1251250</v>
      </c>
      <c r="T2550" s="18">
        <f>S2550/'Financial Inputs'!$B$3</f>
        <v>1.2512499999999999E-2</v>
      </c>
      <c r="U2550" s="9" t="s">
        <v>52</v>
      </c>
      <c r="V2550" s="3" t="s">
        <v>53</v>
      </c>
    </row>
    <row r="2551" spans="1:22">
      <c r="A2551" s="2" t="s">
        <v>7903</v>
      </c>
      <c r="B2551" s="2" t="s">
        <v>7904</v>
      </c>
      <c r="C2551" s="2" t="s">
        <v>95</v>
      </c>
      <c r="D2551" s="2" t="s">
        <v>88</v>
      </c>
      <c r="E2551" s="2" t="s">
        <v>193</v>
      </c>
      <c r="F2551" s="2" t="s">
        <v>110</v>
      </c>
      <c r="G2551" s="2" t="s">
        <v>67</v>
      </c>
      <c r="H2551" s="2" t="s">
        <v>498</v>
      </c>
      <c r="I2551" s="2" t="s">
        <v>499</v>
      </c>
      <c r="J2551" s="2" t="s">
        <v>7756</v>
      </c>
      <c r="K2551" s="2" t="s">
        <v>7905</v>
      </c>
      <c r="L2551" s="2" t="s">
        <v>294</v>
      </c>
      <c r="M2551" s="2" t="s">
        <v>7758</v>
      </c>
      <c r="N2551" s="16">
        <v>3.0000000000000009E-2</v>
      </c>
      <c r="O2551" s="17">
        <f>N2551*'Financial Inputs'!$B$3</f>
        <v>3000000.0000000009</v>
      </c>
      <c r="P2551" s="18">
        <f>IF(I2551="L",'Financial Inputs'!$B$4,IF(I2551="M",'Financial Inputs'!$B$5,'Financial Inputs'!$B$6))</f>
        <v>0.7</v>
      </c>
      <c r="Q2551" s="17">
        <f>O2551*P2551</f>
        <v>2100000.0000000005</v>
      </c>
      <c r="R2551" s="16">
        <f>'Financial Inputs'!$B$7</f>
        <v>0.35</v>
      </c>
      <c r="S2551" s="17">
        <f>Q2551*(1-R2551)</f>
        <v>1365000.0000000005</v>
      </c>
      <c r="T2551" s="18">
        <f>S2551/'Financial Inputs'!$B$3</f>
        <v>1.3650000000000004E-2</v>
      </c>
      <c r="U2551" s="9" t="s">
        <v>52</v>
      </c>
      <c r="V2551" s="3" t="s">
        <v>53</v>
      </c>
    </row>
    <row r="2552" spans="1:22">
      <c r="A2552" s="2" t="s">
        <v>7906</v>
      </c>
      <c r="B2552" s="2" t="s">
        <v>7907</v>
      </c>
      <c r="C2552" s="2" t="s">
        <v>95</v>
      </c>
      <c r="D2552" s="2" t="s">
        <v>42</v>
      </c>
      <c r="E2552" s="2" t="s">
        <v>96</v>
      </c>
      <c r="F2552" s="2" t="s">
        <v>44</v>
      </c>
      <c r="G2552" s="2" t="s">
        <v>45</v>
      </c>
      <c r="H2552" s="2" t="s">
        <v>498</v>
      </c>
      <c r="I2552" s="2" t="s">
        <v>499</v>
      </c>
      <c r="J2552" s="2" t="s">
        <v>7756</v>
      </c>
      <c r="K2552" s="2" t="s">
        <v>7908</v>
      </c>
      <c r="L2552" s="2" t="s">
        <v>298</v>
      </c>
      <c r="M2552" s="2" t="s">
        <v>7758</v>
      </c>
      <c r="N2552" s="16">
        <v>0.02</v>
      </c>
      <c r="O2552" s="17">
        <f>N2552*'Financial Inputs'!$B$3</f>
        <v>2000000</v>
      </c>
      <c r="P2552" s="18">
        <f>IF(I2552="L",'Financial Inputs'!$B$4,IF(I2552="M",'Financial Inputs'!$B$5,'Financial Inputs'!$B$6))</f>
        <v>0.7</v>
      </c>
      <c r="Q2552" s="17">
        <f>O2552*P2552</f>
        <v>1400000</v>
      </c>
      <c r="R2552" s="16">
        <f>'Financial Inputs'!$B$7</f>
        <v>0.35</v>
      </c>
      <c r="S2552" s="17">
        <f>Q2552*(1-R2552)</f>
        <v>910000</v>
      </c>
      <c r="T2552" s="18">
        <f>S2552/'Financial Inputs'!$B$3</f>
        <v>9.1000000000000004E-3</v>
      </c>
      <c r="U2552" s="9" t="s">
        <v>52</v>
      </c>
      <c r="V2552" s="3" t="s">
        <v>53</v>
      </c>
    </row>
    <row r="2553" spans="1:22">
      <c r="A2553" s="2" t="s">
        <v>7909</v>
      </c>
      <c r="B2553" s="2" t="s">
        <v>7910</v>
      </c>
      <c r="C2553" s="2" t="s">
        <v>95</v>
      </c>
      <c r="D2553" s="2" t="s">
        <v>56</v>
      </c>
      <c r="E2553" s="2" t="s">
        <v>103</v>
      </c>
      <c r="F2553" s="2" t="s">
        <v>58</v>
      </c>
      <c r="G2553" s="2" t="s">
        <v>59</v>
      </c>
      <c r="H2553" s="2" t="s">
        <v>498</v>
      </c>
      <c r="I2553" s="2" t="s">
        <v>499</v>
      </c>
      <c r="J2553" s="2" t="s">
        <v>7756</v>
      </c>
      <c r="K2553" s="2" t="s">
        <v>7911</v>
      </c>
      <c r="L2553" s="2" t="s">
        <v>302</v>
      </c>
      <c r="M2553" s="2" t="s">
        <v>7758</v>
      </c>
      <c r="N2553" s="16">
        <v>2.2499999999999999E-2</v>
      </c>
      <c r="O2553" s="17">
        <f>N2553*'Financial Inputs'!$B$3</f>
        <v>2250000</v>
      </c>
      <c r="P2553" s="18">
        <f>IF(I2553="L",'Financial Inputs'!$B$4,IF(I2553="M",'Financial Inputs'!$B$5,'Financial Inputs'!$B$6))</f>
        <v>0.7</v>
      </c>
      <c r="Q2553" s="17">
        <f>O2553*P2553</f>
        <v>1575000</v>
      </c>
      <c r="R2553" s="16">
        <f>'Financial Inputs'!$B$7</f>
        <v>0.35</v>
      </c>
      <c r="S2553" s="17">
        <f>Q2553*(1-R2553)</f>
        <v>1023750</v>
      </c>
      <c r="T2553" s="18">
        <f>S2553/'Financial Inputs'!$B$3</f>
        <v>1.02375E-2</v>
      </c>
      <c r="U2553" s="9" t="s">
        <v>52</v>
      </c>
      <c r="V2553" s="3" t="s">
        <v>53</v>
      </c>
    </row>
    <row r="2554" spans="1:22">
      <c r="A2554" s="2" t="s">
        <v>7912</v>
      </c>
      <c r="B2554" s="2" t="s">
        <v>7913</v>
      </c>
      <c r="C2554" s="2" t="s">
        <v>95</v>
      </c>
      <c r="D2554" s="2" t="s">
        <v>64</v>
      </c>
      <c r="E2554" s="2" t="s">
        <v>109</v>
      </c>
      <c r="F2554" s="2" t="s">
        <v>66</v>
      </c>
      <c r="G2554" s="2" t="s">
        <v>67</v>
      </c>
      <c r="H2554" s="2" t="s">
        <v>498</v>
      </c>
      <c r="I2554" s="2" t="s">
        <v>499</v>
      </c>
      <c r="J2554" s="2" t="s">
        <v>7756</v>
      </c>
      <c r="K2554" s="2" t="s">
        <v>7914</v>
      </c>
      <c r="L2554" s="2" t="s">
        <v>306</v>
      </c>
      <c r="M2554" s="2" t="s">
        <v>7758</v>
      </c>
      <c r="N2554" s="16">
        <v>2.5000000000000001E-2</v>
      </c>
      <c r="O2554" s="17">
        <f>N2554*'Financial Inputs'!$B$3</f>
        <v>2500000</v>
      </c>
      <c r="P2554" s="18">
        <f>IF(I2554="L",'Financial Inputs'!$B$4,IF(I2554="M",'Financial Inputs'!$B$5,'Financial Inputs'!$B$6))</f>
        <v>0.7</v>
      </c>
      <c r="Q2554" s="17">
        <f>O2554*P2554</f>
        <v>1750000</v>
      </c>
      <c r="R2554" s="16">
        <f>'Financial Inputs'!$B$7</f>
        <v>0.35</v>
      </c>
      <c r="S2554" s="17">
        <f>Q2554*(1-R2554)</f>
        <v>1137500</v>
      </c>
      <c r="T2554" s="18">
        <f>S2554/'Financial Inputs'!$B$3</f>
        <v>1.1375E-2</v>
      </c>
      <c r="U2554" s="9" t="s">
        <v>52</v>
      </c>
      <c r="V2554" s="3" t="s">
        <v>53</v>
      </c>
    </row>
    <row r="2555" spans="1:22">
      <c r="A2555" s="2" t="s">
        <v>7915</v>
      </c>
      <c r="B2555" s="2" t="s">
        <v>7916</v>
      </c>
      <c r="C2555" s="2" t="s">
        <v>95</v>
      </c>
      <c r="D2555" s="2" t="s">
        <v>72</v>
      </c>
      <c r="E2555" s="2" t="s">
        <v>116</v>
      </c>
      <c r="F2555" s="2" t="s">
        <v>74</v>
      </c>
      <c r="G2555" s="2" t="s">
        <v>75</v>
      </c>
      <c r="H2555" s="2" t="s">
        <v>498</v>
      </c>
      <c r="I2555" s="2" t="s">
        <v>499</v>
      </c>
      <c r="J2555" s="2" t="s">
        <v>7756</v>
      </c>
      <c r="K2555" s="2" t="s">
        <v>7917</v>
      </c>
      <c r="L2555" s="2" t="s">
        <v>310</v>
      </c>
      <c r="M2555" s="2" t="s">
        <v>7758</v>
      </c>
      <c r="N2555" s="16">
        <v>2.75E-2</v>
      </c>
      <c r="O2555" s="17">
        <f>N2555*'Financial Inputs'!$B$3</f>
        <v>2750000</v>
      </c>
      <c r="P2555" s="18">
        <f>IF(I2555="L",'Financial Inputs'!$B$4,IF(I2555="M",'Financial Inputs'!$B$5,'Financial Inputs'!$B$6))</f>
        <v>0.7</v>
      </c>
      <c r="Q2555" s="17">
        <f>O2555*P2555</f>
        <v>1924999.9999999998</v>
      </c>
      <c r="R2555" s="16">
        <f>'Financial Inputs'!$B$7</f>
        <v>0.35</v>
      </c>
      <c r="S2555" s="17">
        <f>Q2555*(1-R2555)</f>
        <v>1251250</v>
      </c>
      <c r="T2555" s="18">
        <f>S2555/'Financial Inputs'!$B$3</f>
        <v>1.2512499999999999E-2</v>
      </c>
      <c r="U2555" s="9" t="s">
        <v>52</v>
      </c>
      <c r="V2555" s="3" t="s">
        <v>53</v>
      </c>
    </row>
    <row r="2556" spans="1:22">
      <c r="A2556" s="2" t="s">
        <v>7918</v>
      </c>
      <c r="B2556" s="2" t="s">
        <v>7919</v>
      </c>
      <c r="C2556" s="2" t="s">
        <v>95</v>
      </c>
      <c r="D2556" s="2" t="s">
        <v>80</v>
      </c>
      <c r="E2556" s="2" t="s">
        <v>215</v>
      </c>
      <c r="F2556" s="2" t="s">
        <v>82</v>
      </c>
      <c r="G2556" s="2" t="s">
        <v>83</v>
      </c>
      <c r="H2556" s="2" t="s">
        <v>498</v>
      </c>
      <c r="I2556" s="2" t="s">
        <v>499</v>
      </c>
      <c r="J2556" s="2" t="s">
        <v>7756</v>
      </c>
      <c r="K2556" s="2" t="s">
        <v>7920</v>
      </c>
      <c r="L2556" s="2" t="s">
        <v>314</v>
      </c>
      <c r="M2556" s="2" t="s">
        <v>7758</v>
      </c>
      <c r="N2556" s="16">
        <v>3.0000000000000009E-2</v>
      </c>
      <c r="O2556" s="17">
        <f>N2556*'Financial Inputs'!$B$3</f>
        <v>3000000.0000000009</v>
      </c>
      <c r="P2556" s="18">
        <f>IF(I2556="L",'Financial Inputs'!$B$4,IF(I2556="M",'Financial Inputs'!$B$5,'Financial Inputs'!$B$6))</f>
        <v>0.7</v>
      </c>
      <c r="Q2556" s="17">
        <f>O2556*P2556</f>
        <v>2100000.0000000005</v>
      </c>
      <c r="R2556" s="16">
        <f>'Financial Inputs'!$B$7</f>
        <v>0.35</v>
      </c>
      <c r="S2556" s="17">
        <f>Q2556*(1-R2556)</f>
        <v>1365000.0000000005</v>
      </c>
      <c r="T2556" s="18">
        <f>S2556/'Financial Inputs'!$B$3</f>
        <v>1.3650000000000004E-2</v>
      </c>
      <c r="U2556" s="9" t="s">
        <v>52</v>
      </c>
      <c r="V2556" s="3" t="s">
        <v>53</v>
      </c>
    </row>
    <row r="2557" spans="1:22">
      <c r="A2557" s="2" t="s">
        <v>7921</v>
      </c>
      <c r="B2557" s="2" t="s">
        <v>7922</v>
      </c>
      <c r="C2557" s="2" t="s">
        <v>95</v>
      </c>
      <c r="D2557" s="2" t="s">
        <v>88</v>
      </c>
      <c r="E2557" s="2" t="s">
        <v>128</v>
      </c>
      <c r="F2557" s="2" t="s">
        <v>90</v>
      </c>
      <c r="G2557" s="2" t="s">
        <v>67</v>
      </c>
      <c r="H2557" s="2" t="s">
        <v>498</v>
      </c>
      <c r="I2557" s="2" t="s">
        <v>499</v>
      </c>
      <c r="J2557" s="2" t="s">
        <v>7756</v>
      </c>
      <c r="K2557" s="2" t="s">
        <v>7923</v>
      </c>
      <c r="L2557" s="2" t="s">
        <v>318</v>
      </c>
      <c r="M2557" s="2" t="s">
        <v>7758</v>
      </c>
      <c r="N2557" s="16">
        <v>0.02</v>
      </c>
      <c r="O2557" s="17">
        <f>N2557*'Financial Inputs'!$B$3</f>
        <v>2000000</v>
      </c>
      <c r="P2557" s="18">
        <f>IF(I2557="L",'Financial Inputs'!$B$4,IF(I2557="M",'Financial Inputs'!$B$5,'Financial Inputs'!$B$6))</f>
        <v>0.7</v>
      </c>
      <c r="Q2557" s="17">
        <f>O2557*P2557</f>
        <v>1400000</v>
      </c>
      <c r="R2557" s="16">
        <f>'Financial Inputs'!$B$7</f>
        <v>0.35</v>
      </c>
      <c r="S2557" s="17">
        <f>Q2557*(1-R2557)</f>
        <v>910000</v>
      </c>
      <c r="T2557" s="18">
        <f>S2557/'Financial Inputs'!$B$3</f>
        <v>9.1000000000000004E-3</v>
      </c>
      <c r="U2557" s="9" t="s">
        <v>52</v>
      </c>
      <c r="V2557" s="3" t="s">
        <v>53</v>
      </c>
    </row>
    <row r="2558" spans="1:22">
      <c r="A2558" s="2" t="s">
        <v>7924</v>
      </c>
      <c r="B2558" s="2" t="s">
        <v>7925</v>
      </c>
      <c r="C2558" s="2" t="s">
        <v>95</v>
      </c>
      <c r="D2558" s="2" t="s">
        <v>95</v>
      </c>
      <c r="E2558" s="2" t="s">
        <v>43</v>
      </c>
      <c r="F2558" s="2" t="s">
        <v>97</v>
      </c>
      <c r="G2558" s="2" t="s">
        <v>75</v>
      </c>
      <c r="H2558" s="2" t="s">
        <v>498</v>
      </c>
      <c r="I2558" s="2" t="s">
        <v>499</v>
      </c>
      <c r="J2558" s="2" t="s">
        <v>7756</v>
      </c>
      <c r="K2558" s="2" t="s">
        <v>7926</v>
      </c>
      <c r="L2558" s="2" t="s">
        <v>322</v>
      </c>
      <c r="M2558" s="2" t="s">
        <v>7758</v>
      </c>
      <c r="N2558" s="16">
        <v>2.2499999999999999E-2</v>
      </c>
      <c r="O2558" s="17">
        <f>N2558*'Financial Inputs'!$B$3</f>
        <v>2250000</v>
      </c>
      <c r="P2558" s="18">
        <f>IF(I2558="L",'Financial Inputs'!$B$4,IF(I2558="M",'Financial Inputs'!$B$5,'Financial Inputs'!$B$6))</f>
        <v>0.7</v>
      </c>
      <c r="Q2558" s="17">
        <f>O2558*P2558</f>
        <v>1575000</v>
      </c>
      <c r="R2558" s="16">
        <f>'Financial Inputs'!$B$7</f>
        <v>0.35</v>
      </c>
      <c r="S2558" s="17">
        <f>Q2558*(1-R2558)</f>
        <v>1023750</v>
      </c>
      <c r="T2558" s="18">
        <f>S2558/'Financial Inputs'!$B$3</f>
        <v>1.02375E-2</v>
      </c>
      <c r="U2558" s="9" t="s">
        <v>52</v>
      </c>
      <c r="V2558" s="3" t="s">
        <v>53</v>
      </c>
    </row>
    <row r="2559" spans="1:22">
      <c r="A2559" s="2" t="s">
        <v>7927</v>
      </c>
      <c r="B2559" s="2" t="s">
        <v>7928</v>
      </c>
      <c r="C2559" s="2" t="s">
        <v>95</v>
      </c>
      <c r="D2559" s="2" t="s">
        <v>102</v>
      </c>
      <c r="E2559" s="2" t="s">
        <v>57</v>
      </c>
      <c r="F2559" s="2" t="s">
        <v>104</v>
      </c>
      <c r="G2559" s="2" t="s">
        <v>83</v>
      </c>
      <c r="H2559" s="2" t="s">
        <v>498</v>
      </c>
      <c r="I2559" s="2" t="s">
        <v>499</v>
      </c>
      <c r="J2559" s="2" t="s">
        <v>7756</v>
      </c>
      <c r="K2559" s="2" t="s">
        <v>7929</v>
      </c>
      <c r="L2559" s="2" t="s">
        <v>326</v>
      </c>
      <c r="M2559" s="2" t="s">
        <v>7758</v>
      </c>
      <c r="N2559" s="16">
        <v>2.5000000000000001E-2</v>
      </c>
      <c r="O2559" s="17">
        <f>N2559*'Financial Inputs'!$B$3</f>
        <v>2500000</v>
      </c>
      <c r="P2559" s="18">
        <f>IF(I2559="L",'Financial Inputs'!$B$4,IF(I2559="M",'Financial Inputs'!$B$5,'Financial Inputs'!$B$6))</f>
        <v>0.7</v>
      </c>
      <c r="Q2559" s="17">
        <f>O2559*P2559</f>
        <v>1750000</v>
      </c>
      <c r="R2559" s="16">
        <f>'Financial Inputs'!$B$7</f>
        <v>0.35</v>
      </c>
      <c r="S2559" s="17">
        <f>Q2559*(1-R2559)</f>
        <v>1137500</v>
      </c>
      <c r="T2559" s="18">
        <f>S2559/'Financial Inputs'!$B$3</f>
        <v>1.1375E-2</v>
      </c>
      <c r="U2559" s="9" t="s">
        <v>52</v>
      </c>
      <c r="V2559" s="3" t="s">
        <v>53</v>
      </c>
    </row>
    <row r="2560" spans="1:22">
      <c r="A2560" s="2" t="s">
        <v>7930</v>
      </c>
      <c r="B2560" s="2" t="s">
        <v>7931</v>
      </c>
      <c r="C2560" s="2" t="s">
        <v>95</v>
      </c>
      <c r="D2560" s="2" t="s">
        <v>42</v>
      </c>
      <c r="E2560" s="2" t="s">
        <v>65</v>
      </c>
      <c r="F2560" s="2" t="s">
        <v>110</v>
      </c>
      <c r="G2560" s="2" t="s">
        <v>111</v>
      </c>
      <c r="H2560" s="2" t="s">
        <v>498</v>
      </c>
      <c r="I2560" s="2" t="s">
        <v>499</v>
      </c>
      <c r="J2560" s="2" t="s">
        <v>7756</v>
      </c>
      <c r="K2560" s="2" t="s">
        <v>7932</v>
      </c>
      <c r="L2560" s="2" t="s">
        <v>330</v>
      </c>
      <c r="M2560" s="2" t="s">
        <v>7758</v>
      </c>
      <c r="N2560" s="16">
        <v>2.75E-2</v>
      </c>
      <c r="O2560" s="17">
        <f>N2560*'Financial Inputs'!$B$3</f>
        <v>2750000</v>
      </c>
      <c r="P2560" s="18">
        <f>IF(I2560="L",'Financial Inputs'!$B$4,IF(I2560="M",'Financial Inputs'!$B$5,'Financial Inputs'!$B$6))</f>
        <v>0.7</v>
      </c>
      <c r="Q2560" s="17">
        <f>O2560*P2560</f>
        <v>1924999.9999999998</v>
      </c>
      <c r="R2560" s="16">
        <f>'Financial Inputs'!$B$7</f>
        <v>0.35</v>
      </c>
      <c r="S2560" s="17">
        <f>Q2560*(1-R2560)</f>
        <v>1251250</v>
      </c>
      <c r="T2560" s="18">
        <f>S2560/'Financial Inputs'!$B$3</f>
        <v>1.2512499999999999E-2</v>
      </c>
      <c r="U2560" s="9" t="s">
        <v>52</v>
      </c>
      <c r="V2560" s="3" t="s">
        <v>53</v>
      </c>
    </row>
    <row r="2561" spans="1:22">
      <c r="A2561" s="2" t="s">
        <v>7933</v>
      </c>
      <c r="B2561" s="2" t="s">
        <v>7934</v>
      </c>
      <c r="C2561" s="2" t="s">
        <v>95</v>
      </c>
      <c r="D2561" s="2" t="s">
        <v>56</v>
      </c>
      <c r="E2561" s="2" t="s">
        <v>73</v>
      </c>
      <c r="F2561" s="2" t="s">
        <v>117</v>
      </c>
      <c r="G2561" s="2" t="s">
        <v>56</v>
      </c>
      <c r="H2561" s="2" t="s">
        <v>498</v>
      </c>
      <c r="I2561" s="2" t="s">
        <v>499</v>
      </c>
      <c r="J2561" s="2" t="s">
        <v>7756</v>
      </c>
      <c r="K2561" s="2" t="s">
        <v>7935</v>
      </c>
      <c r="L2561" s="2" t="s">
        <v>334</v>
      </c>
      <c r="M2561" s="2" t="s">
        <v>7758</v>
      </c>
      <c r="N2561" s="16">
        <v>3.0000000000000009E-2</v>
      </c>
      <c r="O2561" s="17">
        <f>N2561*'Financial Inputs'!$B$3</f>
        <v>3000000.0000000009</v>
      </c>
      <c r="P2561" s="18">
        <f>IF(I2561="L",'Financial Inputs'!$B$4,IF(I2561="M",'Financial Inputs'!$B$5,'Financial Inputs'!$B$6))</f>
        <v>0.7</v>
      </c>
      <c r="Q2561" s="17">
        <f>O2561*P2561</f>
        <v>2100000.0000000005</v>
      </c>
      <c r="R2561" s="16">
        <f>'Financial Inputs'!$B$7</f>
        <v>0.35</v>
      </c>
      <c r="S2561" s="17">
        <f>Q2561*(1-R2561)</f>
        <v>1365000.0000000005</v>
      </c>
      <c r="T2561" s="18">
        <f>S2561/'Financial Inputs'!$B$3</f>
        <v>1.3650000000000004E-2</v>
      </c>
      <c r="U2561" s="9" t="s">
        <v>52</v>
      </c>
      <c r="V2561" s="3" t="s">
        <v>53</v>
      </c>
    </row>
    <row r="2562" spans="1:22">
      <c r="A2562" s="2" t="s">
        <v>7936</v>
      </c>
      <c r="B2562" s="2" t="s">
        <v>7937</v>
      </c>
      <c r="C2562" s="2" t="s">
        <v>95</v>
      </c>
      <c r="D2562" s="2" t="s">
        <v>80</v>
      </c>
      <c r="E2562" s="2" t="s">
        <v>153</v>
      </c>
      <c r="F2562" s="2" t="s">
        <v>58</v>
      </c>
      <c r="G2562" s="2" t="s">
        <v>83</v>
      </c>
      <c r="H2562" s="2" t="s">
        <v>498</v>
      </c>
      <c r="I2562" s="2" t="s">
        <v>499</v>
      </c>
      <c r="J2562" s="2" t="s">
        <v>7756</v>
      </c>
      <c r="K2562" s="2" t="s">
        <v>7938</v>
      </c>
      <c r="L2562" s="2" t="s">
        <v>338</v>
      </c>
      <c r="M2562" s="2" t="s">
        <v>7758</v>
      </c>
      <c r="N2562" s="16">
        <v>0.02</v>
      </c>
      <c r="O2562" s="17">
        <f>N2562*'Financial Inputs'!$B$3</f>
        <v>2000000</v>
      </c>
      <c r="P2562" s="18">
        <f>IF(I2562="L",'Financial Inputs'!$B$4,IF(I2562="M",'Financial Inputs'!$B$5,'Financial Inputs'!$B$6))</f>
        <v>0.7</v>
      </c>
      <c r="Q2562" s="17">
        <f>O2562*P2562</f>
        <v>1400000</v>
      </c>
      <c r="R2562" s="16">
        <f>'Financial Inputs'!$B$7</f>
        <v>0.35</v>
      </c>
      <c r="S2562" s="17">
        <f>Q2562*(1-R2562)</f>
        <v>910000</v>
      </c>
      <c r="T2562" s="18">
        <f>S2562/'Financial Inputs'!$B$3</f>
        <v>9.1000000000000004E-3</v>
      </c>
      <c r="U2562" s="9" t="s">
        <v>52</v>
      </c>
      <c r="V2562" s="3" t="s">
        <v>53</v>
      </c>
    </row>
    <row r="2563" spans="1:22">
      <c r="A2563" s="2" t="s">
        <v>7939</v>
      </c>
      <c r="B2563" s="2" t="s">
        <v>7940</v>
      </c>
      <c r="C2563" s="2" t="s">
        <v>95</v>
      </c>
      <c r="D2563" s="2" t="s">
        <v>127</v>
      </c>
      <c r="E2563" s="2" t="s">
        <v>89</v>
      </c>
      <c r="F2563" s="2" t="s">
        <v>66</v>
      </c>
      <c r="G2563" s="2" t="s">
        <v>111</v>
      </c>
      <c r="H2563" s="2" t="s">
        <v>498</v>
      </c>
      <c r="I2563" s="2" t="s">
        <v>499</v>
      </c>
      <c r="J2563" s="2" t="s">
        <v>7756</v>
      </c>
      <c r="K2563" s="2" t="s">
        <v>7941</v>
      </c>
      <c r="L2563" s="2" t="s">
        <v>342</v>
      </c>
      <c r="M2563" s="2" t="s">
        <v>7758</v>
      </c>
      <c r="N2563" s="16">
        <v>2.2499999999999999E-2</v>
      </c>
      <c r="O2563" s="17">
        <f>N2563*'Financial Inputs'!$B$3</f>
        <v>2250000</v>
      </c>
      <c r="P2563" s="18">
        <f>IF(I2563="L",'Financial Inputs'!$B$4,IF(I2563="M",'Financial Inputs'!$B$5,'Financial Inputs'!$B$6))</f>
        <v>0.7</v>
      </c>
      <c r="Q2563" s="17">
        <f>O2563*P2563</f>
        <v>1575000</v>
      </c>
      <c r="R2563" s="16">
        <f>'Financial Inputs'!$B$7</f>
        <v>0.35</v>
      </c>
      <c r="S2563" s="17">
        <f>Q2563*(1-R2563)</f>
        <v>1023750</v>
      </c>
      <c r="T2563" s="18">
        <f>S2563/'Financial Inputs'!$B$3</f>
        <v>1.02375E-2</v>
      </c>
      <c r="U2563" s="9" t="s">
        <v>52</v>
      </c>
      <c r="V2563" s="3" t="s">
        <v>53</v>
      </c>
    </row>
    <row r="2564" spans="1:22">
      <c r="A2564" s="2" t="s">
        <v>7942</v>
      </c>
      <c r="B2564" s="2" t="s">
        <v>7943</v>
      </c>
      <c r="C2564" s="2" t="s">
        <v>95</v>
      </c>
      <c r="D2564" s="2" t="s">
        <v>133</v>
      </c>
      <c r="E2564" s="2" t="s">
        <v>96</v>
      </c>
      <c r="F2564" s="2" t="s">
        <v>74</v>
      </c>
      <c r="G2564" s="2" t="s">
        <v>56</v>
      </c>
      <c r="H2564" s="2" t="s">
        <v>498</v>
      </c>
      <c r="I2564" s="2" t="s">
        <v>499</v>
      </c>
      <c r="J2564" s="2" t="s">
        <v>7756</v>
      </c>
      <c r="K2564" s="2" t="s">
        <v>7944</v>
      </c>
      <c r="L2564" s="2" t="s">
        <v>346</v>
      </c>
      <c r="M2564" s="2" t="s">
        <v>7758</v>
      </c>
      <c r="N2564" s="16">
        <v>2.5000000000000001E-2</v>
      </c>
      <c r="O2564" s="17">
        <f>N2564*'Financial Inputs'!$B$3</f>
        <v>2500000</v>
      </c>
      <c r="P2564" s="18">
        <f>IF(I2564="L",'Financial Inputs'!$B$4,IF(I2564="M",'Financial Inputs'!$B$5,'Financial Inputs'!$B$6))</f>
        <v>0.7</v>
      </c>
      <c r="Q2564" s="17">
        <f>O2564*P2564</f>
        <v>1750000</v>
      </c>
      <c r="R2564" s="16">
        <f>'Financial Inputs'!$B$7</f>
        <v>0.35</v>
      </c>
      <c r="S2564" s="17">
        <f>Q2564*(1-R2564)</f>
        <v>1137500</v>
      </c>
      <c r="T2564" s="18">
        <f>S2564/'Financial Inputs'!$B$3</f>
        <v>1.1375E-2</v>
      </c>
      <c r="U2564" s="9" t="s">
        <v>52</v>
      </c>
      <c r="V2564" s="3" t="s">
        <v>53</v>
      </c>
    </row>
    <row r="2565" spans="1:22">
      <c r="A2565" s="2" t="s">
        <v>7945</v>
      </c>
      <c r="B2565" s="2" t="s">
        <v>7946</v>
      </c>
      <c r="C2565" s="2" t="s">
        <v>95</v>
      </c>
      <c r="D2565" s="2" t="s">
        <v>88</v>
      </c>
      <c r="E2565" s="2" t="s">
        <v>103</v>
      </c>
      <c r="F2565" s="2" t="s">
        <v>82</v>
      </c>
      <c r="G2565" s="2" t="s">
        <v>138</v>
      </c>
      <c r="H2565" s="2" t="s">
        <v>498</v>
      </c>
      <c r="I2565" s="2" t="s">
        <v>499</v>
      </c>
      <c r="J2565" s="2" t="s">
        <v>7756</v>
      </c>
      <c r="K2565" s="2" t="s">
        <v>7947</v>
      </c>
      <c r="L2565" s="2" t="s">
        <v>350</v>
      </c>
      <c r="M2565" s="2" t="s">
        <v>7758</v>
      </c>
      <c r="N2565" s="16">
        <v>2.75E-2</v>
      </c>
      <c r="O2565" s="17">
        <f>N2565*'Financial Inputs'!$B$3</f>
        <v>2750000</v>
      </c>
      <c r="P2565" s="18">
        <f>IF(I2565="L",'Financial Inputs'!$B$4,IF(I2565="M",'Financial Inputs'!$B$5,'Financial Inputs'!$B$6))</f>
        <v>0.7</v>
      </c>
      <c r="Q2565" s="17">
        <f>O2565*P2565</f>
        <v>1924999.9999999998</v>
      </c>
      <c r="R2565" s="16">
        <f>'Financial Inputs'!$B$7</f>
        <v>0.35</v>
      </c>
      <c r="S2565" s="17">
        <f>Q2565*(1-R2565)</f>
        <v>1251250</v>
      </c>
      <c r="T2565" s="18">
        <f>S2565/'Financial Inputs'!$B$3</f>
        <v>1.2512499999999999E-2</v>
      </c>
      <c r="U2565" s="9" t="s">
        <v>52</v>
      </c>
      <c r="V2565" s="3" t="s">
        <v>53</v>
      </c>
    </row>
    <row r="2566" spans="1:22">
      <c r="A2566" s="2" t="s">
        <v>7948</v>
      </c>
      <c r="B2566" s="2" t="s">
        <v>7949</v>
      </c>
      <c r="C2566" s="2" t="s">
        <v>95</v>
      </c>
      <c r="D2566" s="2" t="s">
        <v>95</v>
      </c>
      <c r="E2566" s="2" t="s">
        <v>109</v>
      </c>
      <c r="F2566" s="2" t="s">
        <v>44</v>
      </c>
      <c r="G2566" s="2" t="s">
        <v>143</v>
      </c>
      <c r="H2566" s="2" t="s">
        <v>498</v>
      </c>
      <c r="I2566" s="2" t="s">
        <v>499</v>
      </c>
      <c r="J2566" s="2" t="s">
        <v>7756</v>
      </c>
      <c r="K2566" s="2" t="s">
        <v>7950</v>
      </c>
      <c r="L2566" s="2" t="s">
        <v>354</v>
      </c>
      <c r="M2566" s="2" t="s">
        <v>7758</v>
      </c>
      <c r="N2566" s="16">
        <v>3.0000000000000009E-2</v>
      </c>
      <c r="O2566" s="17">
        <f>N2566*'Financial Inputs'!$B$3</f>
        <v>3000000.0000000009</v>
      </c>
      <c r="P2566" s="18">
        <f>IF(I2566="L",'Financial Inputs'!$B$4,IF(I2566="M",'Financial Inputs'!$B$5,'Financial Inputs'!$B$6))</f>
        <v>0.7</v>
      </c>
      <c r="Q2566" s="17">
        <f>O2566*P2566</f>
        <v>2100000.0000000005</v>
      </c>
      <c r="R2566" s="16">
        <f>'Financial Inputs'!$B$7</f>
        <v>0.35</v>
      </c>
      <c r="S2566" s="17">
        <f>Q2566*(1-R2566)</f>
        <v>1365000.0000000005</v>
      </c>
      <c r="T2566" s="18">
        <f>S2566/'Financial Inputs'!$B$3</f>
        <v>1.3650000000000004E-2</v>
      </c>
      <c r="U2566" s="9" t="s">
        <v>52</v>
      </c>
      <c r="V2566" s="3" t="s">
        <v>53</v>
      </c>
    </row>
    <row r="2567" spans="1:22">
      <c r="A2567" s="2" t="s">
        <v>7951</v>
      </c>
      <c r="B2567" s="2" t="s">
        <v>7952</v>
      </c>
      <c r="C2567" s="2" t="s">
        <v>95</v>
      </c>
      <c r="D2567" s="2" t="s">
        <v>56</v>
      </c>
      <c r="E2567" s="2" t="s">
        <v>176</v>
      </c>
      <c r="F2567" s="2" t="s">
        <v>97</v>
      </c>
      <c r="G2567" s="2" t="s">
        <v>56</v>
      </c>
      <c r="H2567" s="2" t="s">
        <v>498</v>
      </c>
      <c r="I2567" s="2" t="s">
        <v>499</v>
      </c>
      <c r="J2567" s="2" t="s">
        <v>7756</v>
      </c>
      <c r="K2567" s="2" t="s">
        <v>7953</v>
      </c>
      <c r="L2567" s="2" t="s">
        <v>358</v>
      </c>
      <c r="M2567" s="2" t="s">
        <v>7758</v>
      </c>
      <c r="N2567" s="16">
        <v>0.02</v>
      </c>
      <c r="O2567" s="17">
        <f>N2567*'Financial Inputs'!$B$3</f>
        <v>2000000</v>
      </c>
      <c r="P2567" s="18">
        <f>IF(I2567="L",'Financial Inputs'!$B$4,IF(I2567="M",'Financial Inputs'!$B$5,'Financial Inputs'!$B$6))</f>
        <v>0.7</v>
      </c>
      <c r="Q2567" s="17">
        <f>O2567*P2567</f>
        <v>1400000</v>
      </c>
      <c r="R2567" s="16">
        <f>'Financial Inputs'!$B$7</f>
        <v>0.35</v>
      </c>
      <c r="S2567" s="17">
        <f>Q2567*(1-R2567)</f>
        <v>910000</v>
      </c>
      <c r="T2567" s="18">
        <f>S2567/'Financial Inputs'!$B$3</f>
        <v>9.1000000000000004E-3</v>
      </c>
      <c r="U2567" s="9" t="s">
        <v>52</v>
      </c>
      <c r="V2567" s="3" t="s">
        <v>53</v>
      </c>
    </row>
    <row r="2568" spans="1:22">
      <c r="A2568" s="2" t="s">
        <v>7954</v>
      </c>
      <c r="B2568" s="2" t="s">
        <v>7955</v>
      </c>
      <c r="C2568" s="2" t="s">
        <v>95</v>
      </c>
      <c r="D2568" s="2" t="s">
        <v>64</v>
      </c>
      <c r="E2568" s="2" t="s">
        <v>122</v>
      </c>
      <c r="F2568" s="2" t="s">
        <v>104</v>
      </c>
      <c r="G2568" s="2" t="s">
        <v>138</v>
      </c>
      <c r="H2568" s="2" t="s">
        <v>498</v>
      </c>
      <c r="I2568" s="2" t="s">
        <v>499</v>
      </c>
      <c r="J2568" s="2" t="s">
        <v>7756</v>
      </c>
      <c r="K2568" s="2" t="s">
        <v>7956</v>
      </c>
      <c r="L2568" s="2" t="s">
        <v>362</v>
      </c>
      <c r="M2568" s="2" t="s">
        <v>7758</v>
      </c>
      <c r="N2568" s="16">
        <v>2.2499999999999999E-2</v>
      </c>
      <c r="O2568" s="17">
        <f>N2568*'Financial Inputs'!$B$3</f>
        <v>2250000</v>
      </c>
      <c r="P2568" s="18">
        <f>IF(I2568="L",'Financial Inputs'!$B$4,IF(I2568="M",'Financial Inputs'!$B$5,'Financial Inputs'!$B$6))</f>
        <v>0.7</v>
      </c>
      <c r="Q2568" s="17">
        <f>O2568*P2568</f>
        <v>1575000</v>
      </c>
      <c r="R2568" s="16">
        <f>'Financial Inputs'!$B$7</f>
        <v>0.35</v>
      </c>
      <c r="S2568" s="17">
        <f>Q2568*(1-R2568)</f>
        <v>1023750</v>
      </c>
      <c r="T2568" s="18">
        <f>S2568/'Financial Inputs'!$B$3</f>
        <v>1.02375E-2</v>
      </c>
      <c r="U2568" s="9" t="s">
        <v>52</v>
      </c>
      <c r="V2568" s="3" t="s">
        <v>53</v>
      </c>
    </row>
    <row r="2569" spans="1:22">
      <c r="A2569" s="2" t="s">
        <v>7957</v>
      </c>
      <c r="B2569" s="2" t="s">
        <v>7958</v>
      </c>
      <c r="C2569" s="2" t="s">
        <v>95</v>
      </c>
      <c r="D2569" s="2" t="s">
        <v>72</v>
      </c>
      <c r="E2569" s="2" t="s">
        <v>128</v>
      </c>
      <c r="F2569" s="2" t="s">
        <v>110</v>
      </c>
      <c r="G2569" s="2" t="s">
        <v>143</v>
      </c>
      <c r="H2569" s="2" t="s">
        <v>498</v>
      </c>
      <c r="I2569" s="2" t="s">
        <v>499</v>
      </c>
      <c r="J2569" s="2" t="s">
        <v>7756</v>
      </c>
      <c r="K2569" s="2" t="s">
        <v>7959</v>
      </c>
      <c r="L2569" s="2" t="s">
        <v>366</v>
      </c>
      <c r="M2569" s="2" t="s">
        <v>7758</v>
      </c>
      <c r="N2569" s="16">
        <v>2.5000000000000001E-2</v>
      </c>
      <c r="O2569" s="17">
        <f>N2569*'Financial Inputs'!$B$3</f>
        <v>2500000</v>
      </c>
      <c r="P2569" s="18">
        <f>IF(I2569="L",'Financial Inputs'!$B$4,IF(I2569="M",'Financial Inputs'!$B$5,'Financial Inputs'!$B$6))</f>
        <v>0.7</v>
      </c>
      <c r="Q2569" s="17">
        <f>O2569*P2569</f>
        <v>1750000</v>
      </c>
      <c r="R2569" s="16">
        <f>'Financial Inputs'!$B$7</f>
        <v>0.35</v>
      </c>
      <c r="S2569" s="17">
        <f>Q2569*(1-R2569)</f>
        <v>1137500</v>
      </c>
      <c r="T2569" s="18">
        <f>S2569/'Financial Inputs'!$B$3</f>
        <v>1.1375E-2</v>
      </c>
      <c r="U2569" s="9" t="s">
        <v>52</v>
      </c>
      <c r="V2569" s="3" t="s">
        <v>53</v>
      </c>
    </row>
    <row r="2570" spans="1:22">
      <c r="A2570" s="2" t="s">
        <v>7960</v>
      </c>
      <c r="B2570" s="2" t="s">
        <v>7961</v>
      </c>
      <c r="C2570" s="2" t="s">
        <v>95</v>
      </c>
      <c r="D2570" s="2" t="s">
        <v>80</v>
      </c>
      <c r="E2570" s="2" t="s">
        <v>43</v>
      </c>
      <c r="F2570" s="2" t="s">
        <v>117</v>
      </c>
      <c r="G2570" s="2" t="s">
        <v>162</v>
      </c>
      <c r="H2570" s="2" t="s">
        <v>498</v>
      </c>
      <c r="I2570" s="2" t="s">
        <v>499</v>
      </c>
      <c r="J2570" s="2" t="s">
        <v>7756</v>
      </c>
      <c r="K2570" s="2" t="s">
        <v>7962</v>
      </c>
      <c r="L2570" s="2" t="s">
        <v>370</v>
      </c>
      <c r="M2570" s="2" t="s">
        <v>7758</v>
      </c>
      <c r="N2570" s="16">
        <v>2.75E-2</v>
      </c>
      <c r="O2570" s="17">
        <f>N2570*'Financial Inputs'!$B$3</f>
        <v>2750000</v>
      </c>
      <c r="P2570" s="18">
        <f>IF(I2570="L",'Financial Inputs'!$B$4,IF(I2570="M",'Financial Inputs'!$B$5,'Financial Inputs'!$B$6))</f>
        <v>0.7</v>
      </c>
      <c r="Q2570" s="17">
        <f>O2570*P2570</f>
        <v>1924999.9999999998</v>
      </c>
      <c r="R2570" s="16">
        <f>'Financial Inputs'!$B$7</f>
        <v>0.35</v>
      </c>
      <c r="S2570" s="17">
        <f>Q2570*(1-R2570)</f>
        <v>1251250</v>
      </c>
      <c r="T2570" s="18">
        <f>S2570/'Financial Inputs'!$B$3</f>
        <v>1.2512499999999999E-2</v>
      </c>
      <c r="U2570" s="9" t="s">
        <v>52</v>
      </c>
      <c r="V2570" s="3" t="s">
        <v>53</v>
      </c>
    </row>
    <row r="2571" spans="1:22">
      <c r="A2571" s="2" t="s">
        <v>7963</v>
      </c>
      <c r="B2571" s="2" t="s">
        <v>7964</v>
      </c>
      <c r="C2571" s="2" t="s">
        <v>95</v>
      </c>
      <c r="D2571" s="2" t="s">
        <v>127</v>
      </c>
      <c r="E2571" s="2" t="s">
        <v>57</v>
      </c>
      <c r="F2571" s="2" t="s">
        <v>90</v>
      </c>
      <c r="G2571" s="2" t="s">
        <v>45</v>
      </c>
      <c r="H2571" s="2" t="s">
        <v>498</v>
      </c>
      <c r="I2571" s="2" t="s">
        <v>499</v>
      </c>
      <c r="J2571" s="2" t="s">
        <v>7756</v>
      </c>
      <c r="K2571" s="2" t="s">
        <v>7965</v>
      </c>
      <c r="L2571" s="2" t="s">
        <v>374</v>
      </c>
      <c r="M2571" s="2" t="s">
        <v>7758</v>
      </c>
      <c r="N2571" s="16">
        <v>3.0000000000000009E-2</v>
      </c>
      <c r="O2571" s="17">
        <f>N2571*'Financial Inputs'!$B$3</f>
        <v>3000000.0000000009</v>
      </c>
      <c r="P2571" s="18">
        <f>IF(I2571="L",'Financial Inputs'!$B$4,IF(I2571="M",'Financial Inputs'!$B$5,'Financial Inputs'!$B$6))</f>
        <v>0.7</v>
      </c>
      <c r="Q2571" s="17">
        <f>O2571*P2571</f>
        <v>2100000.0000000005</v>
      </c>
      <c r="R2571" s="16">
        <f>'Financial Inputs'!$B$7</f>
        <v>0.35</v>
      </c>
      <c r="S2571" s="17">
        <f>Q2571*(1-R2571)</f>
        <v>1365000.0000000005</v>
      </c>
      <c r="T2571" s="18">
        <f>S2571/'Financial Inputs'!$B$3</f>
        <v>1.3650000000000004E-2</v>
      </c>
      <c r="U2571" s="9" t="s">
        <v>52</v>
      </c>
      <c r="V2571" s="3" t="s">
        <v>53</v>
      </c>
    </row>
    <row r="2572" spans="1:22">
      <c r="A2572" s="2" t="s">
        <v>7966</v>
      </c>
      <c r="B2572" s="2" t="s">
        <v>7967</v>
      </c>
      <c r="C2572" s="2" t="s">
        <v>95</v>
      </c>
      <c r="D2572" s="2" t="s">
        <v>95</v>
      </c>
      <c r="E2572" s="2" t="s">
        <v>198</v>
      </c>
      <c r="F2572" s="2" t="s">
        <v>66</v>
      </c>
      <c r="G2572" s="2" t="s">
        <v>143</v>
      </c>
      <c r="H2572" s="2" t="s">
        <v>498</v>
      </c>
      <c r="I2572" s="2" t="s">
        <v>499</v>
      </c>
      <c r="J2572" s="2" t="s">
        <v>7756</v>
      </c>
      <c r="K2572" s="2" t="s">
        <v>7968</v>
      </c>
      <c r="L2572" s="2" t="s">
        <v>378</v>
      </c>
      <c r="M2572" s="2" t="s">
        <v>7758</v>
      </c>
      <c r="N2572" s="16">
        <v>0.02</v>
      </c>
      <c r="O2572" s="17">
        <f>N2572*'Financial Inputs'!$B$3</f>
        <v>2000000</v>
      </c>
      <c r="P2572" s="18">
        <f>IF(I2572="L",'Financial Inputs'!$B$4,IF(I2572="M",'Financial Inputs'!$B$5,'Financial Inputs'!$B$6))</f>
        <v>0.7</v>
      </c>
      <c r="Q2572" s="17">
        <f>O2572*P2572</f>
        <v>1400000</v>
      </c>
      <c r="R2572" s="16">
        <f>'Financial Inputs'!$B$7</f>
        <v>0.35</v>
      </c>
      <c r="S2572" s="17">
        <f>Q2572*(1-R2572)</f>
        <v>910000</v>
      </c>
      <c r="T2572" s="18">
        <f>S2572/'Financial Inputs'!$B$3</f>
        <v>9.1000000000000004E-3</v>
      </c>
      <c r="U2572" s="9" t="s">
        <v>52</v>
      </c>
      <c r="V2572" s="3" t="s">
        <v>53</v>
      </c>
    </row>
    <row r="2573" spans="1:22">
      <c r="A2573" s="2" t="s">
        <v>7969</v>
      </c>
      <c r="B2573" s="2" t="s">
        <v>7970</v>
      </c>
      <c r="C2573" s="2" t="s">
        <v>95</v>
      </c>
      <c r="D2573" s="2" t="s">
        <v>102</v>
      </c>
      <c r="E2573" s="2" t="s">
        <v>148</v>
      </c>
      <c r="F2573" s="2" t="s">
        <v>74</v>
      </c>
      <c r="G2573" s="2" t="s">
        <v>162</v>
      </c>
      <c r="H2573" s="2" t="s">
        <v>498</v>
      </c>
      <c r="I2573" s="2" t="s">
        <v>499</v>
      </c>
      <c r="J2573" s="2" t="s">
        <v>7756</v>
      </c>
      <c r="K2573" s="2" t="s">
        <v>7971</v>
      </c>
      <c r="L2573" s="2" t="s">
        <v>382</v>
      </c>
      <c r="M2573" s="2" t="s">
        <v>7758</v>
      </c>
      <c r="N2573" s="16">
        <v>2.2499999999999999E-2</v>
      </c>
      <c r="O2573" s="17">
        <f>N2573*'Financial Inputs'!$B$3</f>
        <v>2250000</v>
      </c>
      <c r="P2573" s="18">
        <f>IF(I2573="L",'Financial Inputs'!$B$4,IF(I2573="M",'Financial Inputs'!$B$5,'Financial Inputs'!$B$6))</f>
        <v>0.7</v>
      </c>
      <c r="Q2573" s="17">
        <f>O2573*P2573</f>
        <v>1575000</v>
      </c>
      <c r="R2573" s="16">
        <f>'Financial Inputs'!$B$7</f>
        <v>0.35</v>
      </c>
      <c r="S2573" s="17">
        <f>Q2573*(1-R2573)</f>
        <v>1023750</v>
      </c>
      <c r="T2573" s="18">
        <f>S2573/'Financial Inputs'!$B$3</f>
        <v>1.02375E-2</v>
      </c>
      <c r="U2573" s="9" t="s">
        <v>52</v>
      </c>
      <c r="V2573" s="3" t="s">
        <v>53</v>
      </c>
    </row>
    <row r="2574" spans="1:22">
      <c r="A2574" s="2" t="s">
        <v>7972</v>
      </c>
      <c r="B2574" s="2" t="s">
        <v>7973</v>
      </c>
      <c r="C2574" s="2" t="s">
        <v>95</v>
      </c>
      <c r="D2574" s="2" t="s">
        <v>42</v>
      </c>
      <c r="E2574" s="2" t="s">
        <v>153</v>
      </c>
      <c r="F2574" s="2" t="s">
        <v>82</v>
      </c>
      <c r="G2574" s="2" t="s">
        <v>45</v>
      </c>
      <c r="H2574" s="2" t="s">
        <v>498</v>
      </c>
      <c r="I2574" s="2" t="s">
        <v>499</v>
      </c>
      <c r="J2574" s="2" t="s">
        <v>7756</v>
      </c>
      <c r="K2574" s="2" t="s">
        <v>7974</v>
      </c>
      <c r="L2574" s="2" t="s">
        <v>386</v>
      </c>
      <c r="M2574" s="2" t="s">
        <v>7758</v>
      </c>
      <c r="N2574" s="16">
        <v>2.5000000000000001E-2</v>
      </c>
      <c r="O2574" s="17">
        <f>N2574*'Financial Inputs'!$B$3</f>
        <v>2500000</v>
      </c>
      <c r="P2574" s="18">
        <f>IF(I2574="L",'Financial Inputs'!$B$4,IF(I2574="M",'Financial Inputs'!$B$5,'Financial Inputs'!$B$6))</f>
        <v>0.7</v>
      </c>
      <c r="Q2574" s="17">
        <f>O2574*P2574</f>
        <v>1750000</v>
      </c>
      <c r="R2574" s="16">
        <f>'Financial Inputs'!$B$7</f>
        <v>0.35</v>
      </c>
      <c r="S2574" s="17">
        <f>Q2574*(1-R2574)</f>
        <v>1137500</v>
      </c>
      <c r="T2574" s="18">
        <f>S2574/'Financial Inputs'!$B$3</f>
        <v>1.1375E-2</v>
      </c>
      <c r="U2574" s="9" t="s">
        <v>52</v>
      </c>
      <c r="V2574" s="3" t="s">
        <v>53</v>
      </c>
    </row>
    <row r="2575" spans="1:22">
      <c r="A2575" s="2" t="s">
        <v>7975</v>
      </c>
      <c r="B2575" s="2" t="s">
        <v>7976</v>
      </c>
      <c r="C2575" s="2" t="s">
        <v>95</v>
      </c>
      <c r="D2575" s="2" t="s">
        <v>56</v>
      </c>
      <c r="E2575" s="2" t="s">
        <v>89</v>
      </c>
      <c r="F2575" s="2" t="s">
        <v>44</v>
      </c>
      <c r="G2575" s="2" t="s">
        <v>59</v>
      </c>
      <c r="H2575" s="2" t="s">
        <v>498</v>
      </c>
      <c r="I2575" s="2" t="s">
        <v>499</v>
      </c>
      <c r="J2575" s="2" t="s">
        <v>7756</v>
      </c>
      <c r="K2575" s="2" t="s">
        <v>7977</v>
      </c>
      <c r="L2575" s="2" t="s">
        <v>390</v>
      </c>
      <c r="M2575" s="2" t="s">
        <v>7758</v>
      </c>
      <c r="N2575" s="16">
        <v>2.75E-2</v>
      </c>
      <c r="O2575" s="17">
        <f>N2575*'Financial Inputs'!$B$3</f>
        <v>2750000</v>
      </c>
      <c r="P2575" s="18">
        <f>IF(I2575="L",'Financial Inputs'!$B$4,IF(I2575="M",'Financial Inputs'!$B$5,'Financial Inputs'!$B$6))</f>
        <v>0.7</v>
      </c>
      <c r="Q2575" s="17">
        <f>O2575*P2575</f>
        <v>1924999.9999999998</v>
      </c>
      <c r="R2575" s="16">
        <f>'Financial Inputs'!$B$7</f>
        <v>0.35</v>
      </c>
      <c r="S2575" s="17">
        <f>Q2575*(1-R2575)</f>
        <v>1251250</v>
      </c>
      <c r="T2575" s="18">
        <f>S2575/'Financial Inputs'!$B$3</f>
        <v>1.2512499999999999E-2</v>
      </c>
      <c r="U2575" s="9" t="s">
        <v>52</v>
      </c>
      <c r="V2575" s="3" t="s">
        <v>53</v>
      </c>
    </row>
    <row r="2576" spans="1:22">
      <c r="A2576" s="2" t="s">
        <v>7978</v>
      </c>
      <c r="B2576" s="2" t="s">
        <v>7979</v>
      </c>
      <c r="C2576" s="2" t="s">
        <v>95</v>
      </c>
      <c r="D2576" s="2" t="s">
        <v>64</v>
      </c>
      <c r="E2576" s="2" t="s">
        <v>96</v>
      </c>
      <c r="F2576" s="2" t="s">
        <v>58</v>
      </c>
      <c r="G2576" s="2" t="s">
        <v>67</v>
      </c>
      <c r="H2576" s="2" t="s">
        <v>498</v>
      </c>
      <c r="I2576" s="2" t="s">
        <v>499</v>
      </c>
      <c r="J2576" s="2" t="s">
        <v>7756</v>
      </c>
      <c r="K2576" s="2" t="s">
        <v>7980</v>
      </c>
      <c r="L2576" s="2" t="s">
        <v>394</v>
      </c>
      <c r="M2576" s="2" t="s">
        <v>7758</v>
      </c>
      <c r="N2576" s="16">
        <v>3.0000000000000009E-2</v>
      </c>
      <c r="O2576" s="17">
        <f>N2576*'Financial Inputs'!$B$3</f>
        <v>3000000.0000000009</v>
      </c>
      <c r="P2576" s="18">
        <f>IF(I2576="L",'Financial Inputs'!$B$4,IF(I2576="M",'Financial Inputs'!$B$5,'Financial Inputs'!$B$6))</f>
        <v>0.7</v>
      </c>
      <c r="Q2576" s="17">
        <f>O2576*P2576</f>
        <v>2100000.0000000005</v>
      </c>
      <c r="R2576" s="16">
        <f>'Financial Inputs'!$B$7</f>
        <v>0.35</v>
      </c>
      <c r="S2576" s="17">
        <f>Q2576*(1-R2576)</f>
        <v>1365000.0000000005</v>
      </c>
      <c r="T2576" s="18">
        <f>S2576/'Financial Inputs'!$B$3</f>
        <v>1.3650000000000004E-2</v>
      </c>
      <c r="U2576" s="9" t="s">
        <v>52</v>
      </c>
      <c r="V2576" s="3" t="s">
        <v>53</v>
      </c>
    </row>
    <row r="2577" spans="1:22">
      <c r="A2577" s="2" t="s">
        <v>7981</v>
      </c>
      <c r="B2577" s="2" t="s">
        <v>7982</v>
      </c>
      <c r="C2577" s="2" t="s">
        <v>95</v>
      </c>
      <c r="D2577" s="2" t="s">
        <v>127</v>
      </c>
      <c r="E2577" s="2" t="s">
        <v>220</v>
      </c>
      <c r="F2577" s="2" t="s">
        <v>104</v>
      </c>
      <c r="G2577" s="2" t="s">
        <v>45</v>
      </c>
      <c r="H2577" s="2" t="s">
        <v>498</v>
      </c>
      <c r="I2577" s="2" t="s">
        <v>499</v>
      </c>
      <c r="J2577" s="2" t="s">
        <v>7756</v>
      </c>
      <c r="K2577" s="2" t="s">
        <v>7983</v>
      </c>
      <c r="L2577" s="2" t="s">
        <v>398</v>
      </c>
      <c r="M2577" s="2" t="s">
        <v>7758</v>
      </c>
      <c r="N2577" s="16">
        <v>0.02</v>
      </c>
      <c r="O2577" s="17">
        <f>N2577*'Financial Inputs'!$B$3</f>
        <v>2000000</v>
      </c>
      <c r="P2577" s="18">
        <f>IF(I2577="L",'Financial Inputs'!$B$4,IF(I2577="M",'Financial Inputs'!$B$5,'Financial Inputs'!$B$6))</f>
        <v>0.7</v>
      </c>
      <c r="Q2577" s="17">
        <f>O2577*P2577</f>
        <v>1400000</v>
      </c>
      <c r="R2577" s="16">
        <f>'Financial Inputs'!$B$7</f>
        <v>0.35</v>
      </c>
      <c r="S2577" s="17">
        <f>Q2577*(1-R2577)</f>
        <v>910000</v>
      </c>
      <c r="T2577" s="18">
        <f>S2577/'Financial Inputs'!$B$3</f>
        <v>9.1000000000000004E-3</v>
      </c>
      <c r="U2577" s="9" t="s">
        <v>52</v>
      </c>
      <c r="V2577" s="3" t="s">
        <v>53</v>
      </c>
    </row>
    <row r="2578" spans="1:22">
      <c r="A2578" s="2" t="s">
        <v>7984</v>
      </c>
      <c r="B2578" s="2" t="s">
        <v>7985</v>
      </c>
      <c r="C2578" s="2" t="s">
        <v>95</v>
      </c>
      <c r="D2578" s="2" t="s">
        <v>133</v>
      </c>
      <c r="E2578" s="2" t="s">
        <v>171</v>
      </c>
      <c r="F2578" s="2" t="s">
        <v>110</v>
      </c>
      <c r="G2578" s="2" t="s">
        <v>59</v>
      </c>
      <c r="H2578" s="2" t="s">
        <v>498</v>
      </c>
      <c r="I2578" s="2" t="s">
        <v>499</v>
      </c>
      <c r="J2578" s="2" t="s">
        <v>7756</v>
      </c>
      <c r="K2578" s="2" t="s">
        <v>7986</v>
      </c>
      <c r="L2578" s="2" t="s">
        <v>402</v>
      </c>
      <c r="M2578" s="2" t="s">
        <v>7758</v>
      </c>
      <c r="N2578" s="16">
        <v>2.2499999999999999E-2</v>
      </c>
      <c r="O2578" s="17">
        <f>N2578*'Financial Inputs'!$B$3</f>
        <v>2250000</v>
      </c>
      <c r="P2578" s="18">
        <f>IF(I2578="L",'Financial Inputs'!$B$4,IF(I2578="M",'Financial Inputs'!$B$5,'Financial Inputs'!$B$6))</f>
        <v>0.7</v>
      </c>
      <c r="Q2578" s="17">
        <f>O2578*P2578</f>
        <v>1575000</v>
      </c>
      <c r="R2578" s="16">
        <f>'Financial Inputs'!$B$7</f>
        <v>0.35</v>
      </c>
      <c r="S2578" s="17">
        <f>Q2578*(1-R2578)</f>
        <v>1023750</v>
      </c>
      <c r="T2578" s="18">
        <f>S2578/'Financial Inputs'!$B$3</f>
        <v>1.02375E-2</v>
      </c>
      <c r="U2578" s="9" t="s">
        <v>52</v>
      </c>
      <c r="V2578" s="3" t="s">
        <v>53</v>
      </c>
    </row>
    <row r="2579" spans="1:22">
      <c r="A2579" s="2" t="s">
        <v>7987</v>
      </c>
      <c r="B2579" s="2" t="s">
        <v>7988</v>
      </c>
      <c r="C2579" s="2" t="s">
        <v>95</v>
      </c>
      <c r="D2579" s="2" t="s">
        <v>88</v>
      </c>
      <c r="E2579" s="2" t="s">
        <v>176</v>
      </c>
      <c r="F2579" s="2" t="s">
        <v>117</v>
      </c>
      <c r="G2579" s="2" t="s">
        <v>67</v>
      </c>
      <c r="H2579" s="2" t="s">
        <v>498</v>
      </c>
      <c r="I2579" s="2" t="s">
        <v>499</v>
      </c>
      <c r="J2579" s="2" t="s">
        <v>7756</v>
      </c>
      <c r="K2579" s="2" t="s">
        <v>7989</v>
      </c>
      <c r="L2579" s="2" t="s">
        <v>406</v>
      </c>
      <c r="M2579" s="2" t="s">
        <v>7758</v>
      </c>
      <c r="N2579" s="16">
        <v>2.5000000000000001E-2</v>
      </c>
      <c r="O2579" s="17">
        <f>N2579*'Financial Inputs'!$B$3</f>
        <v>2500000</v>
      </c>
      <c r="P2579" s="18">
        <f>IF(I2579="L",'Financial Inputs'!$B$4,IF(I2579="M",'Financial Inputs'!$B$5,'Financial Inputs'!$B$6))</f>
        <v>0.7</v>
      </c>
      <c r="Q2579" s="17">
        <f>O2579*P2579</f>
        <v>1750000</v>
      </c>
      <c r="R2579" s="16">
        <f>'Financial Inputs'!$B$7</f>
        <v>0.35</v>
      </c>
      <c r="S2579" s="17">
        <f>Q2579*(1-R2579)</f>
        <v>1137500</v>
      </c>
      <c r="T2579" s="18">
        <f>S2579/'Financial Inputs'!$B$3</f>
        <v>1.1375E-2</v>
      </c>
      <c r="U2579" s="9" t="s">
        <v>52</v>
      </c>
      <c r="V2579" s="3" t="s">
        <v>53</v>
      </c>
    </row>
    <row r="2580" spans="1:22">
      <c r="A2580" s="2" t="s">
        <v>7990</v>
      </c>
      <c r="B2580" s="2" t="s">
        <v>7991</v>
      </c>
      <c r="C2580" s="2" t="s">
        <v>95</v>
      </c>
      <c r="D2580" s="2" t="s">
        <v>95</v>
      </c>
      <c r="E2580" s="2" t="s">
        <v>122</v>
      </c>
      <c r="F2580" s="2" t="s">
        <v>90</v>
      </c>
      <c r="G2580" s="2" t="s">
        <v>75</v>
      </c>
      <c r="H2580" s="2" t="s">
        <v>498</v>
      </c>
      <c r="I2580" s="2" t="s">
        <v>499</v>
      </c>
      <c r="J2580" s="2" t="s">
        <v>7756</v>
      </c>
      <c r="K2580" s="2" t="s">
        <v>7992</v>
      </c>
      <c r="L2580" s="2" t="s">
        <v>410</v>
      </c>
      <c r="M2580" s="2" t="s">
        <v>7758</v>
      </c>
      <c r="N2580" s="16">
        <v>2.75E-2</v>
      </c>
      <c r="O2580" s="17">
        <f>N2580*'Financial Inputs'!$B$3</f>
        <v>2750000</v>
      </c>
      <c r="P2580" s="18">
        <f>IF(I2580="L",'Financial Inputs'!$B$4,IF(I2580="M",'Financial Inputs'!$B$5,'Financial Inputs'!$B$6))</f>
        <v>0.7</v>
      </c>
      <c r="Q2580" s="17">
        <f>O2580*P2580</f>
        <v>1924999.9999999998</v>
      </c>
      <c r="R2580" s="16">
        <f>'Financial Inputs'!$B$7</f>
        <v>0.35</v>
      </c>
      <c r="S2580" s="17">
        <f>Q2580*(1-R2580)</f>
        <v>1251250</v>
      </c>
      <c r="T2580" s="18">
        <f>S2580/'Financial Inputs'!$B$3</f>
        <v>1.2512499999999999E-2</v>
      </c>
      <c r="U2580" s="9" t="s">
        <v>52</v>
      </c>
      <c r="V2580" s="3" t="s">
        <v>53</v>
      </c>
    </row>
    <row r="2581" spans="1:22">
      <c r="A2581" s="2" t="s">
        <v>7993</v>
      </c>
      <c r="B2581" s="2" t="s">
        <v>7994</v>
      </c>
      <c r="C2581" s="2" t="s">
        <v>95</v>
      </c>
      <c r="D2581" s="2" t="s">
        <v>102</v>
      </c>
      <c r="E2581" s="2" t="s">
        <v>128</v>
      </c>
      <c r="F2581" s="2" t="s">
        <v>97</v>
      </c>
      <c r="G2581" s="2" t="s">
        <v>83</v>
      </c>
      <c r="H2581" s="2" t="s">
        <v>498</v>
      </c>
      <c r="I2581" s="2" t="s">
        <v>499</v>
      </c>
      <c r="J2581" s="2" t="s">
        <v>7756</v>
      </c>
      <c r="K2581" s="2" t="s">
        <v>7995</v>
      </c>
      <c r="L2581" s="2" t="s">
        <v>414</v>
      </c>
      <c r="M2581" s="2" t="s">
        <v>7758</v>
      </c>
      <c r="N2581" s="16">
        <v>3.0000000000000009E-2</v>
      </c>
      <c r="O2581" s="17">
        <f>N2581*'Financial Inputs'!$B$3</f>
        <v>3000000.0000000009</v>
      </c>
      <c r="P2581" s="18">
        <f>IF(I2581="L",'Financial Inputs'!$B$4,IF(I2581="M",'Financial Inputs'!$B$5,'Financial Inputs'!$B$6))</f>
        <v>0.7</v>
      </c>
      <c r="Q2581" s="17">
        <f>O2581*P2581</f>
        <v>2100000.0000000005</v>
      </c>
      <c r="R2581" s="16">
        <f>'Financial Inputs'!$B$7</f>
        <v>0.35</v>
      </c>
      <c r="S2581" s="17">
        <f>Q2581*(1-R2581)</f>
        <v>1365000.0000000005</v>
      </c>
      <c r="T2581" s="18">
        <f>S2581/'Financial Inputs'!$B$3</f>
        <v>1.3650000000000004E-2</v>
      </c>
      <c r="U2581" s="9" t="s">
        <v>52</v>
      </c>
      <c r="V2581" s="3" t="s">
        <v>53</v>
      </c>
    </row>
    <row r="2582" spans="1:22">
      <c r="A2582" s="2" t="s">
        <v>7996</v>
      </c>
      <c r="B2582" s="2" t="s">
        <v>7997</v>
      </c>
      <c r="C2582" s="2" t="s">
        <v>95</v>
      </c>
      <c r="D2582" s="2" t="s">
        <v>64</v>
      </c>
      <c r="E2582" s="2" t="s">
        <v>81</v>
      </c>
      <c r="F2582" s="2" t="s">
        <v>74</v>
      </c>
      <c r="G2582" s="2" t="s">
        <v>67</v>
      </c>
      <c r="H2582" s="2" t="s">
        <v>498</v>
      </c>
      <c r="I2582" s="2" t="s">
        <v>499</v>
      </c>
      <c r="J2582" s="2" t="s">
        <v>7756</v>
      </c>
      <c r="K2582" s="2" t="s">
        <v>7998</v>
      </c>
      <c r="L2582" s="2" t="s">
        <v>418</v>
      </c>
      <c r="M2582" s="2" t="s">
        <v>7758</v>
      </c>
      <c r="N2582" s="16">
        <v>0.02</v>
      </c>
      <c r="O2582" s="17">
        <f>N2582*'Financial Inputs'!$B$3</f>
        <v>2000000</v>
      </c>
      <c r="P2582" s="18">
        <f>IF(I2582="L",'Financial Inputs'!$B$4,IF(I2582="M",'Financial Inputs'!$B$5,'Financial Inputs'!$B$6))</f>
        <v>0.7</v>
      </c>
      <c r="Q2582" s="17">
        <f>O2582*P2582</f>
        <v>1400000</v>
      </c>
      <c r="R2582" s="16">
        <f>'Financial Inputs'!$B$7</f>
        <v>0.35</v>
      </c>
      <c r="S2582" s="17">
        <f>Q2582*(1-R2582)</f>
        <v>910000</v>
      </c>
      <c r="T2582" s="18">
        <f>S2582/'Financial Inputs'!$B$3</f>
        <v>9.1000000000000004E-3</v>
      </c>
      <c r="U2582" s="9" t="s">
        <v>52</v>
      </c>
      <c r="V2582" s="3" t="s">
        <v>53</v>
      </c>
    </row>
    <row r="2583" spans="1:22">
      <c r="A2583" s="2" t="s">
        <v>7999</v>
      </c>
      <c r="B2583" s="2" t="s">
        <v>8000</v>
      </c>
      <c r="C2583" s="2" t="s">
        <v>95</v>
      </c>
      <c r="D2583" s="2" t="s">
        <v>72</v>
      </c>
      <c r="E2583" s="2" t="s">
        <v>193</v>
      </c>
      <c r="F2583" s="2" t="s">
        <v>82</v>
      </c>
      <c r="G2583" s="2" t="s">
        <v>75</v>
      </c>
      <c r="H2583" s="2" t="s">
        <v>498</v>
      </c>
      <c r="I2583" s="2" t="s">
        <v>499</v>
      </c>
      <c r="J2583" s="2" t="s">
        <v>7756</v>
      </c>
      <c r="K2583" s="2" t="s">
        <v>8001</v>
      </c>
      <c r="L2583" s="2" t="s">
        <v>422</v>
      </c>
      <c r="M2583" s="2" t="s">
        <v>7758</v>
      </c>
      <c r="N2583" s="16">
        <v>2.2499999999999999E-2</v>
      </c>
      <c r="O2583" s="17">
        <f>N2583*'Financial Inputs'!$B$3</f>
        <v>2250000</v>
      </c>
      <c r="P2583" s="18">
        <f>IF(I2583="L",'Financial Inputs'!$B$4,IF(I2583="M",'Financial Inputs'!$B$5,'Financial Inputs'!$B$6))</f>
        <v>0.7</v>
      </c>
      <c r="Q2583" s="17">
        <f>O2583*P2583</f>
        <v>1575000</v>
      </c>
      <c r="R2583" s="16">
        <f>'Financial Inputs'!$B$7</f>
        <v>0.35</v>
      </c>
      <c r="S2583" s="17">
        <f>Q2583*(1-R2583)</f>
        <v>1023750</v>
      </c>
      <c r="T2583" s="18">
        <f>S2583/'Financial Inputs'!$B$3</f>
        <v>1.02375E-2</v>
      </c>
      <c r="U2583" s="9" t="s">
        <v>52</v>
      </c>
      <c r="V2583" s="3" t="s">
        <v>53</v>
      </c>
    </row>
    <row r="2584" spans="1:22">
      <c r="A2584" s="2" t="s">
        <v>8002</v>
      </c>
      <c r="B2584" s="2" t="s">
        <v>8003</v>
      </c>
      <c r="C2584" s="2" t="s">
        <v>95</v>
      </c>
      <c r="D2584" s="2" t="s">
        <v>80</v>
      </c>
      <c r="E2584" s="2" t="s">
        <v>198</v>
      </c>
      <c r="F2584" s="2" t="s">
        <v>44</v>
      </c>
      <c r="G2584" s="2" t="s">
        <v>83</v>
      </c>
      <c r="H2584" s="2" t="s">
        <v>498</v>
      </c>
      <c r="I2584" s="2" t="s">
        <v>499</v>
      </c>
      <c r="J2584" s="2" t="s">
        <v>7756</v>
      </c>
      <c r="K2584" s="2" t="s">
        <v>8004</v>
      </c>
      <c r="L2584" s="2" t="s">
        <v>426</v>
      </c>
      <c r="M2584" s="2" t="s">
        <v>7758</v>
      </c>
      <c r="N2584" s="16">
        <v>2.5000000000000001E-2</v>
      </c>
      <c r="O2584" s="17">
        <f>N2584*'Financial Inputs'!$B$3</f>
        <v>2500000</v>
      </c>
      <c r="P2584" s="18">
        <f>IF(I2584="L",'Financial Inputs'!$B$4,IF(I2584="M",'Financial Inputs'!$B$5,'Financial Inputs'!$B$6))</f>
        <v>0.7</v>
      </c>
      <c r="Q2584" s="17">
        <f>O2584*P2584</f>
        <v>1750000</v>
      </c>
      <c r="R2584" s="16">
        <f>'Financial Inputs'!$B$7</f>
        <v>0.35</v>
      </c>
      <c r="S2584" s="17">
        <f>Q2584*(1-R2584)</f>
        <v>1137500</v>
      </c>
      <c r="T2584" s="18">
        <f>S2584/'Financial Inputs'!$B$3</f>
        <v>1.1375E-2</v>
      </c>
      <c r="U2584" s="9" t="s">
        <v>52</v>
      </c>
      <c r="V2584" s="3" t="s">
        <v>53</v>
      </c>
    </row>
    <row r="2585" spans="1:22">
      <c r="A2585" s="2" t="s">
        <v>8005</v>
      </c>
      <c r="B2585" s="2" t="s">
        <v>8006</v>
      </c>
      <c r="C2585" s="2" t="s">
        <v>95</v>
      </c>
      <c r="D2585" s="2" t="s">
        <v>127</v>
      </c>
      <c r="E2585" s="2" t="s">
        <v>148</v>
      </c>
      <c r="F2585" s="2" t="s">
        <v>58</v>
      </c>
      <c r="G2585" s="2" t="s">
        <v>111</v>
      </c>
      <c r="H2585" s="2" t="s">
        <v>498</v>
      </c>
      <c r="I2585" s="2" t="s">
        <v>499</v>
      </c>
      <c r="J2585" s="2" t="s">
        <v>7756</v>
      </c>
      <c r="K2585" s="2" t="s">
        <v>8007</v>
      </c>
      <c r="L2585" s="2" t="s">
        <v>430</v>
      </c>
      <c r="M2585" s="2" t="s">
        <v>7758</v>
      </c>
      <c r="N2585" s="16">
        <v>2.75E-2</v>
      </c>
      <c r="O2585" s="17">
        <f>N2585*'Financial Inputs'!$B$3</f>
        <v>2750000</v>
      </c>
      <c r="P2585" s="18">
        <f>IF(I2585="L",'Financial Inputs'!$B$4,IF(I2585="M",'Financial Inputs'!$B$5,'Financial Inputs'!$B$6))</f>
        <v>0.7</v>
      </c>
      <c r="Q2585" s="17">
        <f>O2585*P2585</f>
        <v>1924999.9999999998</v>
      </c>
      <c r="R2585" s="16">
        <f>'Financial Inputs'!$B$7</f>
        <v>0.35</v>
      </c>
      <c r="S2585" s="17">
        <f>Q2585*(1-R2585)</f>
        <v>1251250</v>
      </c>
      <c r="T2585" s="18">
        <f>S2585/'Financial Inputs'!$B$3</f>
        <v>1.2512499999999999E-2</v>
      </c>
      <c r="U2585" s="9" t="s">
        <v>52</v>
      </c>
      <c r="V2585" s="3" t="s">
        <v>53</v>
      </c>
    </row>
    <row r="2586" spans="1:22">
      <c r="A2586" s="2" t="s">
        <v>8008</v>
      </c>
      <c r="B2586" s="2" t="s">
        <v>8009</v>
      </c>
      <c r="C2586" s="2" t="s">
        <v>95</v>
      </c>
      <c r="D2586" s="2" t="s">
        <v>133</v>
      </c>
      <c r="E2586" s="2" t="s">
        <v>153</v>
      </c>
      <c r="F2586" s="2" t="s">
        <v>66</v>
      </c>
      <c r="G2586" s="2" t="s">
        <v>56</v>
      </c>
      <c r="H2586" s="2" t="s">
        <v>498</v>
      </c>
      <c r="I2586" s="2" t="s">
        <v>499</v>
      </c>
      <c r="J2586" s="2" t="s">
        <v>7756</v>
      </c>
      <c r="K2586" s="2" t="s">
        <v>8010</v>
      </c>
      <c r="L2586" s="2" t="s">
        <v>434</v>
      </c>
      <c r="M2586" s="2" t="s">
        <v>7758</v>
      </c>
      <c r="N2586" s="16">
        <v>3.0000000000000009E-2</v>
      </c>
      <c r="O2586" s="17">
        <f>N2586*'Financial Inputs'!$B$3</f>
        <v>3000000.0000000009</v>
      </c>
      <c r="P2586" s="18">
        <f>IF(I2586="L",'Financial Inputs'!$B$4,IF(I2586="M",'Financial Inputs'!$B$5,'Financial Inputs'!$B$6))</f>
        <v>0.7</v>
      </c>
      <c r="Q2586" s="17">
        <f>O2586*P2586</f>
        <v>2100000.0000000005</v>
      </c>
      <c r="R2586" s="16">
        <f>'Financial Inputs'!$B$7</f>
        <v>0.35</v>
      </c>
      <c r="S2586" s="17">
        <f>Q2586*(1-R2586)</f>
        <v>1365000.0000000005</v>
      </c>
      <c r="T2586" s="18">
        <f>S2586/'Financial Inputs'!$B$3</f>
        <v>1.3650000000000004E-2</v>
      </c>
      <c r="U2586" s="9" t="s">
        <v>52</v>
      </c>
      <c r="V2586" s="3" t="s">
        <v>53</v>
      </c>
    </row>
    <row r="2587" spans="1:22">
      <c r="A2587" s="2" t="s">
        <v>8011</v>
      </c>
      <c r="B2587" s="2" t="s">
        <v>8012</v>
      </c>
      <c r="C2587" s="2" t="s">
        <v>95</v>
      </c>
      <c r="D2587" s="2" t="s">
        <v>102</v>
      </c>
      <c r="E2587" s="2" t="s">
        <v>116</v>
      </c>
      <c r="F2587" s="2" t="s">
        <v>110</v>
      </c>
      <c r="G2587" s="2" t="s">
        <v>83</v>
      </c>
      <c r="H2587" s="2" t="s">
        <v>498</v>
      </c>
      <c r="I2587" s="2" t="s">
        <v>499</v>
      </c>
      <c r="J2587" s="2" t="s">
        <v>7756</v>
      </c>
      <c r="K2587" s="2" t="s">
        <v>8013</v>
      </c>
      <c r="L2587" s="2" t="s">
        <v>438</v>
      </c>
      <c r="M2587" s="2" t="s">
        <v>7758</v>
      </c>
      <c r="N2587" s="16">
        <v>0.02</v>
      </c>
      <c r="O2587" s="17">
        <f>N2587*'Financial Inputs'!$B$3</f>
        <v>2000000</v>
      </c>
      <c r="P2587" s="18">
        <f>IF(I2587="L",'Financial Inputs'!$B$4,IF(I2587="M",'Financial Inputs'!$B$5,'Financial Inputs'!$B$6))</f>
        <v>0.7</v>
      </c>
      <c r="Q2587" s="17">
        <f>O2587*P2587</f>
        <v>1400000</v>
      </c>
      <c r="R2587" s="16">
        <f>'Financial Inputs'!$B$7</f>
        <v>0.35</v>
      </c>
      <c r="S2587" s="17">
        <f>Q2587*(1-R2587)</f>
        <v>910000</v>
      </c>
      <c r="T2587" s="18">
        <f>S2587/'Financial Inputs'!$B$3</f>
        <v>9.1000000000000004E-3</v>
      </c>
      <c r="U2587" s="9" t="s">
        <v>52</v>
      </c>
      <c r="V2587" s="3" t="s">
        <v>53</v>
      </c>
    </row>
    <row r="2588" spans="1:22">
      <c r="A2588" s="2" t="s">
        <v>8014</v>
      </c>
      <c r="B2588" s="2" t="s">
        <v>8015</v>
      </c>
      <c r="C2588" s="2" t="s">
        <v>95</v>
      </c>
      <c r="D2588" s="2" t="s">
        <v>42</v>
      </c>
      <c r="E2588" s="2" t="s">
        <v>215</v>
      </c>
      <c r="F2588" s="2" t="s">
        <v>117</v>
      </c>
      <c r="G2588" s="2" t="s">
        <v>111</v>
      </c>
      <c r="H2588" s="2" t="s">
        <v>498</v>
      </c>
      <c r="I2588" s="2" t="s">
        <v>499</v>
      </c>
      <c r="J2588" s="2" t="s">
        <v>7756</v>
      </c>
      <c r="K2588" s="2" t="s">
        <v>8016</v>
      </c>
      <c r="L2588" s="2" t="s">
        <v>442</v>
      </c>
      <c r="M2588" s="2" t="s">
        <v>7758</v>
      </c>
      <c r="N2588" s="16">
        <v>2.2499999999999999E-2</v>
      </c>
      <c r="O2588" s="17">
        <f>N2588*'Financial Inputs'!$B$3</f>
        <v>2250000</v>
      </c>
      <c r="P2588" s="18">
        <f>IF(I2588="L",'Financial Inputs'!$B$4,IF(I2588="M",'Financial Inputs'!$B$5,'Financial Inputs'!$B$6))</f>
        <v>0.7</v>
      </c>
      <c r="Q2588" s="17">
        <f>O2588*P2588</f>
        <v>1575000</v>
      </c>
      <c r="R2588" s="16">
        <f>'Financial Inputs'!$B$7</f>
        <v>0.35</v>
      </c>
      <c r="S2588" s="17">
        <f>Q2588*(1-R2588)</f>
        <v>1023750</v>
      </c>
      <c r="T2588" s="18">
        <f>S2588/'Financial Inputs'!$B$3</f>
        <v>1.02375E-2</v>
      </c>
      <c r="U2588" s="9" t="s">
        <v>52</v>
      </c>
      <c r="V2588" s="3" t="s">
        <v>53</v>
      </c>
    </row>
    <row r="2589" spans="1:22">
      <c r="A2589" s="2" t="s">
        <v>8017</v>
      </c>
      <c r="B2589" s="2" t="s">
        <v>8018</v>
      </c>
      <c r="C2589" s="2" t="s">
        <v>95</v>
      </c>
      <c r="D2589" s="2" t="s">
        <v>56</v>
      </c>
      <c r="E2589" s="2" t="s">
        <v>220</v>
      </c>
      <c r="F2589" s="2" t="s">
        <v>90</v>
      </c>
      <c r="G2589" s="2" t="s">
        <v>56</v>
      </c>
      <c r="H2589" s="2" t="s">
        <v>498</v>
      </c>
      <c r="I2589" s="2" t="s">
        <v>499</v>
      </c>
      <c r="J2589" s="2" t="s">
        <v>7756</v>
      </c>
      <c r="K2589" s="2" t="s">
        <v>8019</v>
      </c>
      <c r="L2589" s="2" t="s">
        <v>446</v>
      </c>
      <c r="M2589" s="2" t="s">
        <v>7758</v>
      </c>
      <c r="N2589" s="16">
        <v>2.5000000000000001E-2</v>
      </c>
      <c r="O2589" s="17">
        <f>N2589*'Financial Inputs'!$B$3</f>
        <v>2500000</v>
      </c>
      <c r="P2589" s="18">
        <f>IF(I2589="L",'Financial Inputs'!$B$4,IF(I2589="M",'Financial Inputs'!$B$5,'Financial Inputs'!$B$6))</f>
        <v>0.7</v>
      </c>
      <c r="Q2589" s="17">
        <f>O2589*P2589</f>
        <v>1750000</v>
      </c>
      <c r="R2589" s="16">
        <f>'Financial Inputs'!$B$7</f>
        <v>0.35</v>
      </c>
      <c r="S2589" s="17">
        <f>Q2589*(1-R2589)</f>
        <v>1137500</v>
      </c>
      <c r="T2589" s="18">
        <f>S2589/'Financial Inputs'!$B$3</f>
        <v>1.1375E-2</v>
      </c>
      <c r="U2589" s="9" t="s">
        <v>52</v>
      </c>
      <c r="V2589" s="3" t="s">
        <v>53</v>
      </c>
    </row>
    <row r="2590" spans="1:22">
      <c r="A2590" s="2" t="s">
        <v>8020</v>
      </c>
      <c r="B2590" s="2" t="s">
        <v>8021</v>
      </c>
      <c r="C2590" s="2" t="s">
        <v>95</v>
      </c>
      <c r="D2590" s="2" t="s">
        <v>64</v>
      </c>
      <c r="E2590" s="2" t="s">
        <v>171</v>
      </c>
      <c r="F2590" s="2" t="s">
        <v>97</v>
      </c>
      <c r="G2590" s="2" t="s">
        <v>138</v>
      </c>
      <c r="H2590" s="2" t="s">
        <v>498</v>
      </c>
      <c r="I2590" s="2" t="s">
        <v>499</v>
      </c>
      <c r="J2590" s="2" t="s">
        <v>7756</v>
      </c>
      <c r="K2590" s="2" t="s">
        <v>8022</v>
      </c>
      <c r="L2590" s="2" t="s">
        <v>450</v>
      </c>
      <c r="M2590" s="2" t="s">
        <v>7758</v>
      </c>
      <c r="N2590" s="16">
        <v>2.75E-2</v>
      </c>
      <c r="O2590" s="17">
        <f>N2590*'Financial Inputs'!$B$3</f>
        <v>2750000</v>
      </c>
      <c r="P2590" s="18">
        <f>IF(I2590="L",'Financial Inputs'!$B$4,IF(I2590="M",'Financial Inputs'!$B$5,'Financial Inputs'!$B$6))</f>
        <v>0.7</v>
      </c>
      <c r="Q2590" s="17">
        <f>O2590*P2590</f>
        <v>1924999.9999999998</v>
      </c>
      <c r="R2590" s="16">
        <f>'Financial Inputs'!$B$7</f>
        <v>0.35</v>
      </c>
      <c r="S2590" s="17">
        <f>Q2590*(1-R2590)</f>
        <v>1251250</v>
      </c>
      <c r="T2590" s="18">
        <f>S2590/'Financial Inputs'!$B$3</f>
        <v>1.2512499999999999E-2</v>
      </c>
      <c r="U2590" s="9" t="s">
        <v>52</v>
      </c>
      <c r="V2590" s="3" t="s">
        <v>53</v>
      </c>
    </row>
    <row r="2591" spans="1:22">
      <c r="A2591" s="2" t="s">
        <v>8023</v>
      </c>
      <c r="B2591" s="2" t="s">
        <v>8024</v>
      </c>
      <c r="C2591" s="2" t="s">
        <v>95</v>
      </c>
      <c r="D2591" s="2" t="s">
        <v>72</v>
      </c>
      <c r="E2591" s="2" t="s">
        <v>176</v>
      </c>
      <c r="F2591" s="2" t="s">
        <v>104</v>
      </c>
      <c r="G2591" s="2" t="s">
        <v>143</v>
      </c>
      <c r="H2591" s="2" t="s">
        <v>498</v>
      </c>
      <c r="I2591" s="2" t="s">
        <v>499</v>
      </c>
      <c r="J2591" s="2" t="s">
        <v>7756</v>
      </c>
      <c r="K2591" s="2" t="s">
        <v>8025</v>
      </c>
      <c r="L2591" s="2" t="s">
        <v>454</v>
      </c>
      <c r="M2591" s="2" t="s">
        <v>7758</v>
      </c>
      <c r="N2591" s="16">
        <v>3.0000000000000009E-2</v>
      </c>
      <c r="O2591" s="17">
        <f>N2591*'Financial Inputs'!$B$3</f>
        <v>3000000.0000000009</v>
      </c>
      <c r="P2591" s="18">
        <f>IF(I2591="L",'Financial Inputs'!$B$4,IF(I2591="M",'Financial Inputs'!$B$5,'Financial Inputs'!$B$6))</f>
        <v>0.7</v>
      </c>
      <c r="Q2591" s="17">
        <f>O2591*P2591</f>
        <v>2100000.0000000005</v>
      </c>
      <c r="R2591" s="16">
        <f>'Financial Inputs'!$B$7</f>
        <v>0.35</v>
      </c>
      <c r="S2591" s="17">
        <f>Q2591*(1-R2591)</f>
        <v>1365000.0000000005</v>
      </c>
      <c r="T2591" s="18">
        <f>S2591/'Financial Inputs'!$B$3</f>
        <v>1.3650000000000004E-2</v>
      </c>
      <c r="U2591" s="9" t="s">
        <v>52</v>
      </c>
      <c r="V2591" s="3" t="s">
        <v>53</v>
      </c>
    </row>
    <row r="2592" spans="1:22">
      <c r="A2592" s="2" t="s">
        <v>8026</v>
      </c>
      <c r="B2592" s="2" t="s">
        <v>8027</v>
      </c>
      <c r="C2592" s="2" t="s">
        <v>95</v>
      </c>
      <c r="D2592" s="2" t="s">
        <v>133</v>
      </c>
      <c r="E2592" s="2" t="s">
        <v>65</v>
      </c>
      <c r="F2592" s="2" t="s">
        <v>82</v>
      </c>
      <c r="G2592" s="2" t="s">
        <v>56</v>
      </c>
      <c r="H2592" s="2" t="s">
        <v>498</v>
      </c>
      <c r="I2592" s="2" t="s">
        <v>499</v>
      </c>
      <c r="J2592" s="2" t="s">
        <v>7756</v>
      </c>
      <c r="K2592" s="2" t="s">
        <v>8028</v>
      </c>
      <c r="L2592" s="2" t="s">
        <v>458</v>
      </c>
      <c r="M2592" s="2" t="s">
        <v>7758</v>
      </c>
      <c r="N2592" s="16">
        <v>0.02</v>
      </c>
      <c r="O2592" s="17">
        <f>N2592*'Financial Inputs'!$B$3</f>
        <v>2000000</v>
      </c>
      <c r="P2592" s="18">
        <f>IF(I2592="L",'Financial Inputs'!$B$4,IF(I2592="M",'Financial Inputs'!$B$5,'Financial Inputs'!$B$6))</f>
        <v>0.7</v>
      </c>
      <c r="Q2592" s="17">
        <f>O2592*P2592</f>
        <v>1400000</v>
      </c>
      <c r="R2592" s="16">
        <f>'Financial Inputs'!$B$7</f>
        <v>0.35</v>
      </c>
      <c r="S2592" s="17">
        <f>Q2592*(1-R2592)</f>
        <v>910000</v>
      </c>
      <c r="T2592" s="18">
        <f>S2592/'Financial Inputs'!$B$3</f>
        <v>9.1000000000000004E-3</v>
      </c>
      <c r="U2592" s="9" t="s">
        <v>52</v>
      </c>
      <c r="V2592" s="3" t="s">
        <v>53</v>
      </c>
    </row>
    <row r="2593" spans="1:22">
      <c r="A2593" s="2" t="s">
        <v>8029</v>
      </c>
      <c r="B2593" s="2" t="s">
        <v>8030</v>
      </c>
      <c r="C2593" s="2" t="s">
        <v>95</v>
      </c>
      <c r="D2593" s="2" t="s">
        <v>88</v>
      </c>
      <c r="E2593" s="2" t="s">
        <v>73</v>
      </c>
      <c r="F2593" s="2" t="s">
        <v>44</v>
      </c>
      <c r="G2593" s="2" t="s">
        <v>138</v>
      </c>
      <c r="H2593" s="2" t="s">
        <v>498</v>
      </c>
      <c r="I2593" s="2" t="s">
        <v>499</v>
      </c>
      <c r="J2593" s="2" t="s">
        <v>7756</v>
      </c>
      <c r="K2593" s="2" t="s">
        <v>8031</v>
      </c>
      <c r="L2593" s="2" t="s">
        <v>462</v>
      </c>
      <c r="M2593" s="2" t="s">
        <v>7758</v>
      </c>
      <c r="N2593" s="16">
        <v>2.2499999999999999E-2</v>
      </c>
      <c r="O2593" s="17">
        <f>N2593*'Financial Inputs'!$B$3</f>
        <v>2250000</v>
      </c>
      <c r="P2593" s="18">
        <f>IF(I2593="L",'Financial Inputs'!$B$4,IF(I2593="M",'Financial Inputs'!$B$5,'Financial Inputs'!$B$6))</f>
        <v>0.7</v>
      </c>
      <c r="Q2593" s="17">
        <f>O2593*P2593</f>
        <v>1575000</v>
      </c>
      <c r="R2593" s="16">
        <f>'Financial Inputs'!$B$7</f>
        <v>0.35</v>
      </c>
      <c r="S2593" s="17">
        <f>Q2593*(1-R2593)</f>
        <v>1023750</v>
      </c>
      <c r="T2593" s="18">
        <f>S2593/'Financial Inputs'!$B$3</f>
        <v>1.02375E-2</v>
      </c>
      <c r="U2593" s="9" t="s">
        <v>52</v>
      </c>
      <c r="V2593" s="3" t="s">
        <v>53</v>
      </c>
    </row>
    <row r="2594" spans="1:22">
      <c r="A2594" s="2" t="s">
        <v>8032</v>
      </c>
      <c r="B2594" s="2" t="s">
        <v>8033</v>
      </c>
      <c r="C2594" s="2" t="s">
        <v>95</v>
      </c>
      <c r="D2594" s="2" t="s">
        <v>95</v>
      </c>
      <c r="E2594" s="2" t="s">
        <v>81</v>
      </c>
      <c r="F2594" s="2" t="s">
        <v>58</v>
      </c>
      <c r="G2594" s="2" t="s">
        <v>143</v>
      </c>
      <c r="H2594" s="2" t="s">
        <v>498</v>
      </c>
      <c r="I2594" s="2" t="s">
        <v>499</v>
      </c>
      <c r="J2594" s="2" t="s">
        <v>7756</v>
      </c>
      <c r="K2594" s="2" t="s">
        <v>8034</v>
      </c>
      <c r="L2594" s="2" t="s">
        <v>466</v>
      </c>
      <c r="M2594" s="2" t="s">
        <v>7758</v>
      </c>
      <c r="N2594" s="16">
        <v>2.5000000000000001E-2</v>
      </c>
      <c r="O2594" s="17">
        <f>N2594*'Financial Inputs'!$B$3</f>
        <v>2500000</v>
      </c>
      <c r="P2594" s="18">
        <f>IF(I2594="L",'Financial Inputs'!$B$4,IF(I2594="M",'Financial Inputs'!$B$5,'Financial Inputs'!$B$6))</f>
        <v>0.7</v>
      </c>
      <c r="Q2594" s="17">
        <f>O2594*P2594</f>
        <v>1750000</v>
      </c>
      <c r="R2594" s="16">
        <f>'Financial Inputs'!$B$7</f>
        <v>0.35</v>
      </c>
      <c r="S2594" s="17">
        <f>Q2594*(1-R2594)</f>
        <v>1137500</v>
      </c>
      <c r="T2594" s="18">
        <f>S2594/'Financial Inputs'!$B$3</f>
        <v>1.1375E-2</v>
      </c>
      <c r="U2594" s="9" t="s">
        <v>52</v>
      </c>
      <c r="V2594" s="3" t="s">
        <v>53</v>
      </c>
    </row>
    <row r="2595" spans="1:22">
      <c r="A2595" s="2" t="s">
        <v>8035</v>
      </c>
      <c r="B2595" s="2" t="s">
        <v>8036</v>
      </c>
      <c r="C2595" s="2" t="s">
        <v>95</v>
      </c>
      <c r="D2595" s="2" t="s">
        <v>102</v>
      </c>
      <c r="E2595" s="2" t="s">
        <v>193</v>
      </c>
      <c r="F2595" s="2" t="s">
        <v>66</v>
      </c>
      <c r="G2595" s="2" t="s">
        <v>162</v>
      </c>
      <c r="H2595" s="2" t="s">
        <v>498</v>
      </c>
      <c r="I2595" s="2" t="s">
        <v>499</v>
      </c>
      <c r="J2595" s="2" t="s">
        <v>7756</v>
      </c>
      <c r="K2595" s="2" t="s">
        <v>8037</v>
      </c>
      <c r="L2595" s="2" t="s">
        <v>470</v>
      </c>
      <c r="M2595" s="2" t="s">
        <v>7758</v>
      </c>
      <c r="N2595" s="16">
        <v>2.75E-2</v>
      </c>
      <c r="O2595" s="17">
        <f>N2595*'Financial Inputs'!$B$3</f>
        <v>2750000</v>
      </c>
      <c r="P2595" s="18">
        <f>IF(I2595="L",'Financial Inputs'!$B$4,IF(I2595="M",'Financial Inputs'!$B$5,'Financial Inputs'!$B$6))</f>
        <v>0.7</v>
      </c>
      <c r="Q2595" s="17">
        <f>O2595*P2595</f>
        <v>1924999.9999999998</v>
      </c>
      <c r="R2595" s="16">
        <f>'Financial Inputs'!$B$7</f>
        <v>0.35</v>
      </c>
      <c r="S2595" s="17">
        <f>Q2595*(1-R2595)</f>
        <v>1251250</v>
      </c>
      <c r="T2595" s="18">
        <f>S2595/'Financial Inputs'!$B$3</f>
        <v>1.2512499999999999E-2</v>
      </c>
      <c r="U2595" s="9" t="s">
        <v>52</v>
      </c>
      <c r="V2595" s="3" t="s">
        <v>53</v>
      </c>
    </row>
    <row r="2596" spans="1:22">
      <c r="A2596" s="2" t="s">
        <v>8038</v>
      </c>
      <c r="B2596" s="2" t="s">
        <v>8039</v>
      </c>
      <c r="C2596" s="2" t="s">
        <v>95</v>
      </c>
      <c r="D2596" s="2" t="s">
        <v>42</v>
      </c>
      <c r="E2596" s="2" t="s">
        <v>198</v>
      </c>
      <c r="F2596" s="2" t="s">
        <v>74</v>
      </c>
      <c r="G2596" s="2" t="s">
        <v>45</v>
      </c>
      <c r="H2596" s="2" t="s">
        <v>498</v>
      </c>
      <c r="I2596" s="2" t="s">
        <v>499</v>
      </c>
      <c r="J2596" s="2" t="s">
        <v>7756</v>
      </c>
      <c r="K2596" s="2" t="s">
        <v>8040</v>
      </c>
      <c r="L2596" s="2" t="s">
        <v>474</v>
      </c>
      <c r="M2596" s="2" t="s">
        <v>7758</v>
      </c>
      <c r="N2596" s="16">
        <v>3.0000000000000009E-2</v>
      </c>
      <c r="O2596" s="17">
        <f>N2596*'Financial Inputs'!$B$3</f>
        <v>3000000.0000000009</v>
      </c>
      <c r="P2596" s="18">
        <f>IF(I2596="L",'Financial Inputs'!$B$4,IF(I2596="M",'Financial Inputs'!$B$5,'Financial Inputs'!$B$6))</f>
        <v>0.7</v>
      </c>
      <c r="Q2596" s="17">
        <f>O2596*P2596</f>
        <v>2100000.0000000005</v>
      </c>
      <c r="R2596" s="16">
        <f>'Financial Inputs'!$B$7</f>
        <v>0.35</v>
      </c>
      <c r="S2596" s="17">
        <f>Q2596*(1-R2596)</f>
        <v>1365000.0000000005</v>
      </c>
      <c r="T2596" s="18">
        <f>S2596/'Financial Inputs'!$B$3</f>
        <v>1.3650000000000004E-2</v>
      </c>
      <c r="U2596" s="9" t="s">
        <v>52</v>
      </c>
      <c r="V2596" s="3" t="s">
        <v>53</v>
      </c>
    </row>
    <row r="2597" spans="1:22">
      <c r="A2597" s="2" t="s">
        <v>8041</v>
      </c>
      <c r="B2597" s="2" t="s">
        <v>8042</v>
      </c>
      <c r="C2597" s="2" t="s">
        <v>95</v>
      </c>
      <c r="D2597" s="2" t="s">
        <v>72</v>
      </c>
      <c r="E2597" s="2" t="s">
        <v>103</v>
      </c>
      <c r="F2597" s="2" t="s">
        <v>117</v>
      </c>
      <c r="G2597" s="2" t="s">
        <v>143</v>
      </c>
      <c r="H2597" s="2" t="s">
        <v>498</v>
      </c>
      <c r="I2597" s="2" t="s">
        <v>499</v>
      </c>
      <c r="J2597" s="2" t="s">
        <v>7756</v>
      </c>
      <c r="K2597" s="2" t="s">
        <v>8043</v>
      </c>
      <c r="L2597" s="2" t="s">
        <v>478</v>
      </c>
      <c r="M2597" s="2" t="s">
        <v>7758</v>
      </c>
      <c r="N2597" s="16">
        <v>0.02</v>
      </c>
      <c r="O2597" s="17">
        <f>N2597*'Financial Inputs'!$B$3</f>
        <v>2000000</v>
      </c>
      <c r="P2597" s="18">
        <f>IF(I2597="L",'Financial Inputs'!$B$4,IF(I2597="M",'Financial Inputs'!$B$5,'Financial Inputs'!$B$6))</f>
        <v>0.7</v>
      </c>
      <c r="Q2597" s="17">
        <f>O2597*P2597</f>
        <v>1400000</v>
      </c>
      <c r="R2597" s="16">
        <f>'Financial Inputs'!$B$7</f>
        <v>0.35</v>
      </c>
      <c r="S2597" s="17">
        <f>Q2597*(1-R2597)</f>
        <v>910000</v>
      </c>
      <c r="T2597" s="18">
        <f>S2597/'Financial Inputs'!$B$3</f>
        <v>9.1000000000000004E-3</v>
      </c>
      <c r="U2597" s="9" t="s">
        <v>52</v>
      </c>
      <c r="V2597" s="3" t="s">
        <v>53</v>
      </c>
    </row>
    <row r="2598" spans="1:22">
      <c r="A2598" s="2" t="s">
        <v>8044</v>
      </c>
      <c r="B2598" s="2" t="s">
        <v>8045</v>
      </c>
      <c r="C2598" s="2" t="s">
        <v>95</v>
      </c>
      <c r="D2598" s="2" t="s">
        <v>80</v>
      </c>
      <c r="E2598" s="2" t="s">
        <v>109</v>
      </c>
      <c r="F2598" s="2" t="s">
        <v>90</v>
      </c>
      <c r="G2598" s="2" t="s">
        <v>162</v>
      </c>
      <c r="H2598" s="2" t="s">
        <v>498</v>
      </c>
      <c r="I2598" s="2" t="s">
        <v>499</v>
      </c>
      <c r="J2598" s="2" t="s">
        <v>7756</v>
      </c>
      <c r="K2598" s="2" t="s">
        <v>8046</v>
      </c>
      <c r="L2598" s="2" t="s">
        <v>482</v>
      </c>
      <c r="M2598" s="2" t="s">
        <v>7758</v>
      </c>
      <c r="N2598" s="16">
        <v>2.2499999999999999E-2</v>
      </c>
      <c r="O2598" s="17">
        <f>N2598*'Financial Inputs'!$B$3</f>
        <v>2250000</v>
      </c>
      <c r="P2598" s="18">
        <f>IF(I2598="L",'Financial Inputs'!$B$4,IF(I2598="M",'Financial Inputs'!$B$5,'Financial Inputs'!$B$6))</f>
        <v>0.7</v>
      </c>
      <c r="Q2598" s="17">
        <f>O2598*P2598</f>
        <v>1575000</v>
      </c>
      <c r="R2598" s="16">
        <f>'Financial Inputs'!$B$7</f>
        <v>0.35</v>
      </c>
      <c r="S2598" s="17">
        <f>Q2598*(1-R2598)</f>
        <v>1023750</v>
      </c>
      <c r="T2598" s="18">
        <f>S2598/'Financial Inputs'!$B$3</f>
        <v>1.02375E-2</v>
      </c>
      <c r="U2598" s="9" t="s">
        <v>52</v>
      </c>
      <c r="V2598" s="3" t="s">
        <v>53</v>
      </c>
    </row>
    <row r="2599" spans="1:22">
      <c r="A2599" s="2" t="s">
        <v>8047</v>
      </c>
      <c r="B2599" s="2" t="s">
        <v>8048</v>
      </c>
      <c r="C2599" s="2" t="s">
        <v>95</v>
      </c>
      <c r="D2599" s="2" t="s">
        <v>127</v>
      </c>
      <c r="E2599" s="2" t="s">
        <v>116</v>
      </c>
      <c r="F2599" s="2" t="s">
        <v>97</v>
      </c>
      <c r="G2599" s="2" t="s">
        <v>45</v>
      </c>
      <c r="H2599" s="2" t="s">
        <v>498</v>
      </c>
      <c r="I2599" s="2" t="s">
        <v>499</v>
      </c>
      <c r="J2599" s="2" t="s">
        <v>7756</v>
      </c>
      <c r="K2599" s="2" t="s">
        <v>8049</v>
      </c>
      <c r="L2599" s="2" t="s">
        <v>486</v>
      </c>
      <c r="M2599" s="2" t="s">
        <v>7758</v>
      </c>
      <c r="N2599" s="16">
        <v>2.5000000000000001E-2</v>
      </c>
      <c r="O2599" s="17">
        <f>N2599*'Financial Inputs'!$B$3</f>
        <v>2500000</v>
      </c>
      <c r="P2599" s="18">
        <f>IF(I2599="L",'Financial Inputs'!$B$4,IF(I2599="M",'Financial Inputs'!$B$5,'Financial Inputs'!$B$6))</f>
        <v>0.7</v>
      </c>
      <c r="Q2599" s="17">
        <f>O2599*P2599</f>
        <v>1750000</v>
      </c>
      <c r="R2599" s="16">
        <f>'Financial Inputs'!$B$7</f>
        <v>0.35</v>
      </c>
      <c r="S2599" s="17">
        <f>Q2599*(1-R2599)</f>
        <v>1137500</v>
      </c>
      <c r="T2599" s="18">
        <f>S2599/'Financial Inputs'!$B$3</f>
        <v>1.1375E-2</v>
      </c>
      <c r="U2599" s="9" t="s">
        <v>52</v>
      </c>
      <c r="V2599" s="3" t="s">
        <v>53</v>
      </c>
    </row>
    <row r="2600" spans="1:22">
      <c r="A2600" s="2" t="s">
        <v>8050</v>
      </c>
      <c r="B2600" s="2" t="s">
        <v>8051</v>
      </c>
      <c r="C2600" s="2" t="s">
        <v>95</v>
      </c>
      <c r="D2600" s="2" t="s">
        <v>133</v>
      </c>
      <c r="E2600" s="2" t="s">
        <v>215</v>
      </c>
      <c r="F2600" s="2" t="s">
        <v>104</v>
      </c>
      <c r="G2600" s="2" t="s">
        <v>59</v>
      </c>
      <c r="H2600" s="2" t="s">
        <v>498</v>
      </c>
      <c r="I2600" s="2" t="s">
        <v>499</v>
      </c>
      <c r="J2600" s="2" t="s">
        <v>7756</v>
      </c>
      <c r="K2600" s="2" t="s">
        <v>8052</v>
      </c>
      <c r="L2600" s="2" t="s">
        <v>490</v>
      </c>
      <c r="M2600" s="2" t="s">
        <v>7758</v>
      </c>
      <c r="N2600" s="16">
        <v>2.75E-2</v>
      </c>
      <c r="O2600" s="17">
        <f>N2600*'Financial Inputs'!$B$3</f>
        <v>2750000</v>
      </c>
      <c r="P2600" s="18">
        <f>IF(I2600="L",'Financial Inputs'!$B$4,IF(I2600="M",'Financial Inputs'!$B$5,'Financial Inputs'!$B$6))</f>
        <v>0.7</v>
      </c>
      <c r="Q2600" s="17">
        <f>O2600*P2600</f>
        <v>1924999.9999999998</v>
      </c>
      <c r="R2600" s="16">
        <f>'Financial Inputs'!$B$7</f>
        <v>0.35</v>
      </c>
      <c r="S2600" s="17">
        <f>Q2600*(1-R2600)</f>
        <v>1251250</v>
      </c>
      <c r="T2600" s="18">
        <f>S2600/'Financial Inputs'!$B$3</f>
        <v>1.2512499999999999E-2</v>
      </c>
      <c r="U2600" s="9" t="s">
        <v>52</v>
      </c>
      <c r="V2600" s="3" t="s">
        <v>53</v>
      </c>
    </row>
    <row r="2601" spans="1:22">
      <c r="A2601" s="2" t="s">
        <v>8053</v>
      </c>
      <c r="B2601" s="2" t="s">
        <v>8054</v>
      </c>
      <c r="C2601" s="2" t="s">
        <v>95</v>
      </c>
      <c r="D2601" s="2" t="s">
        <v>88</v>
      </c>
      <c r="E2601" s="2" t="s">
        <v>220</v>
      </c>
      <c r="F2601" s="2" t="s">
        <v>110</v>
      </c>
      <c r="G2601" s="2" t="s">
        <v>67</v>
      </c>
      <c r="H2601" s="2" t="s">
        <v>498</v>
      </c>
      <c r="I2601" s="2" t="s">
        <v>499</v>
      </c>
      <c r="J2601" s="2" t="s">
        <v>7756</v>
      </c>
      <c r="K2601" s="2" t="s">
        <v>8055</v>
      </c>
      <c r="L2601" s="2" t="s">
        <v>494</v>
      </c>
      <c r="M2601" s="2" t="s">
        <v>7758</v>
      </c>
      <c r="N2601" s="16">
        <v>3.0000000000000009E-2</v>
      </c>
      <c r="O2601" s="17">
        <f>N2601*'Financial Inputs'!$B$3</f>
        <v>3000000.0000000009</v>
      </c>
      <c r="P2601" s="18">
        <f>IF(I2601="L",'Financial Inputs'!$B$4,IF(I2601="M",'Financial Inputs'!$B$5,'Financial Inputs'!$B$6))</f>
        <v>0.7</v>
      </c>
      <c r="Q2601" s="17">
        <f>O2601*P2601</f>
        <v>2100000.0000000005</v>
      </c>
      <c r="R2601" s="16">
        <f>'Financial Inputs'!$B$7</f>
        <v>0.35</v>
      </c>
      <c r="S2601" s="17">
        <f>Q2601*(1-R2601)</f>
        <v>1365000.0000000005</v>
      </c>
      <c r="T2601" s="18">
        <f>S2601/'Financial Inputs'!$B$3</f>
        <v>1.3650000000000004E-2</v>
      </c>
      <c r="U2601" s="9" t="s">
        <v>52</v>
      </c>
      <c r="V2601" s="3" t="s">
        <v>53</v>
      </c>
    </row>
    <row r="2602" spans="1:22">
      <c r="A2602" s="2" t="s">
        <v>8056</v>
      </c>
      <c r="B2602" s="2" t="s">
        <v>8057</v>
      </c>
      <c r="C2602" s="2" t="s">
        <v>8058</v>
      </c>
      <c r="D2602" s="2" t="s">
        <v>42</v>
      </c>
      <c r="E2602" s="2" t="s">
        <v>43</v>
      </c>
      <c r="F2602" s="2" t="s">
        <v>44</v>
      </c>
      <c r="G2602" s="2" t="s">
        <v>45</v>
      </c>
      <c r="H2602" s="2" t="s">
        <v>498</v>
      </c>
      <c r="I2602" s="2" t="s">
        <v>47</v>
      </c>
      <c r="J2602" s="2" t="s">
        <v>8059</v>
      </c>
      <c r="K2602" s="2" t="s">
        <v>8060</v>
      </c>
      <c r="L2602" s="2" t="s">
        <v>50</v>
      </c>
      <c r="M2602" s="2" t="s">
        <v>8061</v>
      </c>
      <c r="N2602" s="16">
        <v>1.44E-2</v>
      </c>
      <c r="O2602" s="17">
        <f>N2602*'Financial Inputs'!$B$3</f>
        <v>1440000</v>
      </c>
      <c r="P2602" s="18">
        <f>IF(I2602="L",'Financial Inputs'!$B$4,IF(I2602="M",'Financial Inputs'!$B$5,'Financial Inputs'!$B$6))</f>
        <v>0.4</v>
      </c>
      <c r="Q2602" s="17">
        <f>O2602*P2602</f>
        <v>576000</v>
      </c>
      <c r="R2602" s="16">
        <f>'Financial Inputs'!$B$7</f>
        <v>0.35</v>
      </c>
      <c r="S2602" s="17">
        <f>Q2602*(1-R2602)</f>
        <v>374400</v>
      </c>
      <c r="T2602" s="18">
        <f>S2602/'Financial Inputs'!$B$3</f>
        <v>3.7439999999999999E-3</v>
      </c>
      <c r="U2602" s="9" t="s">
        <v>52</v>
      </c>
      <c r="V2602" s="3" t="s">
        <v>53</v>
      </c>
    </row>
    <row r="2603" spans="1:22">
      <c r="A2603" s="2" t="s">
        <v>8062</v>
      </c>
      <c r="B2603" s="2" t="s">
        <v>8063</v>
      </c>
      <c r="C2603" s="2" t="s">
        <v>8058</v>
      </c>
      <c r="D2603" s="2" t="s">
        <v>56</v>
      </c>
      <c r="E2603" s="2" t="s">
        <v>57</v>
      </c>
      <c r="F2603" s="2" t="s">
        <v>58</v>
      </c>
      <c r="G2603" s="2" t="s">
        <v>59</v>
      </c>
      <c r="H2603" s="2" t="s">
        <v>498</v>
      </c>
      <c r="I2603" s="2" t="s">
        <v>47</v>
      </c>
      <c r="J2603" s="2" t="s">
        <v>8059</v>
      </c>
      <c r="K2603" s="2" t="s">
        <v>8064</v>
      </c>
      <c r="L2603" s="2" t="s">
        <v>61</v>
      </c>
      <c r="M2603" s="2" t="s">
        <v>8061</v>
      </c>
      <c r="N2603" s="16">
        <v>1.6199999999999999E-2</v>
      </c>
      <c r="O2603" s="17">
        <f>N2603*'Financial Inputs'!$B$3</f>
        <v>1620000</v>
      </c>
      <c r="P2603" s="18">
        <f>IF(I2603="L",'Financial Inputs'!$B$4,IF(I2603="M",'Financial Inputs'!$B$5,'Financial Inputs'!$B$6))</f>
        <v>0.4</v>
      </c>
      <c r="Q2603" s="17">
        <f>O2603*P2603</f>
        <v>648000</v>
      </c>
      <c r="R2603" s="16">
        <f>'Financial Inputs'!$B$7</f>
        <v>0.35</v>
      </c>
      <c r="S2603" s="17">
        <f>Q2603*(1-R2603)</f>
        <v>421200</v>
      </c>
      <c r="T2603" s="18">
        <f>S2603/'Financial Inputs'!$B$3</f>
        <v>4.2119999999999996E-3</v>
      </c>
      <c r="U2603" s="9" t="s">
        <v>52</v>
      </c>
      <c r="V2603" s="3" t="s">
        <v>53</v>
      </c>
    </row>
    <row r="2604" spans="1:22">
      <c r="A2604" s="2" t="s">
        <v>8065</v>
      </c>
      <c r="B2604" s="2" t="s">
        <v>8066</v>
      </c>
      <c r="C2604" s="2" t="s">
        <v>8058</v>
      </c>
      <c r="D2604" s="2" t="s">
        <v>64</v>
      </c>
      <c r="E2604" s="2" t="s">
        <v>65</v>
      </c>
      <c r="F2604" s="2" t="s">
        <v>66</v>
      </c>
      <c r="G2604" s="2" t="s">
        <v>67</v>
      </c>
      <c r="H2604" s="2" t="s">
        <v>498</v>
      </c>
      <c r="I2604" s="2" t="s">
        <v>47</v>
      </c>
      <c r="J2604" s="2" t="s">
        <v>8059</v>
      </c>
      <c r="K2604" s="2" t="s">
        <v>8067</v>
      </c>
      <c r="L2604" s="2" t="s">
        <v>69</v>
      </c>
      <c r="M2604" s="2" t="s">
        <v>8061</v>
      </c>
      <c r="N2604" s="16">
        <v>1.7999999999999999E-2</v>
      </c>
      <c r="O2604" s="17">
        <f>N2604*'Financial Inputs'!$B$3</f>
        <v>1799999.9999999998</v>
      </c>
      <c r="P2604" s="18">
        <f>IF(I2604="L",'Financial Inputs'!$B$4,IF(I2604="M",'Financial Inputs'!$B$5,'Financial Inputs'!$B$6))</f>
        <v>0.4</v>
      </c>
      <c r="Q2604" s="17">
        <f>O2604*P2604</f>
        <v>720000</v>
      </c>
      <c r="R2604" s="16">
        <f>'Financial Inputs'!$B$7</f>
        <v>0.35</v>
      </c>
      <c r="S2604" s="17">
        <f>Q2604*(1-R2604)</f>
        <v>468000</v>
      </c>
      <c r="T2604" s="18">
        <f>S2604/'Financial Inputs'!$B$3</f>
        <v>4.6800000000000001E-3</v>
      </c>
      <c r="U2604" s="9" t="s">
        <v>52</v>
      </c>
      <c r="V2604" s="3" t="s">
        <v>53</v>
      </c>
    </row>
    <row r="2605" spans="1:22">
      <c r="A2605" s="2" t="s">
        <v>8068</v>
      </c>
      <c r="B2605" s="2" t="s">
        <v>8069</v>
      </c>
      <c r="C2605" s="2" t="s">
        <v>8058</v>
      </c>
      <c r="D2605" s="2" t="s">
        <v>72</v>
      </c>
      <c r="E2605" s="2" t="s">
        <v>73</v>
      </c>
      <c r="F2605" s="2" t="s">
        <v>74</v>
      </c>
      <c r="G2605" s="2" t="s">
        <v>75</v>
      </c>
      <c r="H2605" s="2" t="s">
        <v>498</v>
      </c>
      <c r="I2605" s="2" t="s">
        <v>47</v>
      </c>
      <c r="J2605" s="2" t="s">
        <v>8059</v>
      </c>
      <c r="K2605" s="2" t="s">
        <v>8070</v>
      </c>
      <c r="L2605" s="2" t="s">
        <v>77</v>
      </c>
      <c r="M2605" s="2" t="s">
        <v>8061</v>
      </c>
      <c r="N2605" s="16">
        <v>1.9800000000000002E-2</v>
      </c>
      <c r="O2605" s="17">
        <f>N2605*'Financial Inputs'!$B$3</f>
        <v>1980000.0000000002</v>
      </c>
      <c r="P2605" s="18">
        <f>IF(I2605="L",'Financial Inputs'!$B$4,IF(I2605="M",'Financial Inputs'!$B$5,'Financial Inputs'!$B$6))</f>
        <v>0.4</v>
      </c>
      <c r="Q2605" s="17">
        <f>O2605*P2605</f>
        <v>792000.00000000012</v>
      </c>
      <c r="R2605" s="16">
        <f>'Financial Inputs'!$B$7</f>
        <v>0.35</v>
      </c>
      <c r="S2605" s="17">
        <f>Q2605*(1-R2605)</f>
        <v>514800.00000000012</v>
      </c>
      <c r="T2605" s="18">
        <f>S2605/'Financial Inputs'!$B$3</f>
        <v>5.1480000000000015E-3</v>
      </c>
      <c r="U2605" s="9" t="s">
        <v>52</v>
      </c>
      <c r="V2605" s="3" t="s">
        <v>53</v>
      </c>
    </row>
    <row r="2606" spans="1:22">
      <c r="A2606" s="2" t="s">
        <v>8071</v>
      </c>
      <c r="B2606" s="2" t="s">
        <v>8072</v>
      </c>
      <c r="C2606" s="2" t="s">
        <v>8058</v>
      </c>
      <c r="D2606" s="2" t="s">
        <v>80</v>
      </c>
      <c r="E2606" s="2" t="s">
        <v>81</v>
      </c>
      <c r="F2606" s="2" t="s">
        <v>82</v>
      </c>
      <c r="G2606" s="2" t="s">
        <v>83</v>
      </c>
      <c r="H2606" s="2" t="s">
        <v>498</v>
      </c>
      <c r="I2606" s="2" t="s">
        <v>47</v>
      </c>
      <c r="J2606" s="2" t="s">
        <v>8059</v>
      </c>
      <c r="K2606" s="2" t="s">
        <v>8073</v>
      </c>
      <c r="L2606" s="2" t="s">
        <v>85</v>
      </c>
      <c r="M2606" s="2" t="s">
        <v>8061</v>
      </c>
      <c r="N2606" s="16">
        <v>2.1600000000000001E-2</v>
      </c>
      <c r="O2606" s="17">
        <f>N2606*'Financial Inputs'!$B$3</f>
        <v>2160000</v>
      </c>
      <c r="P2606" s="18">
        <f>IF(I2606="L",'Financial Inputs'!$B$4,IF(I2606="M",'Financial Inputs'!$B$5,'Financial Inputs'!$B$6))</f>
        <v>0.4</v>
      </c>
      <c r="Q2606" s="17">
        <f>O2606*P2606</f>
        <v>864000</v>
      </c>
      <c r="R2606" s="16">
        <f>'Financial Inputs'!$B$7</f>
        <v>0.35</v>
      </c>
      <c r="S2606" s="17">
        <f>Q2606*(1-R2606)</f>
        <v>561600</v>
      </c>
      <c r="T2606" s="18">
        <f>S2606/'Financial Inputs'!$B$3</f>
        <v>5.6160000000000003E-3</v>
      </c>
      <c r="U2606" s="9" t="s">
        <v>52</v>
      </c>
      <c r="V2606" s="3" t="s">
        <v>53</v>
      </c>
    </row>
    <row r="2607" spans="1:22">
      <c r="A2607" s="2" t="s">
        <v>8074</v>
      </c>
      <c r="B2607" s="2" t="s">
        <v>8075</v>
      </c>
      <c r="C2607" s="2" t="s">
        <v>8058</v>
      </c>
      <c r="D2607" s="2" t="s">
        <v>88</v>
      </c>
      <c r="E2607" s="2" t="s">
        <v>89</v>
      </c>
      <c r="F2607" s="2" t="s">
        <v>90</v>
      </c>
      <c r="G2607" s="2" t="s">
        <v>67</v>
      </c>
      <c r="H2607" s="2" t="s">
        <v>498</v>
      </c>
      <c r="I2607" s="2" t="s">
        <v>47</v>
      </c>
      <c r="J2607" s="2" t="s">
        <v>8059</v>
      </c>
      <c r="K2607" s="2" t="s">
        <v>8076</v>
      </c>
      <c r="L2607" s="2" t="s">
        <v>92</v>
      </c>
      <c r="M2607" s="2" t="s">
        <v>8061</v>
      </c>
      <c r="N2607" s="16">
        <v>1.44E-2</v>
      </c>
      <c r="O2607" s="17">
        <f>N2607*'Financial Inputs'!$B$3</f>
        <v>1440000</v>
      </c>
      <c r="P2607" s="18">
        <f>IF(I2607="L",'Financial Inputs'!$B$4,IF(I2607="M",'Financial Inputs'!$B$5,'Financial Inputs'!$B$6))</f>
        <v>0.4</v>
      </c>
      <c r="Q2607" s="17">
        <f>O2607*P2607</f>
        <v>576000</v>
      </c>
      <c r="R2607" s="16">
        <f>'Financial Inputs'!$B$7</f>
        <v>0.35</v>
      </c>
      <c r="S2607" s="17">
        <f>Q2607*(1-R2607)</f>
        <v>374400</v>
      </c>
      <c r="T2607" s="18">
        <f>S2607/'Financial Inputs'!$B$3</f>
        <v>3.7439999999999999E-3</v>
      </c>
      <c r="U2607" s="9" t="s">
        <v>52</v>
      </c>
      <c r="V2607" s="3" t="s">
        <v>53</v>
      </c>
    </row>
    <row r="2608" spans="1:22">
      <c r="A2608" s="2" t="s">
        <v>8077</v>
      </c>
      <c r="B2608" s="2" t="s">
        <v>8078</v>
      </c>
      <c r="C2608" s="2" t="s">
        <v>8058</v>
      </c>
      <c r="D2608" s="2" t="s">
        <v>95</v>
      </c>
      <c r="E2608" s="2" t="s">
        <v>96</v>
      </c>
      <c r="F2608" s="2" t="s">
        <v>97</v>
      </c>
      <c r="G2608" s="2" t="s">
        <v>75</v>
      </c>
      <c r="H2608" s="2" t="s">
        <v>498</v>
      </c>
      <c r="I2608" s="2" t="s">
        <v>47</v>
      </c>
      <c r="J2608" s="2" t="s">
        <v>8059</v>
      </c>
      <c r="K2608" s="2" t="s">
        <v>8079</v>
      </c>
      <c r="L2608" s="2" t="s">
        <v>99</v>
      </c>
      <c r="M2608" s="2" t="s">
        <v>8061</v>
      </c>
      <c r="N2608" s="16">
        <v>1.6199999999999999E-2</v>
      </c>
      <c r="O2608" s="17">
        <f>N2608*'Financial Inputs'!$B$3</f>
        <v>1620000</v>
      </c>
      <c r="P2608" s="18">
        <f>IF(I2608="L",'Financial Inputs'!$B$4,IF(I2608="M",'Financial Inputs'!$B$5,'Financial Inputs'!$B$6))</f>
        <v>0.4</v>
      </c>
      <c r="Q2608" s="17">
        <f>O2608*P2608</f>
        <v>648000</v>
      </c>
      <c r="R2608" s="16">
        <f>'Financial Inputs'!$B$7</f>
        <v>0.35</v>
      </c>
      <c r="S2608" s="17">
        <f>Q2608*(1-R2608)</f>
        <v>421200</v>
      </c>
      <c r="T2608" s="18">
        <f>S2608/'Financial Inputs'!$B$3</f>
        <v>4.2119999999999996E-3</v>
      </c>
      <c r="U2608" s="9" t="s">
        <v>52</v>
      </c>
      <c r="V2608" s="3" t="s">
        <v>53</v>
      </c>
    </row>
    <row r="2609" spans="1:22">
      <c r="A2609" s="2" t="s">
        <v>8080</v>
      </c>
      <c r="B2609" s="2" t="s">
        <v>8081</v>
      </c>
      <c r="C2609" s="2" t="s">
        <v>8058</v>
      </c>
      <c r="D2609" s="2" t="s">
        <v>102</v>
      </c>
      <c r="E2609" s="2" t="s">
        <v>103</v>
      </c>
      <c r="F2609" s="2" t="s">
        <v>104</v>
      </c>
      <c r="G2609" s="2" t="s">
        <v>83</v>
      </c>
      <c r="H2609" s="2" t="s">
        <v>498</v>
      </c>
      <c r="I2609" s="2" t="s">
        <v>47</v>
      </c>
      <c r="J2609" s="2" t="s">
        <v>8059</v>
      </c>
      <c r="K2609" s="2" t="s">
        <v>8082</v>
      </c>
      <c r="L2609" s="2" t="s">
        <v>106</v>
      </c>
      <c r="M2609" s="2" t="s">
        <v>8061</v>
      </c>
      <c r="N2609" s="16">
        <v>1.7999999999999999E-2</v>
      </c>
      <c r="O2609" s="17">
        <f>N2609*'Financial Inputs'!$B$3</f>
        <v>1799999.9999999998</v>
      </c>
      <c r="P2609" s="18">
        <f>IF(I2609="L",'Financial Inputs'!$B$4,IF(I2609="M",'Financial Inputs'!$B$5,'Financial Inputs'!$B$6))</f>
        <v>0.4</v>
      </c>
      <c r="Q2609" s="17">
        <f>O2609*P2609</f>
        <v>720000</v>
      </c>
      <c r="R2609" s="16">
        <f>'Financial Inputs'!$B$7</f>
        <v>0.35</v>
      </c>
      <c r="S2609" s="17">
        <f>Q2609*(1-R2609)</f>
        <v>468000</v>
      </c>
      <c r="T2609" s="18">
        <f>S2609/'Financial Inputs'!$B$3</f>
        <v>4.6800000000000001E-3</v>
      </c>
      <c r="U2609" s="9" t="s">
        <v>52</v>
      </c>
      <c r="V2609" s="3" t="s">
        <v>53</v>
      </c>
    </row>
    <row r="2610" spans="1:22">
      <c r="A2610" s="2" t="s">
        <v>8083</v>
      </c>
      <c r="B2610" s="2" t="s">
        <v>8084</v>
      </c>
      <c r="C2610" s="2" t="s">
        <v>8058</v>
      </c>
      <c r="D2610" s="2" t="s">
        <v>42</v>
      </c>
      <c r="E2610" s="2" t="s">
        <v>109</v>
      </c>
      <c r="F2610" s="2" t="s">
        <v>110</v>
      </c>
      <c r="G2610" s="2" t="s">
        <v>111</v>
      </c>
      <c r="H2610" s="2" t="s">
        <v>498</v>
      </c>
      <c r="I2610" s="2" t="s">
        <v>47</v>
      </c>
      <c r="J2610" s="2" t="s">
        <v>8059</v>
      </c>
      <c r="K2610" s="2" t="s">
        <v>8085</v>
      </c>
      <c r="L2610" s="2" t="s">
        <v>113</v>
      </c>
      <c r="M2610" s="2" t="s">
        <v>8061</v>
      </c>
      <c r="N2610" s="16">
        <v>1.9800000000000002E-2</v>
      </c>
      <c r="O2610" s="17">
        <f>N2610*'Financial Inputs'!$B$3</f>
        <v>1980000.0000000002</v>
      </c>
      <c r="P2610" s="18">
        <f>IF(I2610="L",'Financial Inputs'!$B$4,IF(I2610="M",'Financial Inputs'!$B$5,'Financial Inputs'!$B$6))</f>
        <v>0.4</v>
      </c>
      <c r="Q2610" s="17">
        <f>O2610*P2610</f>
        <v>792000.00000000012</v>
      </c>
      <c r="R2610" s="16">
        <f>'Financial Inputs'!$B$7</f>
        <v>0.35</v>
      </c>
      <c r="S2610" s="17">
        <f>Q2610*(1-R2610)</f>
        <v>514800.00000000012</v>
      </c>
      <c r="T2610" s="18">
        <f>S2610/'Financial Inputs'!$B$3</f>
        <v>5.1480000000000015E-3</v>
      </c>
      <c r="U2610" s="9" t="s">
        <v>52</v>
      </c>
      <c r="V2610" s="3" t="s">
        <v>53</v>
      </c>
    </row>
    <row r="2611" spans="1:22">
      <c r="A2611" s="2" t="s">
        <v>8086</v>
      </c>
      <c r="B2611" s="2" t="s">
        <v>8087</v>
      </c>
      <c r="C2611" s="2" t="s">
        <v>8058</v>
      </c>
      <c r="D2611" s="2" t="s">
        <v>56</v>
      </c>
      <c r="E2611" s="2" t="s">
        <v>116</v>
      </c>
      <c r="F2611" s="2" t="s">
        <v>117</v>
      </c>
      <c r="G2611" s="2" t="s">
        <v>56</v>
      </c>
      <c r="H2611" s="2" t="s">
        <v>498</v>
      </c>
      <c r="I2611" s="2" t="s">
        <v>47</v>
      </c>
      <c r="J2611" s="2" t="s">
        <v>8059</v>
      </c>
      <c r="K2611" s="2" t="s">
        <v>8088</v>
      </c>
      <c r="L2611" s="2" t="s">
        <v>119</v>
      </c>
      <c r="M2611" s="2" t="s">
        <v>8061</v>
      </c>
      <c r="N2611" s="16">
        <v>2.1600000000000001E-2</v>
      </c>
      <c r="O2611" s="17">
        <f>N2611*'Financial Inputs'!$B$3</f>
        <v>2160000</v>
      </c>
      <c r="P2611" s="18">
        <f>IF(I2611="L",'Financial Inputs'!$B$4,IF(I2611="M",'Financial Inputs'!$B$5,'Financial Inputs'!$B$6))</f>
        <v>0.4</v>
      </c>
      <c r="Q2611" s="17">
        <f>O2611*P2611</f>
        <v>864000</v>
      </c>
      <c r="R2611" s="16">
        <f>'Financial Inputs'!$B$7</f>
        <v>0.35</v>
      </c>
      <c r="S2611" s="17">
        <f>Q2611*(1-R2611)</f>
        <v>561600</v>
      </c>
      <c r="T2611" s="18">
        <f>S2611/'Financial Inputs'!$B$3</f>
        <v>5.6160000000000003E-3</v>
      </c>
      <c r="U2611" s="9" t="s">
        <v>52</v>
      </c>
      <c r="V2611" s="3" t="s">
        <v>53</v>
      </c>
    </row>
    <row r="2612" spans="1:22">
      <c r="A2612" s="2" t="s">
        <v>8089</v>
      </c>
      <c r="B2612" s="2" t="s">
        <v>8090</v>
      </c>
      <c r="C2612" s="2" t="s">
        <v>8058</v>
      </c>
      <c r="D2612" s="2" t="s">
        <v>80</v>
      </c>
      <c r="E2612" s="2" t="s">
        <v>122</v>
      </c>
      <c r="F2612" s="2" t="s">
        <v>58</v>
      </c>
      <c r="G2612" s="2" t="s">
        <v>83</v>
      </c>
      <c r="H2612" s="2" t="s">
        <v>498</v>
      </c>
      <c r="I2612" s="2" t="s">
        <v>47</v>
      </c>
      <c r="J2612" s="2" t="s">
        <v>8059</v>
      </c>
      <c r="K2612" s="2" t="s">
        <v>8091</v>
      </c>
      <c r="L2612" s="2" t="s">
        <v>124</v>
      </c>
      <c r="M2612" s="2" t="s">
        <v>8061</v>
      </c>
      <c r="N2612" s="16">
        <v>1.44E-2</v>
      </c>
      <c r="O2612" s="17">
        <f>N2612*'Financial Inputs'!$B$3</f>
        <v>1440000</v>
      </c>
      <c r="P2612" s="18">
        <f>IF(I2612="L",'Financial Inputs'!$B$4,IF(I2612="M",'Financial Inputs'!$B$5,'Financial Inputs'!$B$6))</f>
        <v>0.4</v>
      </c>
      <c r="Q2612" s="17">
        <f>O2612*P2612</f>
        <v>576000</v>
      </c>
      <c r="R2612" s="16">
        <f>'Financial Inputs'!$B$7</f>
        <v>0.35</v>
      </c>
      <c r="S2612" s="17">
        <f>Q2612*(1-R2612)</f>
        <v>374400</v>
      </c>
      <c r="T2612" s="18">
        <f>S2612/'Financial Inputs'!$B$3</f>
        <v>3.7439999999999999E-3</v>
      </c>
      <c r="U2612" s="9" t="s">
        <v>52</v>
      </c>
      <c r="V2612" s="3" t="s">
        <v>53</v>
      </c>
    </row>
    <row r="2613" spans="1:22">
      <c r="A2613" s="2" t="s">
        <v>8092</v>
      </c>
      <c r="B2613" s="2" t="s">
        <v>8093</v>
      </c>
      <c r="C2613" s="2" t="s">
        <v>8058</v>
      </c>
      <c r="D2613" s="2" t="s">
        <v>127</v>
      </c>
      <c r="E2613" s="2" t="s">
        <v>128</v>
      </c>
      <c r="F2613" s="2" t="s">
        <v>66</v>
      </c>
      <c r="G2613" s="2" t="s">
        <v>111</v>
      </c>
      <c r="H2613" s="2" t="s">
        <v>498</v>
      </c>
      <c r="I2613" s="2" t="s">
        <v>47</v>
      </c>
      <c r="J2613" s="2" t="s">
        <v>8059</v>
      </c>
      <c r="K2613" s="2" t="s">
        <v>8094</v>
      </c>
      <c r="L2613" s="2" t="s">
        <v>130</v>
      </c>
      <c r="M2613" s="2" t="s">
        <v>8061</v>
      </c>
      <c r="N2613" s="16">
        <v>1.6199999999999999E-2</v>
      </c>
      <c r="O2613" s="17">
        <f>N2613*'Financial Inputs'!$B$3</f>
        <v>1620000</v>
      </c>
      <c r="P2613" s="18">
        <f>IF(I2613="L",'Financial Inputs'!$B$4,IF(I2613="M",'Financial Inputs'!$B$5,'Financial Inputs'!$B$6))</f>
        <v>0.4</v>
      </c>
      <c r="Q2613" s="17">
        <f>O2613*P2613</f>
        <v>648000</v>
      </c>
      <c r="R2613" s="16">
        <f>'Financial Inputs'!$B$7</f>
        <v>0.35</v>
      </c>
      <c r="S2613" s="17">
        <f>Q2613*(1-R2613)</f>
        <v>421200</v>
      </c>
      <c r="T2613" s="18">
        <f>S2613/'Financial Inputs'!$B$3</f>
        <v>4.2119999999999996E-3</v>
      </c>
      <c r="U2613" s="9" t="s">
        <v>52</v>
      </c>
      <c r="V2613" s="3" t="s">
        <v>53</v>
      </c>
    </row>
    <row r="2614" spans="1:22">
      <c r="A2614" s="2" t="s">
        <v>8095</v>
      </c>
      <c r="B2614" s="2" t="s">
        <v>8096</v>
      </c>
      <c r="C2614" s="2" t="s">
        <v>8058</v>
      </c>
      <c r="D2614" s="2" t="s">
        <v>133</v>
      </c>
      <c r="E2614" s="2" t="s">
        <v>43</v>
      </c>
      <c r="F2614" s="2" t="s">
        <v>74</v>
      </c>
      <c r="G2614" s="2" t="s">
        <v>56</v>
      </c>
      <c r="H2614" s="2" t="s">
        <v>498</v>
      </c>
      <c r="I2614" s="2" t="s">
        <v>47</v>
      </c>
      <c r="J2614" s="2" t="s">
        <v>8059</v>
      </c>
      <c r="K2614" s="2" t="s">
        <v>8097</v>
      </c>
      <c r="L2614" s="2" t="s">
        <v>135</v>
      </c>
      <c r="M2614" s="2" t="s">
        <v>8061</v>
      </c>
      <c r="N2614" s="16">
        <v>1.7999999999999999E-2</v>
      </c>
      <c r="O2614" s="17">
        <f>N2614*'Financial Inputs'!$B$3</f>
        <v>1799999.9999999998</v>
      </c>
      <c r="P2614" s="18">
        <f>IF(I2614="L",'Financial Inputs'!$B$4,IF(I2614="M",'Financial Inputs'!$B$5,'Financial Inputs'!$B$6))</f>
        <v>0.4</v>
      </c>
      <c r="Q2614" s="17">
        <f>O2614*P2614</f>
        <v>720000</v>
      </c>
      <c r="R2614" s="16">
        <f>'Financial Inputs'!$B$7</f>
        <v>0.35</v>
      </c>
      <c r="S2614" s="17">
        <f>Q2614*(1-R2614)</f>
        <v>468000</v>
      </c>
      <c r="T2614" s="18">
        <f>S2614/'Financial Inputs'!$B$3</f>
        <v>4.6800000000000001E-3</v>
      </c>
      <c r="U2614" s="9" t="s">
        <v>52</v>
      </c>
      <c r="V2614" s="3" t="s">
        <v>53</v>
      </c>
    </row>
    <row r="2615" spans="1:22">
      <c r="A2615" s="2" t="s">
        <v>8098</v>
      </c>
      <c r="B2615" s="2" t="s">
        <v>8099</v>
      </c>
      <c r="C2615" s="2" t="s">
        <v>8058</v>
      </c>
      <c r="D2615" s="2" t="s">
        <v>88</v>
      </c>
      <c r="E2615" s="2" t="s">
        <v>57</v>
      </c>
      <c r="F2615" s="2" t="s">
        <v>82</v>
      </c>
      <c r="G2615" s="2" t="s">
        <v>138</v>
      </c>
      <c r="H2615" s="2" t="s">
        <v>498</v>
      </c>
      <c r="I2615" s="2" t="s">
        <v>47</v>
      </c>
      <c r="J2615" s="2" t="s">
        <v>8059</v>
      </c>
      <c r="K2615" s="2" t="s">
        <v>8100</v>
      </c>
      <c r="L2615" s="2" t="s">
        <v>140</v>
      </c>
      <c r="M2615" s="2" t="s">
        <v>8061</v>
      </c>
      <c r="N2615" s="16">
        <v>1.9800000000000002E-2</v>
      </c>
      <c r="O2615" s="17">
        <f>N2615*'Financial Inputs'!$B$3</f>
        <v>1980000.0000000002</v>
      </c>
      <c r="P2615" s="18">
        <f>IF(I2615="L",'Financial Inputs'!$B$4,IF(I2615="M",'Financial Inputs'!$B$5,'Financial Inputs'!$B$6))</f>
        <v>0.4</v>
      </c>
      <c r="Q2615" s="17">
        <f>O2615*P2615</f>
        <v>792000.00000000012</v>
      </c>
      <c r="R2615" s="16">
        <f>'Financial Inputs'!$B$7</f>
        <v>0.35</v>
      </c>
      <c r="S2615" s="17">
        <f>Q2615*(1-R2615)</f>
        <v>514800.00000000012</v>
      </c>
      <c r="T2615" s="18">
        <f>S2615/'Financial Inputs'!$B$3</f>
        <v>5.1480000000000015E-3</v>
      </c>
      <c r="U2615" s="9" t="s">
        <v>52</v>
      </c>
      <c r="V2615" s="3" t="s">
        <v>53</v>
      </c>
    </row>
    <row r="2616" spans="1:22">
      <c r="A2616" s="2" t="s">
        <v>8101</v>
      </c>
      <c r="B2616" s="2" t="s">
        <v>8102</v>
      </c>
      <c r="C2616" s="2" t="s">
        <v>8058</v>
      </c>
      <c r="D2616" s="2" t="s">
        <v>95</v>
      </c>
      <c r="E2616" s="2" t="s">
        <v>65</v>
      </c>
      <c r="F2616" s="2" t="s">
        <v>44</v>
      </c>
      <c r="G2616" s="2" t="s">
        <v>143</v>
      </c>
      <c r="H2616" s="2" t="s">
        <v>498</v>
      </c>
      <c r="I2616" s="2" t="s">
        <v>47</v>
      </c>
      <c r="J2616" s="2" t="s">
        <v>8059</v>
      </c>
      <c r="K2616" s="2" t="s">
        <v>8103</v>
      </c>
      <c r="L2616" s="2" t="s">
        <v>145</v>
      </c>
      <c r="M2616" s="2" t="s">
        <v>8061</v>
      </c>
      <c r="N2616" s="16">
        <v>2.1600000000000001E-2</v>
      </c>
      <c r="O2616" s="17">
        <f>N2616*'Financial Inputs'!$B$3</f>
        <v>2160000</v>
      </c>
      <c r="P2616" s="18">
        <f>IF(I2616="L",'Financial Inputs'!$B$4,IF(I2616="M",'Financial Inputs'!$B$5,'Financial Inputs'!$B$6))</f>
        <v>0.4</v>
      </c>
      <c r="Q2616" s="17">
        <f>O2616*P2616</f>
        <v>864000</v>
      </c>
      <c r="R2616" s="16">
        <f>'Financial Inputs'!$B$7</f>
        <v>0.35</v>
      </c>
      <c r="S2616" s="17">
        <f>Q2616*(1-R2616)</f>
        <v>561600</v>
      </c>
      <c r="T2616" s="18">
        <f>S2616/'Financial Inputs'!$B$3</f>
        <v>5.6160000000000003E-3</v>
      </c>
      <c r="U2616" s="9" t="s">
        <v>52</v>
      </c>
      <c r="V2616" s="3" t="s">
        <v>53</v>
      </c>
    </row>
    <row r="2617" spans="1:22">
      <c r="A2617" s="2" t="s">
        <v>8104</v>
      </c>
      <c r="B2617" s="2" t="s">
        <v>8105</v>
      </c>
      <c r="C2617" s="2" t="s">
        <v>8058</v>
      </c>
      <c r="D2617" s="2" t="s">
        <v>56</v>
      </c>
      <c r="E2617" s="2" t="s">
        <v>148</v>
      </c>
      <c r="F2617" s="2" t="s">
        <v>97</v>
      </c>
      <c r="G2617" s="2" t="s">
        <v>56</v>
      </c>
      <c r="H2617" s="2" t="s">
        <v>498</v>
      </c>
      <c r="I2617" s="2" t="s">
        <v>47</v>
      </c>
      <c r="J2617" s="2" t="s">
        <v>8059</v>
      </c>
      <c r="K2617" s="2" t="s">
        <v>8106</v>
      </c>
      <c r="L2617" s="2" t="s">
        <v>150</v>
      </c>
      <c r="M2617" s="2" t="s">
        <v>8061</v>
      </c>
      <c r="N2617" s="16">
        <v>1.44E-2</v>
      </c>
      <c r="O2617" s="17">
        <f>N2617*'Financial Inputs'!$B$3</f>
        <v>1440000</v>
      </c>
      <c r="P2617" s="18">
        <f>IF(I2617="L",'Financial Inputs'!$B$4,IF(I2617="M",'Financial Inputs'!$B$5,'Financial Inputs'!$B$6))</f>
        <v>0.4</v>
      </c>
      <c r="Q2617" s="17">
        <f>O2617*P2617</f>
        <v>576000</v>
      </c>
      <c r="R2617" s="16">
        <f>'Financial Inputs'!$B$7</f>
        <v>0.35</v>
      </c>
      <c r="S2617" s="17">
        <f>Q2617*(1-R2617)</f>
        <v>374400</v>
      </c>
      <c r="T2617" s="18">
        <f>S2617/'Financial Inputs'!$B$3</f>
        <v>3.7439999999999999E-3</v>
      </c>
      <c r="U2617" s="9" t="s">
        <v>52</v>
      </c>
      <c r="V2617" s="3" t="s">
        <v>53</v>
      </c>
    </row>
    <row r="2618" spans="1:22">
      <c r="A2618" s="2" t="s">
        <v>8107</v>
      </c>
      <c r="B2618" s="2" t="s">
        <v>8108</v>
      </c>
      <c r="C2618" s="2" t="s">
        <v>8058</v>
      </c>
      <c r="D2618" s="2" t="s">
        <v>64</v>
      </c>
      <c r="E2618" s="2" t="s">
        <v>153</v>
      </c>
      <c r="F2618" s="2" t="s">
        <v>104</v>
      </c>
      <c r="G2618" s="2" t="s">
        <v>138</v>
      </c>
      <c r="H2618" s="2" t="s">
        <v>498</v>
      </c>
      <c r="I2618" s="2" t="s">
        <v>47</v>
      </c>
      <c r="J2618" s="2" t="s">
        <v>8059</v>
      </c>
      <c r="K2618" s="2" t="s">
        <v>8109</v>
      </c>
      <c r="L2618" s="2" t="s">
        <v>155</v>
      </c>
      <c r="M2618" s="2" t="s">
        <v>8061</v>
      </c>
      <c r="N2618" s="16">
        <v>1.6199999999999999E-2</v>
      </c>
      <c r="O2618" s="17">
        <f>N2618*'Financial Inputs'!$B$3</f>
        <v>1620000</v>
      </c>
      <c r="P2618" s="18">
        <f>IF(I2618="L",'Financial Inputs'!$B$4,IF(I2618="M",'Financial Inputs'!$B$5,'Financial Inputs'!$B$6))</f>
        <v>0.4</v>
      </c>
      <c r="Q2618" s="17">
        <f>O2618*P2618</f>
        <v>648000</v>
      </c>
      <c r="R2618" s="16">
        <f>'Financial Inputs'!$B$7</f>
        <v>0.35</v>
      </c>
      <c r="S2618" s="17">
        <f>Q2618*(1-R2618)</f>
        <v>421200</v>
      </c>
      <c r="T2618" s="18">
        <f>S2618/'Financial Inputs'!$B$3</f>
        <v>4.2119999999999996E-3</v>
      </c>
      <c r="U2618" s="9" t="s">
        <v>52</v>
      </c>
      <c r="V2618" s="3" t="s">
        <v>53</v>
      </c>
    </row>
    <row r="2619" spans="1:22">
      <c r="A2619" s="2" t="s">
        <v>8110</v>
      </c>
      <c r="B2619" s="2" t="s">
        <v>8111</v>
      </c>
      <c r="C2619" s="2" t="s">
        <v>8058</v>
      </c>
      <c r="D2619" s="2" t="s">
        <v>72</v>
      </c>
      <c r="E2619" s="2" t="s">
        <v>89</v>
      </c>
      <c r="F2619" s="2" t="s">
        <v>110</v>
      </c>
      <c r="G2619" s="2" t="s">
        <v>143</v>
      </c>
      <c r="H2619" s="2" t="s">
        <v>498</v>
      </c>
      <c r="I2619" s="2" t="s">
        <v>47</v>
      </c>
      <c r="J2619" s="2" t="s">
        <v>8059</v>
      </c>
      <c r="K2619" s="2" t="s">
        <v>8112</v>
      </c>
      <c r="L2619" s="2" t="s">
        <v>159</v>
      </c>
      <c r="M2619" s="2" t="s">
        <v>8061</v>
      </c>
      <c r="N2619" s="16">
        <v>1.7999999999999999E-2</v>
      </c>
      <c r="O2619" s="17">
        <f>N2619*'Financial Inputs'!$B$3</f>
        <v>1799999.9999999998</v>
      </c>
      <c r="P2619" s="18">
        <f>IF(I2619="L",'Financial Inputs'!$B$4,IF(I2619="M",'Financial Inputs'!$B$5,'Financial Inputs'!$B$6))</f>
        <v>0.4</v>
      </c>
      <c r="Q2619" s="17">
        <f>O2619*P2619</f>
        <v>720000</v>
      </c>
      <c r="R2619" s="16">
        <f>'Financial Inputs'!$B$7</f>
        <v>0.35</v>
      </c>
      <c r="S2619" s="17">
        <f>Q2619*(1-R2619)</f>
        <v>468000</v>
      </c>
      <c r="T2619" s="18">
        <f>S2619/'Financial Inputs'!$B$3</f>
        <v>4.6800000000000001E-3</v>
      </c>
      <c r="U2619" s="9" t="s">
        <v>52</v>
      </c>
      <c r="V2619" s="3" t="s">
        <v>53</v>
      </c>
    </row>
    <row r="2620" spans="1:22">
      <c r="A2620" s="2" t="s">
        <v>8113</v>
      </c>
      <c r="B2620" s="2" t="s">
        <v>8114</v>
      </c>
      <c r="C2620" s="2" t="s">
        <v>8058</v>
      </c>
      <c r="D2620" s="2" t="s">
        <v>80</v>
      </c>
      <c r="E2620" s="2" t="s">
        <v>96</v>
      </c>
      <c r="F2620" s="2" t="s">
        <v>117</v>
      </c>
      <c r="G2620" s="2" t="s">
        <v>162</v>
      </c>
      <c r="H2620" s="2" t="s">
        <v>498</v>
      </c>
      <c r="I2620" s="2" t="s">
        <v>47</v>
      </c>
      <c r="J2620" s="2" t="s">
        <v>8059</v>
      </c>
      <c r="K2620" s="2" t="s">
        <v>8115</v>
      </c>
      <c r="L2620" s="2" t="s">
        <v>164</v>
      </c>
      <c r="M2620" s="2" t="s">
        <v>8061</v>
      </c>
      <c r="N2620" s="16">
        <v>1.9800000000000002E-2</v>
      </c>
      <c r="O2620" s="17">
        <f>N2620*'Financial Inputs'!$B$3</f>
        <v>1980000.0000000002</v>
      </c>
      <c r="P2620" s="18">
        <f>IF(I2620="L",'Financial Inputs'!$B$4,IF(I2620="M",'Financial Inputs'!$B$5,'Financial Inputs'!$B$6))</f>
        <v>0.4</v>
      </c>
      <c r="Q2620" s="17">
        <f>O2620*P2620</f>
        <v>792000.00000000012</v>
      </c>
      <c r="R2620" s="16">
        <f>'Financial Inputs'!$B$7</f>
        <v>0.35</v>
      </c>
      <c r="S2620" s="17">
        <f>Q2620*(1-R2620)</f>
        <v>514800.00000000012</v>
      </c>
      <c r="T2620" s="18">
        <f>S2620/'Financial Inputs'!$B$3</f>
        <v>5.1480000000000015E-3</v>
      </c>
      <c r="U2620" s="9" t="s">
        <v>52</v>
      </c>
      <c r="V2620" s="3" t="s">
        <v>53</v>
      </c>
    </row>
    <row r="2621" spans="1:22">
      <c r="A2621" s="2" t="s">
        <v>8116</v>
      </c>
      <c r="B2621" s="2" t="s">
        <v>8117</v>
      </c>
      <c r="C2621" s="2" t="s">
        <v>8058</v>
      </c>
      <c r="D2621" s="2" t="s">
        <v>127</v>
      </c>
      <c r="E2621" s="2" t="s">
        <v>103</v>
      </c>
      <c r="F2621" s="2" t="s">
        <v>90</v>
      </c>
      <c r="G2621" s="2" t="s">
        <v>45</v>
      </c>
      <c r="H2621" s="2" t="s">
        <v>498</v>
      </c>
      <c r="I2621" s="2" t="s">
        <v>47</v>
      </c>
      <c r="J2621" s="2" t="s">
        <v>8059</v>
      </c>
      <c r="K2621" s="2" t="s">
        <v>8118</v>
      </c>
      <c r="L2621" s="2" t="s">
        <v>168</v>
      </c>
      <c r="M2621" s="2" t="s">
        <v>8061</v>
      </c>
      <c r="N2621" s="16">
        <v>2.1600000000000001E-2</v>
      </c>
      <c r="O2621" s="17">
        <f>N2621*'Financial Inputs'!$B$3</f>
        <v>2160000</v>
      </c>
      <c r="P2621" s="18">
        <f>IF(I2621="L",'Financial Inputs'!$B$4,IF(I2621="M",'Financial Inputs'!$B$5,'Financial Inputs'!$B$6))</f>
        <v>0.4</v>
      </c>
      <c r="Q2621" s="17">
        <f>O2621*P2621</f>
        <v>864000</v>
      </c>
      <c r="R2621" s="16">
        <f>'Financial Inputs'!$B$7</f>
        <v>0.35</v>
      </c>
      <c r="S2621" s="17">
        <f>Q2621*(1-R2621)</f>
        <v>561600</v>
      </c>
      <c r="T2621" s="18">
        <f>S2621/'Financial Inputs'!$B$3</f>
        <v>5.6160000000000003E-3</v>
      </c>
      <c r="U2621" s="9" t="s">
        <v>52</v>
      </c>
      <c r="V2621" s="3" t="s">
        <v>53</v>
      </c>
    </row>
    <row r="2622" spans="1:22">
      <c r="A2622" s="2" t="s">
        <v>8119</v>
      </c>
      <c r="B2622" s="2" t="s">
        <v>8120</v>
      </c>
      <c r="C2622" s="2" t="s">
        <v>8058</v>
      </c>
      <c r="D2622" s="2" t="s">
        <v>95</v>
      </c>
      <c r="E2622" s="2" t="s">
        <v>171</v>
      </c>
      <c r="F2622" s="2" t="s">
        <v>66</v>
      </c>
      <c r="G2622" s="2" t="s">
        <v>143</v>
      </c>
      <c r="H2622" s="2" t="s">
        <v>498</v>
      </c>
      <c r="I2622" s="2" t="s">
        <v>47</v>
      </c>
      <c r="J2622" s="2" t="s">
        <v>8059</v>
      </c>
      <c r="K2622" s="2" t="s">
        <v>8121</v>
      </c>
      <c r="L2622" s="2" t="s">
        <v>173</v>
      </c>
      <c r="M2622" s="2" t="s">
        <v>8061</v>
      </c>
      <c r="N2622" s="16">
        <v>1.44E-2</v>
      </c>
      <c r="O2622" s="17">
        <f>N2622*'Financial Inputs'!$B$3</f>
        <v>1440000</v>
      </c>
      <c r="P2622" s="18">
        <f>IF(I2622="L",'Financial Inputs'!$B$4,IF(I2622="M",'Financial Inputs'!$B$5,'Financial Inputs'!$B$6))</f>
        <v>0.4</v>
      </c>
      <c r="Q2622" s="17">
        <f>O2622*P2622</f>
        <v>576000</v>
      </c>
      <c r="R2622" s="16">
        <f>'Financial Inputs'!$B$7</f>
        <v>0.35</v>
      </c>
      <c r="S2622" s="17">
        <f>Q2622*(1-R2622)</f>
        <v>374400</v>
      </c>
      <c r="T2622" s="18">
        <f>S2622/'Financial Inputs'!$B$3</f>
        <v>3.7439999999999999E-3</v>
      </c>
      <c r="U2622" s="9" t="s">
        <v>52</v>
      </c>
      <c r="V2622" s="3" t="s">
        <v>53</v>
      </c>
    </row>
    <row r="2623" spans="1:22">
      <c r="A2623" s="2" t="s">
        <v>8122</v>
      </c>
      <c r="B2623" s="2" t="s">
        <v>8123</v>
      </c>
      <c r="C2623" s="2" t="s">
        <v>8058</v>
      </c>
      <c r="D2623" s="2" t="s">
        <v>102</v>
      </c>
      <c r="E2623" s="2" t="s">
        <v>176</v>
      </c>
      <c r="F2623" s="2" t="s">
        <v>74</v>
      </c>
      <c r="G2623" s="2" t="s">
        <v>162</v>
      </c>
      <c r="H2623" s="2" t="s">
        <v>498</v>
      </c>
      <c r="I2623" s="2" t="s">
        <v>47</v>
      </c>
      <c r="J2623" s="2" t="s">
        <v>8059</v>
      </c>
      <c r="K2623" s="2" t="s">
        <v>8124</v>
      </c>
      <c r="L2623" s="2" t="s">
        <v>178</v>
      </c>
      <c r="M2623" s="2" t="s">
        <v>8061</v>
      </c>
      <c r="N2623" s="16">
        <v>1.6199999999999999E-2</v>
      </c>
      <c r="O2623" s="17">
        <f>N2623*'Financial Inputs'!$B$3</f>
        <v>1620000</v>
      </c>
      <c r="P2623" s="18">
        <f>IF(I2623="L",'Financial Inputs'!$B$4,IF(I2623="M",'Financial Inputs'!$B$5,'Financial Inputs'!$B$6))</f>
        <v>0.4</v>
      </c>
      <c r="Q2623" s="17">
        <f>O2623*P2623</f>
        <v>648000</v>
      </c>
      <c r="R2623" s="16">
        <f>'Financial Inputs'!$B$7</f>
        <v>0.35</v>
      </c>
      <c r="S2623" s="17">
        <f>Q2623*(1-R2623)</f>
        <v>421200</v>
      </c>
      <c r="T2623" s="18">
        <f>S2623/'Financial Inputs'!$B$3</f>
        <v>4.2119999999999996E-3</v>
      </c>
      <c r="U2623" s="9" t="s">
        <v>52</v>
      </c>
      <c r="V2623" s="3" t="s">
        <v>53</v>
      </c>
    </row>
    <row r="2624" spans="1:22">
      <c r="A2624" s="2" t="s">
        <v>8125</v>
      </c>
      <c r="B2624" s="2" t="s">
        <v>8126</v>
      </c>
      <c r="C2624" s="2" t="s">
        <v>8058</v>
      </c>
      <c r="D2624" s="2" t="s">
        <v>42</v>
      </c>
      <c r="E2624" s="2" t="s">
        <v>122</v>
      </c>
      <c r="F2624" s="2" t="s">
        <v>82</v>
      </c>
      <c r="G2624" s="2" t="s">
        <v>45</v>
      </c>
      <c r="H2624" s="2" t="s">
        <v>498</v>
      </c>
      <c r="I2624" s="2" t="s">
        <v>47</v>
      </c>
      <c r="J2624" s="2" t="s">
        <v>8059</v>
      </c>
      <c r="K2624" s="2" t="s">
        <v>8127</v>
      </c>
      <c r="L2624" s="2" t="s">
        <v>182</v>
      </c>
      <c r="M2624" s="2" t="s">
        <v>8061</v>
      </c>
      <c r="N2624" s="16">
        <v>1.7999999999999999E-2</v>
      </c>
      <c r="O2624" s="17">
        <f>N2624*'Financial Inputs'!$B$3</f>
        <v>1799999.9999999998</v>
      </c>
      <c r="P2624" s="18">
        <f>IF(I2624="L",'Financial Inputs'!$B$4,IF(I2624="M",'Financial Inputs'!$B$5,'Financial Inputs'!$B$6))</f>
        <v>0.4</v>
      </c>
      <c r="Q2624" s="17">
        <f>O2624*P2624</f>
        <v>720000</v>
      </c>
      <c r="R2624" s="16">
        <f>'Financial Inputs'!$B$7</f>
        <v>0.35</v>
      </c>
      <c r="S2624" s="17">
        <f>Q2624*(1-R2624)</f>
        <v>468000</v>
      </c>
      <c r="T2624" s="18">
        <f>S2624/'Financial Inputs'!$B$3</f>
        <v>4.6800000000000001E-3</v>
      </c>
      <c r="U2624" s="9" t="s">
        <v>52</v>
      </c>
      <c r="V2624" s="3" t="s">
        <v>53</v>
      </c>
    </row>
    <row r="2625" spans="1:22">
      <c r="A2625" s="2" t="s">
        <v>8128</v>
      </c>
      <c r="B2625" s="2" t="s">
        <v>8129</v>
      </c>
      <c r="C2625" s="2" t="s">
        <v>8058</v>
      </c>
      <c r="D2625" s="2" t="s">
        <v>56</v>
      </c>
      <c r="E2625" s="2" t="s">
        <v>128</v>
      </c>
      <c r="F2625" s="2" t="s">
        <v>44</v>
      </c>
      <c r="G2625" s="2" t="s">
        <v>59</v>
      </c>
      <c r="H2625" s="2" t="s">
        <v>498</v>
      </c>
      <c r="I2625" s="2" t="s">
        <v>47</v>
      </c>
      <c r="J2625" s="2" t="s">
        <v>8059</v>
      </c>
      <c r="K2625" s="2" t="s">
        <v>8130</v>
      </c>
      <c r="L2625" s="2" t="s">
        <v>186</v>
      </c>
      <c r="M2625" s="2" t="s">
        <v>8061</v>
      </c>
      <c r="N2625" s="16">
        <v>1.9800000000000002E-2</v>
      </c>
      <c r="O2625" s="17">
        <f>N2625*'Financial Inputs'!$B$3</f>
        <v>1980000.0000000002</v>
      </c>
      <c r="P2625" s="18">
        <f>IF(I2625="L",'Financial Inputs'!$B$4,IF(I2625="M",'Financial Inputs'!$B$5,'Financial Inputs'!$B$6))</f>
        <v>0.4</v>
      </c>
      <c r="Q2625" s="17">
        <f>O2625*P2625</f>
        <v>792000.00000000012</v>
      </c>
      <c r="R2625" s="16">
        <f>'Financial Inputs'!$B$7</f>
        <v>0.35</v>
      </c>
      <c r="S2625" s="17">
        <f>Q2625*(1-R2625)</f>
        <v>514800.00000000012</v>
      </c>
      <c r="T2625" s="18">
        <f>S2625/'Financial Inputs'!$B$3</f>
        <v>5.1480000000000015E-3</v>
      </c>
      <c r="U2625" s="9" t="s">
        <v>52</v>
      </c>
      <c r="V2625" s="3" t="s">
        <v>53</v>
      </c>
    </row>
    <row r="2626" spans="1:22">
      <c r="A2626" s="2" t="s">
        <v>8131</v>
      </c>
      <c r="B2626" s="2" t="s">
        <v>8132</v>
      </c>
      <c r="C2626" s="2" t="s">
        <v>8058</v>
      </c>
      <c r="D2626" s="2" t="s">
        <v>64</v>
      </c>
      <c r="E2626" s="2" t="s">
        <v>43</v>
      </c>
      <c r="F2626" s="2" t="s">
        <v>58</v>
      </c>
      <c r="G2626" s="2" t="s">
        <v>67</v>
      </c>
      <c r="H2626" s="2" t="s">
        <v>498</v>
      </c>
      <c r="I2626" s="2" t="s">
        <v>47</v>
      </c>
      <c r="J2626" s="2" t="s">
        <v>8059</v>
      </c>
      <c r="K2626" s="2" t="s">
        <v>8133</v>
      </c>
      <c r="L2626" s="2" t="s">
        <v>190</v>
      </c>
      <c r="M2626" s="2" t="s">
        <v>8061</v>
      </c>
      <c r="N2626" s="16">
        <v>2.1600000000000001E-2</v>
      </c>
      <c r="O2626" s="17">
        <f>N2626*'Financial Inputs'!$B$3</f>
        <v>2160000</v>
      </c>
      <c r="P2626" s="18">
        <f>IF(I2626="L",'Financial Inputs'!$B$4,IF(I2626="M",'Financial Inputs'!$B$5,'Financial Inputs'!$B$6))</f>
        <v>0.4</v>
      </c>
      <c r="Q2626" s="17">
        <f>O2626*P2626</f>
        <v>864000</v>
      </c>
      <c r="R2626" s="16">
        <f>'Financial Inputs'!$B$7</f>
        <v>0.35</v>
      </c>
      <c r="S2626" s="17">
        <f>Q2626*(1-R2626)</f>
        <v>561600</v>
      </c>
      <c r="T2626" s="18">
        <f>S2626/'Financial Inputs'!$B$3</f>
        <v>5.6160000000000003E-3</v>
      </c>
      <c r="U2626" s="9" t="s">
        <v>52</v>
      </c>
      <c r="V2626" s="3" t="s">
        <v>53</v>
      </c>
    </row>
    <row r="2627" spans="1:22">
      <c r="A2627" s="2" t="s">
        <v>8134</v>
      </c>
      <c r="B2627" s="2" t="s">
        <v>8135</v>
      </c>
      <c r="C2627" s="2" t="s">
        <v>8058</v>
      </c>
      <c r="D2627" s="2" t="s">
        <v>127</v>
      </c>
      <c r="E2627" s="2" t="s">
        <v>193</v>
      </c>
      <c r="F2627" s="2" t="s">
        <v>104</v>
      </c>
      <c r="G2627" s="2" t="s">
        <v>45</v>
      </c>
      <c r="H2627" s="2" t="s">
        <v>498</v>
      </c>
      <c r="I2627" s="2" t="s">
        <v>47</v>
      </c>
      <c r="J2627" s="2" t="s">
        <v>8059</v>
      </c>
      <c r="K2627" s="2" t="s">
        <v>8136</v>
      </c>
      <c r="L2627" s="2" t="s">
        <v>195</v>
      </c>
      <c r="M2627" s="2" t="s">
        <v>8061</v>
      </c>
      <c r="N2627" s="16">
        <v>1.44E-2</v>
      </c>
      <c r="O2627" s="17">
        <f>N2627*'Financial Inputs'!$B$3</f>
        <v>1440000</v>
      </c>
      <c r="P2627" s="18">
        <f>IF(I2627="L",'Financial Inputs'!$B$4,IF(I2627="M",'Financial Inputs'!$B$5,'Financial Inputs'!$B$6))</f>
        <v>0.4</v>
      </c>
      <c r="Q2627" s="17">
        <f>O2627*P2627</f>
        <v>576000</v>
      </c>
      <c r="R2627" s="16">
        <f>'Financial Inputs'!$B$7</f>
        <v>0.35</v>
      </c>
      <c r="S2627" s="17">
        <f>Q2627*(1-R2627)</f>
        <v>374400</v>
      </c>
      <c r="T2627" s="18">
        <f>S2627/'Financial Inputs'!$B$3</f>
        <v>3.7439999999999999E-3</v>
      </c>
      <c r="U2627" s="9" t="s">
        <v>52</v>
      </c>
      <c r="V2627" s="3" t="s">
        <v>53</v>
      </c>
    </row>
    <row r="2628" spans="1:22">
      <c r="A2628" s="2" t="s">
        <v>8137</v>
      </c>
      <c r="B2628" s="2" t="s">
        <v>8138</v>
      </c>
      <c r="C2628" s="2" t="s">
        <v>8058</v>
      </c>
      <c r="D2628" s="2" t="s">
        <v>133</v>
      </c>
      <c r="E2628" s="2" t="s">
        <v>198</v>
      </c>
      <c r="F2628" s="2" t="s">
        <v>110</v>
      </c>
      <c r="G2628" s="2" t="s">
        <v>59</v>
      </c>
      <c r="H2628" s="2" t="s">
        <v>498</v>
      </c>
      <c r="I2628" s="2" t="s">
        <v>47</v>
      </c>
      <c r="J2628" s="2" t="s">
        <v>8059</v>
      </c>
      <c r="K2628" s="2" t="s">
        <v>8139</v>
      </c>
      <c r="L2628" s="2" t="s">
        <v>200</v>
      </c>
      <c r="M2628" s="2" t="s">
        <v>8061</v>
      </c>
      <c r="N2628" s="16">
        <v>1.6199999999999999E-2</v>
      </c>
      <c r="O2628" s="17">
        <f>N2628*'Financial Inputs'!$B$3</f>
        <v>1620000</v>
      </c>
      <c r="P2628" s="18">
        <f>IF(I2628="L",'Financial Inputs'!$B$4,IF(I2628="M",'Financial Inputs'!$B$5,'Financial Inputs'!$B$6))</f>
        <v>0.4</v>
      </c>
      <c r="Q2628" s="17">
        <f>O2628*P2628</f>
        <v>648000</v>
      </c>
      <c r="R2628" s="16">
        <f>'Financial Inputs'!$B$7</f>
        <v>0.35</v>
      </c>
      <c r="S2628" s="17">
        <f>Q2628*(1-R2628)</f>
        <v>421200</v>
      </c>
      <c r="T2628" s="18">
        <f>S2628/'Financial Inputs'!$B$3</f>
        <v>4.2119999999999996E-3</v>
      </c>
      <c r="U2628" s="9" t="s">
        <v>52</v>
      </c>
      <c r="V2628" s="3" t="s">
        <v>53</v>
      </c>
    </row>
    <row r="2629" spans="1:22">
      <c r="A2629" s="2" t="s">
        <v>8140</v>
      </c>
      <c r="B2629" s="2" t="s">
        <v>8141</v>
      </c>
      <c r="C2629" s="2" t="s">
        <v>8058</v>
      </c>
      <c r="D2629" s="2" t="s">
        <v>88</v>
      </c>
      <c r="E2629" s="2" t="s">
        <v>148</v>
      </c>
      <c r="F2629" s="2" t="s">
        <v>117</v>
      </c>
      <c r="G2629" s="2" t="s">
        <v>67</v>
      </c>
      <c r="H2629" s="2" t="s">
        <v>498</v>
      </c>
      <c r="I2629" s="2" t="s">
        <v>47</v>
      </c>
      <c r="J2629" s="2" t="s">
        <v>8059</v>
      </c>
      <c r="K2629" s="2" t="s">
        <v>8142</v>
      </c>
      <c r="L2629" s="2" t="s">
        <v>204</v>
      </c>
      <c r="M2629" s="2" t="s">
        <v>8061</v>
      </c>
      <c r="N2629" s="16">
        <v>1.7999999999999999E-2</v>
      </c>
      <c r="O2629" s="17">
        <f>N2629*'Financial Inputs'!$B$3</f>
        <v>1799999.9999999998</v>
      </c>
      <c r="P2629" s="18">
        <f>IF(I2629="L",'Financial Inputs'!$B$4,IF(I2629="M",'Financial Inputs'!$B$5,'Financial Inputs'!$B$6))</f>
        <v>0.4</v>
      </c>
      <c r="Q2629" s="17">
        <f>O2629*P2629</f>
        <v>720000</v>
      </c>
      <c r="R2629" s="16">
        <f>'Financial Inputs'!$B$7</f>
        <v>0.35</v>
      </c>
      <c r="S2629" s="17">
        <f>Q2629*(1-R2629)</f>
        <v>468000</v>
      </c>
      <c r="T2629" s="18">
        <f>S2629/'Financial Inputs'!$B$3</f>
        <v>4.6800000000000001E-3</v>
      </c>
      <c r="U2629" s="9" t="s">
        <v>52</v>
      </c>
      <c r="V2629" s="3" t="s">
        <v>53</v>
      </c>
    </row>
    <row r="2630" spans="1:22">
      <c r="A2630" s="2" t="s">
        <v>8143</v>
      </c>
      <c r="B2630" s="2" t="s">
        <v>8144</v>
      </c>
      <c r="C2630" s="2" t="s">
        <v>8058</v>
      </c>
      <c r="D2630" s="2" t="s">
        <v>95</v>
      </c>
      <c r="E2630" s="2" t="s">
        <v>153</v>
      </c>
      <c r="F2630" s="2" t="s">
        <v>90</v>
      </c>
      <c r="G2630" s="2" t="s">
        <v>75</v>
      </c>
      <c r="H2630" s="2" t="s">
        <v>498</v>
      </c>
      <c r="I2630" s="2" t="s">
        <v>47</v>
      </c>
      <c r="J2630" s="2" t="s">
        <v>8059</v>
      </c>
      <c r="K2630" s="2" t="s">
        <v>8145</v>
      </c>
      <c r="L2630" s="2" t="s">
        <v>208</v>
      </c>
      <c r="M2630" s="2" t="s">
        <v>8061</v>
      </c>
      <c r="N2630" s="16">
        <v>1.9800000000000002E-2</v>
      </c>
      <c r="O2630" s="17">
        <f>N2630*'Financial Inputs'!$B$3</f>
        <v>1980000.0000000002</v>
      </c>
      <c r="P2630" s="18">
        <f>IF(I2630="L",'Financial Inputs'!$B$4,IF(I2630="M",'Financial Inputs'!$B$5,'Financial Inputs'!$B$6))</f>
        <v>0.4</v>
      </c>
      <c r="Q2630" s="17">
        <f>O2630*P2630</f>
        <v>792000.00000000012</v>
      </c>
      <c r="R2630" s="16">
        <f>'Financial Inputs'!$B$7</f>
        <v>0.35</v>
      </c>
      <c r="S2630" s="17">
        <f>Q2630*(1-R2630)</f>
        <v>514800.00000000012</v>
      </c>
      <c r="T2630" s="18">
        <f>S2630/'Financial Inputs'!$B$3</f>
        <v>5.1480000000000015E-3</v>
      </c>
      <c r="U2630" s="9" t="s">
        <v>52</v>
      </c>
      <c r="V2630" s="3" t="s">
        <v>53</v>
      </c>
    </row>
    <row r="2631" spans="1:22">
      <c r="A2631" s="2" t="s">
        <v>8146</v>
      </c>
      <c r="B2631" s="2" t="s">
        <v>8147</v>
      </c>
      <c r="C2631" s="2" t="s">
        <v>8058</v>
      </c>
      <c r="D2631" s="2" t="s">
        <v>102</v>
      </c>
      <c r="E2631" s="2" t="s">
        <v>89</v>
      </c>
      <c r="F2631" s="2" t="s">
        <v>97</v>
      </c>
      <c r="G2631" s="2" t="s">
        <v>83</v>
      </c>
      <c r="H2631" s="2" t="s">
        <v>498</v>
      </c>
      <c r="I2631" s="2" t="s">
        <v>47</v>
      </c>
      <c r="J2631" s="2" t="s">
        <v>8059</v>
      </c>
      <c r="K2631" s="2" t="s">
        <v>8148</v>
      </c>
      <c r="L2631" s="2" t="s">
        <v>212</v>
      </c>
      <c r="M2631" s="2" t="s">
        <v>8061</v>
      </c>
      <c r="N2631" s="16">
        <v>2.1600000000000001E-2</v>
      </c>
      <c r="O2631" s="17">
        <f>N2631*'Financial Inputs'!$B$3</f>
        <v>2160000</v>
      </c>
      <c r="P2631" s="18">
        <f>IF(I2631="L",'Financial Inputs'!$B$4,IF(I2631="M",'Financial Inputs'!$B$5,'Financial Inputs'!$B$6))</f>
        <v>0.4</v>
      </c>
      <c r="Q2631" s="17">
        <f>O2631*P2631</f>
        <v>864000</v>
      </c>
      <c r="R2631" s="16">
        <f>'Financial Inputs'!$B$7</f>
        <v>0.35</v>
      </c>
      <c r="S2631" s="17">
        <f>Q2631*(1-R2631)</f>
        <v>561600</v>
      </c>
      <c r="T2631" s="18">
        <f>S2631/'Financial Inputs'!$B$3</f>
        <v>5.6160000000000003E-3</v>
      </c>
      <c r="U2631" s="9" t="s">
        <v>52</v>
      </c>
      <c r="V2631" s="3" t="s">
        <v>53</v>
      </c>
    </row>
    <row r="2632" spans="1:22">
      <c r="A2632" s="2" t="s">
        <v>8149</v>
      </c>
      <c r="B2632" s="2" t="s">
        <v>8150</v>
      </c>
      <c r="C2632" s="2" t="s">
        <v>8058</v>
      </c>
      <c r="D2632" s="2" t="s">
        <v>64</v>
      </c>
      <c r="E2632" s="2" t="s">
        <v>215</v>
      </c>
      <c r="F2632" s="2" t="s">
        <v>74</v>
      </c>
      <c r="G2632" s="2" t="s">
        <v>67</v>
      </c>
      <c r="H2632" s="2" t="s">
        <v>498</v>
      </c>
      <c r="I2632" s="2" t="s">
        <v>47</v>
      </c>
      <c r="J2632" s="2" t="s">
        <v>8059</v>
      </c>
      <c r="K2632" s="2" t="s">
        <v>8151</v>
      </c>
      <c r="L2632" s="2" t="s">
        <v>217</v>
      </c>
      <c r="M2632" s="2" t="s">
        <v>8061</v>
      </c>
      <c r="N2632" s="16">
        <v>1.44E-2</v>
      </c>
      <c r="O2632" s="17">
        <f>N2632*'Financial Inputs'!$B$3</f>
        <v>1440000</v>
      </c>
      <c r="P2632" s="18">
        <f>IF(I2632="L",'Financial Inputs'!$B$4,IF(I2632="M",'Financial Inputs'!$B$5,'Financial Inputs'!$B$6))</f>
        <v>0.4</v>
      </c>
      <c r="Q2632" s="17">
        <f>O2632*P2632</f>
        <v>576000</v>
      </c>
      <c r="R2632" s="16">
        <f>'Financial Inputs'!$B$7</f>
        <v>0.35</v>
      </c>
      <c r="S2632" s="17">
        <f>Q2632*(1-R2632)</f>
        <v>374400</v>
      </c>
      <c r="T2632" s="18">
        <f>S2632/'Financial Inputs'!$B$3</f>
        <v>3.7439999999999999E-3</v>
      </c>
      <c r="U2632" s="9" t="s">
        <v>52</v>
      </c>
      <c r="V2632" s="3" t="s">
        <v>53</v>
      </c>
    </row>
    <row r="2633" spans="1:22">
      <c r="A2633" s="2" t="s">
        <v>8152</v>
      </c>
      <c r="B2633" s="2" t="s">
        <v>8153</v>
      </c>
      <c r="C2633" s="2" t="s">
        <v>8058</v>
      </c>
      <c r="D2633" s="2" t="s">
        <v>72</v>
      </c>
      <c r="E2633" s="2" t="s">
        <v>220</v>
      </c>
      <c r="F2633" s="2" t="s">
        <v>82</v>
      </c>
      <c r="G2633" s="2" t="s">
        <v>75</v>
      </c>
      <c r="H2633" s="2" t="s">
        <v>498</v>
      </c>
      <c r="I2633" s="2" t="s">
        <v>47</v>
      </c>
      <c r="J2633" s="2" t="s">
        <v>8059</v>
      </c>
      <c r="K2633" s="2" t="s">
        <v>8154</v>
      </c>
      <c r="L2633" s="2" t="s">
        <v>222</v>
      </c>
      <c r="M2633" s="2" t="s">
        <v>8061</v>
      </c>
      <c r="N2633" s="16">
        <v>1.6199999999999999E-2</v>
      </c>
      <c r="O2633" s="17">
        <f>N2633*'Financial Inputs'!$B$3</f>
        <v>1620000</v>
      </c>
      <c r="P2633" s="18">
        <f>IF(I2633="L",'Financial Inputs'!$B$4,IF(I2633="M",'Financial Inputs'!$B$5,'Financial Inputs'!$B$6))</f>
        <v>0.4</v>
      </c>
      <c r="Q2633" s="17">
        <f>O2633*P2633</f>
        <v>648000</v>
      </c>
      <c r="R2633" s="16">
        <f>'Financial Inputs'!$B$7</f>
        <v>0.35</v>
      </c>
      <c r="S2633" s="17">
        <f>Q2633*(1-R2633)</f>
        <v>421200</v>
      </c>
      <c r="T2633" s="18">
        <f>S2633/'Financial Inputs'!$B$3</f>
        <v>4.2119999999999996E-3</v>
      </c>
      <c r="U2633" s="9" t="s">
        <v>52</v>
      </c>
      <c r="V2633" s="3" t="s">
        <v>53</v>
      </c>
    </row>
    <row r="2634" spans="1:22">
      <c r="A2634" s="2" t="s">
        <v>8155</v>
      </c>
      <c r="B2634" s="2" t="s">
        <v>8156</v>
      </c>
      <c r="C2634" s="2" t="s">
        <v>8058</v>
      </c>
      <c r="D2634" s="2" t="s">
        <v>80</v>
      </c>
      <c r="E2634" s="2" t="s">
        <v>171</v>
      </c>
      <c r="F2634" s="2" t="s">
        <v>44</v>
      </c>
      <c r="G2634" s="2" t="s">
        <v>83</v>
      </c>
      <c r="H2634" s="2" t="s">
        <v>498</v>
      </c>
      <c r="I2634" s="2" t="s">
        <v>47</v>
      </c>
      <c r="J2634" s="2" t="s">
        <v>8059</v>
      </c>
      <c r="K2634" s="2" t="s">
        <v>8157</v>
      </c>
      <c r="L2634" s="2" t="s">
        <v>226</v>
      </c>
      <c r="M2634" s="2" t="s">
        <v>8061</v>
      </c>
      <c r="N2634" s="16">
        <v>1.7999999999999999E-2</v>
      </c>
      <c r="O2634" s="17">
        <f>N2634*'Financial Inputs'!$B$3</f>
        <v>1799999.9999999998</v>
      </c>
      <c r="P2634" s="18">
        <f>IF(I2634="L",'Financial Inputs'!$B$4,IF(I2634="M",'Financial Inputs'!$B$5,'Financial Inputs'!$B$6))</f>
        <v>0.4</v>
      </c>
      <c r="Q2634" s="17">
        <f>O2634*P2634</f>
        <v>720000</v>
      </c>
      <c r="R2634" s="16">
        <f>'Financial Inputs'!$B$7</f>
        <v>0.35</v>
      </c>
      <c r="S2634" s="17">
        <f>Q2634*(1-R2634)</f>
        <v>468000</v>
      </c>
      <c r="T2634" s="18">
        <f>S2634/'Financial Inputs'!$B$3</f>
        <v>4.6800000000000001E-3</v>
      </c>
      <c r="U2634" s="9" t="s">
        <v>52</v>
      </c>
      <c r="V2634" s="3" t="s">
        <v>53</v>
      </c>
    </row>
    <row r="2635" spans="1:22">
      <c r="A2635" s="2" t="s">
        <v>8158</v>
      </c>
      <c r="B2635" s="2" t="s">
        <v>8159</v>
      </c>
      <c r="C2635" s="2" t="s">
        <v>8058</v>
      </c>
      <c r="D2635" s="2" t="s">
        <v>127</v>
      </c>
      <c r="E2635" s="2" t="s">
        <v>176</v>
      </c>
      <c r="F2635" s="2" t="s">
        <v>58</v>
      </c>
      <c r="G2635" s="2" t="s">
        <v>111</v>
      </c>
      <c r="H2635" s="2" t="s">
        <v>498</v>
      </c>
      <c r="I2635" s="2" t="s">
        <v>47</v>
      </c>
      <c r="J2635" s="2" t="s">
        <v>8059</v>
      </c>
      <c r="K2635" s="2" t="s">
        <v>8160</v>
      </c>
      <c r="L2635" s="2" t="s">
        <v>230</v>
      </c>
      <c r="M2635" s="2" t="s">
        <v>8061</v>
      </c>
      <c r="N2635" s="16">
        <v>1.9800000000000002E-2</v>
      </c>
      <c r="O2635" s="17">
        <f>N2635*'Financial Inputs'!$B$3</f>
        <v>1980000.0000000002</v>
      </c>
      <c r="P2635" s="18">
        <f>IF(I2635="L",'Financial Inputs'!$B$4,IF(I2635="M",'Financial Inputs'!$B$5,'Financial Inputs'!$B$6))</f>
        <v>0.4</v>
      </c>
      <c r="Q2635" s="17">
        <f>O2635*P2635</f>
        <v>792000.00000000012</v>
      </c>
      <c r="R2635" s="16">
        <f>'Financial Inputs'!$B$7</f>
        <v>0.35</v>
      </c>
      <c r="S2635" s="17">
        <f>Q2635*(1-R2635)</f>
        <v>514800.00000000012</v>
      </c>
      <c r="T2635" s="18">
        <f>S2635/'Financial Inputs'!$B$3</f>
        <v>5.1480000000000015E-3</v>
      </c>
      <c r="U2635" s="9" t="s">
        <v>52</v>
      </c>
      <c r="V2635" s="3" t="s">
        <v>53</v>
      </c>
    </row>
    <row r="2636" spans="1:22">
      <c r="A2636" s="2" t="s">
        <v>8161</v>
      </c>
      <c r="B2636" s="2" t="s">
        <v>8162</v>
      </c>
      <c r="C2636" s="2" t="s">
        <v>8058</v>
      </c>
      <c r="D2636" s="2" t="s">
        <v>133</v>
      </c>
      <c r="E2636" s="2" t="s">
        <v>122</v>
      </c>
      <c r="F2636" s="2" t="s">
        <v>66</v>
      </c>
      <c r="G2636" s="2" t="s">
        <v>56</v>
      </c>
      <c r="H2636" s="2" t="s">
        <v>498</v>
      </c>
      <c r="I2636" s="2" t="s">
        <v>47</v>
      </c>
      <c r="J2636" s="2" t="s">
        <v>8059</v>
      </c>
      <c r="K2636" s="2" t="s">
        <v>8163</v>
      </c>
      <c r="L2636" s="2" t="s">
        <v>234</v>
      </c>
      <c r="M2636" s="2" t="s">
        <v>8061</v>
      </c>
      <c r="N2636" s="16">
        <v>2.1600000000000001E-2</v>
      </c>
      <c r="O2636" s="17">
        <f>N2636*'Financial Inputs'!$B$3</f>
        <v>2160000</v>
      </c>
      <c r="P2636" s="18">
        <f>IF(I2636="L",'Financial Inputs'!$B$4,IF(I2636="M",'Financial Inputs'!$B$5,'Financial Inputs'!$B$6))</f>
        <v>0.4</v>
      </c>
      <c r="Q2636" s="17">
        <f>O2636*P2636</f>
        <v>864000</v>
      </c>
      <c r="R2636" s="16">
        <f>'Financial Inputs'!$B$7</f>
        <v>0.35</v>
      </c>
      <c r="S2636" s="17">
        <f>Q2636*(1-R2636)</f>
        <v>561600</v>
      </c>
      <c r="T2636" s="18">
        <f>S2636/'Financial Inputs'!$B$3</f>
        <v>5.6160000000000003E-3</v>
      </c>
      <c r="U2636" s="9" t="s">
        <v>52</v>
      </c>
      <c r="V2636" s="3" t="s">
        <v>53</v>
      </c>
    </row>
    <row r="2637" spans="1:22">
      <c r="A2637" s="2" t="s">
        <v>8164</v>
      </c>
      <c r="B2637" s="2" t="s">
        <v>8165</v>
      </c>
      <c r="C2637" s="2" t="s">
        <v>8058</v>
      </c>
      <c r="D2637" s="2" t="s">
        <v>102</v>
      </c>
      <c r="E2637" s="2" t="s">
        <v>73</v>
      </c>
      <c r="F2637" s="2" t="s">
        <v>110</v>
      </c>
      <c r="G2637" s="2" t="s">
        <v>83</v>
      </c>
      <c r="H2637" s="2" t="s">
        <v>498</v>
      </c>
      <c r="I2637" s="2" t="s">
        <v>47</v>
      </c>
      <c r="J2637" s="2" t="s">
        <v>8059</v>
      </c>
      <c r="K2637" s="2" t="s">
        <v>8166</v>
      </c>
      <c r="L2637" s="2" t="s">
        <v>238</v>
      </c>
      <c r="M2637" s="2" t="s">
        <v>8061</v>
      </c>
      <c r="N2637" s="16">
        <v>1.44E-2</v>
      </c>
      <c r="O2637" s="17">
        <f>N2637*'Financial Inputs'!$B$3</f>
        <v>1440000</v>
      </c>
      <c r="P2637" s="18">
        <f>IF(I2637="L",'Financial Inputs'!$B$4,IF(I2637="M",'Financial Inputs'!$B$5,'Financial Inputs'!$B$6))</f>
        <v>0.4</v>
      </c>
      <c r="Q2637" s="17">
        <f>O2637*P2637</f>
        <v>576000</v>
      </c>
      <c r="R2637" s="16">
        <f>'Financial Inputs'!$B$7</f>
        <v>0.35</v>
      </c>
      <c r="S2637" s="17">
        <f>Q2637*(1-R2637)</f>
        <v>374400</v>
      </c>
      <c r="T2637" s="18">
        <f>S2637/'Financial Inputs'!$B$3</f>
        <v>3.7439999999999999E-3</v>
      </c>
      <c r="U2637" s="9" t="s">
        <v>52</v>
      </c>
      <c r="V2637" s="3" t="s">
        <v>53</v>
      </c>
    </row>
    <row r="2638" spans="1:22">
      <c r="A2638" s="2" t="s">
        <v>8167</v>
      </c>
      <c r="B2638" s="2" t="s">
        <v>8168</v>
      </c>
      <c r="C2638" s="2" t="s">
        <v>8058</v>
      </c>
      <c r="D2638" s="2" t="s">
        <v>42</v>
      </c>
      <c r="E2638" s="2" t="s">
        <v>81</v>
      </c>
      <c r="F2638" s="2" t="s">
        <v>117</v>
      </c>
      <c r="G2638" s="2" t="s">
        <v>111</v>
      </c>
      <c r="H2638" s="2" t="s">
        <v>498</v>
      </c>
      <c r="I2638" s="2" t="s">
        <v>47</v>
      </c>
      <c r="J2638" s="2" t="s">
        <v>8059</v>
      </c>
      <c r="K2638" s="2" t="s">
        <v>8169</v>
      </c>
      <c r="L2638" s="2" t="s">
        <v>242</v>
      </c>
      <c r="M2638" s="2" t="s">
        <v>8061</v>
      </c>
      <c r="N2638" s="16">
        <v>1.6199999999999999E-2</v>
      </c>
      <c r="O2638" s="17">
        <f>N2638*'Financial Inputs'!$B$3</f>
        <v>1620000</v>
      </c>
      <c r="P2638" s="18">
        <f>IF(I2638="L",'Financial Inputs'!$B$4,IF(I2638="M",'Financial Inputs'!$B$5,'Financial Inputs'!$B$6))</f>
        <v>0.4</v>
      </c>
      <c r="Q2638" s="17">
        <f>O2638*P2638</f>
        <v>648000</v>
      </c>
      <c r="R2638" s="16">
        <f>'Financial Inputs'!$B$7</f>
        <v>0.35</v>
      </c>
      <c r="S2638" s="17">
        <f>Q2638*(1-R2638)</f>
        <v>421200</v>
      </c>
      <c r="T2638" s="18">
        <f>S2638/'Financial Inputs'!$B$3</f>
        <v>4.2119999999999996E-3</v>
      </c>
      <c r="U2638" s="9" t="s">
        <v>52</v>
      </c>
      <c r="V2638" s="3" t="s">
        <v>53</v>
      </c>
    </row>
    <row r="2639" spans="1:22">
      <c r="A2639" s="2" t="s">
        <v>8170</v>
      </c>
      <c r="B2639" s="2" t="s">
        <v>8171</v>
      </c>
      <c r="C2639" s="2" t="s">
        <v>8058</v>
      </c>
      <c r="D2639" s="2" t="s">
        <v>56</v>
      </c>
      <c r="E2639" s="2" t="s">
        <v>193</v>
      </c>
      <c r="F2639" s="2" t="s">
        <v>90</v>
      </c>
      <c r="G2639" s="2" t="s">
        <v>56</v>
      </c>
      <c r="H2639" s="2" t="s">
        <v>498</v>
      </c>
      <c r="I2639" s="2" t="s">
        <v>47</v>
      </c>
      <c r="J2639" s="2" t="s">
        <v>8059</v>
      </c>
      <c r="K2639" s="2" t="s">
        <v>8172</v>
      </c>
      <c r="L2639" s="2" t="s">
        <v>246</v>
      </c>
      <c r="M2639" s="2" t="s">
        <v>8061</v>
      </c>
      <c r="N2639" s="16">
        <v>1.7999999999999999E-2</v>
      </c>
      <c r="O2639" s="17">
        <f>N2639*'Financial Inputs'!$B$3</f>
        <v>1799999.9999999998</v>
      </c>
      <c r="P2639" s="18">
        <f>IF(I2639="L",'Financial Inputs'!$B$4,IF(I2639="M",'Financial Inputs'!$B$5,'Financial Inputs'!$B$6))</f>
        <v>0.4</v>
      </c>
      <c r="Q2639" s="17">
        <f>O2639*P2639</f>
        <v>720000</v>
      </c>
      <c r="R2639" s="16">
        <f>'Financial Inputs'!$B$7</f>
        <v>0.35</v>
      </c>
      <c r="S2639" s="17">
        <f>Q2639*(1-R2639)</f>
        <v>468000</v>
      </c>
      <c r="T2639" s="18">
        <f>S2639/'Financial Inputs'!$B$3</f>
        <v>4.6800000000000001E-3</v>
      </c>
      <c r="U2639" s="9" t="s">
        <v>52</v>
      </c>
      <c r="V2639" s="3" t="s">
        <v>53</v>
      </c>
    </row>
    <row r="2640" spans="1:22">
      <c r="A2640" s="2" t="s">
        <v>8173</v>
      </c>
      <c r="B2640" s="2" t="s">
        <v>8174</v>
      </c>
      <c r="C2640" s="2" t="s">
        <v>8058</v>
      </c>
      <c r="D2640" s="2" t="s">
        <v>64</v>
      </c>
      <c r="E2640" s="2" t="s">
        <v>198</v>
      </c>
      <c r="F2640" s="2" t="s">
        <v>97</v>
      </c>
      <c r="G2640" s="2" t="s">
        <v>138</v>
      </c>
      <c r="H2640" s="2" t="s">
        <v>498</v>
      </c>
      <c r="I2640" s="2" t="s">
        <v>47</v>
      </c>
      <c r="J2640" s="2" t="s">
        <v>8059</v>
      </c>
      <c r="K2640" s="2" t="s">
        <v>8175</v>
      </c>
      <c r="L2640" s="2" t="s">
        <v>250</v>
      </c>
      <c r="M2640" s="2" t="s">
        <v>8061</v>
      </c>
      <c r="N2640" s="16">
        <v>1.9800000000000002E-2</v>
      </c>
      <c r="O2640" s="17">
        <f>N2640*'Financial Inputs'!$B$3</f>
        <v>1980000.0000000002</v>
      </c>
      <c r="P2640" s="18">
        <f>IF(I2640="L",'Financial Inputs'!$B$4,IF(I2640="M",'Financial Inputs'!$B$5,'Financial Inputs'!$B$6))</f>
        <v>0.4</v>
      </c>
      <c r="Q2640" s="17">
        <f>O2640*P2640</f>
        <v>792000.00000000012</v>
      </c>
      <c r="R2640" s="16">
        <f>'Financial Inputs'!$B$7</f>
        <v>0.35</v>
      </c>
      <c r="S2640" s="17">
        <f>Q2640*(1-R2640)</f>
        <v>514800.00000000012</v>
      </c>
      <c r="T2640" s="18">
        <f>S2640/'Financial Inputs'!$B$3</f>
        <v>5.1480000000000015E-3</v>
      </c>
      <c r="U2640" s="9" t="s">
        <v>52</v>
      </c>
      <c r="V2640" s="3" t="s">
        <v>53</v>
      </c>
    </row>
    <row r="2641" spans="1:22">
      <c r="A2641" s="2" t="s">
        <v>8176</v>
      </c>
      <c r="B2641" s="2" t="s">
        <v>8177</v>
      </c>
      <c r="C2641" s="2" t="s">
        <v>8058</v>
      </c>
      <c r="D2641" s="2" t="s">
        <v>72</v>
      </c>
      <c r="E2641" s="2" t="s">
        <v>148</v>
      </c>
      <c r="F2641" s="2" t="s">
        <v>104</v>
      </c>
      <c r="G2641" s="2" t="s">
        <v>143</v>
      </c>
      <c r="H2641" s="2" t="s">
        <v>498</v>
      </c>
      <c r="I2641" s="2" t="s">
        <v>47</v>
      </c>
      <c r="J2641" s="2" t="s">
        <v>8059</v>
      </c>
      <c r="K2641" s="2" t="s">
        <v>8178</v>
      </c>
      <c r="L2641" s="2" t="s">
        <v>254</v>
      </c>
      <c r="M2641" s="2" t="s">
        <v>8061</v>
      </c>
      <c r="N2641" s="16">
        <v>2.1600000000000001E-2</v>
      </c>
      <c r="O2641" s="17">
        <f>N2641*'Financial Inputs'!$B$3</f>
        <v>2160000</v>
      </c>
      <c r="P2641" s="18">
        <f>IF(I2641="L",'Financial Inputs'!$B$4,IF(I2641="M",'Financial Inputs'!$B$5,'Financial Inputs'!$B$6))</f>
        <v>0.4</v>
      </c>
      <c r="Q2641" s="17">
        <f>O2641*P2641</f>
        <v>864000</v>
      </c>
      <c r="R2641" s="16">
        <f>'Financial Inputs'!$B$7</f>
        <v>0.35</v>
      </c>
      <c r="S2641" s="17">
        <f>Q2641*(1-R2641)</f>
        <v>561600</v>
      </c>
      <c r="T2641" s="18">
        <f>S2641/'Financial Inputs'!$B$3</f>
        <v>5.6160000000000003E-3</v>
      </c>
      <c r="U2641" s="9" t="s">
        <v>52</v>
      </c>
      <c r="V2641" s="3" t="s">
        <v>53</v>
      </c>
    </row>
    <row r="2642" spans="1:22">
      <c r="A2642" s="2" t="s">
        <v>8179</v>
      </c>
      <c r="B2642" s="2" t="s">
        <v>8180</v>
      </c>
      <c r="C2642" s="2" t="s">
        <v>8058</v>
      </c>
      <c r="D2642" s="2" t="s">
        <v>133</v>
      </c>
      <c r="E2642" s="2" t="s">
        <v>109</v>
      </c>
      <c r="F2642" s="2" t="s">
        <v>82</v>
      </c>
      <c r="G2642" s="2" t="s">
        <v>56</v>
      </c>
      <c r="H2642" s="2" t="s">
        <v>498</v>
      </c>
      <c r="I2642" s="2" t="s">
        <v>47</v>
      </c>
      <c r="J2642" s="2" t="s">
        <v>8059</v>
      </c>
      <c r="K2642" s="2" t="s">
        <v>8181</v>
      </c>
      <c r="L2642" s="2" t="s">
        <v>258</v>
      </c>
      <c r="M2642" s="2" t="s">
        <v>8061</v>
      </c>
      <c r="N2642" s="16">
        <v>1.44E-2</v>
      </c>
      <c r="O2642" s="17">
        <f>N2642*'Financial Inputs'!$B$3</f>
        <v>1440000</v>
      </c>
      <c r="P2642" s="18">
        <f>IF(I2642="L",'Financial Inputs'!$B$4,IF(I2642="M",'Financial Inputs'!$B$5,'Financial Inputs'!$B$6))</f>
        <v>0.4</v>
      </c>
      <c r="Q2642" s="17">
        <f>O2642*P2642</f>
        <v>576000</v>
      </c>
      <c r="R2642" s="16">
        <f>'Financial Inputs'!$B$7</f>
        <v>0.35</v>
      </c>
      <c r="S2642" s="17">
        <f>Q2642*(1-R2642)</f>
        <v>374400</v>
      </c>
      <c r="T2642" s="18">
        <f>S2642/'Financial Inputs'!$B$3</f>
        <v>3.7439999999999999E-3</v>
      </c>
      <c r="U2642" s="9" t="s">
        <v>52</v>
      </c>
      <c r="V2642" s="3" t="s">
        <v>53</v>
      </c>
    </row>
    <row r="2643" spans="1:22">
      <c r="A2643" s="2" t="s">
        <v>8182</v>
      </c>
      <c r="B2643" s="2" t="s">
        <v>8183</v>
      </c>
      <c r="C2643" s="2" t="s">
        <v>8058</v>
      </c>
      <c r="D2643" s="2" t="s">
        <v>88</v>
      </c>
      <c r="E2643" s="2" t="s">
        <v>116</v>
      </c>
      <c r="F2643" s="2" t="s">
        <v>44</v>
      </c>
      <c r="G2643" s="2" t="s">
        <v>138</v>
      </c>
      <c r="H2643" s="2" t="s">
        <v>498</v>
      </c>
      <c r="I2643" s="2" t="s">
        <v>47</v>
      </c>
      <c r="J2643" s="2" t="s">
        <v>8059</v>
      </c>
      <c r="K2643" s="2" t="s">
        <v>8184</v>
      </c>
      <c r="L2643" s="2" t="s">
        <v>262</v>
      </c>
      <c r="M2643" s="2" t="s">
        <v>8061</v>
      </c>
      <c r="N2643" s="16">
        <v>1.6199999999999999E-2</v>
      </c>
      <c r="O2643" s="17">
        <f>N2643*'Financial Inputs'!$B$3</f>
        <v>1620000</v>
      </c>
      <c r="P2643" s="18">
        <f>IF(I2643="L",'Financial Inputs'!$B$4,IF(I2643="M",'Financial Inputs'!$B$5,'Financial Inputs'!$B$6))</f>
        <v>0.4</v>
      </c>
      <c r="Q2643" s="17">
        <f>O2643*P2643</f>
        <v>648000</v>
      </c>
      <c r="R2643" s="16">
        <f>'Financial Inputs'!$B$7</f>
        <v>0.35</v>
      </c>
      <c r="S2643" s="17">
        <f>Q2643*(1-R2643)</f>
        <v>421200</v>
      </c>
      <c r="T2643" s="18">
        <f>S2643/'Financial Inputs'!$B$3</f>
        <v>4.2119999999999996E-3</v>
      </c>
      <c r="U2643" s="9" t="s">
        <v>52</v>
      </c>
      <c r="V2643" s="3" t="s">
        <v>53</v>
      </c>
    </row>
    <row r="2644" spans="1:22">
      <c r="A2644" s="2" t="s">
        <v>8185</v>
      </c>
      <c r="B2644" s="2" t="s">
        <v>8186</v>
      </c>
      <c r="C2644" s="2" t="s">
        <v>8058</v>
      </c>
      <c r="D2644" s="2" t="s">
        <v>95</v>
      </c>
      <c r="E2644" s="2" t="s">
        <v>215</v>
      </c>
      <c r="F2644" s="2" t="s">
        <v>58</v>
      </c>
      <c r="G2644" s="2" t="s">
        <v>143</v>
      </c>
      <c r="H2644" s="2" t="s">
        <v>498</v>
      </c>
      <c r="I2644" s="2" t="s">
        <v>47</v>
      </c>
      <c r="J2644" s="2" t="s">
        <v>8059</v>
      </c>
      <c r="K2644" s="2" t="s">
        <v>8187</v>
      </c>
      <c r="L2644" s="2" t="s">
        <v>266</v>
      </c>
      <c r="M2644" s="2" t="s">
        <v>8061</v>
      </c>
      <c r="N2644" s="16">
        <v>1.7999999999999999E-2</v>
      </c>
      <c r="O2644" s="17">
        <f>N2644*'Financial Inputs'!$B$3</f>
        <v>1799999.9999999998</v>
      </c>
      <c r="P2644" s="18">
        <f>IF(I2644="L",'Financial Inputs'!$B$4,IF(I2644="M",'Financial Inputs'!$B$5,'Financial Inputs'!$B$6))</f>
        <v>0.4</v>
      </c>
      <c r="Q2644" s="17">
        <f>O2644*P2644</f>
        <v>720000</v>
      </c>
      <c r="R2644" s="16">
        <f>'Financial Inputs'!$B$7</f>
        <v>0.35</v>
      </c>
      <c r="S2644" s="17">
        <f>Q2644*(1-R2644)</f>
        <v>468000</v>
      </c>
      <c r="T2644" s="18">
        <f>S2644/'Financial Inputs'!$B$3</f>
        <v>4.6800000000000001E-3</v>
      </c>
      <c r="U2644" s="9" t="s">
        <v>52</v>
      </c>
      <c r="V2644" s="3" t="s">
        <v>53</v>
      </c>
    </row>
    <row r="2645" spans="1:22">
      <c r="A2645" s="2" t="s">
        <v>8188</v>
      </c>
      <c r="B2645" s="2" t="s">
        <v>8189</v>
      </c>
      <c r="C2645" s="2" t="s">
        <v>8058</v>
      </c>
      <c r="D2645" s="2" t="s">
        <v>102</v>
      </c>
      <c r="E2645" s="2" t="s">
        <v>220</v>
      </c>
      <c r="F2645" s="2" t="s">
        <v>66</v>
      </c>
      <c r="G2645" s="2" t="s">
        <v>162</v>
      </c>
      <c r="H2645" s="2" t="s">
        <v>498</v>
      </c>
      <c r="I2645" s="2" t="s">
        <v>47</v>
      </c>
      <c r="J2645" s="2" t="s">
        <v>8059</v>
      </c>
      <c r="K2645" s="2" t="s">
        <v>8190</v>
      </c>
      <c r="L2645" s="2" t="s">
        <v>270</v>
      </c>
      <c r="M2645" s="2" t="s">
        <v>8061</v>
      </c>
      <c r="N2645" s="16">
        <v>1.9800000000000002E-2</v>
      </c>
      <c r="O2645" s="17">
        <f>N2645*'Financial Inputs'!$B$3</f>
        <v>1980000.0000000002</v>
      </c>
      <c r="P2645" s="18">
        <f>IF(I2645="L",'Financial Inputs'!$B$4,IF(I2645="M",'Financial Inputs'!$B$5,'Financial Inputs'!$B$6))</f>
        <v>0.4</v>
      </c>
      <c r="Q2645" s="17">
        <f>O2645*P2645</f>
        <v>792000.00000000012</v>
      </c>
      <c r="R2645" s="16">
        <f>'Financial Inputs'!$B$7</f>
        <v>0.35</v>
      </c>
      <c r="S2645" s="17">
        <f>Q2645*(1-R2645)</f>
        <v>514800.00000000012</v>
      </c>
      <c r="T2645" s="18">
        <f>S2645/'Financial Inputs'!$B$3</f>
        <v>5.1480000000000015E-3</v>
      </c>
      <c r="U2645" s="9" t="s">
        <v>52</v>
      </c>
      <c r="V2645" s="3" t="s">
        <v>53</v>
      </c>
    </row>
    <row r="2646" spans="1:22">
      <c r="A2646" s="2" t="s">
        <v>8191</v>
      </c>
      <c r="B2646" s="2" t="s">
        <v>8192</v>
      </c>
      <c r="C2646" s="2" t="s">
        <v>8058</v>
      </c>
      <c r="D2646" s="2" t="s">
        <v>42</v>
      </c>
      <c r="E2646" s="2" t="s">
        <v>171</v>
      </c>
      <c r="F2646" s="2" t="s">
        <v>74</v>
      </c>
      <c r="G2646" s="2" t="s">
        <v>45</v>
      </c>
      <c r="H2646" s="2" t="s">
        <v>498</v>
      </c>
      <c r="I2646" s="2" t="s">
        <v>47</v>
      </c>
      <c r="J2646" s="2" t="s">
        <v>8059</v>
      </c>
      <c r="K2646" s="2" t="s">
        <v>8193</v>
      </c>
      <c r="L2646" s="2" t="s">
        <v>274</v>
      </c>
      <c r="M2646" s="2" t="s">
        <v>8061</v>
      </c>
      <c r="N2646" s="16">
        <v>2.1600000000000001E-2</v>
      </c>
      <c r="O2646" s="17">
        <f>N2646*'Financial Inputs'!$B$3</f>
        <v>2160000</v>
      </c>
      <c r="P2646" s="18">
        <f>IF(I2646="L",'Financial Inputs'!$B$4,IF(I2646="M",'Financial Inputs'!$B$5,'Financial Inputs'!$B$6))</f>
        <v>0.4</v>
      </c>
      <c r="Q2646" s="17">
        <f>O2646*P2646</f>
        <v>864000</v>
      </c>
      <c r="R2646" s="16">
        <f>'Financial Inputs'!$B$7</f>
        <v>0.35</v>
      </c>
      <c r="S2646" s="17">
        <f>Q2646*(1-R2646)</f>
        <v>561600</v>
      </c>
      <c r="T2646" s="18">
        <f>S2646/'Financial Inputs'!$B$3</f>
        <v>5.6160000000000003E-3</v>
      </c>
      <c r="U2646" s="9" t="s">
        <v>52</v>
      </c>
      <c r="V2646" s="3" t="s">
        <v>53</v>
      </c>
    </row>
    <row r="2647" spans="1:22">
      <c r="A2647" s="2" t="s">
        <v>8194</v>
      </c>
      <c r="B2647" s="2" t="s">
        <v>8195</v>
      </c>
      <c r="C2647" s="2" t="s">
        <v>8058</v>
      </c>
      <c r="D2647" s="2" t="s">
        <v>72</v>
      </c>
      <c r="E2647" s="2" t="s">
        <v>57</v>
      </c>
      <c r="F2647" s="2" t="s">
        <v>117</v>
      </c>
      <c r="G2647" s="2" t="s">
        <v>143</v>
      </c>
      <c r="H2647" s="2" t="s">
        <v>498</v>
      </c>
      <c r="I2647" s="2" t="s">
        <v>47</v>
      </c>
      <c r="J2647" s="2" t="s">
        <v>8059</v>
      </c>
      <c r="K2647" s="2" t="s">
        <v>8196</v>
      </c>
      <c r="L2647" s="2" t="s">
        <v>278</v>
      </c>
      <c r="M2647" s="2" t="s">
        <v>8061</v>
      </c>
      <c r="N2647" s="16">
        <v>1.44E-2</v>
      </c>
      <c r="O2647" s="17">
        <f>N2647*'Financial Inputs'!$B$3</f>
        <v>1440000</v>
      </c>
      <c r="P2647" s="18">
        <f>IF(I2647="L",'Financial Inputs'!$B$4,IF(I2647="M",'Financial Inputs'!$B$5,'Financial Inputs'!$B$6))</f>
        <v>0.4</v>
      </c>
      <c r="Q2647" s="17">
        <f>O2647*P2647</f>
        <v>576000</v>
      </c>
      <c r="R2647" s="16">
        <f>'Financial Inputs'!$B$7</f>
        <v>0.35</v>
      </c>
      <c r="S2647" s="17">
        <f>Q2647*(1-R2647)</f>
        <v>374400</v>
      </c>
      <c r="T2647" s="18">
        <f>S2647/'Financial Inputs'!$B$3</f>
        <v>3.7439999999999999E-3</v>
      </c>
      <c r="U2647" s="9" t="s">
        <v>52</v>
      </c>
      <c r="V2647" s="3" t="s">
        <v>53</v>
      </c>
    </row>
    <row r="2648" spans="1:22">
      <c r="A2648" s="2" t="s">
        <v>8197</v>
      </c>
      <c r="B2648" s="2" t="s">
        <v>8198</v>
      </c>
      <c r="C2648" s="2" t="s">
        <v>8058</v>
      </c>
      <c r="D2648" s="2" t="s">
        <v>80</v>
      </c>
      <c r="E2648" s="2" t="s">
        <v>65</v>
      </c>
      <c r="F2648" s="2" t="s">
        <v>90</v>
      </c>
      <c r="G2648" s="2" t="s">
        <v>162</v>
      </c>
      <c r="H2648" s="2" t="s">
        <v>498</v>
      </c>
      <c r="I2648" s="2" t="s">
        <v>47</v>
      </c>
      <c r="J2648" s="2" t="s">
        <v>8059</v>
      </c>
      <c r="K2648" s="2" t="s">
        <v>8199</v>
      </c>
      <c r="L2648" s="2" t="s">
        <v>282</v>
      </c>
      <c r="M2648" s="2" t="s">
        <v>8061</v>
      </c>
      <c r="N2648" s="16">
        <v>1.6199999999999999E-2</v>
      </c>
      <c r="O2648" s="17">
        <f>N2648*'Financial Inputs'!$B$3</f>
        <v>1620000</v>
      </c>
      <c r="P2648" s="18">
        <f>IF(I2648="L",'Financial Inputs'!$B$4,IF(I2648="M",'Financial Inputs'!$B$5,'Financial Inputs'!$B$6))</f>
        <v>0.4</v>
      </c>
      <c r="Q2648" s="17">
        <f>O2648*P2648</f>
        <v>648000</v>
      </c>
      <c r="R2648" s="16">
        <f>'Financial Inputs'!$B$7</f>
        <v>0.35</v>
      </c>
      <c r="S2648" s="17">
        <f>Q2648*(1-R2648)</f>
        <v>421200</v>
      </c>
      <c r="T2648" s="18">
        <f>S2648/'Financial Inputs'!$B$3</f>
        <v>4.2119999999999996E-3</v>
      </c>
      <c r="U2648" s="9" t="s">
        <v>52</v>
      </c>
      <c r="V2648" s="3" t="s">
        <v>53</v>
      </c>
    </row>
    <row r="2649" spans="1:22">
      <c r="A2649" s="2" t="s">
        <v>8200</v>
      </c>
      <c r="B2649" s="2" t="s">
        <v>8201</v>
      </c>
      <c r="C2649" s="2" t="s">
        <v>8058</v>
      </c>
      <c r="D2649" s="2" t="s">
        <v>127</v>
      </c>
      <c r="E2649" s="2" t="s">
        <v>73</v>
      </c>
      <c r="F2649" s="2" t="s">
        <v>97</v>
      </c>
      <c r="G2649" s="2" t="s">
        <v>45</v>
      </c>
      <c r="H2649" s="2" t="s">
        <v>498</v>
      </c>
      <c r="I2649" s="2" t="s">
        <v>47</v>
      </c>
      <c r="J2649" s="2" t="s">
        <v>8059</v>
      </c>
      <c r="K2649" s="2" t="s">
        <v>8202</v>
      </c>
      <c r="L2649" s="2" t="s">
        <v>286</v>
      </c>
      <c r="M2649" s="2" t="s">
        <v>8061</v>
      </c>
      <c r="N2649" s="16">
        <v>1.7999999999999999E-2</v>
      </c>
      <c r="O2649" s="17">
        <f>N2649*'Financial Inputs'!$B$3</f>
        <v>1799999.9999999998</v>
      </c>
      <c r="P2649" s="18">
        <f>IF(I2649="L",'Financial Inputs'!$B$4,IF(I2649="M",'Financial Inputs'!$B$5,'Financial Inputs'!$B$6))</f>
        <v>0.4</v>
      </c>
      <c r="Q2649" s="17">
        <f>O2649*P2649</f>
        <v>720000</v>
      </c>
      <c r="R2649" s="16">
        <f>'Financial Inputs'!$B$7</f>
        <v>0.35</v>
      </c>
      <c r="S2649" s="17">
        <f>Q2649*(1-R2649)</f>
        <v>468000</v>
      </c>
      <c r="T2649" s="18">
        <f>S2649/'Financial Inputs'!$B$3</f>
        <v>4.6800000000000001E-3</v>
      </c>
      <c r="U2649" s="9" t="s">
        <v>52</v>
      </c>
      <c r="V2649" s="3" t="s">
        <v>53</v>
      </c>
    </row>
    <row r="2650" spans="1:22">
      <c r="A2650" s="2" t="s">
        <v>8203</v>
      </c>
      <c r="B2650" s="2" t="s">
        <v>8204</v>
      </c>
      <c r="C2650" s="2" t="s">
        <v>8058</v>
      </c>
      <c r="D2650" s="2" t="s">
        <v>133</v>
      </c>
      <c r="E2650" s="2" t="s">
        <v>81</v>
      </c>
      <c r="F2650" s="2" t="s">
        <v>104</v>
      </c>
      <c r="G2650" s="2" t="s">
        <v>59</v>
      </c>
      <c r="H2650" s="2" t="s">
        <v>498</v>
      </c>
      <c r="I2650" s="2" t="s">
        <v>47</v>
      </c>
      <c r="J2650" s="2" t="s">
        <v>8059</v>
      </c>
      <c r="K2650" s="2" t="s">
        <v>8205</v>
      </c>
      <c r="L2650" s="2" t="s">
        <v>290</v>
      </c>
      <c r="M2650" s="2" t="s">
        <v>8061</v>
      </c>
      <c r="N2650" s="16">
        <v>1.9800000000000002E-2</v>
      </c>
      <c r="O2650" s="17">
        <f>N2650*'Financial Inputs'!$B$3</f>
        <v>1980000.0000000002</v>
      </c>
      <c r="P2650" s="18">
        <f>IF(I2650="L",'Financial Inputs'!$B$4,IF(I2650="M",'Financial Inputs'!$B$5,'Financial Inputs'!$B$6))</f>
        <v>0.4</v>
      </c>
      <c r="Q2650" s="17">
        <f>O2650*P2650</f>
        <v>792000.00000000012</v>
      </c>
      <c r="R2650" s="16">
        <f>'Financial Inputs'!$B$7</f>
        <v>0.35</v>
      </c>
      <c r="S2650" s="17">
        <f>Q2650*(1-R2650)</f>
        <v>514800.00000000012</v>
      </c>
      <c r="T2650" s="18">
        <f>S2650/'Financial Inputs'!$B$3</f>
        <v>5.1480000000000015E-3</v>
      </c>
      <c r="U2650" s="9" t="s">
        <v>52</v>
      </c>
      <c r="V2650" s="3" t="s">
        <v>53</v>
      </c>
    </row>
    <row r="2651" spans="1:22">
      <c r="A2651" s="2" t="s">
        <v>8206</v>
      </c>
      <c r="B2651" s="2" t="s">
        <v>8207</v>
      </c>
      <c r="C2651" s="2" t="s">
        <v>8058</v>
      </c>
      <c r="D2651" s="2" t="s">
        <v>88</v>
      </c>
      <c r="E2651" s="2" t="s">
        <v>193</v>
      </c>
      <c r="F2651" s="2" t="s">
        <v>110</v>
      </c>
      <c r="G2651" s="2" t="s">
        <v>67</v>
      </c>
      <c r="H2651" s="2" t="s">
        <v>498</v>
      </c>
      <c r="I2651" s="2" t="s">
        <v>47</v>
      </c>
      <c r="J2651" s="2" t="s">
        <v>8059</v>
      </c>
      <c r="K2651" s="2" t="s">
        <v>8208</v>
      </c>
      <c r="L2651" s="2" t="s">
        <v>294</v>
      </c>
      <c r="M2651" s="2" t="s">
        <v>8061</v>
      </c>
      <c r="N2651" s="16">
        <v>2.1600000000000001E-2</v>
      </c>
      <c r="O2651" s="17">
        <f>N2651*'Financial Inputs'!$B$3</f>
        <v>2160000</v>
      </c>
      <c r="P2651" s="18">
        <f>IF(I2651="L",'Financial Inputs'!$B$4,IF(I2651="M",'Financial Inputs'!$B$5,'Financial Inputs'!$B$6))</f>
        <v>0.4</v>
      </c>
      <c r="Q2651" s="17">
        <f>O2651*P2651</f>
        <v>864000</v>
      </c>
      <c r="R2651" s="16">
        <f>'Financial Inputs'!$B$7</f>
        <v>0.35</v>
      </c>
      <c r="S2651" s="17">
        <f>Q2651*(1-R2651)</f>
        <v>561600</v>
      </c>
      <c r="T2651" s="18">
        <f>S2651/'Financial Inputs'!$B$3</f>
        <v>5.6160000000000003E-3</v>
      </c>
      <c r="U2651" s="9" t="s">
        <v>52</v>
      </c>
      <c r="V2651" s="3" t="s">
        <v>53</v>
      </c>
    </row>
    <row r="2652" spans="1:22">
      <c r="A2652" s="2" t="s">
        <v>8209</v>
      </c>
      <c r="B2652" s="2" t="s">
        <v>8210</v>
      </c>
      <c r="C2652" s="2" t="s">
        <v>8058</v>
      </c>
      <c r="D2652" s="2" t="s">
        <v>42</v>
      </c>
      <c r="E2652" s="2" t="s">
        <v>96</v>
      </c>
      <c r="F2652" s="2" t="s">
        <v>44</v>
      </c>
      <c r="G2652" s="2" t="s">
        <v>45</v>
      </c>
      <c r="H2652" s="2" t="s">
        <v>498</v>
      </c>
      <c r="I2652" s="2" t="s">
        <v>47</v>
      </c>
      <c r="J2652" s="2" t="s">
        <v>8059</v>
      </c>
      <c r="K2652" s="2" t="s">
        <v>8211</v>
      </c>
      <c r="L2652" s="2" t="s">
        <v>298</v>
      </c>
      <c r="M2652" s="2" t="s">
        <v>8061</v>
      </c>
      <c r="N2652" s="16">
        <v>1.44E-2</v>
      </c>
      <c r="O2652" s="17">
        <f>N2652*'Financial Inputs'!$B$3</f>
        <v>1440000</v>
      </c>
      <c r="P2652" s="18">
        <f>IF(I2652="L",'Financial Inputs'!$B$4,IF(I2652="M",'Financial Inputs'!$B$5,'Financial Inputs'!$B$6))</f>
        <v>0.4</v>
      </c>
      <c r="Q2652" s="17">
        <f>O2652*P2652</f>
        <v>576000</v>
      </c>
      <c r="R2652" s="16">
        <f>'Financial Inputs'!$B$7</f>
        <v>0.35</v>
      </c>
      <c r="S2652" s="17">
        <f>Q2652*(1-R2652)</f>
        <v>374400</v>
      </c>
      <c r="T2652" s="18">
        <f>S2652/'Financial Inputs'!$B$3</f>
        <v>3.7439999999999999E-3</v>
      </c>
      <c r="U2652" s="9" t="s">
        <v>52</v>
      </c>
      <c r="V2652" s="3" t="s">
        <v>53</v>
      </c>
    </row>
    <row r="2653" spans="1:22">
      <c r="A2653" s="2" t="s">
        <v>8212</v>
      </c>
      <c r="B2653" s="2" t="s">
        <v>8213</v>
      </c>
      <c r="C2653" s="2" t="s">
        <v>8058</v>
      </c>
      <c r="D2653" s="2" t="s">
        <v>56</v>
      </c>
      <c r="E2653" s="2" t="s">
        <v>103</v>
      </c>
      <c r="F2653" s="2" t="s">
        <v>58</v>
      </c>
      <c r="G2653" s="2" t="s">
        <v>59</v>
      </c>
      <c r="H2653" s="2" t="s">
        <v>498</v>
      </c>
      <c r="I2653" s="2" t="s">
        <v>47</v>
      </c>
      <c r="J2653" s="2" t="s">
        <v>8059</v>
      </c>
      <c r="K2653" s="2" t="s">
        <v>8214</v>
      </c>
      <c r="L2653" s="2" t="s">
        <v>302</v>
      </c>
      <c r="M2653" s="2" t="s">
        <v>8061</v>
      </c>
      <c r="N2653" s="16">
        <v>1.6199999999999999E-2</v>
      </c>
      <c r="O2653" s="17">
        <f>N2653*'Financial Inputs'!$B$3</f>
        <v>1620000</v>
      </c>
      <c r="P2653" s="18">
        <f>IF(I2653="L",'Financial Inputs'!$B$4,IF(I2653="M",'Financial Inputs'!$B$5,'Financial Inputs'!$B$6))</f>
        <v>0.4</v>
      </c>
      <c r="Q2653" s="17">
        <f>O2653*P2653</f>
        <v>648000</v>
      </c>
      <c r="R2653" s="16">
        <f>'Financial Inputs'!$B$7</f>
        <v>0.35</v>
      </c>
      <c r="S2653" s="17">
        <f>Q2653*(1-R2653)</f>
        <v>421200</v>
      </c>
      <c r="T2653" s="18">
        <f>S2653/'Financial Inputs'!$B$3</f>
        <v>4.2119999999999996E-3</v>
      </c>
      <c r="U2653" s="9" t="s">
        <v>52</v>
      </c>
      <c r="V2653" s="3" t="s">
        <v>53</v>
      </c>
    </row>
    <row r="2654" spans="1:22">
      <c r="A2654" s="2" t="s">
        <v>8215</v>
      </c>
      <c r="B2654" s="2" t="s">
        <v>8216</v>
      </c>
      <c r="C2654" s="2" t="s">
        <v>8058</v>
      </c>
      <c r="D2654" s="2" t="s">
        <v>64</v>
      </c>
      <c r="E2654" s="2" t="s">
        <v>109</v>
      </c>
      <c r="F2654" s="2" t="s">
        <v>66</v>
      </c>
      <c r="G2654" s="2" t="s">
        <v>67</v>
      </c>
      <c r="H2654" s="2" t="s">
        <v>498</v>
      </c>
      <c r="I2654" s="2" t="s">
        <v>47</v>
      </c>
      <c r="J2654" s="2" t="s">
        <v>8059</v>
      </c>
      <c r="K2654" s="2" t="s">
        <v>8217</v>
      </c>
      <c r="L2654" s="2" t="s">
        <v>306</v>
      </c>
      <c r="M2654" s="2" t="s">
        <v>8061</v>
      </c>
      <c r="N2654" s="16">
        <v>1.7999999999999999E-2</v>
      </c>
      <c r="O2654" s="17">
        <f>N2654*'Financial Inputs'!$B$3</f>
        <v>1799999.9999999998</v>
      </c>
      <c r="P2654" s="18">
        <f>IF(I2654="L",'Financial Inputs'!$B$4,IF(I2654="M",'Financial Inputs'!$B$5,'Financial Inputs'!$B$6))</f>
        <v>0.4</v>
      </c>
      <c r="Q2654" s="17">
        <f>O2654*P2654</f>
        <v>720000</v>
      </c>
      <c r="R2654" s="16">
        <f>'Financial Inputs'!$B$7</f>
        <v>0.35</v>
      </c>
      <c r="S2654" s="17">
        <f>Q2654*(1-R2654)</f>
        <v>468000</v>
      </c>
      <c r="T2654" s="18">
        <f>S2654/'Financial Inputs'!$B$3</f>
        <v>4.6800000000000001E-3</v>
      </c>
      <c r="U2654" s="9" t="s">
        <v>52</v>
      </c>
      <c r="V2654" s="3" t="s">
        <v>53</v>
      </c>
    </row>
    <row r="2655" spans="1:22">
      <c r="A2655" s="2" t="s">
        <v>8218</v>
      </c>
      <c r="B2655" s="2" t="s">
        <v>8219</v>
      </c>
      <c r="C2655" s="2" t="s">
        <v>8058</v>
      </c>
      <c r="D2655" s="2" t="s">
        <v>72</v>
      </c>
      <c r="E2655" s="2" t="s">
        <v>116</v>
      </c>
      <c r="F2655" s="2" t="s">
        <v>74</v>
      </c>
      <c r="G2655" s="2" t="s">
        <v>75</v>
      </c>
      <c r="H2655" s="2" t="s">
        <v>498</v>
      </c>
      <c r="I2655" s="2" t="s">
        <v>47</v>
      </c>
      <c r="J2655" s="2" t="s">
        <v>8059</v>
      </c>
      <c r="K2655" s="2" t="s">
        <v>8220</v>
      </c>
      <c r="L2655" s="2" t="s">
        <v>310</v>
      </c>
      <c r="M2655" s="2" t="s">
        <v>8061</v>
      </c>
      <c r="N2655" s="16">
        <v>1.9800000000000002E-2</v>
      </c>
      <c r="O2655" s="17">
        <f>N2655*'Financial Inputs'!$B$3</f>
        <v>1980000.0000000002</v>
      </c>
      <c r="P2655" s="18">
        <f>IF(I2655="L",'Financial Inputs'!$B$4,IF(I2655="M",'Financial Inputs'!$B$5,'Financial Inputs'!$B$6))</f>
        <v>0.4</v>
      </c>
      <c r="Q2655" s="17">
        <f>O2655*P2655</f>
        <v>792000.00000000012</v>
      </c>
      <c r="R2655" s="16">
        <f>'Financial Inputs'!$B$7</f>
        <v>0.35</v>
      </c>
      <c r="S2655" s="17">
        <f>Q2655*(1-R2655)</f>
        <v>514800.00000000012</v>
      </c>
      <c r="T2655" s="18">
        <f>S2655/'Financial Inputs'!$B$3</f>
        <v>5.1480000000000015E-3</v>
      </c>
      <c r="U2655" s="9" t="s">
        <v>52</v>
      </c>
      <c r="V2655" s="3" t="s">
        <v>53</v>
      </c>
    </row>
    <row r="2656" spans="1:22">
      <c r="A2656" s="2" t="s">
        <v>8221</v>
      </c>
      <c r="B2656" s="2" t="s">
        <v>8222</v>
      </c>
      <c r="C2656" s="2" t="s">
        <v>8058</v>
      </c>
      <c r="D2656" s="2" t="s">
        <v>80</v>
      </c>
      <c r="E2656" s="2" t="s">
        <v>215</v>
      </c>
      <c r="F2656" s="2" t="s">
        <v>82</v>
      </c>
      <c r="G2656" s="2" t="s">
        <v>83</v>
      </c>
      <c r="H2656" s="2" t="s">
        <v>498</v>
      </c>
      <c r="I2656" s="2" t="s">
        <v>47</v>
      </c>
      <c r="J2656" s="2" t="s">
        <v>8059</v>
      </c>
      <c r="K2656" s="2" t="s">
        <v>8223</v>
      </c>
      <c r="L2656" s="2" t="s">
        <v>314</v>
      </c>
      <c r="M2656" s="2" t="s">
        <v>8061</v>
      </c>
      <c r="N2656" s="16">
        <v>2.1600000000000001E-2</v>
      </c>
      <c r="O2656" s="17">
        <f>N2656*'Financial Inputs'!$B$3</f>
        <v>2160000</v>
      </c>
      <c r="P2656" s="18">
        <f>IF(I2656="L",'Financial Inputs'!$B$4,IF(I2656="M",'Financial Inputs'!$B$5,'Financial Inputs'!$B$6))</f>
        <v>0.4</v>
      </c>
      <c r="Q2656" s="17">
        <f>O2656*P2656</f>
        <v>864000</v>
      </c>
      <c r="R2656" s="16">
        <f>'Financial Inputs'!$B$7</f>
        <v>0.35</v>
      </c>
      <c r="S2656" s="17">
        <f>Q2656*(1-R2656)</f>
        <v>561600</v>
      </c>
      <c r="T2656" s="18">
        <f>S2656/'Financial Inputs'!$B$3</f>
        <v>5.6160000000000003E-3</v>
      </c>
      <c r="U2656" s="9" t="s">
        <v>52</v>
      </c>
      <c r="V2656" s="3" t="s">
        <v>53</v>
      </c>
    </row>
    <row r="2657" spans="1:22">
      <c r="A2657" s="2" t="s">
        <v>8224</v>
      </c>
      <c r="B2657" s="2" t="s">
        <v>8225</v>
      </c>
      <c r="C2657" s="2" t="s">
        <v>8058</v>
      </c>
      <c r="D2657" s="2" t="s">
        <v>88</v>
      </c>
      <c r="E2657" s="2" t="s">
        <v>128</v>
      </c>
      <c r="F2657" s="2" t="s">
        <v>90</v>
      </c>
      <c r="G2657" s="2" t="s">
        <v>67</v>
      </c>
      <c r="H2657" s="2" t="s">
        <v>498</v>
      </c>
      <c r="I2657" s="2" t="s">
        <v>47</v>
      </c>
      <c r="J2657" s="2" t="s">
        <v>8059</v>
      </c>
      <c r="K2657" s="2" t="s">
        <v>8226</v>
      </c>
      <c r="L2657" s="2" t="s">
        <v>318</v>
      </c>
      <c r="M2657" s="2" t="s">
        <v>8061</v>
      </c>
      <c r="N2657" s="16">
        <v>1.44E-2</v>
      </c>
      <c r="O2657" s="17">
        <f>N2657*'Financial Inputs'!$B$3</f>
        <v>1440000</v>
      </c>
      <c r="P2657" s="18">
        <f>IF(I2657="L",'Financial Inputs'!$B$4,IF(I2657="M",'Financial Inputs'!$B$5,'Financial Inputs'!$B$6))</f>
        <v>0.4</v>
      </c>
      <c r="Q2657" s="17">
        <f>O2657*P2657</f>
        <v>576000</v>
      </c>
      <c r="R2657" s="16">
        <f>'Financial Inputs'!$B$7</f>
        <v>0.35</v>
      </c>
      <c r="S2657" s="17">
        <f>Q2657*(1-R2657)</f>
        <v>374400</v>
      </c>
      <c r="T2657" s="18">
        <f>S2657/'Financial Inputs'!$B$3</f>
        <v>3.7439999999999999E-3</v>
      </c>
      <c r="U2657" s="9" t="s">
        <v>52</v>
      </c>
      <c r="V2657" s="3" t="s">
        <v>53</v>
      </c>
    </row>
    <row r="2658" spans="1:22">
      <c r="A2658" s="2" t="s">
        <v>8227</v>
      </c>
      <c r="B2658" s="2" t="s">
        <v>8228</v>
      </c>
      <c r="C2658" s="2" t="s">
        <v>8058</v>
      </c>
      <c r="D2658" s="2" t="s">
        <v>95</v>
      </c>
      <c r="E2658" s="2" t="s">
        <v>43</v>
      </c>
      <c r="F2658" s="2" t="s">
        <v>97</v>
      </c>
      <c r="G2658" s="2" t="s">
        <v>75</v>
      </c>
      <c r="H2658" s="2" t="s">
        <v>498</v>
      </c>
      <c r="I2658" s="2" t="s">
        <v>47</v>
      </c>
      <c r="J2658" s="2" t="s">
        <v>8059</v>
      </c>
      <c r="K2658" s="2" t="s">
        <v>8229</v>
      </c>
      <c r="L2658" s="2" t="s">
        <v>322</v>
      </c>
      <c r="M2658" s="2" t="s">
        <v>8061</v>
      </c>
      <c r="N2658" s="16">
        <v>1.6199999999999999E-2</v>
      </c>
      <c r="O2658" s="17">
        <f>N2658*'Financial Inputs'!$B$3</f>
        <v>1620000</v>
      </c>
      <c r="P2658" s="18">
        <f>IF(I2658="L",'Financial Inputs'!$B$4,IF(I2658="M",'Financial Inputs'!$B$5,'Financial Inputs'!$B$6))</f>
        <v>0.4</v>
      </c>
      <c r="Q2658" s="17">
        <f>O2658*P2658</f>
        <v>648000</v>
      </c>
      <c r="R2658" s="16">
        <f>'Financial Inputs'!$B$7</f>
        <v>0.35</v>
      </c>
      <c r="S2658" s="17">
        <f>Q2658*(1-R2658)</f>
        <v>421200</v>
      </c>
      <c r="T2658" s="18">
        <f>S2658/'Financial Inputs'!$B$3</f>
        <v>4.2119999999999996E-3</v>
      </c>
      <c r="U2658" s="9" t="s">
        <v>52</v>
      </c>
      <c r="V2658" s="3" t="s">
        <v>53</v>
      </c>
    </row>
    <row r="2659" spans="1:22">
      <c r="A2659" s="2" t="s">
        <v>8230</v>
      </c>
      <c r="B2659" s="2" t="s">
        <v>8231</v>
      </c>
      <c r="C2659" s="2" t="s">
        <v>8058</v>
      </c>
      <c r="D2659" s="2" t="s">
        <v>102</v>
      </c>
      <c r="E2659" s="2" t="s">
        <v>57</v>
      </c>
      <c r="F2659" s="2" t="s">
        <v>104</v>
      </c>
      <c r="G2659" s="2" t="s">
        <v>83</v>
      </c>
      <c r="H2659" s="2" t="s">
        <v>498</v>
      </c>
      <c r="I2659" s="2" t="s">
        <v>47</v>
      </c>
      <c r="J2659" s="2" t="s">
        <v>8059</v>
      </c>
      <c r="K2659" s="2" t="s">
        <v>8232</v>
      </c>
      <c r="L2659" s="2" t="s">
        <v>326</v>
      </c>
      <c r="M2659" s="2" t="s">
        <v>8061</v>
      </c>
      <c r="N2659" s="16">
        <v>1.7999999999999999E-2</v>
      </c>
      <c r="O2659" s="17">
        <f>N2659*'Financial Inputs'!$B$3</f>
        <v>1799999.9999999998</v>
      </c>
      <c r="P2659" s="18">
        <f>IF(I2659="L",'Financial Inputs'!$B$4,IF(I2659="M",'Financial Inputs'!$B$5,'Financial Inputs'!$B$6))</f>
        <v>0.4</v>
      </c>
      <c r="Q2659" s="17">
        <f>O2659*P2659</f>
        <v>720000</v>
      </c>
      <c r="R2659" s="16">
        <f>'Financial Inputs'!$B$7</f>
        <v>0.35</v>
      </c>
      <c r="S2659" s="17">
        <f>Q2659*(1-R2659)</f>
        <v>468000</v>
      </c>
      <c r="T2659" s="18">
        <f>S2659/'Financial Inputs'!$B$3</f>
        <v>4.6800000000000001E-3</v>
      </c>
      <c r="U2659" s="9" t="s">
        <v>52</v>
      </c>
      <c r="V2659" s="3" t="s">
        <v>53</v>
      </c>
    </row>
    <row r="2660" spans="1:22">
      <c r="A2660" s="2" t="s">
        <v>8233</v>
      </c>
      <c r="B2660" s="2" t="s">
        <v>8234</v>
      </c>
      <c r="C2660" s="2" t="s">
        <v>8058</v>
      </c>
      <c r="D2660" s="2" t="s">
        <v>42</v>
      </c>
      <c r="E2660" s="2" t="s">
        <v>65</v>
      </c>
      <c r="F2660" s="2" t="s">
        <v>110</v>
      </c>
      <c r="G2660" s="2" t="s">
        <v>111</v>
      </c>
      <c r="H2660" s="2" t="s">
        <v>498</v>
      </c>
      <c r="I2660" s="2" t="s">
        <v>47</v>
      </c>
      <c r="J2660" s="2" t="s">
        <v>8059</v>
      </c>
      <c r="K2660" s="2" t="s">
        <v>8235</v>
      </c>
      <c r="L2660" s="2" t="s">
        <v>330</v>
      </c>
      <c r="M2660" s="2" t="s">
        <v>8061</v>
      </c>
      <c r="N2660" s="16">
        <v>1.9800000000000002E-2</v>
      </c>
      <c r="O2660" s="17">
        <f>N2660*'Financial Inputs'!$B$3</f>
        <v>1980000.0000000002</v>
      </c>
      <c r="P2660" s="18">
        <f>IF(I2660="L",'Financial Inputs'!$B$4,IF(I2660="M",'Financial Inputs'!$B$5,'Financial Inputs'!$B$6))</f>
        <v>0.4</v>
      </c>
      <c r="Q2660" s="17">
        <f>O2660*P2660</f>
        <v>792000.00000000012</v>
      </c>
      <c r="R2660" s="16">
        <f>'Financial Inputs'!$B$7</f>
        <v>0.35</v>
      </c>
      <c r="S2660" s="17">
        <f>Q2660*(1-R2660)</f>
        <v>514800.00000000012</v>
      </c>
      <c r="T2660" s="18">
        <f>S2660/'Financial Inputs'!$B$3</f>
        <v>5.1480000000000015E-3</v>
      </c>
      <c r="U2660" s="9" t="s">
        <v>52</v>
      </c>
      <c r="V2660" s="3" t="s">
        <v>53</v>
      </c>
    </row>
    <row r="2661" spans="1:22">
      <c r="A2661" s="2" t="s">
        <v>8236</v>
      </c>
      <c r="B2661" s="2" t="s">
        <v>8237</v>
      </c>
      <c r="C2661" s="2" t="s">
        <v>8058</v>
      </c>
      <c r="D2661" s="2" t="s">
        <v>56</v>
      </c>
      <c r="E2661" s="2" t="s">
        <v>73</v>
      </c>
      <c r="F2661" s="2" t="s">
        <v>117</v>
      </c>
      <c r="G2661" s="2" t="s">
        <v>56</v>
      </c>
      <c r="H2661" s="2" t="s">
        <v>498</v>
      </c>
      <c r="I2661" s="2" t="s">
        <v>47</v>
      </c>
      <c r="J2661" s="2" t="s">
        <v>8059</v>
      </c>
      <c r="K2661" s="2" t="s">
        <v>8238</v>
      </c>
      <c r="L2661" s="2" t="s">
        <v>334</v>
      </c>
      <c r="M2661" s="2" t="s">
        <v>8061</v>
      </c>
      <c r="N2661" s="16">
        <v>2.1600000000000001E-2</v>
      </c>
      <c r="O2661" s="17">
        <f>N2661*'Financial Inputs'!$B$3</f>
        <v>2160000</v>
      </c>
      <c r="P2661" s="18">
        <f>IF(I2661="L",'Financial Inputs'!$B$4,IF(I2661="M",'Financial Inputs'!$B$5,'Financial Inputs'!$B$6))</f>
        <v>0.4</v>
      </c>
      <c r="Q2661" s="17">
        <f>O2661*P2661</f>
        <v>864000</v>
      </c>
      <c r="R2661" s="16">
        <f>'Financial Inputs'!$B$7</f>
        <v>0.35</v>
      </c>
      <c r="S2661" s="17">
        <f>Q2661*(1-R2661)</f>
        <v>561600</v>
      </c>
      <c r="T2661" s="18">
        <f>S2661/'Financial Inputs'!$B$3</f>
        <v>5.6160000000000003E-3</v>
      </c>
      <c r="U2661" s="9" t="s">
        <v>52</v>
      </c>
      <c r="V2661" s="3" t="s">
        <v>53</v>
      </c>
    </row>
    <row r="2662" spans="1:22">
      <c r="A2662" s="2" t="s">
        <v>8239</v>
      </c>
      <c r="B2662" s="2" t="s">
        <v>8240</v>
      </c>
      <c r="C2662" s="2" t="s">
        <v>8058</v>
      </c>
      <c r="D2662" s="2" t="s">
        <v>80</v>
      </c>
      <c r="E2662" s="2" t="s">
        <v>153</v>
      </c>
      <c r="F2662" s="2" t="s">
        <v>58</v>
      </c>
      <c r="G2662" s="2" t="s">
        <v>83</v>
      </c>
      <c r="H2662" s="2" t="s">
        <v>498</v>
      </c>
      <c r="I2662" s="2" t="s">
        <v>47</v>
      </c>
      <c r="J2662" s="2" t="s">
        <v>8059</v>
      </c>
      <c r="K2662" s="2" t="s">
        <v>8241</v>
      </c>
      <c r="L2662" s="2" t="s">
        <v>338</v>
      </c>
      <c r="M2662" s="2" t="s">
        <v>8061</v>
      </c>
      <c r="N2662" s="16">
        <v>1.44E-2</v>
      </c>
      <c r="O2662" s="17">
        <f>N2662*'Financial Inputs'!$B$3</f>
        <v>1440000</v>
      </c>
      <c r="P2662" s="18">
        <f>IF(I2662="L",'Financial Inputs'!$B$4,IF(I2662="M",'Financial Inputs'!$B$5,'Financial Inputs'!$B$6))</f>
        <v>0.4</v>
      </c>
      <c r="Q2662" s="17">
        <f>O2662*P2662</f>
        <v>576000</v>
      </c>
      <c r="R2662" s="16">
        <f>'Financial Inputs'!$B$7</f>
        <v>0.35</v>
      </c>
      <c r="S2662" s="17">
        <f>Q2662*(1-R2662)</f>
        <v>374400</v>
      </c>
      <c r="T2662" s="18">
        <f>S2662/'Financial Inputs'!$B$3</f>
        <v>3.7439999999999999E-3</v>
      </c>
      <c r="U2662" s="9" t="s">
        <v>52</v>
      </c>
      <c r="V2662" s="3" t="s">
        <v>53</v>
      </c>
    </row>
    <row r="2663" spans="1:22">
      <c r="A2663" s="2" t="s">
        <v>8242</v>
      </c>
      <c r="B2663" s="2" t="s">
        <v>8243</v>
      </c>
      <c r="C2663" s="2" t="s">
        <v>8058</v>
      </c>
      <c r="D2663" s="2" t="s">
        <v>127</v>
      </c>
      <c r="E2663" s="2" t="s">
        <v>89</v>
      </c>
      <c r="F2663" s="2" t="s">
        <v>66</v>
      </c>
      <c r="G2663" s="2" t="s">
        <v>111</v>
      </c>
      <c r="H2663" s="2" t="s">
        <v>498</v>
      </c>
      <c r="I2663" s="2" t="s">
        <v>47</v>
      </c>
      <c r="J2663" s="2" t="s">
        <v>8059</v>
      </c>
      <c r="K2663" s="2" t="s">
        <v>8244</v>
      </c>
      <c r="L2663" s="2" t="s">
        <v>342</v>
      </c>
      <c r="M2663" s="2" t="s">
        <v>8061</v>
      </c>
      <c r="N2663" s="16">
        <v>1.6199999999999999E-2</v>
      </c>
      <c r="O2663" s="17">
        <f>N2663*'Financial Inputs'!$B$3</f>
        <v>1620000</v>
      </c>
      <c r="P2663" s="18">
        <f>IF(I2663="L",'Financial Inputs'!$B$4,IF(I2663="M",'Financial Inputs'!$B$5,'Financial Inputs'!$B$6))</f>
        <v>0.4</v>
      </c>
      <c r="Q2663" s="17">
        <f>O2663*P2663</f>
        <v>648000</v>
      </c>
      <c r="R2663" s="16">
        <f>'Financial Inputs'!$B$7</f>
        <v>0.35</v>
      </c>
      <c r="S2663" s="17">
        <f>Q2663*(1-R2663)</f>
        <v>421200</v>
      </c>
      <c r="T2663" s="18">
        <f>S2663/'Financial Inputs'!$B$3</f>
        <v>4.2119999999999996E-3</v>
      </c>
      <c r="U2663" s="9" t="s">
        <v>52</v>
      </c>
      <c r="V2663" s="3" t="s">
        <v>53</v>
      </c>
    </row>
    <row r="2664" spans="1:22">
      <c r="A2664" s="2" t="s">
        <v>8245</v>
      </c>
      <c r="B2664" s="2" t="s">
        <v>8246</v>
      </c>
      <c r="C2664" s="2" t="s">
        <v>8058</v>
      </c>
      <c r="D2664" s="2" t="s">
        <v>133</v>
      </c>
      <c r="E2664" s="2" t="s">
        <v>96</v>
      </c>
      <c r="F2664" s="2" t="s">
        <v>74</v>
      </c>
      <c r="G2664" s="2" t="s">
        <v>56</v>
      </c>
      <c r="H2664" s="2" t="s">
        <v>498</v>
      </c>
      <c r="I2664" s="2" t="s">
        <v>47</v>
      </c>
      <c r="J2664" s="2" t="s">
        <v>8059</v>
      </c>
      <c r="K2664" s="2" t="s">
        <v>8247</v>
      </c>
      <c r="L2664" s="2" t="s">
        <v>346</v>
      </c>
      <c r="M2664" s="2" t="s">
        <v>8061</v>
      </c>
      <c r="N2664" s="16">
        <v>1.7999999999999999E-2</v>
      </c>
      <c r="O2664" s="17">
        <f>N2664*'Financial Inputs'!$B$3</f>
        <v>1799999.9999999998</v>
      </c>
      <c r="P2664" s="18">
        <f>IF(I2664="L",'Financial Inputs'!$B$4,IF(I2664="M",'Financial Inputs'!$B$5,'Financial Inputs'!$B$6))</f>
        <v>0.4</v>
      </c>
      <c r="Q2664" s="17">
        <f>O2664*P2664</f>
        <v>720000</v>
      </c>
      <c r="R2664" s="16">
        <f>'Financial Inputs'!$B$7</f>
        <v>0.35</v>
      </c>
      <c r="S2664" s="17">
        <f>Q2664*(1-R2664)</f>
        <v>468000</v>
      </c>
      <c r="T2664" s="18">
        <f>S2664/'Financial Inputs'!$B$3</f>
        <v>4.6800000000000001E-3</v>
      </c>
      <c r="U2664" s="9" t="s">
        <v>52</v>
      </c>
      <c r="V2664" s="3" t="s">
        <v>53</v>
      </c>
    </row>
    <row r="2665" spans="1:22">
      <c r="A2665" s="2" t="s">
        <v>8248</v>
      </c>
      <c r="B2665" s="2" t="s">
        <v>8249</v>
      </c>
      <c r="C2665" s="2" t="s">
        <v>8058</v>
      </c>
      <c r="D2665" s="2" t="s">
        <v>88</v>
      </c>
      <c r="E2665" s="2" t="s">
        <v>103</v>
      </c>
      <c r="F2665" s="2" t="s">
        <v>82</v>
      </c>
      <c r="G2665" s="2" t="s">
        <v>138</v>
      </c>
      <c r="H2665" s="2" t="s">
        <v>498</v>
      </c>
      <c r="I2665" s="2" t="s">
        <v>47</v>
      </c>
      <c r="J2665" s="2" t="s">
        <v>8059</v>
      </c>
      <c r="K2665" s="2" t="s">
        <v>8250</v>
      </c>
      <c r="L2665" s="2" t="s">
        <v>350</v>
      </c>
      <c r="M2665" s="2" t="s">
        <v>8061</v>
      </c>
      <c r="N2665" s="16">
        <v>1.9800000000000002E-2</v>
      </c>
      <c r="O2665" s="17">
        <f>N2665*'Financial Inputs'!$B$3</f>
        <v>1980000.0000000002</v>
      </c>
      <c r="P2665" s="18">
        <f>IF(I2665="L",'Financial Inputs'!$B$4,IF(I2665="M",'Financial Inputs'!$B$5,'Financial Inputs'!$B$6))</f>
        <v>0.4</v>
      </c>
      <c r="Q2665" s="17">
        <f>O2665*P2665</f>
        <v>792000.00000000012</v>
      </c>
      <c r="R2665" s="16">
        <f>'Financial Inputs'!$B$7</f>
        <v>0.35</v>
      </c>
      <c r="S2665" s="17">
        <f>Q2665*(1-R2665)</f>
        <v>514800.00000000012</v>
      </c>
      <c r="T2665" s="18">
        <f>S2665/'Financial Inputs'!$B$3</f>
        <v>5.1480000000000015E-3</v>
      </c>
      <c r="U2665" s="9" t="s">
        <v>52</v>
      </c>
      <c r="V2665" s="3" t="s">
        <v>53</v>
      </c>
    </row>
    <row r="2666" spans="1:22">
      <c r="A2666" s="2" t="s">
        <v>8251</v>
      </c>
      <c r="B2666" s="2" t="s">
        <v>8252</v>
      </c>
      <c r="C2666" s="2" t="s">
        <v>8058</v>
      </c>
      <c r="D2666" s="2" t="s">
        <v>95</v>
      </c>
      <c r="E2666" s="2" t="s">
        <v>109</v>
      </c>
      <c r="F2666" s="2" t="s">
        <v>44</v>
      </c>
      <c r="G2666" s="2" t="s">
        <v>143</v>
      </c>
      <c r="H2666" s="2" t="s">
        <v>498</v>
      </c>
      <c r="I2666" s="2" t="s">
        <v>47</v>
      </c>
      <c r="J2666" s="2" t="s">
        <v>8059</v>
      </c>
      <c r="K2666" s="2" t="s">
        <v>8253</v>
      </c>
      <c r="L2666" s="2" t="s">
        <v>354</v>
      </c>
      <c r="M2666" s="2" t="s">
        <v>8061</v>
      </c>
      <c r="N2666" s="16">
        <v>2.1600000000000001E-2</v>
      </c>
      <c r="O2666" s="17">
        <f>N2666*'Financial Inputs'!$B$3</f>
        <v>2160000</v>
      </c>
      <c r="P2666" s="18">
        <f>IF(I2666="L",'Financial Inputs'!$B$4,IF(I2666="M",'Financial Inputs'!$B$5,'Financial Inputs'!$B$6))</f>
        <v>0.4</v>
      </c>
      <c r="Q2666" s="17">
        <f>O2666*P2666</f>
        <v>864000</v>
      </c>
      <c r="R2666" s="16">
        <f>'Financial Inputs'!$B$7</f>
        <v>0.35</v>
      </c>
      <c r="S2666" s="17">
        <f>Q2666*(1-R2666)</f>
        <v>561600</v>
      </c>
      <c r="T2666" s="18">
        <f>S2666/'Financial Inputs'!$B$3</f>
        <v>5.6160000000000003E-3</v>
      </c>
      <c r="U2666" s="9" t="s">
        <v>52</v>
      </c>
      <c r="V2666" s="3" t="s">
        <v>53</v>
      </c>
    </row>
    <row r="2667" spans="1:22">
      <c r="A2667" s="2" t="s">
        <v>8254</v>
      </c>
      <c r="B2667" s="2" t="s">
        <v>8255</v>
      </c>
      <c r="C2667" s="2" t="s">
        <v>8058</v>
      </c>
      <c r="D2667" s="2" t="s">
        <v>56</v>
      </c>
      <c r="E2667" s="2" t="s">
        <v>176</v>
      </c>
      <c r="F2667" s="2" t="s">
        <v>97</v>
      </c>
      <c r="G2667" s="2" t="s">
        <v>56</v>
      </c>
      <c r="H2667" s="2" t="s">
        <v>498</v>
      </c>
      <c r="I2667" s="2" t="s">
        <v>47</v>
      </c>
      <c r="J2667" s="2" t="s">
        <v>8059</v>
      </c>
      <c r="K2667" s="2" t="s">
        <v>8256</v>
      </c>
      <c r="L2667" s="2" t="s">
        <v>358</v>
      </c>
      <c r="M2667" s="2" t="s">
        <v>8061</v>
      </c>
      <c r="N2667" s="16">
        <v>1.44E-2</v>
      </c>
      <c r="O2667" s="17">
        <f>N2667*'Financial Inputs'!$B$3</f>
        <v>1440000</v>
      </c>
      <c r="P2667" s="18">
        <f>IF(I2667="L",'Financial Inputs'!$B$4,IF(I2667="M",'Financial Inputs'!$B$5,'Financial Inputs'!$B$6))</f>
        <v>0.4</v>
      </c>
      <c r="Q2667" s="17">
        <f>O2667*P2667</f>
        <v>576000</v>
      </c>
      <c r="R2667" s="16">
        <f>'Financial Inputs'!$B$7</f>
        <v>0.35</v>
      </c>
      <c r="S2667" s="17">
        <f>Q2667*(1-R2667)</f>
        <v>374400</v>
      </c>
      <c r="T2667" s="18">
        <f>S2667/'Financial Inputs'!$B$3</f>
        <v>3.7439999999999999E-3</v>
      </c>
      <c r="U2667" s="9" t="s">
        <v>52</v>
      </c>
      <c r="V2667" s="3" t="s">
        <v>53</v>
      </c>
    </row>
    <row r="2668" spans="1:22">
      <c r="A2668" s="2" t="s">
        <v>8257</v>
      </c>
      <c r="B2668" s="2" t="s">
        <v>8258</v>
      </c>
      <c r="C2668" s="2" t="s">
        <v>8058</v>
      </c>
      <c r="D2668" s="2" t="s">
        <v>64</v>
      </c>
      <c r="E2668" s="2" t="s">
        <v>122</v>
      </c>
      <c r="F2668" s="2" t="s">
        <v>104</v>
      </c>
      <c r="G2668" s="2" t="s">
        <v>138</v>
      </c>
      <c r="H2668" s="2" t="s">
        <v>498</v>
      </c>
      <c r="I2668" s="2" t="s">
        <v>47</v>
      </c>
      <c r="J2668" s="2" t="s">
        <v>8059</v>
      </c>
      <c r="K2668" s="2" t="s">
        <v>8259</v>
      </c>
      <c r="L2668" s="2" t="s">
        <v>362</v>
      </c>
      <c r="M2668" s="2" t="s">
        <v>8061</v>
      </c>
      <c r="N2668" s="16">
        <v>1.6199999999999999E-2</v>
      </c>
      <c r="O2668" s="17">
        <f>N2668*'Financial Inputs'!$B$3</f>
        <v>1620000</v>
      </c>
      <c r="P2668" s="18">
        <f>IF(I2668="L",'Financial Inputs'!$B$4,IF(I2668="M",'Financial Inputs'!$B$5,'Financial Inputs'!$B$6))</f>
        <v>0.4</v>
      </c>
      <c r="Q2668" s="17">
        <f>O2668*P2668</f>
        <v>648000</v>
      </c>
      <c r="R2668" s="16">
        <f>'Financial Inputs'!$B$7</f>
        <v>0.35</v>
      </c>
      <c r="S2668" s="17">
        <f>Q2668*(1-R2668)</f>
        <v>421200</v>
      </c>
      <c r="T2668" s="18">
        <f>S2668/'Financial Inputs'!$B$3</f>
        <v>4.2119999999999996E-3</v>
      </c>
      <c r="U2668" s="9" t="s">
        <v>52</v>
      </c>
      <c r="V2668" s="3" t="s">
        <v>53</v>
      </c>
    </row>
    <row r="2669" spans="1:22">
      <c r="A2669" s="2" t="s">
        <v>8260</v>
      </c>
      <c r="B2669" s="2" t="s">
        <v>8261</v>
      </c>
      <c r="C2669" s="2" t="s">
        <v>8058</v>
      </c>
      <c r="D2669" s="2" t="s">
        <v>72</v>
      </c>
      <c r="E2669" s="2" t="s">
        <v>128</v>
      </c>
      <c r="F2669" s="2" t="s">
        <v>110</v>
      </c>
      <c r="G2669" s="2" t="s">
        <v>143</v>
      </c>
      <c r="H2669" s="2" t="s">
        <v>498</v>
      </c>
      <c r="I2669" s="2" t="s">
        <v>47</v>
      </c>
      <c r="J2669" s="2" t="s">
        <v>8059</v>
      </c>
      <c r="K2669" s="2" t="s">
        <v>8262</v>
      </c>
      <c r="L2669" s="2" t="s">
        <v>366</v>
      </c>
      <c r="M2669" s="2" t="s">
        <v>8061</v>
      </c>
      <c r="N2669" s="16">
        <v>1.7999999999999999E-2</v>
      </c>
      <c r="O2669" s="17">
        <f>N2669*'Financial Inputs'!$B$3</f>
        <v>1799999.9999999998</v>
      </c>
      <c r="P2669" s="18">
        <f>IF(I2669="L",'Financial Inputs'!$B$4,IF(I2669="M",'Financial Inputs'!$B$5,'Financial Inputs'!$B$6))</f>
        <v>0.4</v>
      </c>
      <c r="Q2669" s="17">
        <f>O2669*P2669</f>
        <v>720000</v>
      </c>
      <c r="R2669" s="16">
        <f>'Financial Inputs'!$B$7</f>
        <v>0.35</v>
      </c>
      <c r="S2669" s="17">
        <f>Q2669*(1-R2669)</f>
        <v>468000</v>
      </c>
      <c r="T2669" s="18">
        <f>S2669/'Financial Inputs'!$B$3</f>
        <v>4.6800000000000001E-3</v>
      </c>
      <c r="U2669" s="9" t="s">
        <v>52</v>
      </c>
      <c r="V2669" s="3" t="s">
        <v>53</v>
      </c>
    </row>
    <row r="2670" spans="1:22">
      <c r="A2670" s="2" t="s">
        <v>8263</v>
      </c>
      <c r="B2670" s="2" t="s">
        <v>8264</v>
      </c>
      <c r="C2670" s="2" t="s">
        <v>8058</v>
      </c>
      <c r="D2670" s="2" t="s">
        <v>80</v>
      </c>
      <c r="E2670" s="2" t="s">
        <v>43</v>
      </c>
      <c r="F2670" s="2" t="s">
        <v>117</v>
      </c>
      <c r="G2670" s="2" t="s">
        <v>162</v>
      </c>
      <c r="H2670" s="2" t="s">
        <v>498</v>
      </c>
      <c r="I2670" s="2" t="s">
        <v>47</v>
      </c>
      <c r="J2670" s="2" t="s">
        <v>8059</v>
      </c>
      <c r="K2670" s="2" t="s">
        <v>8265</v>
      </c>
      <c r="L2670" s="2" t="s">
        <v>370</v>
      </c>
      <c r="M2670" s="2" t="s">
        <v>8061</v>
      </c>
      <c r="N2670" s="16">
        <v>1.9800000000000002E-2</v>
      </c>
      <c r="O2670" s="17">
        <f>N2670*'Financial Inputs'!$B$3</f>
        <v>1980000.0000000002</v>
      </c>
      <c r="P2670" s="18">
        <f>IF(I2670="L",'Financial Inputs'!$B$4,IF(I2670="M",'Financial Inputs'!$B$5,'Financial Inputs'!$B$6))</f>
        <v>0.4</v>
      </c>
      <c r="Q2670" s="17">
        <f>O2670*P2670</f>
        <v>792000.00000000012</v>
      </c>
      <c r="R2670" s="16">
        <f>'Financial Inputs'!$B$7</f>
        <v>0.35</v>
      </c>
      <c r="S2670" s="17">
        <f>Q2670*(1-R2670)</f>
        <v>514800.00000000012</v>
      </c>
      <c r="T2670" s="18">
        <f>S2670/'Financial Inputs'!$B$3</f>
        <v>5.1480000000000015E-3</v>
      </c>
      <c r="U2670" s="9" t="s">
        <v>52</v>
      </c>
      <c r="V2670" s="3" t="s">
        <v>53</v>
      </c>
    </row>
    <row r="2671" spans="1:22">
      <c r="A2671" s="2" t="s">
        <v>8266</v>
      </c>
      <c r="B2671" s="2" t="s">
        <v>8267</v>
      </c>
      <c r="C2671" s="2" t="s">
        <v>8058</v>
      </c>
      <c r="D2671" s="2" t="s">
        <v>127</v>
      </c>
      <c r="E2671" s="2" t="s">
        <v>57</v>
      </c>
      <c r="F2671" s="2" t="s">
        <v>90</v>
      </c>
      <c r="G2671" s="2" t="s">
        <v>45</v>
      </c>
      <c r="H2671" s="2" t="s">
        <v>498</v>
      </c>
      <c r="I2671" s="2" t="s">
        <v>47</v>
      </c>
      <c r="J2671" s="2" t="s">
        <v>8059</v>
      </c>
      <c r="K2671" s="2" t="s">
        <v>8268</v>
      </c>
      <c r="L2671" s="2" t="s">
        <v>374</v>
      </c>
      <c r="M2671" s="2" t="s">
        <v>8061</v>
      </c>
      <c r="N2671" s="16">
        <v>2.1600000000000001E-2</v>
      </c>
      <c r="O2671" s="17">
        <f>N2671*'Financial Inputs'!$B$3</f>
        <v>2160000</v>
      </c>
      <c r="P2671" s="18">
        <f>IF(I2671="L",'Financial Inputs'!$B$4,IF(I2671="M",'Financial Inputs'!$B$5,'Financial Inputs'!$B$6))</f>
        <v>0.4</v>
      </c>
      <c r="Q2671" s="17">
        <f>O2671*P2671</f>
        <v>864000</v>
      </c>
      <c r="R2671" s="16">
        <f>'Financial Inputs'!$B$7</f>
        <v>0.35</v>
      </c>
      <c r="S2671" s="17">
        <f>Q2671*(1-R2671)</f>
        <v>561600</v>
      </c>
      <c r="T2671" s="18">
        <f>S2671/'Financial Inputs'!$B$3</f>
        <v>5.6160000000000003E-3</v>
      </c>
      <c r="U2671" s="9" t="s">
        <v>52</v>
      </c>
      <c r="V2671" s="3" t="s">
        <v>53</v>
      </c>
    </row>
    <row r="2672" spans="1:22">
      <c r="A2672" s="2" t="s">
        <v>8269</v>
      </c>
      <c r="B2672" s="2" t="s">
        <v>8270</v>
      </c>
      <c r="C2672" s="2" t="s">
        <v>8058</v>
      </c>
      <c r="D2672" s="2" t="s">
        <v>95</v>
      </c>
      <c r="E2672" s="2" t="s">
        <v>198</v>
      </c>
      <c r="F2672" s="2" t="s">
        <v>66</v>
      </c>
      <c r="G2672" s="2" t="s">
        <v>143</v>
      </c>
      <c r="H2672" s="2" t="s">
        <v>498</v>
      </c>
      <c r="I2672" s="2" t="s">
        <v>47</v>
      </c>
      <c r="J2672" s="2" t="s">
        <v>8059</v>
      </c>
      <c r="K2672" s="2" t="s">
        <v>8271</v>
      </c>
      <c r="L2672" s="2" t="s">
        <v>378</v>
      </c>
      <c r="M2672" s="2" t="s">
        <v>8061</v>
      </c>
      <c r="N2672" s="16">
        <v>1.44E-2</v>
      </c>
      <c r="O2672" s="17">
        <f>N2672*'Financial Inputs'!$B$3</f>
        <v>1440000</v>
      </c>
      <c r="P2672" s="18">
        <f>IF(I2672="L",'Financial Inputs'!$B$4,IF(I2672="M",'Financial Inputs'!$B$5,'Financial Inputs'!$B$6))</f>
        <v>0.4</v>
      </c>
      <c r="Q2672" s="17">
        <f>O2672*P2672</f>
        <v>576000</v>
      </c>
      <c r="R2672" s="16">
        <f>'Financial Inputs'!$B$7</f>
        <v>0.35</v>
      </c>
      <c r="S2672" s="17">
        <f>Q2672*(1-R2672)</f>
        <v>374400</v>
      </c>
      <c r="T2672" s="18">
        <f>S2672/'Financial Inputs'!$B$3</f>
        <v>3.7439999999999999E-3</v>
      </c>
      <c r="U2672" s="9" t="s">
        <v>52</v>
      </c>
      <c r="V2672" s="3" t="s">
        <v>53</v>
      </c>
    </row>
    <row r="2673" spans="1:22">
      <c r="A2673" s="2" t="s">
        <v>8272</v>
      </c>
      <c r="B2673" s="2" t="s">
        <v>8273</v>
      </c>
      <c r="C2673" s="2" t="s">
        <v>8058</v>
      </c>
      <c r="D2673" s="2" t="s">
        <v>102</v>
      </c>
      <c r="E2673" s="2" t="s">
        <v>148</v>
      </c>
      <c r="F2673" s="2" t="s">
        <v>74</v>
      </c>
      <c r="G2673" s="2" t="s">
        <v>162</v>
      </c>
      <c r="H2673" s="2" t="s">
        <v>498</v>
      </c>
      <c r="I2673" s="2" t="s">
        <v>47</v>
      </c>
      <c r="J2673" s="2" t="s">
        <v>8059</v>
      </c>
      <c r="K2673" s="2" t="s">
        <v>8274</v>
      </c>
      <c r="L2673" s="2" t="s">
        <v>382</v>
      </c>
      <c r="M2673" s="2" t="s">
        <v>8061</v>
      </c>
      <c r="N2673" s="16">
        <v>1.6199999999999999E-2</v>
      </c>
      <c r="O2673" s="17">
        <f>N2673*'Financial Inputs'!$B$3</f>
        <v>1620000</v>
      </c>
      <c r="P2673" s="18">
        <f>IF(I2673="L",'Financial Inputs'!$B$4,IF(I2673="M",'Financial Inputs'!$B$5,'Financial Inputs'!$B$6))</f>
        <v>0.4</v>
      </c>
      <c r="Q2673" s="17">
        <f>O2673*P2673</f>
        <v>648000</v>
      </c>
      <c r="R2673" s="16">
        <f>'Financial Inputs'!$B$7</f>
        <v>0.35</v>
      </c>
      <c r="S2673" s="17">
        <f>Q2673*(1-R2673)</f>
        <v>421200</v>
      </c>
      <c r="T2673" s="18">
        <f>S2673/'Financial Inputs'!$B$3</f>
        <v>4.2119999999999996E-3</v>
      </c>
      <c r="U2673" s="9" t="s">
        <v>52</v>
      </c>
      <c r="V2673" s="3" t="s">
        <v>53</v>
      </c>
    </row>
    <row r="2674" spans="1:22">
      <c r="A2674" s="2" t="s">
        <v>8275</v>
      </c>
      <c r="B2674" s="2" t="s">
        <v>8276</v>
      </c>
      <c r="C2674" s="2" t="s">
        <v>8058</v>
      </c>
      <c r="D2674" s="2" t="s">
        <v>42</v>
      </c>
      <c r="E2674" s="2" t="s">
        <v>153</v>
      </c>
      <c r="F2674" s="2" t="s">
        <v>82</v>
      </c>
      <c r="G2674" s="2" t="s">
        <v>45</v>
      </c>
      <c r="H2674" s="2" t="s">
        <v>498</v>
      </c>
      <c r="I2674" s="2" t="s">
        <v>47</v>
      </c>
      <c r="J2674" s="2" t="s">
        <v>8059</v>
      </c>
      <c r="K2674" s="2" t="s">
        <v>8277</v>
      </c>
      <c r="L2674" s="2" t="s">
        <v>386</v>
      </c>
      <c r="M2674" s="2" t="s">
        <v>8061</v>
      </c>
      <c r="N2674" s="16">
        <v>1.7999999999999999E-2</v>
      </c>
      <c r="O2674" s="17">
        <f>N2674*'Financial Inputs'!$B$3</f>
        <v>1799999.9999999998</v>
      </c>
      <c r="P2674" s="18">
        <f>IF(I2674="L",'Financial Inputs'!$B$4,IF(I2674="M",'Financial Inputs'!$B$5,'Financial Inputs'!$B$6))</f>
        <v>0.4</v>
      </c>
      <c r="Q2674" s="17">
        <f>O2674*P2674</f>
        <v>720000</v>
      </c>
      <c r="R2674" s="16">
        <f>'Financial Inputs'!$B$7</f>
        <v>0.35</v>
      </c>
      <c r="S2674" s="17">
        <f>Q2674*(1-R2674)</f>
        <v>468000</v>
      </c>
      <c r="T2674" s="18">
        <f>S2674/'Financial Inputs'!$B$3</f>
        <v>4.6800000000000001E-3</v>
      </c>
      <c r="U2674" s="9" t="s">
        <v>52</v>
      </c>
      <c r="V2674" s="3" t="s">
        <v>53</v>
      </c>
    </row>
    <row r="2675" spans="1:22">
      <c r="A2675" s="2" t="s">
        <v>8278</v>
      </c>
      <c r="B2675" s="2" t="s">
        <v>8279</v>
      </c>
      <c r="C2675" s="2" t="s">
        <v>8058</v>
      </c>
      <c r="D2675" s="2" t="s">
        <v>56</v>
      </c>
      <c r="E2675" s="2" t="s">
        <v>89</v>
      </c>
      <c r="F2675" s="2" t="s">
        <v>44</v>
      </c>
      <c r="G2675" s="2" t="s">
        <v>59</v>
      </c>
      <c r="H2675" s="2" t="s">
        <v>498</v>
      </c>
      <c r="I2675" s="2" t="s">
        <v>47</v>
      </c>
      <c r="J2675" s="2" t="s">
        <v>8059</v>
      </c>
      <c r="K2675" s="2" t="s">
        <v>8280</v>
      </c>
      <c r="L2675" s="2" t="s">
        <v>390</v>
      </c>
      <c r="M2675" s="2" t="s">
        <v>8061</v>
      </c>
      <c r="N2675" s="16">
        <v>1.9800000000000002E-2</v>
      </c>
      <c r="O2675" s="17">
        <f>N2675*'Financial Inputs'!$B$3</f>
        <v>1980000.0000000002</v>
      </c>
      <c r="P2675" s="18">
        <f>IF(I2675="L",'Financial Inputs'!$B$4,IF(I2675="M",'Financial Inputs'!$B$5,'Financial Inputs'!$B$6))</f>
        <v>0.4</v>
      </c>
      <c r="Q2675" s="17">
        <f>O2675*P2675</f>
        <v>792000.00000000012</v>
      </c>
      <c r="R2675" s="16">
        <f>'Financial Inputs'!$B$7</f>
        <v>0.35</v>
      </c>
      <c r="S2675" s="17">
        <f>Q2675*(1-R2675)</f>
        <v>514800.00000000012</v>
      </c>
      <c r="T2675" s="18">
        <f>S2675/'Financial Inputs'!$B$3</f>
        <v>5.1480000000000015E-3</v>
      </c>
      <c r="U2675" s="9" t="s">
        <v>52</v>
      </c>
      <c r="V2675" s="3" t="s">
        <v>53</v>
      </c>
    </row>
    <row r="2676" spans="1:22">
      <c r="A2676" s="2" t="s">
        <v>8281</v>
      </c>
      <c r="B2676" s="2" t="s">
        <v>8282</v>
      </c>
      <c r="C2676" s="2" t="s">
        <v>8058</v>
      </c>
      <c r="D2676" s="2" t="s">
        <v>64</v>
      </c>
      <c r="E2676" s="2" t="s">
        <v>96</v>
      </c>
      <c r="F2676" s="2" t="s">
        <v>58</v>
      </c>
      <c r="G2676" s="2" t="s">
        <v>67</v>
      </c>
      <c r="H2676" s="2" t="s">
        <v>498</v>
      </c>
      <c r="I2676" s="2" t="s">
        <v>47</v>
      </c>
      <c r="J2676" s="2" t="s">
        <v>8059</v>
      </c>
      <c r="K2676" s="2" t="s">
        <v>8283</v>
      </c>
      <c r="L2676" s="2" t="s">
        <v>394</v>
      </c>
      <c r="M2676" s="2" t="s">
        <v>8061</v>
      </c>
      <c r="N2676" s="16">
        <v>2.1600000000000001E-2</v>
      </c>
      <c r="O2676" s="17">
        <f>N2676*'Financial Inputs'!$B$3</f>
        <v>2160000</v>
      </c>
      <c r="P2676" s="18">
        <f>IF(I2676="L",'Financial Inputs'!$B$4,IF(I2676="M",'Financial Inputs'!$B$5,'Financial Inputs'!$B$6))</f>
        <v>0.4</v>
      </c>
      <c r="Q2676" s="17">
        <f>O2676*P2676</f>
        <v>864000</v>
      </c>
      <c r="R2676" s="16">
        <f>'Financial Inputs'!$B$7</f>
        <v>0.35</v>
      </c>
      <c r="S2676" s="17">
        <f>Q2676*(1-R2676)</f>
        <v>561600</v>
      </c>
      <c r="T2676" s="18">
        <f>S2676/'Financial Inputs'!$B$3</f>
        <v>5.6160000000000003E-3</v>
      </c>
      <c r="U2676" s="9" t="s">
        <v>52</v>
      </c>
      <c r="V2676" s="3" t="s">
        <v>53</v>
      </c>
    </row>
    <row r="2677" spans="1:22">
      <c r="A2677" s="2" t="s">
        <v>8284</v>
      </c>
      <c r="B2677" s="2" t="s">
        <v>8285</v>
      </c>
      <c r="C2677" s="2" t="s">
        <v>8058</v>
      </c>
      <c r="D2677" s="2" t="s">
        <v>127</v>
      </c>
      <c r="E2677" s="2" t="s">
        <v>220</v>
      </c>
      <c r="F2677" s="2" t="s">
        <v>104</v>
      </c>
      <c r="G2677" s="2" t="s">
        <v>45</v>
      </c>
      <c r="H2677" s="2" t="s">
        <v>498</v>
      </c>
      <c r="I2677" s="2" t="s">
        <v>47</v>
      </c>
      <c r="J2677" s="2" t="s">
        <v>8059</v>
      </c>
      <c r="K2677" s="2" t="s">
        <v>8286</v>
      </c>
      <c r="L2677" s="2" t="s">
        <v>398</v>
      </c>
      <c r="M2677" s="2" t="s">
        <v>8061</v>
      </c>
      <c r="N2677" s="16">
        <v>1.44E-2</v>
      </c>
      <c r="O2677" s="17">
        <f>N2677*'Financial Inputs'!$B$3</f>
        <v>1440000</v>
      </c>
      <c r="P2677" s="18">
        <f>IF(I2677="L",'Financial Inputs'!$B$4,IF(I2677="M",'Financial Inputs'!$B$5,'Financial Inputs'!$B$6))</f>
        <v>0.4</v>
      </c>
      <c r="Q2677" s="17">
        <f>O2677*P2677</f>
        <v>576000</v>
      </c>
      <c r="R2677" s="16">
        <f>'Financial Inputs'!$B$7</f>
        <v>0.35</v>
      </c>
      <c r="S2677" s="17">
        <f>Q2677*(1-R2677)</f>
        <v>374400</v>
      </c>
      <c r="T2677" s="18">
        <f>S2677/'Financial Inputs'!$B$3</f>
        <v>3.7439999999999999E-3</v>
      </c>
      <c r="U2677" s="9" t="s">
        <v>52</v>
      </c>
      <c r="V2677" s="3" t="s">
        <v>53</v>
      </c>
    </row>
    <row r="2678" spans="1:22">
      <c r="A2678" s="2" t="s">
        <v>8287</v>
      </c>
      <c r="B2678" s="2" t="s">
        <v>8288</v>
      </c>
      <c r="C2678" s="2" t="s">
        <v>8058</v>
      </c>
      <c r="D2678" s="2" t="s">
        <v>133</v>
      </c>
      <c r="E2678" s="2" t="s">
        <v>171</v>
      </c>
      <c r="F2678" s="2" t="s">
        <v>110</v>
      </c>
      <c r="G2678" s="2" t="s">
        <v>59</v>
      </c>
      <c r="H2678" s="2" t="s">
        <v>498</v>
      </c>
      <c r="I2678" s="2" t="s">
        <v>47</v>
      </c>
      <c r="J2678" s="2" t="s">
        <v>8059</v>
      </c>
      <c r="K2678" s="2" t="s">
        <v>8289</v>
      </c>
      <c r="L2678" s="2" t="s">
        <v>402</v>
      </c>
      <c r="M2678" s="2" t="s">
        <v>8061</v>
      </c>
      <c r="N2678" s="16">
        <v>1.6199999999999999E-2</v>
      </c>
      <c r="O2678" s="17">
        <f>N2678*'Financial Inputs'!$B$3</f>
        <v>1620000</v>
      </c>
      <c r="P2678" s="18">
        <f>IF(I2678="L",'Financial Inputs'!$B$4,IF(I2678="M",'Financial Inputs'!$B$5,'Financial Inputs'!$B$6))</f>
        <v>0.4</v>
      </c>
      <c r="Q2678" s="17">
        <f>O2678*P2678</f>
        <v>648000</v>
      </c>
      <c r="R2678" s="16">
        <f>'Financial Inputs'!$B$7</f>
        <v>0.35</v>
      </c>
      <c r="S2678" s="17">
        <f>Q2678*(1-R2678)</f>
        <v>421200</v>
      </c>
      <c r="T2678" s="18">
        <f>S2678/'Financial Inputs'!$B$3</f>
        <v>4.2119999999999996E-3</v>
      </c>
      <c r="U2678" s="9" t="s">
        <v>52</v>
      </c>
      <c r="V2678" s="3" t="s">
        <v>53</v>
      </c>
    </row>
    <row r="2679" spans="1:22">
      <c r="A2679" s="2" t="s">
        <v>8290</v>
      </c>
      <c r="B2679" s="2" t="s">
        <v>8291</v>
      </c>
      <c r="C2679" s="2" t="s">
        <v>8058</v>
      </c>
      <c r="D2679" s="2" t="s">
        <v>88</v>
      </c>
      <c r="E2679" s="2" t="s">
        <v>176</v>
      </c>
      <c r="F2679" s="2" t="s">
        <v>117</v>
      </c>
      <c r="G2679" s="2" t="s">
        <v>67</v>
      </c>
      <c r="H2679" s="2" t="s">
        <v>498</v>
      </c>
      <c r="I2679" s="2" t="s">
        <v>47</v>
      </c>
      <c r="J2679" s="2" t="s">
        <v>8059</v>
      </c>
      <c r="K2679" s="2" t="s">
        <v>8292</v>
      </c>
      <c r="L2679" s="2" t="s">
        <v>406</v>
      </c>
      <c r="M2679" s="2" t="s">
        <v>8061</v>
      </c>
      <c r="N2679" s="16">
        <v>1.7999999999999999E-2</v>
      </c>
      <c r="O2679" s="17">
        <f>N2679*'Financial Inputs'!$B$3</f>
        <v>1799999.9999999998</v>
      </c>
      <c r="P2679" s="18">
        <f>IF(I2679="L",'Financial Inputs'!$B$4,IF(I2679="M",'Financial Inputs'!$B$5,'Financial Inputs'!$B$6))</f>
        <v>0.4</v>
      </c>
      <c r="Q2679" s="17">
        <f>O2679*P2679</f>
        <v>720000</v>
      </c>
      <c r="R2679" s="16">
        <f>'Financial Inputs'!$B$7</f>
        <v>0.35</v>
      </c>
      <c r="S2679" s="17">
        <f>Q2679*(1-R2679)</f>
        <v>468000</v>
      </c>
      <c r="T2679" s="18">
        <f>S2679/'Financial Inputs'!$B$3</f>
        <v>4.6800000000000001E-3</v>
      </c>
      <c r="U2679" s="9" t="s">
        <v>52</v>
      </c>
      <c r="V2679" s="3" t="s">
        <v>53</v>
      </c>
    </row>
    <row r="2680" spans="1:22">
      <c r="A2680" s="2" t="s">
        <v>8293</v>
      </c>
      <c r="B2680" s="2" t="s">
        <v>8294</v>
      </c>
      <c r="C2680" s="2" t="s">
        <v>8058</v>
      </c>
      <c r="D2680" s="2" t="s">
        <v>95</v>
      </c>
      <c r="E2680" s="2" t="s">
        <v>122</v>
      </c>
      <c r="F2680" s="2" t="s">
        <v>90</v>
      </c>
      <c r="G2680" s="2" t="s">
        <v>75</v>
      </c>
      <c r="H2680" s="2" t="s">
        <v>498</v>
      </c>
      <c r="I2680" s="2" t="s">
        <v>47</v>
      </c>
      <c r="J2680" s="2" t="s">
        <v>8059</v>
      </c>
      <c r="K2680" s="2" t="s">
        <v>8295</v>
      </c>
      <c r="L2680" s="2" t="s">
        <v>410</v>
      </c>
      <c r="M2680" s="2" t="s">
        <v>8061</v>
      </c>
      <c r="N2680" s="16">
        <v>1.9800000000000002E-2</v>
      </c>
      <c r="O2680" s="17">
        <f>N2680*'Financial Inputs'!$B$3</f>
        <v>1980000.0000000002</v>
      </c>
      <c r="P2680" s="18">
        <f>IF(I2680="L",'Financial Inputs'!$B$4,IF(I2680="M",'Financial Inputs'!$B$5,'Financial Inputs'!$B$6))</f>
        <v>0.4</v>
      </c>
      <c r="Q2680" s="17">
        <f>O2680*P2680</f>
        <v>792000.00000000012</v>
      </c>
      <c r="R2680" s="16">
        <f>'Financial Inputs'!$B$7</f>
        <v>0.35</v>
      </c>
      <c r="S2680" s="17">
        <f>Q2680*(1-R2680)</f>
        <v>514800.00000000012</v>
      </c>
      <c r="T2680" s="18">
        <f>S2680/'Financial Inputs'!$B$3</f>
        <v>5.1480000000000015E-3</v>
      </c>
      <c r="U2680" s="9" t="s">
        <v>52</v>
      </c>
      <c r="V2680" s="3" t="s">
        <v>53</v>
      </c>
    </row>
    <row r="2681" spans="1:22">
      <c r="A2681" s="2" t="s">
        <v>8296</v>
      </c>
      <c r="B2681" s="2" t="s">
        <v>8297</v>
      </c>
      <c r="C2681" s="2" t="s">
        <v>8058</v>
      </c>
      <c r="D2681" s="2" t="s">
        <v>102</v>
      </c>
      <c r="E2681" s="2" t="s">
        <v>128</v>
      </c>
      <c r="F2681" s="2" t="s">
        <v>97</v>
      </c>
      <c r="G2681" s="2" t="s">
        <v>83</v>
      </c>
      <c r="H2681" s="2" t="s">
        <v>498</v>
      </c>
      <c r="I2681" s="2" t="s">
        <v>47</v>
      </c>
      <c r="J2681" s="2" t="s">
        <v>8059</v>
      </c>
      <c r="K2681" s="2" t="s">
        <v>8298</v>
      </c>
      <c r="L2681" s="2" t="s">
        <v>414</v>
      </c>
      <c r="M2681" s="2" t="s">
        <v>8061</v>
      </c>
      <c r="N2681" s="16">
        <v>2.1600000000000001E-2</v>
      </c>
      <c r="O2681" s="17">
        <f>N2681*'Financial Inputs'!$B$3</f>
        <v>2160000</v>
      </c>
      <c r="P2681" s="18">
        <f>IF(I2681="L",'Financial Inputs'!$B$4,IF(I2681="M",'Financial Inputs'!$B$5,'Financial Inputs'!$B$6))</f>
        <v>0.4</v>
      </c>
      <c r="Q2681" s="17">
        <f>O2681*P2681</f>
        <v>864000</v>
      </c>
      <c r="R2681" s="16">
        <f>'Financial Inputs'!$B$7</f>
        <v>0.35</v>
      </c>
      <c r="S2681" s="17">
        <f>Q2681*(1-R2681)</f>
        <v>561600</v>
      </c>
      <c r="T2681" s="18">
        <f>S2681/'Financial Inputs'!$B$3</f>
        <v>5.6160000000000003E-3</v>
      </c>
      <c r="U2681" s="9" t="s">
        <v>52</v>
      </c>
      <c r="V2681" s="3" t="s">
        <v>53</v>
      </c>
    </row>
    <row r="2682" spans="1:22">
      <c r="A2682" s="2" t="s">
        <v>8299</v>
      </c>
      <c r="B2682" s="2" t="s">
        <v>8300</v>
      </c>
      <c r="C2682" s="2" t="s">
        <v>8058</v>
      </c>
      <c r="D2682" s="2" t="s">
        <v>64</v>
      </c>
      <c r="E2682" s="2" t="s">
        <v>81</v>
      </c>
      <c r="F2682" s="2" t="s">
        <v>74</v>
      </c>
      <c r="G2682" s="2" t="s">
        <v>67</v>
      </c>
      <c r="H2682" s="2" t="s">
        <v>498</v>
      </c>
      <c r="I2682" s="2" t="s">
        <v>47</v>
      </c>
      <c r="J2682" s="2" t="s">
        <v>8059</v>
      </c>
      <c r="K2682" s="2" t="s">
        <v>8301</v>
      </c>
      <c r="L2682" s="2" t="s">
        <v>418</v>
      </c>
      <c r="M2682" s="2" t="s">
        <v>8061</v>
      </c>
      <c r="N2682" s="16">
        <v>1.44E-2</v>
      </c>
      <c r="O2682" s="17">
        <f>N2682*'Financial Inputs'!$B$3</f>
        <v>1440000</v>
      </c>
      <c r="P2682" s="18">
        <f>IF(I2682="L",'Financial Inputs'!$B$4,IF(I2682="M",'Financial Inputs'!$B$5,'Financial Inputs'!$B$6))</f>
        <v>0.4</v>
      </c>
      <c r="Q2682" s="17">
        <f>O2682*P2682</f>
        <v>576000</v>
      </c>
      <c r="R2682" s="16">
        <f>'Financial Inputs'!$B$7</f>
        <v>0.35</v>
      </c>
      <c r="S2682" s="17">
        <f>Q2682*(1-R2682)</f>
        <v>374400</v>
      </c>
      <c r="T2682" s="18">
        <f>S2682/'Financial Inputs'!$B$3</f>
        <v>3.7439999999999999E-3</v>
      </c>
      <c r="U2682" s="9" t="s">
        <v>52</v>
      </c>
      <c r="V2682" s="3" t="s">
        <v>53</v>
      </c>
    </row>
    <row r="2683" spans="1:22">
      <c r="A2683" s="2" t="s">
        <v>8302</v>
      </c>
      <c r="B2683" s="2" t="s">
        <v>8303</v>
      </c>
      <c r="C2683" s="2" t="s">
        <v>8058</v>
      </c>
      <c r="D2683" s="2" t="s">
        <v>72</v>
      </c>
      <c r="E2683" s="2" t="s">
        <v>193</v>
      </c>
      <c r="F2683" s="2" t="s">
        <v>82</v>
      </c>
      <c r="G2683" s="2" t="s">
        <v>75</v>
      </c>
      <c r="H2683" s="2" t="s">
        <v>498</v>
      </c>
      <c r="I2683" s="2" t="s">
        <v>47</v>
      </c>
      <c r="J2683" s="2" t="s">
        <v>8059</v>
      </c>
      <c r="K2683" s="2" t="s">
        <v>8304</v>
      </c>
      <c r="L2683" s="2" t="s">
        <v>422</v>
      </c>
      <c r="M2683" s="2" t="s">
        <v>8061</v>
      </c>
      <c r="N2683" s="16">
        <v>1.6199999999999999E-2</v>
      </c>
      <c r="O2683" s="17">
        <f>N2683*'Financial Inputs'!$B$3</f>
        <v>1620000</v>
      </c>
      <c r="P2683" s="18">
        <f>IF(I2683="L",'Financial Inputs'!$B$4,IF(I2683="M",'Financial Inputs'!$B$5,'Financial Inputs'!$B$6))</f>
        <v>0.4</v>
      </c>
      <c r="Q2683" s="17">
        <f>O2683*P2683</f>
        <v>648000</v>
      </c>
      <c r="R2683" s="16">
        <f>'Financial Inputs'!$B$7</f>
        <v>0.35</v>
      </c>
      <c r="S2683" s="17">
        <f>Q2683*(1-R2683)</f>
        <v>421200</v>
      </c>
      <c r="T2683" s="18">
        <f>S2683/'Financial Inputs'!$B$3</f>
        <v>4.2119999999999996E-3</v>
      </c>
      <c r="U2683" s="9" t="s">
        <v>52</v>
      </c>
      <c r="V2683" s="3" t="s">
        <v>53</v>
      </c>
    </row>
    <row r="2684" spans="1:22">
      <c r="A2684" s="2" t="s">
        <v>8305</v>
      </c>
      <c r="B2684" s="2" t="s">
        <v>8306</v>
      </c>
      <c r="C2684" s="2" t="s">
        <v>8058</v>
      </c>
      <c r="D2684" s="2" t="s">
        <v>80</v>
      </c>
      <c r="E2684" s="2" t="s">
        <v>198</v>
      </c>
      <c r="F2684" s="2" t="s">
        <v>44</v>
      </c>
      <c r="G2684" s="2" t="s">
        <v>83</v>
      </c>
      <c r="H2684" s="2" t="s">
        <v>498</v>
      </c>
      <c r="I2684" s="2" t="s">
        <v>47</v>
      </c>
      <c r="J2684" s="2" t="s">
        <v>8059</v>
      </c>
      <c r="K2684" s="2" t="s">
        <v>8307</v>
      </c>
      <c r="L2684" s="2" t="s">
        <v>426</v>
      </c>
      <c r="M2684" s="2" t="s">
        <v>8061</v>
      </c>
      <c r="N2684" s="16">
        <v>1.7999999999999999E-2</v>
      </c>
      <c r="O2684" s="17">
        <f>N2684*'Financial Inputs'!$B$3</f>
        <v>1799999.9999999998</v>
      </c>
      <c r="P2684" s="18">
        <f>IF(I2684="L",'Financial Inputs'!$B$4,IF(I2684="M",'Financial Inputs'!$B$5,'Financial Inputs'!$B$6))</f>
        <v>0.4</v>
      </c>
      <c r="Q2684" s="17">
        <f>O2684*P2684</f>
        <v>720000</v>
      </c>
      <c r="R2684" s="16">
        <f>'Financial Inputs'!$B$7</f>
        <v>0.35</v>
      </c>
      <c r="S2684" s="17">
        <f>Q2684*(1-R2684)</f>
        <v>468000</v>
      </c>
      <c r="T2684" s="18">
        <f>S2684/'Financial Inputs'!$B$3</f>
        <v>4.6800000000000001E-3</v>
      </c>
      <c r="U2684" s="9" t="s">
        <v>52</v>
      </c>
      <c r="V2684" s="3" t="s">
        <v>53</v>
      </c>
    </row>
    <row r="2685" spans="1:22">
      <c r="A2685" s="2" t="s">
        <v>8308</v>
      </c>
      <c r="B2685" s="2" t="s">
        <v>8309</v>
      </c>
      <c r="C2685" s="2" t="s">
        <v>8058</v>
      </c>
      <c r="D2685" s="2" t="s">
        <v>127</v>
      </c>
      <c r="E2685" s="2" t="s">
        <v>148</v>
      </c>
      <c r="F2685" s="2" t="s">
        <v>58</v>
      </c>
      <c r="G2685" s="2" t="s">
        <v>111</v>
      </c>
      <c r="H2685" s="2" t="s">
        <v>498</v>
      </c>
      <c r="I2685" s="2" t="s">
        <v>47</v>
      </c>
      <c r="J2685" s="2" t="s">
        <v>8059</v>
      </c>
      <c r="K2685" s="2" t="s">
        <v>8310</v>
      </c>
      <c r="L2685" s="2" t="s">
        <v>430</v>
      </c>
      <c r="M2685" s="2" t="s">
        <v>8061</v>
      </c>
      <c r="N2685" s="16">
        <v>1.9800000000000002E-2</v>
      </c>
      <c r="O2685" s="17">
        <f>N2685*'Financial Inputs'!$B$3</f>
        <v>1980000.0000000002</v>
      </c>
      <c r="P2685" s="18">
        <f>IF(I2685="L",'Financial Inputs'!$B$4,IF(I2685="M",'Financial Inputs'!$B$5,'Financial Inputs'!$B$6))</f>
        <v>0.4</v>
      </c>
      <c r="Q2685" s="17">
        <f>O2685*P2685</f>
        <v>792000.00000000012</v>
      </c>
      <c r="R2685" s="16">
        <f>'Financial Inputs'!$B$7</f>
        <v>0.35</v>
      </c>
      <c r="S2685" s="17">
        <f>Q2685*(1-R2685)</f>
        <v>514800.00000000012</v>
      </c>
      <c r="T2685" s="18">
        <f>S2685/'Financial Inputs'!$B$3</f>
        <v>5.1480000000000015E-3</v>
      </c>
      <c r="U2685" s="9" t="s">
        <v>52</v>
      </c>
      <c r="V2685" s="3" t="s">
        <v>53</v>
      </c>
    </row>
    <row r="2686" spans="1:22">
      <c r="A2686" s="2" t="s">
        <v>8311</v>
      </c>
      <c r="B2686" s="2" t="s">
        <v>8312</v>
      </c>
      <c r="C2686" s="2" t="s">
        <v>8058</v>
      </c>
      <c r="D2686" s="2" t="s">
        <v>133</v>
      </c>
      <c r="E2686" s="2" t="s">
        <v>153</v>
      </c>
      <c r="F2686" s="2" t="s">
        <v>66</v>
      </c>
      <c r="G2686" s="2" t="s">
        <v>56</v>
      </c>
      <c r="H2686" s="2" t="s">
        <v>498</v>
      </c>
      <c r="I2686" s="2" t="s">
        <v>47</v>
      </c>
      <c r="J2686" s="2" t="s">
        <v>8059</v>
      </c>
      <c r="K2686" s="2" t="s">
        <v>8313</v>
      </c>
      <c r="L2686" s="2" t="s">
        <v>434</v>
      </c>
      <c r="M2686" s="2" t="s">
        <v>8061</v>
      </c>
      <c r="N2686" s="16">
        <v>2.1600000000000001E-2</v>
      </c>
      <c r="O2686" s="17">
        <f>N2686*'Financial Inputs'!$B$3</f>
        <v>2160000</v>
      </c>
      <c r="P2686" s="18">
        <f>IF(I2686="L",'Financial Inputs'!$B$4,IF(I2686="M",'Financial Inputs'!$B$5,'Financial Inputs'!$B$6))</f>
        <v>0.4</v>
      </c>
      <c r="Q2686" s="17">
        <f>O2686*P2686</f>
        <v>864000</v>
      </c>
      <c r="R2686" s="16">
        <f>'Financial Inputs'!$B$7</f>
        <v>0.35</v>
      </c>
      <c r="S2686" s="17">
        <f>Q2686*(1-R2686)</f>
        <v>561600</v>
      </c>
      <c r="T2686" s="18">
        <f>S2686/'Financial Inputs'!$B$3</f>
        <v>5.6160000000000003E-3</v>
      </c>
      <c r="U2686" s="9" t="s">
        <v>52</v>
      </c>
      <c r="V2686" s="3" t="s">
        <v>53</v>
      </c>
    </row>
    <row r="2687" spans="1:22">
      <c r="A2687" s="2" t="s">
        <v>8314</v>
      </c>
      <c r="B2687" s="2" t="s">
        <v>8315</v>
      </c>
      <c r="C2687" s="2" t="s">
        <v>8058</v>
      </c>
      <c r="D2687" s="2" t="s">
        <v>102</v>
      </c>
      <c r="E2687" s="2" t="s">
        <v>116</v>
      </c>
      <c r="F2687" s="2" t="s">
        <v>110</v>
      </c>
      <c r="G2687" s="2" t="s">
        <v>83</v>
      </c>
      <c r="H2687" s="2" t="s">
        <v>498</v>
      </c>
      <c r="I2687" s="2" t="s">
        <v>47</v>
      </c>
      <c r="J2687" s="2" t="s">
        <v>8059</v>
      </c>
      <c r="K2687" s="2" t="s">
        <v>8316</v>
      </c>
      <c r="L2687" s="2" t="s">
        <v>438</v>
      </c>
      <c r="M2687" s="2" t="s">
        <v>8061</v>
      </c>
      <c r="N2687" s="16">
        <v>1.44E-2</v>
      </c>
      <c r="O2687" s="17">
        <f>N2687*'Financial Inputs'!$B$3</f>
        <v>1440000</v>
      </c>
      <c r="P2687" s="18">
        <f>IF(I2687="L",'Financial Inputs'!$B$4,IF(I2687="M",'Financial Inputs'!$B$5,'Financial Inputs'!$B$6))</f>
        <v>0.4</v>
      </c>
      <c r="Q2687" s="17">
        <f>O2687*P2687</f>
        <v>576000</v>
      </c>
      <c r="R2687" s="16">
        <f>'Financial Inputs'!$B$7</f>
        <v>0.35</v>
      </c>
      <c r="S2687" s="17">
        <f>Q2687*(1-R2687)</f>
        <v>374400</v>
      </c>
      <c r="T2687" s="18">
        <f>S2687/'Financial Inputs'!$B$3</f>
        <v>3.7439999999999999E-3</v>
      </c>
      <c r="U2687" s="9" t="s">
        <v>52</v>
      </c>
      <c r="V2687" s="3" t="s">
        <v>53</v>
      </c>
    </row>
    <row r="2688" spans="1:22">
      <c r="A2688" s="2" t="s">
        <v>8317</v>
      </c>
      <c r="B2688" s="2" t="s">
        <v>8318</v>
      </c>
      <c r="C2688" s="2" t="s">
        <v>8058</v>
      </c>
      <c r="D2688" s="2" t="s">
        <v>42</v>
      </c>
      <c r="E2688" s="2" t="s">
        <v>215</v>
      </c>
      <c r="F2688" s="2" t="s">
        <v>117</v>
      </c>
      <c r="G2688" s="2" t="s">
        <v>111</v>
      </c>
      <c r="H2688" s="2" t="s">
        <v>498</v>
      </c>
      <c r="I2688" s="2" t="s">
        <v>47</v>
      </c>
      <c r="J2688" s="2" t="s">
        <v>8059</v>
      </c>
      <c r="K2688" s="2" t="s">
        <v>8319</v>
      </c>
      <c r="L2688" s="2" t="s">
        <v>442</v>
      </c>
      <c r="M2688" s="2" t="s">
        <v>8061</v>
      </c>
      <c r="N2688" s="16">
        <v>1.6199999999999999E-2</v>
      </c>
      <c r="O2688" s="17">
        <f>N2688*'Financial Inputs'!$B$3</f>
        <v>1620000</v>
      </c>
      <c r="P2688" s="18">
        <f>IF(I2688="L",'Financial Inputs'!$B$4,IF(I2688="M",'Financial Inputs'!$B$5,'Financial Inputs'!$B$6))</f>
        <v>0.4</v>
      </c>
      <c r="Q2688" s="17">
        <f>O2688*P2688</f>
        <v>648000</v>
      </c>
      <c r="R2688" s="16">
        <f>'Financial Inputs'!$B$7</f>
        <v>0.35</v>
      </c>
      <c r="S2688" s="17">
        <f>Q2688*(1-R2688)</f>
        <v>421200</v>
      </c>
      <c r="T2688" s="18">
        <f>S2688/'Financial Inputs'!$B$3</f>
        <v>4.2119999999999996E-3</v>
      </c>
      <c r="U2688" s="9" t="s">
        <v>52</v>
      </c>
      <c r="V2688" s="3" t="s">
        <v>53</v>
      </c>
    </row>
    <row r="2689" spans="1:22">
      <c r="A2689" s="2" t="s">
        <v>8320</v>
      </c>
      <c r="B2689" s="2" t="s">
        <v>8321</v>
      </c>
      <c r="C2689" s="2" t="s">
        <v>8058</v>
      </c>
      <c r="D2689" s="2" t="s">
        <v>56</v>
      </c>
      <c r="E2689" s="2" t="s">
        <v>220</v>
      </c>
      <c r="F2689" s="2" t="s">
        <v>90</v>
      </c>
      <c r="G2689" s="2" t="s">
        <v>56</v>
      </c>
      <c r="H2689" s="2" t="s">
        <v>498</v>
      </c>
      <c r="I2689" s="2" t="s">
        <v>47</v>
      </c>
      <c r="J2689" s="2" t="s">
        <v>8059</v>
      </c>
      <c r="K2689" s="2" t="s">
        <v>8322</v>
      </c>
      <c r="L2689" s="2" t="s">
        <v>446</v>
      </c>
      <c r="M2689" s="2" t="s">
        <v>8061</v>
      </c>
      <c r="N2689" s="16">
        <v>1.7999999999999999E-2</v>
      </c>
      <c r="O2689" s="17">
        <f>N2689*'Financial Inputs'!$B$3</f>
        <v>1799999.9999999998</v>
      </c>
      <c r="P2689" s="18">
        <f>IF(I2689="L",'Financial Inputs'!$B$4,IF(I2689="M",'Financial Inputs'!$B$5,'Financial Inputs'!$B$6))</f>
        <v>0.4</v>
      </c>
      <c r="Q2689" s="17">
        <f>O2689*P2689</f>
        <v>720000</v>
      </c>
      <c r="R2689" s="16">
        <f>'Financial Inputs'!$B$7</f>
        <v>0.35</v>
      </c>
      <c r="S2689" s="17">
        <f>Q2689*(1-R2689)</f>
        <v>468000</v>
      </c>
      <c r="T2689" s="18">
        <f>S2689/'Financial Inputs'!$B$3</f>
        <v>4.6800000000000001E-3</v>
      </c>
      <c r="U2689" s="9" t="s">
        <v>52</v>
      </c>
      <c r="V2689" s="3" t="s">
        <v>53</v>
      </c>
    </row>
    <row r="2690" spans="1:22">
      <c r="A2690" s="2" t="s">
        <v>8323</v>
      </c>
      <c r="B2690" s="2" t="s">
        <v>8324</v>
      </c>
      <c r="C2690" s="2" t="s">
        <v>8058</v>
      </c>
      <c r="D2690" s="2" t="s">
        <v>64</v>
      </c>
      <c r="E2690" s="2" t="s">
        <v>171</v>
      </c>
      <c r="F2690" s="2" t="s">
        <v>97</v>
      </c>
      <c r="G2690" s="2" t="s">
        <v>138</v>
      </c>
      <c r="H2690" s="2" t="s">
        <v>498</v>
      </c>
      <c r="I2690" s="2" t="s">
        <v>47</v>
      </c>
      <c r="J2690" s="2" t="s">
        <v>8059</v>
      </c>
      <c r="K2690" s="2" t="s">
        <v>8325</v>
      </c>
      <c r="L2690" s="2" t="s">
        <v>450</v>
      </c>
      <c r="M2690" s="2" t="s">
        <v>8061</v>
      </c>
      <c r="N2690" s="16">
        <v>1.9800000000000002E-2</v>
      </c>
      <c r="O2690" s="17">
        <f>N2690*'Financial Inputs'!$B$3</f>
        <v>1980000.0000000002</v>
      </c>
      <c r="P2690" s="18">
        <f>IF(I2690="L",'Financial Inputs'!$B$4,IF(I2690="M",'Financial Inputs'!$B$5,'Financial Inputs'!$B$6))</f>
        <v>0.4</v>
      </c>
      <c r="Q2690" s="17">
        <f>O2690*P2690</f>
        <v>792000.00000000012</v>
      </c>
      <c r="R2690" s="16">
        <f>'Financial Inputs'!$B$7</f>
        <v>0.35</v>
      </c>
      <c r="S2690" s="17">
        <f>Q2690*(1-R2690)</f>
        <v>514800.00000000012</v>
      </c>
      <c r="T2690" s="18">
        <f>S2690/'Financial Inputs'!$B$3</f>
        <v>5.1480000000000015E-3</v>
      </c>
      <c r="U2690" s="9" t="s">
        <v>52</v>
      </c>
      <c r="V2690" s="3" t="s">
        <v>53</v>
      </c>
    </row>
    <row r="2691" spans="1:22">
      <c r="A2691" s="2" t="s">
        <v>8326</v>
      </c>
      <c r="B2691" s="2" t="s">
        <v>8327</v>
      </c>
      <c r="C2691" s="2" t="s">
        <v>8058</v>
      </c>
      <c r="D2691" s="2" t="s">
        <v>72</v>
      </c>
      <c r="E2691" s="2" t="s">
        <v>176</v>
      </c>
      <c r="F2691" s="2" t="s">
        <v>104</v>
      </c>
      <c r="G2691" s="2" t="s">
        <v>143</v>
      </c>
      <c r="H2691" s="2" t="s">
        <v>498</v>
      </c>
      <c r="I2691" s="2" t="s">
        <v>47</v>
      </c>
      <c r="J2691" s="2" t="s">
        <v>8059</v>
      </c>
      <c r="K2691" s="2" t="s">
        <v>8328</v>
      </c>
      <c r="L2691" s="2" t="s">
        <v>454</v>
      </c>
      <c r="M2691" s="2" t="s">
        <v>8061</v>
      </c>
      <c r="N2691" s="16">
        <v>2.1600000000000001E-2</v>
      </c>
      <c r="O2691" s="17">
        <f>N2691*'Financial Inputs'!$B$3</f>
        <v>2160000</v>
      </c>
      <c r="P2691" s="18">
        <f>IF(I2691="L",'Financial Inputs'!$B$4,IF(I2691="M",'Financial Inputs'!$B$5,'Financial Inputs'!$B$6))</f>
        <v>0.4</v>
      </c>
      <c r="Q2691" s="17">
        <f>O2691*P2691</f>
        <v>864000</v>
      </c>
      <c r="R2691" s="16">
        <f>'Financial Inputs'!$B$7</f>
        <v>0.35</v>
      </c>
      <c r="S2691" s="17">
        <f>Q2691*(1-R2691)</f>
        <v>561600</v>
      </c>
      <c r="T2691" s="18">
        <f>S2691/'Financial Inputs'!$B$3</f>
        <v>5.6160000000000003E-3</v>
      </c>
      <c r="U2691" s="9" t="s">
        <v>52</v>
      </c>
      <c r="V2691" s="3" t="s">
        <v>53</v>
      </c>
    </row>
    <row r="2692" spans="1:22">
      <c r="A2692" s="2" t="s">
        <v>8329</v>
      </c>
      <c r="B2692" s="2" t="s">
        <v>8330</v>
      </c>
      <c r="C2692" s="2" t="s">
        <v>8058</v>
      </c>
      <c r="D2692" s="2" t="s">
        <v>133</v>
      </c>
      <c r="E2692" s="2" t="s">
        <v>65</v>
      </c>
      <c r="F2692" s="2" t="s">
        <v>82</v>
      </c>
      <c r="G2692" s="2" t="s">
        <v>56</v>
      </c>
      <c r="H2692" s="2" t="s">
        <v>498</v>
      </c>
      <c r="I2692" s="2" t="s">
        <v>47</v>
      </c>
      <c r="J2692" s="2" t="s">
        <v>8059</v>
      </c>
      <c r="K2692" s="2" t="s">
        <v>8331</v>
      </c>
      <c r="L2692" s="2" t="s">
        <v>458</v>
      </c>
      <c r="M2692" s="2" t="s">
        <v>8061</v>
      </c>
      <c r="N2692" s="16">
        <v>1.44E-2</v>
      </c>
      <c r="O2692" s="17">
        <f>N2692*'Financial Inputs'!$B$3</f>
        <v>1440000</v>
      </c>
      <c r="P2692" s="18">
        <f>IF(I2692="L",'Financial Inputs'!$B$4,IF(I2692="M",'Financial Inputs'!$B$5,'Financial Inputs'!$B$6))</f>
        <v>0.4</v>
      </c>
      <c r="Q2692" s="17">
        <f>O2692*P2692</f>
        <v>576000</v>
      </c>
      <c r="R2692" s="16">
        <f>'Financial Inputs'!$B$7</f>
        <v>0.35</v>
      </c>
      <c r="S2692" s="17">
        <f>Q2692*(1-R2692)</f>
        <v>374400</v>
      </c>
      <c r="T2692" s="18">
        <f>S2692/'Financial Inputs'!$B$3</f>
        <v>3.7439999999999999E-3</v>
      </c>
      <c r="U2692" s="9" t="s">
        <v>52</v>
      </c>
      <c r="V2692" s="3" t="s">
        <v>53</v>
      </c>
    </row>
    <row r="2693" spans="1:22">
      <c r="A2693" s="2" t="s">
        <v>8332</v>
      </c>
      <c r="B2693" s="2" t="s">
        <v>8333</v>
      </c>
      <c r="C2693" s="2" t="s">
        <v>8058</v>
      </c>
      <c r="D2693" s="2" t="s">
        <v>88</v>
      </c>
      <c r="E2693" s="2" t="s">
        <v>73</v>
      </c>
      <c r="F2693" s="2" t="s">
        <v>44</v>
      </c>
      <c r="G2693" s="2" t="s">
        <v>138</v>
      </c>
      <c r="H2693" s="2" t="s">
        <v>498</v>
      </c>
      <c r="I2693" s="2" t="s">
        <v>47</v>
      </c>
      <c r="J2693" s="2" t="s">
        <v>8059</v>
      </c>
      <c r="K2693" s="2" t="s">
        <v>8334</v>
      </c>
      <c r="L2693" s="2" t="s">
        <v>462</v>
      </c>
      <c r="M2693" s="2" t="s">
        <v>8061</v>
      </c>
      <c r="N2693" s="16">
        <v>1.6199999999999999E-2</v>
      </c>
      <c r="O2693" s="17">
        <f>N2693*'Financial Inputs'!$B$3</f>
        <v>1620000</v>
      </c>
      <c r="P2693" s="18">
        <f>IF(I2693="L",'Financial Inputs'!$B$4,IF(I2693="M",'Financial Inputs'!$B$5,'Financial Inputs'!$B$6))</f>
        <v>0.4</v>
      </c>
      <c r="Q2693" s="17">
        <f>O2693*P2693</f>
        <v>648000</v>
      </c>
      <c r="R2693" s="16">
        <f>'Financial Inputs'!$B$7</f>
        <v>0.35</v>
      </c>
      <c r="S2693" s="17">
        <f>Q2693*(1-R2693)</f>
        <v>421200</v>
      </c>
      <c r="T2693" s="18">
        <f>S2693/'Financial Inputs'!$B$3</f>
        <v>4.2119999999999996E-3</v>
      </c>
      <c r="U2693" s="9" t="s">
        <v>52</v>
      </c>
      <c r="V2693" s="3" t="s">
        <v>53</v>
      </c>
    </row>
    <row r="2694" spans="1:22">
      <c r="A2694" s="2" t="s">
        <v>8335</v>
      </c>
      <c r="B2694" s="2" t="s">
        <v>8336</v>
      </c>
      <c r="C2694" s="2" t="s">
        <v>8058</v>
      </c>
      <c r="D2694" s="2" t="s">
        <v>95</v>
      </c>
      <c r="E2694" s="2" t="s">
        <v>81</v>
      </c>
      <c r="F2694" s="2" t="s">
        <v>58</v>
      </c>
      <c r="G2694" s="2" t="s">
        <v>143</v>
      </c>
      <c r="H2694" s="2" t="s">
        <v>498</v>
      </c>
      <c r="I2694" s="2" t="s">
        <v>47</v>
      </c>
      <c r="J2694" s="2" t="s">
        <v>8059</v>
      </c>
      <c r="K2694" s="2" t="s">
        <v>8337</v>
      </c>
      <c r="L2694" s="2" t="s">
        <v>466</v>
      </c>
      <c r="M2694" s="2" t="s">
        <v>8061</v>
      </c>
      <c r="N2694" s="16">
        <v>1.7999999999999999E-2</v>
      </c>
      <c r="O2694" s="17">
        <f>N2694*'Financial Inputs'!$B$3</f>
        <v>1799999.9999999998</v>
      </c>
      <c r="P2694" s="18">
        <f>IF(I2694="L",'Financial Inputs'!$B$4,IF(I2694="M",'Financial Inputs'!$B$5,'Financial Inputs'!$B$6))</f>
        <v>0.4</v>
      </c>
      <c r="Q2694" s="17">
        <f>O2694*P2694</f>
        <v>720000</v>
      </c>
      <c r="R2694" s="16">
        <f>'Financial Inputs'!$B$7</f>
        <v>0.35</v>
      </c>
      <c r="S2694" s="17">
        <f>Q2694*(1-R2694)</f>
        <v>468000</v>
      </c>
      <c r="T2694" s="18">
        <f>S2694/'Financial Inputs'!$B$3</f>
        <v>4.6800000000000001E-3</v>
      </c>
      <c r="U2694" s="9" t="s">
        <v>52</v>
      </c>
      <c r="V2694" s="3" t="s">
        <v>53</v>
      </c>
    </row>
    <row r="2695" spans="1:22">
      <c r="A2695" s="2" t="s">
        <v>8338</v>
      </c>
      <c r="B2695" s="2" t="s">
        <v>8339</v>
      </c>
      <c r="C2695" s="2" t="s">
        <v>8058</v>
      </c>
      <c r="D2695" s="2" t="s">
        <v>102</v>
      </c>
      <c r="E2695" s="2" t="s">
        <v>193</v>
      </c>
      <c r="F2695" s="2" t="s">
        <v>66</v>
      </c>
      <c r="G2695" s="2" t="s">
        <v>162</v>
      </c>
      <c r="H2695" s="2" t="s">
        <v>498</v>
      </c>
      <c r="I2695" s="2" t="s">
        <v>47</v>
      </c>
      <c r="J2695" s="2" t="s">
        <v>8059</v>
      </c>
      <c r="K2695" s="2" t="s">
        <v>8340</v>
      </c>
      <c r="L2695" s="2" t="s">
        <v>470</v>
      </c>
      <c r="M2695" s="2" t="s">
        <v>8061</v>
      </c>
      <c r="N2695" s="16">
        <v>1.9800000000000002E-2</v>
      </c>
      <c r="O2695" s="17">
        <f>N2695*'Financial Inputs'!$B$3</f>
        <v>1980000.0000000002</v>
      </c>
      <c r="P2695" s="18">
        <f>IF(I2695="L",'Financial Inputs'!$B$4,IF(I2695="M",'Financial Inputs'!$B$5,'Financial Inputs'!$B$6))</f>
        <v>0.4</v>
      </c>
      <c r="Q2695" s="17">
        <f>O2695*P2695</f>
        <v>792000.00000000012</v>
      </c>
      <c r="R2695" s="16">
        <f>'Financial Inputs'!$B$7</f>
        <v>0.35</v>
      </c>
      <c r="S2695" s="17">
        <f>Q2695*(1-R2695)</f>
        <v>514800.00000000012</v>
      </c>
      <c r="T2695" s="18">
        <f>S2695/'Financial Inputs'!$B$3</f>
        <v>5.1480000000000015E-3</v>
      </c>
      <c r="U2695" s="9" t="s">
        <v>52</v>
      </c>
      <c r="V2695" s="3" t="s">
        <v>53</v>
      </c>
    </row>
    <row r="2696" spans="1:22">
      <c r="A2696" s="2" t="s">
        <v>8341</v>
      </c>
      <c r="B2696" s="2" t="s">
        <v>8342</v>
      </c>
      <c r="C2696" s="2" t="s">
        <v>8058</v>
      </c>
      <c r="D2696" s="2" t="s">
        <v>42</v>
      </c>
      <c r="E2696" s="2" t="s">
        <v>198</v>
      </c>
      <c r="F2696" s="2" t="s">
        <v>74</v>
      </c>
      <c r="G2696" s="2" t="s">
        <v>45</v>
      </c>
      <c r="H2696" s="2" t="s">
        <v>498</v>
      </c>
      <c r="I2696" s="2" t="s">
        <v>47</v>
      </c>
      <c r="J2696" s="2" t="s">
        <v>8059</v>
      </c>
      <c r="K2696" s="2" t="s">
        <v>8343</v>
      </c>
      <c r="L2696" s="2" t="s">
        <v>474</v>
      </c>
      <c r="M2696" s="2" t="s">
        <v>8061</v>
      </c>
      <c r="N2696" s="16">
        <v>2.1600000000000001E-2</v>
      </c>
      <c r="O2696" s="17">
        <f>N2696*'Financial Inputs'!$B$3</f>
        <v>2160000</v>
      </c>
      <c r="P2696" s="18">
        <f>IF(I2696="L",'Financial Inputs'!$B$4,IF(I2696="M",'Financial Inputs'!$B$5,'Financial Inputs'!$B$6))</f>
        <v>0.4</v>
      </c>
      <c r="Q2696" s="17">
        <f>O2696*P2696</f>
        <v>864000</v>
      </c>
      <c r="R2696" s="16">
        <f>'Financial Inputs'!$B$7</f>
        <v>0.35</v>
      </c>
      <c r="S2696" s="17">
        <f>Q2696*(1-R2696)</f>
        <v>561600</v>
      </c>
      <c r="T2696" s="18">
        <f>S2696/'Financial Inputs'!$B$3</f>
        <v>5.6160000000000003E-3</v>
      </c>
      <c r="U2696" s="9" t="s">
        <v>52</v>
      </c>
      <c r="V2696" s="3" t="s">
        <v>53</v>
      </c>
    </row>
    <row r="2697" spans="1:22">
      <c r="A2697" s="2" t="s">
        <v>8344</v>
      </c>
      <c r="B2697" s="2" t="s">
        <v>8345</v>
      </c>
      <c r="C2697" s="2" t="s">
        <v>8058</v>
      </c>
      <c r="D2697" s="2" t="s">
        <v>72</v>
      </c>
      <c r="E2697" s="2" t="s">
        <v>103</v>
      </c>
      <c r="F2697" s="2" t="s">
        <v>117</v>
      </c>
      <c r="G2697" s="2" t="s">
        <v>143</v>
      </c>
      <c r="H2697" s="2" t="s">
        <v>498</v>
      </c>
      <c r="I2697" s="2" t="s">
        <v>47</v>
      </c>
      <c r="J2697" s="2" t="s">
        <v>8059</v>
      </c>
      <c r="K2697" s="2" t="s">
        <v>8346</v>
      </c>
      <c r="L2697" s="2" t="s">
        <v>478</v>
      </c>
      <c r="M2697" s="2" t="s">
        <v>8061</v>
      </c>
      <c r="N2697" s="16">
        <v>1.44E-2</v>
      </c>
      <c r="O2697" s="17">
        <f>N2697*'Financial Inputs'!$B$3</f>
        <v>1440000</v>
      </c>
      <c r="P2697" s="18">
        <f>IF(I2697="L",'Financial Inputs'!$B$4,IF(I2697="M",'Financial Inputs'!$B$5,'Financial Inputs'!$B$6))</f>
        <v>0.4</v>
      </c>
      <c r="Q2697" s="17">
        <f>O2697*P2697</f>
        <v>576000</v>
      </c>
      <c r="R2697" s="16">
        <f>'Financial Inputs'!$B$7</f>
        <v>0.35</v>
      </c>
      <c r="S2697" s="17">
        <f>Q2697*(1-R2697)</f>
        <v>374400</v>
      </c>
      <c r="T2697" s="18">
        <f>S2697/'Financial Inputs'!$B$3</f>
        <v>3.7439999999999999E-3</v>
      </c>
      <c r="U2697" s="9" t="s">
        <v>52</v>
      </c>
      <c r="V2697" s="3" t="s">
        <v>53</v>
      </c>
    </row>
    <row r="2698" spans="1:22">
      <c r="A2698" s="2" t="s">
        <v>8347</v>
      </c>
      <c r="B2698" s="2" t="s">
        <v>8348</v>
      </c>
      <c r="C2698" s="2" t="s">
        <v>8058</v>
      </c>
      <c r="D2698" s="2" t="s">
        <v>80</v>
      </c>
      <c r="E2698" s="2" t="s">
        <v>109</v>
      </c>
      <c r="F2698" s="2" t="s">
        <v>90</v>
      </c>
      <c r="G2698" s="2" t="s">
        <v>162</v>
      </c>
      <c r="H2698" s="2" t="s">
        <v>498</v>
      </c>
      <c r="I2698" s="2" t="s">
        <v>47</v>
      </c>
      <c r="J2698" s="2" t="s">
        <v>8059</v>
      </c>
      <c r="K2698" s="2" t="s">
        <v>8349</v>
      </c>
      <c r="L2698" s="2" t="s">
        <v>482</v>
      </c>
      <c r="M2698" s="2" t="s">
        <v>8061</v>
      </c>
      <c r="N2698" s="16">
        <v>1.6199999999999999E-2</v>
      </c>
      <c r="O2698" s="17">
        <f>N2698*'Financial Inputs'!$B$3</f>
        <v>1620000</v>
      </c>
      <c r="P2698" s="18">
        <f>IF(I2698="L",'Financial Inputs'!$B$4,IF(I2698="M",'Financial Inputs'!$B$5,'Financial Inputs'!$B$6))</f>
        <v>0.4</v>
      </c>
      <c r="Q2698" s="17">
        <f>O2698*P2698</f>
        <v>648000</v>
      </c>
      <c r="R2698" s="16">
        <f>'Financial Inputs'!$B$7</f>
        <v>0.35</v>
      </c>
      <c r="S2698" s="17">
        <f>Q2698*(1-R2698)</f>
        <v>421200</v>
      </c>
      <c r="T2698" s="18">
        <f>S2698/'Financial Inputs'!$B$3</f>
        <v>4.2119999999999996E-3</v>
      </c>
      <c r="U2698" s="9" t="s">
        <v>52</v>
      </c>
      <c r="V2698" s="3" t="s">
        <v>53</v>
      </c>
    </row>
    <row r="2699" spans="1:22">
      <c r="A2699" s="2" t="s">
        <v>8350</v>
      </c>
      <c r="B2699" s="2" t="s">
        <v>8351</v>
      </c>
      <c r="C2699" s="2" t="s">
        <v>8058</v>
      </c>
      <c r="D2699" s="2" t="s">
        <v>127</v>
      </c>
      <c r="E2699" s="2" t="s">
        <v>116</v>
      </c>
      <c r="F2699" s="2" t="s">
        <v>97</v>
      </c>
      <c r="G2699" s="2" t="s">
        <v>45</v>
      </c>
      <c r="H2699" s="2" t="s">
        <v>498</v>
      </c>
      <c r="I2699" s="2" t="s">
        <v>47</v>
      </c>
      <c r="J2699" s="2" t="s">
        <v>8059</v>
      </c>
      <c r="K2699" s="2" t="s">
        <v>8352</v>
      </c>
      <c r="L2699" s="2" t="s">
        <v>486</v>
      </c>
      <c r="M2699" s="2" t="s">
        <v>8061</v>
      </c>
      <c r="N2699" s="16">
        <v>1.7999999999999999E-2</v>
      </c>
      <c r="O2699" s="17">
        <f>N2699*'Financial Inputs'!$B$3</f>
        <v>1799999.9999999998</v>
      </c>
      <c r="P2699" s="18">
        <f>IF(I2699="L",'Financial Inputs'!$B$4,IF(I2699="M",'Financial Inputs'!$B$5,'Financial Inputs'!$B$6))</f>
        <v>0.4</v>
      </c>
      <c r="Q2699" s="17">
        <f>O2699*P2699</f>
        <v>720000</v>
      </c>
      <c r="R2699" s="16">
        <f>'Financial Inputs'!$B$7</f>
        <v>0.35</v>
      </c>
      <c r="S2699" s="17">
        <f>Q2699*(1-R2699)</f>
        <v>468000</v>
      </c>
      <c r="T2699" s="18">
        <f>S2699/'Financial Inputs'!$B$3</f>
        <v>4.6800000000000001E-3</v>
      </c>
      <c r="U2699" s="9" t="s">
        <v>52</v>
      </c>
      <c r="V2699" s="3" t="s">
        <v>53</v>
      </c>
    </row>
    <row r="2700" spans="1:22">
      <c r="A2700" s="2" t="s">
        <v>8353</v>
      </c>
      <c r="B2700" s="2" t="s">
        <v>8354</v>
      </c>
      <c r="C2700" s="2" t="s">
        <v>8058</v>
      </c>
      <c r="D2700" s="2" t="s">
        <v>133</v>
      </c>
      <c r="E2700" s="2" t="s">
        <v>215</v>
      </c>
      <c r="F2700" s="2" t="s">
        <v>104</v>
      </c>
      <c r="G2700" s="2" t="s">
        <v>59</v>
      </c>
      <c r="H2700" s="2" t="s">
        <v>498</v>
      </c>
      <c r="I2700" s="2" t="s">
        <v>47</v>
      </c>
      <c r="J2700" s="2" t="s">
        <v>8059</v>
      </c>
      <c r="K2700" s="2" t="s">
        <v>8355</v>
      </c>
      <c r="L2700" s="2" t="s">
        <v>490</v>
      </c>
      <c r="M2700" s="2" t="s">
        <v>8061</v>
      </c>
      <c r="N2700" s="16">
        <v>1.9800000000000002E-2</v>
      </c>
      <c r="O2700" s="17">
        <f>N2700*'Financial Inputs'!$B$3</f>
        <v>1980000.0000000002</v>
      </c>
      <c r="P2700" s="18">
        <f>IF(I2700="L",'Financial Inputs'!$B$4,IF(I2700="M",'Financial Inputs'!$B$5,'Financial Inputs'!$B$6))</f>
        <v>0.4</v>
      </c>
      <c r="Q2700" s="17">
        <f>O2700*P2700</f>
        <v>792000.00000000012</v>
      </c>
      <c r="R2700" s="16">
        <f>'Financial Inputs'!$B$7</f>
        <v>0.35</v>
      </c>
      <c r="S2700" s="17">
        <f>Q2700*(1-R2700)</f>
        <v>514800.00000000012</v>
      </c>
      <c r="T2700" s="18">
        <f>S2700/'Financial Inputs'!$B$3</f>
        <v>5.1480000000000015E-3</v>
      </c>
      <c r="U2700" s="9" t="s">
        <v>52</v>
      </c>
      <c r="V2700" s="3" t="s">
        <v>53</v>
      </c>
    </row>
    <row r="2701" spans="1:22">
      <c r="A2701" s="2" t="s">
        <v>8356</v>
      </c>
      <c r="B2701" s="2" t="s">
        <v>8357</v>
      </c>
      <c r="C2701" s="2" t="s">
        <v>8058</v>
      </c>
      <c r="D2701" s="2" t="s">
        <v>88</v>
      </c>
      <c r="E2701" s="2" t="s">
        <v>220</v>
      </c>
      <c r="F2701" s="2" t="s">
        <v>110</v>
      </c>
      <c r="G2701" s="2" t="s">
        <v>67</v>
      </c>
      <c r="H2701" s="2" t="s">
        <v>498</v>
      </c>
      <c r="I2701" s="2" t="s">
        <v>47</v>
      </c>
      <c r="J2701" s="2" t="s">
        <v>8059</v>
      </c>
      <c r="K2701" s="2" t="s">
        <v>8358</v>
      </c>
      <c r="L2701" s="2" t="s">
        <v>494</v>
      </c>
      <c r="M2701" s="2" t="s">
        <v>8061</v>
      </c>
      <c r="N2701" s="16">
        <v>2.1600000000000001E-2</v>
      </c>
      <c r="O2701" s="17">
        <f>N2701*'Financial Inputs'!$B$3</f>
        <v>2160000</v>
      </c>
      <c r="P2701" s="18">
        <f>IF(I2701="L",'Financial Inputs'!$B$4,IF(I2701="M",'Financial Inputs'!$B$5,'Financial Inputs'!$B$6))</f>
        <v>0.4</v>
      </c>
      <c r="Q2701" s="17">
        <f>O2701*P2701</f>
        <v>864000</v>
      </c>
      <c r="R2701" s="16">
        <f>'Financial Inputs'!$B$7</f>
        <v>0.35</v>
      </c>
      <c r="S2701" s="17">
        <f>Q2701*(1-R2701)</f>
        <v>561600</v>
      </c>
      <c r="T2701" s="18">
        <f>S2701/'Financial Inputs'!$B$3</f>
        <v>5.6160000000000003E-3</v>
      </c>
      <c r="U2701" s="9" t="s">
        <v>52</v>
      </c>
      <c r="V2701" s="3" t="s">
        <v>53</v>
      </c>
    </row>
    <row r="2702" spans="1:22">
      <c r="A2702" s="2" t="s">
        <v>8359</v>
      </c>
      <c r="B2702" s="2" t="s">
        <v>8360</v>
      </c>
      <c r="C2702" s="2" t="s">
        <v>8361</v>
      </c>
      <c r="D2702" s="2" t="s">
        <v>42</v>
      </c>
      <c r="E2702" s="2" t="s">
        <v>43</v>
      </c>
      <c r="F2702" s="2" t="s">
        <v>44</v>
      </c>
      <c r="G2702" s="2" t="s">
        <v>45</v>
      </c>
      <c r="H2702" s="2" t="s">
        <v>46</v>
      </c>
      <c r="I2702" s="2" t="s">
        <v>47</v>
      </c>
      <c r="J2702" s="2" t="s">
        <v>500</v>
      </c>
      <c r="K2702" s="2" t="s">
        <v>8362</v>
      </c>
      <c r="L2702" s="2" t="s">
        <v>50</v>
      </c>
      <c r="M2702" s="2" t="s">
        <v>2320</v>
      </c>
      <c r="N2702" s="16">
        <v>1.44E-2</v>
      </c>
      <c r="O2702" s="17">
        <f>N2702*'Financial Inputs'!$B$3</f>
        <v>1440000</v>
      </c>
      <c r="P2702" s="18">
        <f>IF(I2702="L",'Financial Inputs'!$B$4,IF(I2702="M",'Financial Inputs'!$B$5,'Financial Inputs'!$B$6))</f>
        <v>0.4</v>
      </c>
      <c r="Q2702" s="17">
        <f>O2702*P2702</f>
        <v>576000</v>
      </c>
      <c r="R2702" s="16">
        <f>'Financial Inputs'!$B$7</f>
        <v>0.35</v>
      </c>
      <c r="S2702" s="17">
        <f>Q2702*(1-R2702)</f>
        <v>374400</v>
      </c>
      <c r="T2702" s="18">
        <f>S2702/'Financial Inputs'!$B$3</f>
        <v>3.7439999999999999E-3</v>
      </c>
      <c r="U2702" s="9" t="s">
        <v>52</v>
      </c>
      <c r="V2702" s="3" t="s">
        <v>53</v>
      </c>
    </row>
    <row r="2703" spans="1:22">
      <c r="A2703" s="2" t="s">
        <v>8363</v>
      </c>
      <c r="B2703" s="2" t="s">
        <v>8364</v>
      </c>
      <c r="C2703" s="2" t="s">
        <v>8361</v>
      </c>
      <c r="D2703" s="2" t="s">
        <v>56</v>
      </c>
      <c r="E2703" s="2" t="s">
        <v>57</v>
      </c>
      <c r="F2703" s="2" t="s">
        <v>58</v>
      </c>
      <c r="G2703" s="2" t="s">
        <v>59</v>
      </c>
      <c r="H2703" s="2" t="s">
        <v>46</v>
      </c>
      <c r="I2703" s="2" t="s">
        <v>47</v>
      </c>
      <c r="J2703" s="2" t="s">
        <v>500</v>
      </c>
      <c r="K2703" s="2" t="s">
        <v>8365</v>
      </c>
      <c r="L2703" s="2" t="s">
        <v>61</v>
      </c>
      <c r="M2703" s="2" t="s">
        <v>2320</v>
      </c>
      <c r="N2703" s="16">
        <v>1.6199999999999999E-2</v>
      </c>
      <c r="O2703" s="17">
        <f>N2703*'Financial Inputs'!$B$3</f>
        <v>1620000</v>
      </c>
      <c r="P2703" s="18">
        <f>IF(I2703="L",'Financial Inputs'!$B$4,IF(I2703="M",'Financial Inputs'!$B$5,'Financial Inputs'!$B$6))</f>
        <v>0.4</v>
      </c>
      <c r="Q2703" s="17">
        <f>O2703*P2703</f>
        <v>648000</v>
      </c>
      <c r="R2703" s="16">
        <f>'Financial Inputs'!$B$7</f>
        <v>0.35</v>
      </c>
      <c r="S2703" s="17">
        <f>Q2703*(1-R2703)</f>
        <v>421200</v>
      </c>
      <c r="T2703" s="18">
        <f>S2703/'Financial Inputs'!$B$3</f>
        <v>4.2119999999999996E-3</v>
      </c>
      <c r="U2703" s="9" t="s">
        <v>52</v>
      </c>
      <c r="V2703" s="3" t="s">
        <v>53</v>
      </c>
    </row>
    <row r="2704" spans="1:22">
      <c r="A2704" s="2" t="s">
        <v>8366</v>
      </c>
      <c r="B2704" s="2" t="s">
        <v>8367</v>
      </c>
      <c r="C2704" s="2" t="s">
        <v>8361</v>
      </c>
      <c r="D2704" s="2" t="s">
        <v>64</v>
      </c>
      <c r="E2704" s="2" t="s">
        <v>65</v>
      </c>
      <c r="F2704" s="2" t="s">
        <v>66</v>
      </c>
      <c r="G2704" s="2" t="s">
        <v>67</v>
      </c>
      <c r="H2704" s="2" t="s">
        <v>46</v>
      </c>
      <c r="I2704" s="2" t="s">
        <v>47</v>
      </c>
      <c r="J2704" s="2" t="s">
        <v>500</v>
      </c>
      <c r="K2704" s="2" t="s">
        <v>8368</v>
      </c>
      <c r="L2704" s="2" t="s">
        <v>69</v>
      </c>
      <c r="M2704" s="2" t="s">
        <v>2320</v>
      </c>
      <c r="N2704" s="16">
        <v>1.7999999999999999E-2</v>
      </c>
      <c r="O2704" s="17">
        <f>N2704*'Financial Inputs'!$B$3</f>
        <v>1799999.9999999998</v>
      </c>
      <c r="P2704" s="18">
        <f>IF(I2704="L",'Financial Inputs'!$B$4,IF(I2704="M",'Financial Inputs'!$B$5,'Financial Inputs'!$B$6))</f>
        <v>0.4</v>
      </c>
      <c r="Q2704" s="17">
        <f>O2704*P2704</f>
        <v>720000</v>
      </c>
      <c r="R2704" s="16">
        <f>'Financial Inputs'!$B$7</f>
        <v>0.35</v>
      </c>
      <c r="S2704" s="17">
        <f>Q2704*(1-R2704)</f>
        <v>468000</v>
      </c>
      <c r="T2704" s="18">
        <f>S2704/'Financial Inputs'!$B$3</f>
        <v>4.6800000000000001E-3</v>
      </c>
      <c r="U2704" s="9" t="s">
        <v>52</v>
      </c>
      <c r="V2704" s="3" t="s">
        <v>53</v>
      </c>
    </row>
    <row r="2705" spans="1:22">
      <c r="A2705" s="2" t="s">
        <v>8369</v>
      </c>
      <c r="B2705" s="2" t="s">
        <v>8370</v>
      </c>
      <c r="C2705" s="2" t="s">
        <v>8361</v>
      </c>
      <c r="D2705" s="2" t="s">
        <v>72</v>
      </c>
      <c r="E2705" s="2" t="s">
        <v>73</v>
      </c>
      <c r="F2705" s="2" t="s">
        <v>74</v>
      </c>
      <c r="G2705" s="2" t="s">
        <v>75</v>
      </c>
      <c r="H2705" s="2" t="s">
        <v>46</v>
      </c>
      <c r="I2705" s="2" t="s">
        <v>47</v>
      </c>
      <c r="J2705" s="2" t="s">
        <v>500</v>
      </c>
      <c r="K2705" s="2" t="s">
        <v>8371</v>
      </c>
      <c r="L2705" s="2" t="s">
        <v>77</v>
      </c>
      <c r="M2705" s="2" t="s">
        <v>2320</v>
      </c>
      <c r="N2705" s="16">
        <v>1.9800000000000002E-2</v>
      </c>
      <c r="O2705" s="17">
        <f>N2705*'Financial Inputs'!$B$3</f>
        <v>1980000.0000000002</v>
      </c>
      <c r="P2705" s="18">
        <f>IF(I2705="L",'Financial Inputs'!$B$4,IF(I2705="M",'Financial Inputs'!$B$5,'Financial Inputs'!$B$6))</f>
        <v>0.4</v>
      </c>
      <c r="Q2705" s="17">
        <f>O2705*P2705</f>
        <v>792000.00000000012</v>
      </c>
      <c r="R2705" s="16">
        <f>'Financial Inputs'!$B$7</f>
        <v>0.35</v>
      </c>
      <c r="S2705" s="17">
        <f>Q2705*(1-R2705)</f>
        <v>514800.00000000012</v>
      </c>
      <c r="T2705" s="18">
        <f>S2705/'Financial Inputs'!$B$3</f>
        <v>5.1480000000000015E-3</v>
      </c>
      <c r="U2705" s="9" t="s">
        <v>52</v>
      </c>
      <c r="V2705" s="3" t="s">
        <v>53</v>
      </c>
    </row>
    <row r="2706" spans="1:22">
      <c r="A2706" s="2" t="s">
        <v>8372</v>
      </c>
      <c r="B2706" s="2" t="s">
        <v>8373</v>
      </c>
      <c r="C2706" s="2" t="s">
        <v>8361</v>
      </c>
      <c r="D2706" s="2" t="s">
        <v>80</v>
      </c>
      <c r="E2706" s="2" t="s">
        <v>81</v>
      </c>
      <c r="F2706" s="2" t="s">
        <v>82</v>
      </c>
      <c r="G2706" s="2" t="s">
        <v>83</v>
      </c>
      <c r="H2706" s="2" t="s">
        <v>46</v>
      </c>
      <c r="I2706" s="2" t="s">
        <v>47</v>
      </c>
      <c r="J2706" s="2" t="s">
        <v>500</v>
      </c>
      <c r="K2706" s="2" t="s">
        <v>8374</v>
      </c>
      <c r="L2706" s="2" t="s">
        <v>85</v>
      </c>
      <c r="M2706" s="2" t="s">
        <v>2320</v>
      </c>
      <c r="N2706" s="16">
        <v>2.1600000000000001E-2</v>
      </c>
      <c r="O2706" s="17">
        <f>N2706*'Financial Inputs'!$B$3</f>
        <v>2160000</v>
      </c>
      <c r="P2706" s="18">
        <f>IF(I2706="L",'Financial Inputs'!$B$4,IF(I2706="M",'Financial Inputs'!$B$5,'Financial Inputs'!$B$6))</f>
        <v>0.4</v>
      </c>
      <c r="Q2706" s="17">
        <f>O2706*P2706</f>
        <v>864000</v>
      </c>
      <c r="R2706" s="16">
        <f>'Financial Inputs'!$B$7</f>
        <v>0.35</v>
      </c>
      <c r="S2706" s="17">
        <f>Q2706*(1-R2706)</f>
        <v>561600</v>
      </c>
      <c r="T2706" s="18">
        <f>S2706/'Financial Inputs'!$B$3</f>
        <v>5.6160000000000003E-3</v>
      </c>
      <c r="U2706" s="9" t="s">
        <v>52</v>
      </c>
      <c r="V2706" s="3" t="s">
        <v>53</v>
      </c>
    </row>
    <row r="2707" spans="1:22">
      <c r="A2707" s="2" t="s">
        <v>8375</v>
      </c>
      <c r="B2707" s="2" t="s">
        <v>8376</v>
      </c>
      <c r="C2707" s="2" t="s">
        <v>8361</v>
      </c>
      <c r="D2707" s="2" t="s">
        <v>88</v>
      </c>
      <c r="E2707" s="2" t="s">
        <v>89</v>
      </c>
      <c r="F2707" s="2" t="s">
        <v>90</v>
      </c>
      <c r="G2707" s="2" t="s">
        <v>67</v>
      </c>
      <c r="H2707" s="2" t="s">
        <v>46</v>
      </c>
      <c r="I2707" s="2" t="s">
        <v>47</v>
      </c>
      <c r="J2707" s="2" t="s">
        <v>500</v>
      </c>
      <c r="K2707" s="2" t="s">
        <v>8377</v>
      </c>
      <c r="L2707" s="2" t="s">
        <v>92</v>
      </c>
      <c r="M2707" s="2" t="s">
        <v>2320</v>
      </c>
      <c r="N2707" s="16">
        <v>1.44E-2</v>
      </c>
      <c r="O2707" s="17">
        <f>N2707*'Financial Inputs'!$B$3</f>
        <v>1440000</v>
      </c>
      <c r="P2707" s="18">
        <f>IF(I2707="L",'Financial Inputs'!$B$4,IF(I2707="M",'Financial Inputs'!$B$5,'Financial Inputs'!$B$6))</f>
        <v>0.4</v>
      </c>
      <c r="Q2707" s="17">
        <f>O2707*P2707</f>
        <v>576000</v>
      </c>
      <c r="R2707" s="16">
        <f>'Financial Inputs'!$B$7</f>
        <v>0.35</v>
      </c>
      <c r="S2707" s="17">
        <f>Q2707*(1-R2707)</f>
        <v>374400</v>
      </c>
      <c r="T2707" s="18">
        <f>S2707/'Financial Inputs'!$B$3</f>
        <v>3.7439999999999999E-3</v>
      </c>
      <c r="U2707" s="9" t="s">
        <v>52</v>
      </c>
      <c r="V2707" s="3" t="s">
        <v>53</v>
      </c>
    </row>
    <row r="2708" spans="1:22">
      <c r="A2708" s="2" t="s">
        <v>8378</v>
      </c>
      <c r="B2708" s="2" t="s">
        <v>8379</v>
      </c>
      <c r="C2708" s="2" t="s">
        <v>8361</v>
      </c>
      <c r="D2708" s="2" t="s">
        <v>95</v>
      </c>
      <c r="E2708" s="2" t="s">
        <v>96</v>
      </c>
      <c r="F2708" s="2" t="s">
        <v>97</v>
      </c>
      <c r="G2708" s="2" t="s">
        <v>75</v>
      </c>
      <c r="H2708" s="2" t="s">
        <v>46</v>
      </c>
      <c r="I2708" s="2" t="s">
        <v>47</v>
      </c>
      <c r="J2708" s="2" t="s">
        <v>500</v>
      </c>
      <c r="K2708" s="2" t="s">
        <v>8380</v>
      </c>
      <c r="L2708" s="2" t="s">
        <v>99</v>
      </c>
      <c r="M2708" s="2" t="s">
        <v>2320</v>
      </c>
      <c r="N2708" s="16">
        <v>1.6199999999999999E-2</v>
      </c>
      <c r="O2708" s="17">
        <f>N2708*'Financial Inputs'!$B$3</f>
        <v>1620000</v>
      </c>
      <c r="P2708" s="18">
        <f>IF(I2708="L",'Financial Inputs'!$B$4,IF(I2708="M",'Financial Inputs'!$B$5,'Financial Inputs'!$B$6))</f>
        <v>0.4</v>
      </c>
      <c r="Q2708" s="17">
        <f>O2708*P2708</f>
        <v>648000</v>
      </c>
      <c r="R2708" s="16">
        <f>'Financial Inputs'!$B$7</f>
        <v>0.35</v>
      </c>
      <c r="S2708" s="17">
        <f>Q2708*(1-R2708)</f>
        <v>421200</v>
      </c>
      <c r="T2708" s="18">
        <f>S2708/'Financial Inputs'!$B$3</f>
        <v>4.2119999999999996E-3</v>
      </c>
      <c r="U2708" s="9" t="s">
        <v>52</v>
      </c>
      <c r="V2708" s="3" t="s">
        <v>53</v>
      </c>
    </row>
    <row r="2709" spans="1:22">
      <c r="A2709" s="2" t="s">
        <v>8381</v>
      </c>
      <c r="B2709" s="2" t="s">
        <v>8382</v>
      </c>
      <c r="C2709" s="2" t="s">
        <v>8361</v>
      </c>
      <c r="D2709" s="2" t="s">
        <v>102</v>
      </c>
      <c r="E2709" s="2" t="s">
        <v>103</v>
      </c>
      <c r="F2709" s="2" t="s">
        <v>104</v>
      </c>
      <c r="G2709" s="2" t="s">
        <v>83</v>
      </c>
      <c r="H2709" s="2" t="s">
        <v>46</v>
      </c>
      <c r="I2709" s="2" t="s">
        <v>47</v>
      </c>
      <c r="J2709" s="2" t="s">
        <v>500</v>
      </c>
      <c r="K2709" s="2" t="s">
        <v>8383</v>
      </c>
      <c r="L2709" s="2" t="s">
        <v>106</v>
      </c>
      <c r="M2709" s="2" t="s">
        <v>2320</v>
      </c>
      <c r="N2709" s="16">
        <v>1.7999999999999999E-2</v>
      </c>
      <c r="O2709" s="17">
        <f>N2709*'Financial Inputs'!$B$3</f>
        <v>1799999.9999999998</v>
      </c>
      <c r="P2709" s="18">
        <f>IF(I2709="L",'Financial Inputs'!$B$4,IF(I2709="M",'Financial Inputs'!$B$5,'Financial Inputs'!$B$6))</f>
        <v>0.4</v>
      </c>
      <c r="Q2709" s="17">
        <f>O2709*P2709</f>
        <v>720000</v>
      </c>
      <c r="R2709" s="16">
        <f>'Financial Inputs'!$B$7</f>
        <v>0.35</v>
      </c>
      <c r="S2709" s="17">
        <f>Q2709*(1-R2709)</f>
        <v>468000</v>
      </c>
      <c r="T2709" s="18">
        <f>S2709/'Financial Inputs'!$B$3</f>
        <v>4.6800000000000001E-3</v>
      </c>
      <c r="U2709" s="9" t="s">
        <v>52</v>
      </c>
      <c r="V2709" s="3" t="s">
        <v>53</v>
      </c>
    </row>
    <row r="2710" spans="1:22">
      <c r="A2710" s="2" t="s">
        <v>8384</v>
      </c>
      <c r="B2710" s="2" t="s">
        <v>8385</v>
      </c>
      <c r="C2710" s="2" t="s">
        <v>8361</v>
      </c>
      <c r="D2710" s="2" t="s">
        <v>42</v>
      </c>
      <c r="E2710" s="2" t="s">
        <v>109</v>
      </c>
      <c r="F2710" s="2" t="s">
        <v>110</v>
      </c>
      <c r="G2710" s="2" t="s">
        <v>111</v>
      </c>
      <c r="H2710" s="2" t="s">
        <v>46</v>
      </c>
      <c r="I2710" s="2" t="s">
        <v>47</v>
      </c>
      <c r="J2710" s="2" t="s">
        <v>500</v>
      </c>
      <c r="K2710" s="2" t="s">
        <v>8386</v>
      </c>
      <c r="L2710" s="2" t="s">
        <v>113</v>
      </c>
      <c r="M2710" s="2" t="s">
        <v>2320</v>
      </c>
      <c r="N2710" s="16">
        <v>1.9800000000000002E-2</v>
      </c>
      <c r="O2710" s="17">
        <f>N2710*'Financial Inputs'!$B$3</f>
        <v>1980000.0000000002</v>
      </c>
      <c r="P2710" s="18">
        <f>IF(I2710="L",'Financial Inputs'!$B$4,IF(I2710="M",'Financial Inputs'!$B$5,'Financial Inputs'!$B$6))</f>
        <v>0.4</v>
      </c>
      <c r="Q2710" s="17">
        <f>O2710*P2710</f>
        <v>792000.00000000012</v>
      </c>
      <c r="R2710" s="16">
        <f>'Financial Inputs'!$B$7</f>
        <v>0.35</v>
      </c>
      <c r="S2710" s="17">
        <f>Q2710*(1-R2710)</f>
        <v>514800.00000000012</v>
      </c>
      <c r="T2710" s="18">
        <f>S2710/'Financial Inputs'!$B$3</f>
        <v>5.1480000000000015E-3</v>
      </c>
      <c r="U2710" s="9" t="s">
        <v>52</v>
      </c>
      <c r="V2710" s="3" t="s">
        <v>53</v>
      </c>
    </row>
    <row r="2711" spans="1:22">
      <c r="A2711" s="2" t="s">
        <v>8387</v>
      </c>
      <c r="B2711" s="2" t="s">
        <v>8388</v>
      </c>
      <c r="C2711" s="2" t="s">
        <v>8361</v>
      </c>
      <c r="D2711" s="2" t="s">
        <v>56</v>
      </c>
      <c r="E2711" s="2" t="s">
        <v>116</v>
      </c>
      <c r="F2711" s="2" t="s">
        <v>117</v>
      </c>
      <c r="G2711" s="2" t="s">
        <v>56</v>
      </c>
      <c r="H2711" s="2" t="s">
        <v>46</v>
      </c>
      <c r="I2711" s="2" t="s">
        <v>47</v>
      </c>
      <c r="J2711" s="2" t="s">
        <v>500</v>
      </c>
      <c r="K2711" s="2" t="s">
        <v>8389</v>
      </c>
      <c r="L2711" s="2" t="s">
        <v>119</v>
      </c>
      <c r="M2711" s="2" t="s">
        <v>2320</v>
      </c>
      <c r="N2711" s="16">
        <v>2.1600000000000001E-2</v>
      </c>
      <c r="O2711" s="17">
        <f>N2711*'Financial Inputs'!$B$3</f>
        <v>2160000</v>
      </c>
      <c r="P2711" s="18">
        <f>IF(I2711="L",'Financial Inputs'!$B$4,IF(I2711="M",'Financial Inputs'!$B$5,'Financial Inputs'!$B$6))</f>
        <v>0.4</v>
      </c>
      <c r="Q2711" s="17">
        <f>O2711*P2711</f>
        <v>864000</v>
      </c>
      <c r="R2711" s="16">
        <f>'Financial Inputs'!$B$7</f>
        <v>0.35</v>
      </c>
      <c r="S2711" s="17">
        <f>Q2711*(1-R2711)</f>
        <v>561600</v>
      </c>
      <c r="T2711" s="18">
        <f>S2711/'Financial Inputs'!$B$3</f>
        <v>5.6160000000000003E-3</v>
      </c>
      <c r="U2711" s="9" t="s">
        <v>52</v>
      </c>
      <c r="V2711" s="3" t="s">
        <v>53</v>
      </c>
    </row>
    <row r="2712" spans="1:22">
      <c r="A2712" s="2" t="s">
        <v>8390</v>
      </c>
      <c r="B2712" s="2" t="s">
        <v>8391</v>
      </c>
      <c r="C2712" s="2" t="s">
        <v>8361</v>
      </c>
      <c r="D2712" s="2" t="s">
        <v>80</v>
      </c>
      <c r="E2712" s="2" t="s">
        <v>122</v>
      </c>
      <c r="F2712" s="2" t="s">
        <v>58</v>
      </c>
      <c r="G2712" s="2" t="s">
        <v>83</v>
      </c>
      <c r="H2712" s="2" t="s">
        <v>46</v>
      </c>
      <c r="I2712" s="2" t="s">
        <v>47</v>
      </c>
      <c r="J2712" s="2" t="s">
        <v>500</v>
      </c>
      <c r="K2712" s="2" t="s">
        <v>8392</v>
      </c>
      <c r="L2712" s="2" t="s">
        <v>124</v>
      </c>
      <c r="M2712" s="2" t="s">
        <v>2320</v>
      </c>
      <c r="N2712" s="16">
        <v>1.44E-2</v>
      </c>
      <c r="O2712" s="17">
        <f>N2712*'Financial Inputs'!$B$3</f>
        <v>1440000</v>
      </c>
      <c r="P2712" s="18">
        <f>IF(I2712="L",'Financial Inputs'!$B$4,IF(I2712="M",'Financial Inputs'!$B$5,'Financial Inputs'!$B$6))</f>
        <v>0.4</v>
      </c>
      <c r="Q2712" s="17">
        <f>O2712*P2712</f>
        <v>576000</v>
      </c>
      <c r="R2712" s="16">
        <f>'Financial Inputs'!$B$7</f>
        <v>0.35</v>
      </c>
      <c r="S2712" s="17">
        <f>Q2712*(1-R2712)</f>
        <v>374400</v>
      </c>
      <c r="T2712" s="18">
        <f>S2712/'Financial Inputs'!$B$3</f>
        <v>3.7439999999999999E-3</v>
      </c>
      <c r="U2712" s="9" t="s">
        <v>52</v>
      </c>
      <c r="V2712" s="3" t="s">
        <v>53</v>
      </c>
    </row>
    <row r="2713" spans="1:22">
      <c r="A2713" s="2" t="s">
        <v>8393</v>
      </c>
      <c r="B2713" s="2" t="s">
        <v>8394</v>
      </c>
      <c r="C2713" s="2" t="s">
        <v>8361</v>
      </c>
      <c r="D2713" s="2" t="s">
        <v>127</v>
      </c>
      <c r="E2713" s="2" t="s">
        <v>128</v>
      </c>
      <c r="F2713" s="2" t="s">
        <v>66</v>
      </c>
      <c r="G2713" s="2" t="s">
        <v>111</v>
      </c>
      <c r="H2713" s="2" t="s">
        <v>46</v>
      </c>
      <c r="I2713" s="2" t="s">
        <v>47</v>
      </c>
      <c r="J2713" s="2" t="s">
        <v>500</v>
      </c>
      <c r="K2713" s="2" t="s">
        <v>8395</v>
      </c>
      <c r="L2713" s="2" t="s">
        <v>130</v>
      </c>
      <c r="M2713" s="2" t="s">
        <v>2320</v>
      </c>
      <c r="N2713" s="16">
        <v>1.6199999999999999E-2</v>
      </c>
      <c r="O2713" s="17">
        <f>N2713*'Financial Inputs'!$B$3</f>
        <v>1620000</v>
      </c>
      <c r="P2713" s="18">
        <f>IF(I2713="L",'Financial Inputs'!$B$4,IF(I2713="M",'Financial Inputs'!$B$5,'Financial Inputs'!$B$6))</f>
        <v>0.4</v>
      </c>
      <c r="Q2713" s="17">
        <f>O2713*P2713</f>
        <v>648000</v>
      </c>
      <c r="R2713" s="16">
        <f>'Financial Inputs'!$B$7</f>
        <v>0.35</v>
      </c>
      <c r="S2713" s="17">
        <f>Q2713*(1-R2713)</f>
        <v>421200</v>
      </c>
      <c r="T2713" s="18">
        <f>S2713/'Financial Inputs'!$B$3</f>
        <v>4.2119999999999996E-3</v>
      </c>
      <c r="U2713" s="9" t="s">
        <v>52</v>
      </c>
      <c r="V2713" s="3" t="s">
        <v>53</v>
      </c>
    </row>
    <row r="2714" spans="1:22">
      <c r="A2714" s="2" t="s">
        <v>8396</v>
      </c>
      <c r="B2714" s="2" t="s">
        <v>8397</v>
      </c>
      <c r="C2714" s="2" t="s">
        <v>8361</v>
      </c>
      <c r="D2714" s="2" t="s">
        <v>133</v>
      </c>
      <c r="E2714" s="2" t="s">
        <v>43</v>
      </c>
      <c r="F2714" s="2" t="s">
        <v>74</v>
      </c>
      <c r="G2714" s="2" t="s">
        <v>56</v>
      </c>
      <c r="H2714" s="2" t="s">
        <v>46</v>
      </c>
      <c r="I2714" s="2" t="s">
        <v>47</v>
      </c>
      <c r="J2714" s="2" t="s">
        <v>500</v>
      </c>
      <c r="K2714" s="2" t="s">
        <v>8398</v>
      </c>
      <c r="L2714" s="2" t="s">
        <v>135</v>
      </c>
      <c r="M2714" s="2" t="s">
        <v>2320</v>
      </c>
      <c r="N2714" s="16">
        <v>1.7999999999999999E-2</v>
      </c>
      <c r="O2714" s="17">
        <f>N2714*'Financial Inputs'!$B$3</f>
        <v>1799999.9999999998</v>
      </c>
      <c r="P2714" s="18">
        <f>IF(I2714="L",'Financial Inputs'!$B$4,IF(I2714="M",'Financial Inputs'!$B$5,'Financial Inputs'!$B$6))</f>
        <v>0.4</v>
      </c>
      <c r="Q2714" s="17">
        <f>O2714*P2714</f>
        <v>720000</v>
      </c>
      <c r="R2714" s="16">
        <f>'Financial Inputs'!$B$7</f>
        <v>0.35</v>
      </c>
      <c r="S2714" s="17">
        <f>Q2714*(1-R2714)</f>
        <v>468000</v>
      </c>
      <c r="T2714" s="18">
        <f>S2714/'Financial Inputs'!$B$3</f>
        <v>4.6800000000000001E-3</v>
      </c>
      <c r="U2714" s="9" t="s">
        <v>52</v>
      </c>
      <c r="V2714" s="3" t="s">
        <v>53</v>
      </c>
    </row>
    <row r="2715" spans="1:22">
      <c r="A2715" s="2" t="s">
        <v>8399</v>
      </c>
      <c r="B2715" s="2" t="s">
        <v>8400</v>
      </c>
      <c r="C2715" s="2" t="s">
        <v>8361</v>
      </c>
      <c r="D2715" s="2" t="s">
        <v>88</v>
      </c>
      <c r="E2715" s="2" t="s">
        <v>57</v>
      </c>
      <c r="F2715" s="2" t="s">
        <v>82</v>
      </c>
      <c r="G2715" s="2" t="s">
        <v>138</v>
      </c>
      <c r="H2715" s="2" t="s">
        <v>46</v>
      </c>
      <c r="I2715" s="2" t="s">
        <v>47</v>
      </c>
      <c r="J2715" s="2" t="s">
        <v>500</v>
      </c>
      <c r="K2715" s="2" t="s">
        <v>8401</v>
      </c>
      <c r="L2715" s="2" t="s">
        <v>140</v>
      </c>
      <c r="M2715" s="2" t="s">
        <v>2320</v>
      </c>
      <c r="N2715" s="16">
        <v>1.9800000000000002E-2</v>
      </c>
      <c r="O2715" s="17">
        <f>N2715*'Financial Inputs'!$B$3</f>
        <v>1980000.0000000002</v>
      </c>
      <c r="P2715" s="18">
        <f>IF(I2715="L",'Financial Inputs'!$B$4,IF(I2715="M",'Financial Inputs'!$B$5,'Financial Inputs'!$B$6))</f>
        <v>0.4</v>
      </c>
      <c r="Q2715" s="17">
        <f>O2715*P2715</f>
        <v>792000.00000000012</v>
      </c>
      <c r="R2715" s="16">
        <f>'Financial Inputs'!$B$7</f>
        <v>0.35</v>
      </c>
      <c r="S2715" s="17">
        <f>Q2715*(1-R2715)</f>
        <v>514800.00000000012</v>
      </c>
      <c r="T2715" s="18">
        <f>S2715/'Financial Inputs'!$B$3</f>
        <v>5.1480000000000015E-3</v>
      </c>
      <c r="U2715" s="9" t="s">
        <v>52</v>
      </c>
      <c r="V2715" s="3" t="s">
        <v>53</v>
      </c>
    </row>
    <row r="2716" spans="1:22">
      <c r="A2716" s="2" t="s">
        <v>8402</v>
      </c>
      <c r="B2716" s="2" t="s">
        <v>8403</v>
      </c>
      <c r="C2716" s="2" t="s">
        <v>8361</v>
      </c>
      <c r="D2716" s="2" t="s">
        <v>95</v>
      </c>
      <c r="E2716" s="2" t="s">
        <v>65</v>
      </c>
      <c r="F2716" s="2" t="s">
        <v>44</v>
      </c>
      <c r="G2716" s="2" t="s">
        <v>143</v>
      </c>
      <c r="H2716" s="2" t="s">
        <v>46</v>
      </c>
      <c r="I2716" s="2" t="s">
        <v>47</v>
      </c>
      <c r="J2716" s="2" t="s">
        <v>500</v>
      </c>
      <c r="K2716" s="2" t="s">
        <v>8404</v>
      </c>
      <c r="L2716" s="2" t="s">
        <v>145</v>
      </c>
      <c r="M2716" s="2" t="s">
        <v>2320</v>
      </c>
      <c r="N2716" s="16">
        <v>2.1600000000000001E-2</v>
      </c>
      <c r="O2716" s="17">
        <f>N2716*'Financial Inputs'!$B$3</f>
        <v>2160000</v>
      </c>
      <c r="P2716" s="18">
        <f>IF(I2716="L",'Financial Inputs'!$B$4,IF(I2716="M",'Financial Inputs'!$B$5,'Financial Inputs'!$B$6))</f>
        <v>0.4</v>
      </c>
      <c r="Q2716" s="17">
        <f>O2716*P2716</f>
        <v>864000</v>
      </c>
      <c r="R2716" s="16">
        <f>'Financial Inputs'!$B$7</f>
        <v>0.35</v>
      </c>
      <c r="S2716" s="17">
        <f>Q2716*(1-R2716)</f>
        <v>561600</v>
      </c>
      <c r="T2716" s="18">
        <f>S2716/'Financial Inputs'!$B$3</f>
        <v>5.6160000000000003E-3</v>
      </c>
      <c r="U2716" s="9" t="s">
        <v>52</v>
      </c>
      <c r="V2716" s="3" t="s">
        <v>53</v>
      </c>
    </row>
    <row r="2717" spans="1:22">
      <c r="A2717" s="2" t="s">
        <v>8405</v>
      </c>
      <c r="B2717" s="2" t="s">
        <v>8406</v>
      </c>
      <c r="C2717" s="2" t="s">
        <v>8361</v>
      </c>
      <c r="D2717" s="2" t="s">
        <v>56</v>
      </c>
      <c r="E2717" s="2" t="s">
        <v>148</v>
      </c>
      <c r="F2717" s="2" t="s">
        <v>97</v>
      </c>
      <c r="G2717" s="2" t="s">
        <v>56</v>
      </c>
      <c r="H2717" s="2" t="s">
        <v>46</v>
      </c>
      <c r="I2717" s="2" t="s">
        <v>47</v>
      </c>
      <c r="J2717" s="2" t="s">
        <v>500</v>
      </c>
      <c r="K2717" s="2" t="s">
        <v>8407</v>
      </c>
      <c r="L2717" s="2" t="s">
        <v>150</v>
      </c>
      <c r="M2717" s="2" t="s">
        <v>2320</v>
      </c>
      <c r="N2717" s="16">
        <v>1.44E-2</v>
      </c>
      <c r="O2717" s="17">
        <f>N2717*'Financial Inputs'!$B$3</f>
        <v>1440000</v>
      </c>
      <c r="P2717" s="18">
        <f>IF(I2717="L",'Financial Inputs'!$B$4,IF(I2717="M",'Financial Inputs'!$B$5,'Financial Inputs'!$B$6))</f>
        <v>0.4</v>
      </c>
      <c r="Q2717" s="17">
        <f>O2717*P2717</f>
        <v>576000</v>
      </c>
      <c r="R2717" s="16">
        <f>'Financial Inputs'!$B$7</f>
        <v>0.35</v>
      </c>
      <c r="S2717" s="17">
        <f>Q2717*(1-R2717)</f>
        <v>374400</v>
      </c>
      <c r="T2717" s="18">
        <f>S2717/'Financial Inputs'!$B$3</f>
        <v>3.7439999999999999E-3</v>
      </c>
      <c r="U2717" s="9" t="s">
        <v>52</v>
      </c>
      <c r="V2717" s="3" t="s">
        <v>53</v>
      </c>
    </row>
    <row r="2718" spans="1:22">
      <c r="A2718" s="2" t="s">
        <v>8408</v>
      </c>
      <c r="B2718" s="2" t="s">
        <v>8409</v>
      </c>
      <c r="C2718" s="2" t="s">
        <v>8361</v>
      </c>
      <c r="D2718" s="2" t="s">
        <v>64</v>
      </c>
      <c r="E2718" s="2" t="s">
        <v>153</v>
      </c>
      <c r="F2718" s="2" t="s">
        <v>104</v>
      </c>
      <c r="G2718" s="2" t="s">
        <v>138</v>
      </c>
      <c r="H2718" s="2" t="s">
        <v>46</v>
      </c>
      <c r="I2718" s="2" t="s">
        <v>47</v>
      </c>
      <c r="J2718" s="2" t="s">
        <v>500</v>
      </c>
      <c r="K2718" s="2" t="s">
        <v>8410</v>
      </c>
      <c r="L2718" s="2" t="s">
        <v>155</v>
      </c>
      <c r="M2718" s="2" t="s">
        <v>2320</v>
      </c>
      <c r="N2718" s="16">
        <v>1.6199999999999999E-2</v>
      </c>
      <c r="O2718" s="17">
        <f>N2718*'Financial Inputs'!$B$3</f>
        <v>1620000</v>
      </c>
      <c r="P2718" s="18">
        <f>IF(I2718="L",'Financial Inputs'!$B$4,IF(I2718="M",'Financial Inputs'!$B$5,'Financial Inputs'!$B$6))</f>
        <v>0.4</v>
      </c>
      <c r="Q2718" s="17">
        <f>O2718*P2718</f>
        <v>648000</v>
      </c>
      <c r="R2718" s="16">
        <f>'Financial Inputs'!$B$7</f>
        <v>0.35</v>
      </c>
      <c r="S2718" s="17">
        <f>Q2718*(1-R2718)</f>
        <v>421200</v>
      </c>
      <c r="T2718" s="18">
        <f>S2718/'Financial Inputs'!$B$3</f>
        <v>4.2119999999999996E-3</v>
      </c>
      <c r="U2718" s="9" t="s">
        <v>52</v>
      </c>
      <c r="V2718" s="3" t="s">
        <v>53</v>
      </c>
    </row>
    <row r="2719" spans="1:22">
      <c r="A2719" s="2" t="s">
        <v>8411</v>
      </c>
      <c r="B2719" s="2" t="s">
        <v>8412</v>
      </c>
      <c r="C2719" s="2" t="s">
        <v>8361</v>
      </c>
      <c r="D2719" s="2" t="s">
        <v>72</v>
      </c>
      <c r="E2719" s="2" t="s">
        <v>89</v>
      </c>
      <c r="F2719" s="2" t="s">
        <v>110</v>
      </c>
      <c r="G2719" s="2" t="s">
        <v>143</v>
      </c>
      <c r="H2719" s="2" t="s">
        <v>46</v>
      </c>
      <c r="I2719" s="2" t="s">
        <v>47</v>
      </c>
      <c r="J2719" s="2" t="s">
        <v>500</v>
      </c>
      <c r="K2719" s="2" t="s">
        <v>8413</v>
      </c>
      <c r="L2719" s="2" t="s">
        <v>159</v>
      </c>
      <c r="M2719" s="2" t="s">
        <v>2320</v>
      </c>
      <c r="N2719" s="16">
        <v>1.7999999999999999E-2</v>
      </c>
      <c r="O2719" s="17">
        <f>N2719*'Financial Inputs'!$B$3</f>
        <v>1799999.9999999998</v>
      </c>
      <c r="P2719" s="18">
        <f>IF(I2719="L",'Financial Inputs'!$B$4,IF(I2719="M",'Financial Inputs'!$B$5,'Financial Inputs'!$B$6))</f>
        <v>0.4</v>
      </c>
      <c r="Q2719" s="17">
        <f>O2719*P2719</f>
        <v>720000</v>
      </c>
      <c r="R2719" s="16">
        <f>'Financial Inputs'!$B$7</f>
        <v>0.35</v>
      </c>
      <c r="S2719" s="17">
        <f>Q2719*(1-R2719)</f>
        <v>468000</v>
      </c>
      <c r="T2719" s="18">
        <f>S2719/'Financial Inputs'!$B$3</f>
        <v>4.6800000000000001E-3</v>
      </c>
      <c r="U2719" s="9" t="s">
        <v>52</v>
      </c>
      <c r="V2719" s="3" t="s">
        <v>53</v>
      </c>
    </row>
    <row r="2720" spans="1:22">
      <c r="A2720" s="2" t="s">
        <v>8414</v>
      </c>
      <c r="B2720" s="2" t="s">
        <v>8415</v>
      </c>
      <c r="C2720" s="2" t="s">
        <v>8361</v>
      </c>
      <c r="D2720" s="2" t="s">
        <v>80</v>
      </c>
      <c r="E2720" s="2" t="s">
        <v>96</v>
      </c>
      <c r="F2720" s="2" t="s">
        <v>117</v>
      </c>
      <c r="G2720" s="2" t="s">
        <v>162</v>
      </c>
      <c r="H2720" s="2" t="s">
        <v>46</v>
      </c>
      <c r="I2720" s="2" t="s">
        <v>47</v>
      </c>
      <c r="J2720" s="2" t="s">
        <v>500</v>
      </c>
      <c r="K2720" s="2" t="s">
        <v>8416</v>
      </c>
      <c r="L2720" s="2" t="s">
        <v>164</v>
      </c>
      <c r="M2720" s="2" t="s">
        <v>2320</v>
      </c>
      <c r="N2720" s="16">
        <v>1.9800000000000002E-2</v>
      </c>
      <c r="O2720" s="17">
        <f>N2720*'Financial Inputs'!$B$3</f>
        <v>1980000.0000000002</v>
      </c>
      <c r="P2720" s="18">
        <f>IF(I2720="L",'Financial Inputs'!$B$4,IF(I2720="M",'Financial Inputs'!$B$5,'Financial Inputs'!$B$6))</f>
        <v>0.4</v>
      </c>
      <c r="Q2720" s="17">
        <f>O2720*P2720</f>
        <v>792000.00000000012</v>
      </c>
      <c r="R2720" s="16">
        <f>'Financial Inputs'!$B$7</f>
        <v>0.35</v>
      </c>
      <c r="S2720" s="17">
        <f>Q2720*(1-R2720)</f>
        <v>514800.00000000012</v>
      </c>
      <c r="T2720" s="18">
        <f>S2720/'Financial Inputs'!$B$3</f>
        <v>5.1480000000000015E-3</v>
      </c>
      <c r="U2720" s="9" t="s">
        <v>52</v>
      </c>
      <c r="V2720" s="3" t="s">
        <v>53</v>
      </c>
    </row>
    <row r="2721" spans="1:22">
      <c r="A2721" s="2" t="s">
        <v>8417</v>
      </c>
      <c r="B2721" s="2" t="s">
        <v>8418</v>
      </c>
      <c r="C2721" s="2" t="s">
        <v>8361</v>
      </c>
      <c r="D2721" s="2" t="s">
        <v>127</v>
      </c>
      <c r="E2721" s="2" t="s">
        <v>103</v>
      </c>
      <c r="F2721" s="2" t="s">
        <v>90</v>
      </c>
      <c r="G2721" s="2" t="s">
        <v>45</v>
      </c>
      <c r="H2721" s="2" t="s">
        <v>46</v>
      </c>
      <c r="I2721" s="2" t="s">
        <v>47</v>
      </c>
      <c r="J2721" s="2" t="s">
        <v>500</v>
      </c>
      <c r="K2721" s="2" t="s">
        <v>8419</v>
      </c>
      <c r="L2721" s="2" t="s">
        <v>168</v>
      </c>
      <c r="M2721" s="2" t="s">
        <v>2320</v>
      </c>
      <c r="N2721" s="16">
        <v>2.1600000000000001E-2</v>
      </c>
      <c r="O2721" s="17">
        <f>N2721*'Financial Inputs'!$B$3</f>
        <v>2160000</v>
      </c>
      <c r="P2721" s="18">
        <f>IF(I2721="L",'Financial Inputs'!$B$4,IF(I2721="M",'Financial Inputs'!$B$5,'Financial Inputs'!$B$6))</f>
        <v>0.4</v>
      </c>
      <c r="Q2721" s="17">
        <f>O2721*P2721</f>
        <v>864000</v>
      </c>
      <c r="R2721" s="16">
        <f>'Financial Inputs'!$B$7</f>
        <v>0.35</v>
      </c>
      <c r="S2721" s="17">
        <f>Q2721*(1-R2721)</f>
        <v>561600</v>
      </c>
      <c r="T2721" s="18">
        <f>S2721/'Financial Inputs'!$B$3</f>
        <v>5.6160000000000003E-3</v>
      </c>
      <c r="U2721" s="9" t="s">
        <v>52</v>
      </c>
      <c r="V2721" s="3" t="s">
        <v>53</v>
      </c>
    </row>
    <row r="2722" spans="1:22">
      <c r="A2722" s="2" t="s">
        <v>8420</v>
      </c>
      <c r="B2722" s="2" t="s">
        <v>8421</v>
      </c>
      <c r="C2722" s="2" t="s">
        <v>8361</v>
      </c>
      <c r="D2722" s="2" t="s">
        <v>95</v>
      </c>
      <c r="E2722" s="2" t="s">
        <v>171</v>
      </c>
      <c r="F2722" s="2" t="s">
        <v>66</v>
      </c>
      <c r="G2722" s="2" t="s">
        <v>143</v>
      </c>
      <c r="H2722" s="2" t="s">
        <v>46</v>
      </c>
      <c r="I2722" s="2" t="s">
        <v>47</v>
      </c>
      <c r="J2722" s="2" t="s">
        <v>500</v>
      </c>
      <c r="K2722" s="2" t="s">
        <v>8422</v>
      </c>
      <c r="L2722" s="2" t="s">
        <v>173</v>
      </c>
      <c r="M2722" s="2" t="s">
        <v>2320</v>
      </c>
      <c r="N2722" s="16">
        <v>1.44E-2</v>
      </c>
      <c r="O2722" s="17">
        <f>N2722*'Financial Inputs'!$B$3</f>
        <v>1440000</v>
      </c>
      <c r="P2722" s="18">
        <f>IF(I2722="L",'Financial Inputs'!$B$4,IF(I2722="M",'Financial Inputs'!$B$5,'Financial Inputs'!$B$6))</f>
        <v>0.4</v>
      </c>
      <c r="Q2722" s="17">
        <f>O2722*P2722</f>
        <v>576000</v>
      </c>
      <c r="R2722" s="16">
        <f>'Financial Inputs'!$B$7</f>
        <v>0.35</v>
      </c>
      <c r="S2722" s="17">
        <f>Q2722*(1-R2722)</f>
        <v>374400</v>
      </c>
      <c r="T2722" s="18">
        <f>S2722/'Financial Inputs'!$B$3</f>
        <v>3.7439999999999999E-3</v>
      </c>
      <c r="U2722" s="9" t="s">
        <v>52</v>
      </c>
      <c r="V2722" s="3" t="s">
        <v>53</v>
      </c>
    </row>
    <row r="2723" spans="1:22">
      <c r="A2723" s="2" t="s">
        <v>8423</v>
      </c>
      <c r="B2723" s="2" t="s">
        <v>8424</v>
      </c>
      <c r="C2723" s="2" t="s">
        <v>8361</v>
      </c>
      <c r="D2723" s="2" t="s">
        <v>102</v>
      </c>
      <c r="E2723" s="2" t="s">
        <v>176</v>
      </c>
      <c r="F2723" s="2" t="s">
        <v>74</v>
      </c>
      <c r="G2723" s="2" t="s">
        <v>162</v>
      </c>
      <c r="H2723" s="2" t="s">
        <v>46</v>
      </c>
      <c r="I2723" s="2" t="s">
        <v>47</v>
      </c>
      <c r="J2723" s="2" t="s">
        <v>500</v>
      </c>
      <c r="K2723" s="2" t="s">
        <v>8425</v>
      </c>
      <c r="L2723" s="2" t="s">
        <v>178</v>
      </c>
      <c r="M2723" s="2" t="s">
        <v>2320</v>
      </c>
      <c r="N2723" s="16">
        <v>1.6199999999999999E-2</v>
      </c>
      <c r="O2723" s="17">
        <f>N2723*'Financial Inputs'!$B$3</f>
        <v>1620000</v>
      </c>
      <c r="P2723" s="18">
        <f>IF(I2723="L",'Financial Inputs'!$B$4,IF(I2723="M",'Financial Inputs'!$B$5,'Financial Inputs'!$B$6))</f>
        <v>0.4</v>
      </c>
      <c r="Q2723" s="17">
        <f>O2723*P2723</f>
        <v>648000</v>
      </c>
      <c r="R2723" s="16">
        <f>'Financial Inputs'!$B$7</f>
        <v>0.35</v>
      </c>
      <c r="S2723" s="17">
        <f>Q2723*(1-R2723)</f>
        <v>421200</v>
      </c>
      <c r="T2723" s="18">
        <f>S2723/'Financial Inputs'!$B$3</f>
        <v>4.2119999999999996E-3</v>
      </c>
      <c r="U2723" s="9" t="s">
        <v>52</v>
      </c>
      <c r="V2723" s="3" t="s">
        <v>53</v>
      </c>
    </row>
    <row r="2724" spans="1:22">
      <c r="A2724" s="2" t="s">
        <v>8426</v>
      </c>
      <c r="B2724" s="2" t="s">
        <v>8427</v>
      </c>
      <c r="C2724" s="2" t="s">
        <v>8361</v>
      </c>
      <c r="D2724" s="2" t="s">
        <v>42</v>
      </c>
      <c r="E2724" s="2" t="s">
        <v>122</v>
      </c>
      <c r="F2724" s="2" t="s">
        <v>82</v>
      </c>
      <c r="G2724" s="2" t="s">
        <v>45</v>
      </c>
      <c r="H2724" s="2" t="s">
        <v>46</v>
      </c>
      <c r="I2724" s="2" t="s">
        <v>47</v>
      </c>
      <c r="J2724" s="2" t="s">
        <v>500</v>
      </c>
      <c r="K2724" s="2" t="s">
        <v>8428</v>
      </c>
      <c r="L2724" s="2" t="s">
        <v>182</v>
      </c>
      <c r="M2724" s="2" t="s">
        <v>2320</v>
      </c>
      <c r="N2724" s="16">
        <v>1.7999999999999999E-2</v>
      </c>
      <c r="O2724" s="17">
        <f>N2724*'Financial Inputs'!$B$3</f>
        <v>1799999.9999999998</v>
      </c>
      <c r="P2724" s="18">
        <f>IF(I2724="L",'Financial Inputs'!$B$4,IF(I2724="M",'Financial Inputs'!$B$5,'Financial Inputs'!$B$6))</f>
        <v>0.4</v>
      </c>
      <c r="Q2724" s="17">
        <f>O2724*P2724</f>
        <v>720000</v>
      </c>
      <c r="R2724" s="16">
        <f>'Financial Inputs'!$B$7</f>
        <v>0.35</v>
      </c>
      <c r="S2724" s="17">
        <f>Q2724*(1-R2724)</f>
        <v>468000</v>
      </c>
      <c r="T2724" s="18">
        <f>S2724/'Financial Inputs'!$B$3</f>
        <v>4.6800000000000001E-3</v>
      </c>
      <c r="U2724" s="9" t="s">
        <v>52</v>
      </c>
      <c r="V2724" s="3" t="s">
        <v>53</v>
      </c>
    </row>
    <row r="2725" spans="1:22">
      <c r="A2725" s="2" t="s">
        <v>8429</v>
      </c>
      <c r="B2725" s="2" t="s">
        <v>8430</v>
      </c>
      <c r="C2725" s="2" t="s">
        <v>8361</v>
      </c>
      <c r="D2725" s="2" t="s">
        <v>56</v>
      </c>
      <c r="E2725" s="2" t="s">
        <v>128</v>
      </c>
      <c r="F2725" s="2" t="s">
        <v>44</v>
      </c>
      <c r="G2725" s="2" t="s">
        <v>59</v>
      </c>
      <c r="H2725" s="2" t="s">
        <v>46</v>
      </c>
      <c r="I2725" s="2" t="s">
        <v>47</v>
      </c>
      <c r="J2725" s="2" t="s">
        <v>500</v>
      </c>
      <c r="K2725" s="2" t="s">
        <v>8431</v>
      </c>
      <c r="L2725" s="2" t="s">
        <v>186</v>
      </c>
      <c r="M2725" s="2" t="s">
        <v>2320</v>
      </c>
      <c r="N2725" s="16">
        <v>1.9800000000000002E-2</v>
      </c>
      <c r="O2725" s="17">
        <f>N2725*'Financial Inputs'!$B$3</f>
        <v>1980000.0000000002</v>
      </c>
      <c r="P2725" s="18">
        <f>IF(I2725="L",'Financial Inputs'!$B$4,IF(I2725="M",'Financial Inputs'!$B$5,'Financial Inputs'!$B$6))</f>
        <v>0.4</v>
      </c>
      <c r="Q2725" s="17">
        <f>O2725*P2725</f>
        <v>792000.00000000012</v>
      </c>
      <c r="R2725" s="16">
        <f>'Financial Inputs'!$B$7</f>
        <v>0.35</v>
      </c>
      <c r="S2725" s="17">
        <f>Q2725*(1-R2725)</f>
        <v>514800.00000000012</v>
      </c>
      <c r="T2725" s="18">
        <f>S2725/'Financial Inputs'!$B$3</f>
        <v>5.1480000000000015E-3</v>
      </c>
      <c r="U2725" s="9" t="s">
        <v>52</v>
      </c>
      <c r="V2725" s="3" t="s">
        <v>53</v>
      </c>
    </row>
    <row r="2726" spans="1:22">
      <c r="A2726" s="2" t="s">
        <v>8432</v>
      </c>
      <c r="B2726" s="2" t="s">
        <v>8433</v>
      </c>
      <c r="C2726" s="2" t="s">
        <v>8361</v>
      </c>
      <c r="D2726" s="2" t="s">
        <v>64</v>
      </c>
      <c r="E2726" s="2" t="s">
        <v>43</v>
      </c>
      <c r="F2726" s="2" t="s">
        <v>58</v>
      </c>
      <c r="G2726" s="2" t="s">
        <v>67</v>
      </c>
      <c r="H2726" s="2" t="s">
        <v>46</v>
      </c>
      <c r="I2726" s="2" t="s">
        <v>47</v>
      </c>
      <c r="J2726" s="2" t="s">
        <v>500</v>
      </c>
      <c r="K2726" s="2" t="s">
        <v>8434</v>
      </c>
      <c r="L2726" s="2" t="s">
        <v>190</v>
      </c>
      <c r="M2726" s="2" t="s">
        <v>2320</v>
      </c>
      <c r="N2726" s="16">
        <v>2.1600000000000001E-2</v>
      </c>
      <c r="O2726" s="17">
        <f>N2726*'Financial Inputs'!$B$3</f>
        <v>2160000</v>
      </c>
      <c r="P2726" s="18">
        <f>IF(I2726="L",'Financial Inputs'!$B$4,IF(I2726="M",'Financial Inputs'!$B$5,'Financial Inputs'!$B$6))</f>
        <v>0.4</v>
      </c>
      <c r="Q2726" s="17">
        <f>O2726*P2726</f>
        <v>864000</v>
      </c>
      <c r="R2726" s="16">
        <f>'Financial Inputs'!$B$7</f>
        <v>0.35</v>
      </c>
      <c r="S2726" s="17">
        <f>Q2726*(1-R2726)</f>
        <v>561600</v>
      </c>
      <c r="T2726" s="18">
        <f>S2726/'Financial Inputs'!$B$3</f>
        <v>5.6160000000000003E-3</v>
      </c>
      <c r="U2726" s="9" t="s">
        <v>52</v>
      </c>
      <c r="V2726" s="3" t="s">
        <v>53</v>
      </c>
    </row>
    <row r="2727" spans="1:22">
      <c r="A2727" s="2" t="s">
        <v>8435</v>
      </c>
      <c r="B2727" s="2" t="s">
        <v>8436</v>
      </c>
      <c r="C2727" s="2" t="s">
        <v>8361</v>
      </c>
      <c r="D2727" s="2" t="s">
        <v>127</v>
      </c>
      <c r="E2727" s="2" t="s">
        <v>193</v>
      </c>
      <c r="F2727" s="2" t="s">
        <v>104</v>
      </c>
      <c r="G2727" s="2" t="s">
        <v>45</v>
      </c>
      <c r="H2727" s="2" t="s">
        <v>46</v>
      </c>
      <c r="I2727" s="2" t="s">
        <v>47</v>
      </c>
      <c r="J2727" s="2" t="s">
        <v>500</v>
      </c>
      <c r="K2727" s="2" t="s">
        <v>8437</v>
      </c>
      <c r="L2727" s="2" t="s">
        <v>195</v>
      </c>
      <c r="M2727" s="2" t="s">
        <v>2320</v>
      </c>
      <c r="N2727" s="16">
        <v>1.44E-2</v>
      </c>
      <c r="O2727" s="17">
        <f>N2727*'Financial Inputs'!$B$3</f>
        <v>1440000</v>
      </c>
      <c r="P2727" s="18">
        <f>IF(I2727="L",'Financial Inputs'!$B$4,IF(I2727="M",'Financial Inputs'!$B$5,'Financial Inputs'!$B$6))</f>
        <v>0.4</v>
      </c>
      <c r="Q2727" s="17">
        <f>O2727*P2727</f>
        <v>576000</v>
      </c>
      <c r="R2727" s="16">
        <f>'Financial Inputs'!$B$7</f>
        <v>0.35</v>
      </c>
      <c r="S2727" s="17">
        <f>Q2727*(1-R2727)</f>
        <v>374400</v>
      </c>
      <c r="T2727" s="18">
        <f>S2727/'Financial Inputs'!$B$3</f>
        <v>3.7439999999999999E-3</v>
      </c>
      <c r="U2727" s="9" t="s">
        <v>52</v>
      </c>
      <c r="V2727" s="3" t="s">
        <v>53</v>
      </c>
    </row>
    <row r="2728" spans="1:22">
      <c r="A2728" s="2" t="s">
        <v>8438</v>
      </c>
      <c r="B2728" s="2" t="s">
        <v>8439</v>
      </c>
      <c r="C2728" s="2" t="s">
        <v>8361</v>
      </c>
      <c r="D2728" s="2" t="s">
        <v>133</v>
      </c>
      <c r="E2728" s="2" t="s">
        <v>198</v>
      </c>
      <c r="F2728" s="2" t="s">
        <v>110</v>
      </c>
      <c r="G2728" s="2" t="s">
        <v>59</v>
      </c>
      <c r="H2728" s="2" t="s">
        <v>46</v>
      </c>
      <c r="I2728" s="2" t="s">
        <v>47</v>
      </c>
      <c r="J2728" s="2" t="s">
        <v>500</v>
      </c>
      <c r="K2728" s="2" t="s">
        <v>8440</v>
      </c>
      <c r="L2728" s="2" t="s">
        <v>200</v>
      </c>
      <c r="M2728" s="2" t="s">
        <v>2320</v>
      </c>
      <c r="N2728" s="16">
        <v>1.6199999999999999E-2</v>
      </c>
      <c r="O2728" s="17">
        <f>N2728*'Financial Inputs'!$B$3</f>
        <v>1620000</v>
      </c>
      <c r="P2728" s="18">
        <f>IF(I2728="L",'Financial Inputs'!$B$4,IF(I2728="M",'Financial Inputs'!$B$5,'Financial Inputs'!$B$6))</f>
        <v>0.4</v>
      </c>
      <c r="Q2728" s="17">
        <f>O2728*P2728</f>
        <v>648000</v>
      </c>
      <c r="R2728" s="16">
        <f>'Financial Inputs'!$B$7</f>
        <v>0.35</v>
      </c>
      <c r="S2728" s="17">
        <f>Q2728*(1-R2728)</f>
        <v>421200</v>
      </c>
      <c r="T2728" s="18">
        <f>S2728/'Financial Inputs'!$B$3</f>
        <v>4.2119999999999996E-3</v>
      </c>
      <c r="U2728" s="9" t="s">
        <v>52</v>
      </c>
      <c r="V2728" s="3" t="s">
        <v>53</v>
      </c>
    </row>
    <row r="2729" spans="1:22">
      <c r="A2729" s="2" t="s">
        <v>8441</v>
      </c>
      <c r="B2729" s="2" t="s">
        <v>8442</v>
      </c>
      <c r="C2729" s="2" t="s">
        <v>8361</v>
      </c>
      <c r="D2729" s="2" t="s">
        <v>88</v>
      </c>
      <c r="E2729" s="2" t="s">
        <v>148</v>
      </c>
      <c r="F2729" s="2" t="s">
        <v>117</v>
      </c>
      <c r="G2729" s="2" t="s">
        <v>67</v>
      </c>
      <c r="H2729" s="2" t="s">
        <v>46</v>
      </c>
      <c r="I2729" s="2" t="s">
        <v>47</v>
      </c>
      <c r="J2729" s="2" t="s">
        <v>500</v>
      </c>
      <c r="K2729" s="2" t="s">
        <v>8443</v>
      </c>
      <c r="L2729" s="2" t="s">
        <v>204</v>
      </c>
      <c r="M2729" s="2" t="s">
        <v>2320</v>
      </c>
      <c r="N2729" s="16">
        <v>1.7999999999999999E-2</v>
      </c>
      <c r="O2729" s="17">
        <f>N2729*'Financial Inputs'!$B$3</f>
        <v>1799999.9999999998</v>
      </c>
      <c r="P2729" s="18">
        <f>IF(I2729="L",'Financial Inputs'!$B$4,IF(I2729="M",'Financial Inputs'!$B$5,'Financial Inputs'!$B$6))</f>
        <v>0.4</v>
      </c>
      <c r="Q2729" s="17">
        <f>O2729*P2729</f>
        <v>720000</v>
      </c>
      <c r="R2729" s="16">
        <f>'Financial Inputs'!$B$7</f>
        <v>0.35</v>
      </c>
      <c r="S2729" s="17">
        <f>Q2729*(1-R2729)</f>
        <v>468000</v>
      </c>
      <c r="T2729" s="18">
        <f>S2729/'Financial Inputs'!$B$3</f>
        <v>4.6800000000000001E-3</v>
      </c>
      <c r="U2729" s="9" t="s">
        <v>52</v>
      </c>
      <c r="V2729" s="3" t="s">
        <v>53</v>
      </c>
    </row>
    <row r="2730" spans="1:22">
      <c r="A2730" s="2" t="s">
        <v>8444</v>
      </c>
      <c r="B2730" s="2" t="s">
        <v>8445</v>
      </c>
      <c r="C2730" s="2" t="s">
        <v>8361</v>
      </c>
      <c r="D2730" s="2" t="s">
        <v>95</v>
      </c>
      <c r="E2730" s="2" t="s">
        <v>153</v>
      </c>
      <c r="F2730" s="2" t="s">
        <v>90</v>
      </c>
      <c r="G2730" s="2" t="s">
        <v>75</v>
      </c>
      <c r="H2730" s="2" t="s">
        <v>46</v>
      </c>
      <c r="I2730" s="2" t="s">
        <v>47</v>
      </c>
      <c r="J2730" s="2" t="s">
        <v>500</v>
      </c>
      <c r="K2730" s="2" t="s">
        <v>8446</v>
      </c>
      <c r="L2730" s="2" t="s">
        <v>208</v>
      </c>
      <c r="M2730" s="2" t="s">
        <v>2320</v>
      </c>
      <c r="N2730" s="16">
        <v>1.9800000000000002E-2</v>
      </c>
      <c r="O2730" s="17">
        <f>N2730*'Financial Inputs'!$B$3</f>
        <v>1980000.0000000002</v>
      </c>
      <c r="P2730" s="18">
        <f>IF(I2730="L",'Financial Inputs'!$B$4,IF(I2730="M",'Financial Inputs'!$B$5,'Financial Inputs'!$B$6))</f>
        <v>0.4</v>
      </c>
      <c r="Q2730" s="17">
        <f>O2730*P2730</f>
        <v>792000.00000000012</v>
      </c>
      <c r="R2730" s="16">
        <f>'Financial Inputs'!$B$7</f>
        <v>0.35</v>
      </c>
      <c r="S2730" s="17">
        <f>Q2730*(1-R2730)</f>
        <v>514800.00000000012</v>
      </c>
      <c r="T2730" s="18">
        <f>S2730/'Financial Inputs'!$B$3</f>
        <v>5.1480000000000015E-3</v>
      </c>
      <c r="U2730" s="9" t="s">
        <v>52</v>
      </c>
      <c r="V2730" s="3" t="s">
        <v>53</v>
      </c>
    </row>
    <row r="2731" spans="1:22">
      <c r="A2731" s="2" t="s">
        <v>8447</v>
      </c>
      <c r="B2731" s="2" t="s">
        <v>8448</v>
      </c>
      <c r="C2731" s="2" t="s">
        <v>8361</v>
      </c>
      <c r="D2731" s="2" t="s">
        <v>102</v>
      </c>
      <c r="E2731" s="2" t="s">
        <v>89</v>
      </c>
      <c r="F2731" s="2" t="s">
        <v>97</v>
      </c>
      <c r="G2731" s="2" t="s">
        <v>83</v>
      </c>
      <c r="H2731" s="2" t="s">
        <v>46</v>
      </c>
      <c r="I2731" s="2" t="s">
        <v>47</v>
      </c>
      <c r="J2731" s="2" t="s">
        <v>500</v>
      </c>
      <c r="K2731" s="2" t="s">
        <v>8449</v>
      </c>
      <c r="L2731" s="2" t="s">
        <v>212</v>
      </c>
      <c r="M2731" s="2" t="s">
        <v>2320</v>
      </c>
      <c r="N2731" s="16">
        <v>2.1600000000000001E-2</v>
      </c>
      <c r="O2731" s="17">
        <f>N2731*'Financial Inputs'!$B$3</f>
        <v>2160000</v>
      </c>
      <c r="P2731" s="18">
        <f>IF(I2731="L",'Financial Inputs'!$B$4,IF(I2731="M",'Financial Inputs'!$B$5,'Financial Inputs'!$B$6))</f>
        <v>0.4</v>
      </c>
      <c r="Q2731" s="17">
        <f>O2731*P2731</f>
        <v>864000</v>
      </c>
      <c r="R2731" s="16">
        <f>'Financial Inputs'!$B$7</f>
        <v>0.35</v>
      </c>
      <c r="S2731" s="17">
        <f>Q2731*(1-R2731)</f>
        <v>561600</v>
      </c>
      <c r="T2731" s="18">
        <f>S2731/'Financial Inputs'!$B$3</f>
        <v>5.6160000000000003E-3</v>
      </c>
      <c r="U2731" s="9" t="s">
        <v>52</v>
      </c>
      <c r="V2731" s="3" t="s">
        <v>53</v>
      </c>
    </row>
    <row r="2732" spans="1:22">
      <c r="A2732" s="2" t="s">
        <v>8450</v>
      </c>
      <c r="B2732" s="2" t="s">
        <v>8451</v>
      </c>
      <c r="C2732" s="2" t="s">
        <v>8361</v>
      </c>
      <c r="D2732" s="2" t="s">
        <v>64</v>
      </c>
      <c r="E2732" s="2" t="s">
        <v>215</v>
      </c>
      <c r="F2732" s="2" t="s">
        <v>74</v>
      </c>
      <c r="G2732" s="2" t="s">
        <v>67</v>
      </c>
      <c r="H2732" s="2" t="s">
        <v>46</v>
      </c>
      <c r="I2732" s="2" t="s">
        <v>47</v>
      </c>
      <c r="J2732" s="2" t="s">
        <v>500</v>
      </c>
      <c r="K2732" s="2" t="s">
        <v>8452</v>
      </c>
      <c r="L2732" s="2" t="s">
        <v>217</v>
      </c>
      <c r="M2732" s="2" t="s">
        <v>2320</v>
      </c>
      <c r="N2732" s="16">
        <v>1.44E-2</v>
      </c>
      <c r="O2732" s="17">
        <f>N2732*'Financial Inputs'!$B$3</f>
        <v>1440000</v>
      </c>
      <c r="P2732" s="18">
        <f>IF(I2732="L",'Financial Inputs'!$B$4,IF(I2732="M",'Financial Inputs'!$B$5,'Financial Inputs'!$B$6))</f>
        <v>0.4</v>
      </c>
      <c r="Q2732" s="17">
        <f>O2732*P2732</f>
        <v>576000</v>
      </c>
      <c r="R2732" s="16">
        <f>'Financial Inputs'!$B$7</f>
        <v>0.35</v>
      </c>
      <c r="S2732" s="17">
        <f>Q2732*(1-R2732)</f>
        <v>374400</v>
      </c>
      <c r="T2732" s="18">
        <f>S2732/'Financial Inputs'!$B$3</f>
        <v>3.7439999999999999E-3</v>
      </c>
      <c r="U2732" s="9" t="s">
        <v>52</v>
      </c>
      <c r="V2732" s="3" t="s">
        <v>53</v>
      </c>
    </row>
    <row r="2733" spans="1:22">
      <c r="A2733" s="2" t="s">
        <v>8453</v>
      </c>
      <c r="B2733" s="2" t="s">
        <v>8454</v>
      </c>
      <c r="C2733" s="2" t="s">
        <v>8361</v>
      </c>
      <c r="D2733" s="2" t="s">
        <v>72</v>
      </c>
      <c r="E2733" s="2" t="s">
        <v>220</v>
      </c>
      <c r="F2733" s="2" t="s">
        <v>82</v>
      </c>
      <c r="G2733" s="2" t="s">
        <v>75</v>
      </c>
      <c r="H2733" s="2" t="s">
        <v>46</v>
      </c>
      <c r="I2733" s="2" t="s">
        <v>47</v>
      </c>
      <c r="J2733" s="2" t="s">
        <v>500</v>
      </c>
      <c r="K2733" s="2" t="s">
        <v>8455</v>
      </c>
      <c r="L2733" s="2" t="s">
        <v>222</v>
      </c>
      <c r="M2733" s="2" t="s">
        <v>2320</v>
      </c>
      <c r="N2733" s="16">
        <v>1.6199999999999999E-2</v>
      </c>
      <c r="O2733" s="17">
        <f>N2733*'Financial Inputs'!$B$3</f>
        <v>1620000</v>
      </c>
      <c r="P2733" s="18">
        <f>IF(I2733="L",'Financial Inputs'!$B$4,IF(I2733="M",'Financial Inputs'!$B$5,'Financial Inputs'!$B$6))</f>
        <v>0.4</v>
      </c>
      <c r="Q2733" s="17">
        <f>O2733*P2733</f>
        <v>648000</v>
      </c>
      <c r="R2733" s="16">
        <f>'Financial Inputs'!$B$7</f>
        <v>0.35</v>
      </c>
      <c r="S2733" s="17">
        <f>Q2733*(1-R2733)</f>
        <v>421200</v>
      </c>
      <c r="T2733" s="18">
        <f>S2733/'Financial Inputs'!$B$3</f>
        <v>4.2119999999999996E-3</v>
      </c>
      <c r="U2733" s="9" t="s">
        <v>52</v>
      </c>
      <c r="V2733" s="3" t="s">
        <v>53</v>
      </c>
    </row>
    <row r="2734" spans="1:22">
      <c r="A2734" s="2" t="s">
        <v>8456</v>
      </c>
      <c r="B2734" s="2" t="s">
        <v>8457</v>
      </c>
      <c r="C2734" s="2" t="s">
        <v>8361</v>
      </c>
      <c r="D2734" s="2" t="s">
        <v>80</v>
      </c>
      <c r="E2734" s="2" t="s">
        <v>171</v>
      </c>
      <c r="F2734" s="2" t="s">
        <v>44</v>
      </c>
      <c r="G2734" s="2" t="s">
        <v>83</v>
      </c>
      <c r="H2734" s="2" t="s">
        <v>46</v>
      </c>
      <c r="I2734" s="2" t="s">
        <v>47</v>
      </c>
      <c r="J2734" s="2" t="s">
        <v>500</v>
      </c>
      <c r="K2734" s="2" t="s">
        <v>8458</v>
      </c>
      <c r="L2734" s="2" t="s">
        <v>226</v>
      </c>
      <c r="M2734" s="2" t="s">
        <v>2320</v>
      </c>
      <c r="N2734" s="16">
        <v>1.7999999999999999E-2</v>
      </c>
      <c r="O2734" s="17">
        <f>N2734*'Financial Inputs'!$B$3</f>
        <v>1799999.9999999998</v>
      </c>
      <c r="P2734" s="18">
        <f>IF(I2734="L",'Financial Inputs'!$B$4,IF(I2734="M",'Financial Inputs'!$B$5,'Financial Inputs'!$B$6))</f>
        <v>0.4</v>
      </c>
      <c r="Q2734" s="17">
        <f>O2734*P2734</f>
        <v>720000</v>
      </c>
      <c r="R2734" s="16">
        <f>'Financial Inputs'!$B$7</f>
        <v>0.35</v>
      </c>
      <c r="S2734" s="17">
        <f>Q2734*(1-R2734)</f>
        <v>468000</v>
      </c>
      <c r="T2734" s="18">
        <f>S2734/'Financial Inputs'!$B$3</f>
        <v>4.6800000000000001E-3</v>
      </c>
      <c r="U2734" s="9" t="s">
        <v>52</v>
      </c>
      <c r="V2734" s="3" t="s">
        <v>53</v>
      </c>
    </row>
    <row r="2735" spans="1:22">
      <c r="A2735" s="2" t="s">
        <v>8459</v>
      </c>
      <c r="B2735" s="2" t="s">
        <v>8460</v>
      </c>
      <c r="C2735" s="2" t="s">
        <v>8361</v>
      </c>
      <c r="D2735" s="2" t="s">
        <v>127</v>
      </c>
      <c r="E2735" s="2" t="s">
        <v>176</v>
      </c>
      <c r="F2735" s="2" t="s">
        <v>58</v>
      </c>
      <c r="G2735" s="2" t="s">
        <v>111</v>
      </c>
      <c r="H2735" s="2" t="s">
        <v>46</v>
      </c>
      <c r="I2735" s="2" t="s">
        <v>47</v>
      </c>
      <c r="J2735" s="2" t="s">
        <v>500</v>
      </c>
      <c r="K2735" s="2" t="s">
        <v>8461</v>
      </c>
      <c r="L2735" s="2" t="s">
        <v>230</v>
      </c>
      <c r="M2735" s="2" t="s">
        <v>2320</v>
      </c>
      <c r="N2735" s="16">
        <v>1.9800000000000002E-2</v>
      </c>
      <c r="O2735" s="17">
        <f>N2735*'Financial Inputs'!$B$3</f>
        <v>1980000.0000000002</v>
      </c>
      <c r="P2735" s="18">
        <f>IF(I2735="L",'Financial Inputs'!$B$4,IF(I2735="M",'Financial Inputs'!$B$5,'Financial Inputs'!$B$6))</f>
        <v>0.4</v>
      </c>
      <c r="Q2735" s="17">
        <f>O2735*P2735</f>
        <v>792000.00000000012</v>
      </c>
      <c r="R2735" s="16">
        <f>'Financial Inputs'!$B$7</f>
        <v>0.35</v>
      </c>
      <c r="S2735" s="17">
        <f>Q2735*(1-R2735)</f>
        <v>514800.00000000012</v>
      </c>
      <c r="T2735" s="18">
        <f>S2735/'Financial Inputs'!$B$3</f>
        <v>5.1480000000000015E-3</v>
      </c>
      <c r="U2735" s="9" t="s">
        <v>52</v>
      </c>
      <c r="V2735" s="3" t="s">
        <v>53</v>
      </c>
    </row>
    <row r="2736" spans="1:22">
      <c r="A2736" s="2" t="s">
        <v>8462</v>
      </c>
      <c r="B2736" s="2" t="s">
        <v>8463</v>
      </c>
      <c r="C2736" s="2" t="s">
        <v>8361</v>
      </c>
      <c r="D2736" s="2" t="s">
        <v>133</v>
      </c>
      <c r="E2736" s="2" t="s">
        <v>122</v>
      </c>
      <c r="F2736" s="2" t="s">
        <v>66</v>
      </c>
      <c r="G2736" s="2" t="s">
        <v>56</v>
      </c>
      <c r="H2736" s="2" t="s">
        <v>46</v>
      </c>
      <c r="I2736" s="2" t="s">
        <v>47</v>
      </c>
      <c r="J2736" s="2" t="s">
        <v>500</v>
      </c>
      <c r="K2736" s="2" t="s">
        <v>8464</v>
      </c>
      <c r="L2736" s="2" t="s">
        <v>234</v>
      </c>
      <c r="M2736" s="2" t="s">
        <v>2320</v>
      </c>
      <c r="N2736" s="16">
        <v>2.1600000000000001E-2</v>
      </c>
      <c r="O2736" s="17">
        <f>N2736*'Financial Inputs'!$B$3</f>
        <v>2160000</v>
      </c>
      <c r="P2736" s="18">
        <f>IF(I2736="L",'Financial Inputs'!$B$4,IF(I2736="M",'Financial Inputs'!$B$5,'Financial Inputs'!$B$6))</f>
        <v>0.4</v>
      </c>
      <c r="Q2736" s="17">
        <f>O2736*P2736</f>
        <v>864000</v>
      </c>
      <c r="R2736" s="16">
        <f>'Financial Inputs'!$B$7</f>
        <v>0.35</v>
      </c>
      <c r="S2736" s="17">
        <f>Q2736*(1-R2736)</f>
        <v>561600</v>
      </c>
      <c r="T2736" s="18">
        <f>S2736/'Financial Inputs'!$B$3</f>
        <v>5.6160000000000003E-3</v>
      </c>
      <c r="U2736" s="9" t="s">
        <v>52</v>
      </c>
      <c r="V2736" s="3" t="s">
        <v>53</v>
      </c>
    </row>
    <row r="2737" spans="1:22">
      <c r="A2737" s="2" t="s">
        <v>8465</v>
      </c>
      <c r="B2737" s="2" t="s">
        <v>8466</v>
      </c>
      <c r="C2737" s="2" t="s">
        <v>8361</v>
      </c>
      <c r="D2737" s="2" t="s">
        <v>102</v>
      </c>
      <c r="E2737" s="2" t="s">
        <v>73</v>
      </c>
      <c r="F2737" s="2" t="s">
        <v>110</v>
      </c>
      <c r="G2737" s="2" t="s">
        <v>83</v>
      </c>
      <c r="H2737" s="2" t="s">
        <v>46</v>
      </c>
      <c r="I2737" s="2" t="s">
        <v>47</v>
      </c>
      <c r="J2737" s="2" t="s">
        <v>500</v>
      </c>
      <c r="K2737" s="2" t="s">
        <v>8467</v>
      </c>
      <c r="L2737" s="2" t="s">
        <v>238</v>
      </c>
      <c r="M2737" s="2" t="s">
        <v>2320</v>
      </c>
      <c r="N2737" s="16">
        <v>1.44E-2</v>
      </c>
      <c r="O2737" s="17">
        <f>N2737*'Financial Inputs'!$B$3</f>
        <v>1440000</v>
      </c>
      <c r="P2737" s="18">
        <f>IF(I2737="L",'Financial Inputs'!$B$4,IF(I2737="M",'Financial Inputs'!$B$5,'Financial Inputs'!$B$6))</f>
        <v>0.4</v>
      </c>
      <c r="Q2737" s="17">
        <f>O2737*P2737</f>
        <v>576000</v>
      </c>
      <c r="R2737" s="16">
        <f>'Financial Inputs'!$B$7</f>
        <v>0.35</v>
      </c>
      <c r="S2737" s="17">
        <f>Q2737*(1-R2737)</f>
        <v>374400</v>
      </c>
      <c r="T2737" s="18">
        <f>S2737/'Financial Inputs'!$B$3</f>
        <v>3.7439999999999999E-3</v>
      </c>
      <c r="U2737" s="9" t="s">
        <v>52</v>
      </c>
      <c r="V2737" s="3" t="s">
        <v>53</v>
      </c>
    </row>
    <row r="2738" spans="1:22">
      <c r="A2738" s="2" t="s">
        <v>8468</v>
      </c>
      <c r="B2738" s="2" t="s">
        <v>8469</v>
      </c>
      <c r="C2738" s="2" t="s">
        <v>8361</v>
      </c>
      <c r="D2738" s="2" t="s">
        <v>42</v>
      </c>
      <c r="E2738" s="2" t="s">
        <v>81</v>
      </c>
      <c r="F2738" s="2" t="s">
        <v>117</v>
      </c>
      <c r="G2738" s="2" t="s">
        <v>111</v>
      </c>
      <c r="H2738" s="2" t="s">
        <v>46</v>
      </c>
      <c r="I2738" s="2" t="s">
        <v>47</v>
      </c>
      <c r="J2738" s="2" t="s">
        <v>500</v>
      </c>
      <c r="K2738" s="2" t="s">
        <v>8470</v>
      </c>
      <c r="L2738" s="2" t="s">
        <v>242</v>
      </c>
      <c r="M2738" s="2" t="s">
        <v>2320</v>
      </c>
      <c r="N2738" s="16">
        <v>1.6199999999999999E-2</v>
      </c>
      <c r="O2738" s="17">
        <f>N2738*'Financial Inputs'!$B$3</f>
        <v>1620000</v>
      </c>
      <c r="P2738" s="18">
        <f>IF(I2738="L",'Financial Inputs'!$B$4,IF(I2738="M",'Financial Inputs'!$B$5,'Financial Inputs'!$B$6))</f>
        <v>0.4</v>
      </c>
      <c r="Q2738" s="17">
        <f>O2738*P2738</f>
        <v>648000</v>
      </c>
      <c r="R2738" s="16">
        <f>'Financial Inputs'!$B$7</f>
        <v>0.35</v>
      </c>
      <c r="S2738" s="17">
        <f>Q2738*(1-R2738)</f>
        <v>421200</v>
      </c>
      <c r="T2738" s="18">
        <f>S2738/'Financial Inputs'!$B$3</f>
        <v>4.2119999999999996E-3</v>
      </c>
      <c r="U2738" s="9" t="s">
        <v>52</v>
      </c>
      <c r="V2738" s="3" t="s">
        <v>53</v>
      </c>
    </row>
    <row r="2739" spans="1:22">
      <c r="A2739" s="2" t="s">
        <v>8471</v>
      </c>
      <c r="B2739" s="2" t="s">
        <v>8472</v>
      </c>
      <c r="C2739" s="2" t="s">
        <v>8361</v>
      </c>
      <c r="D2739" s="2" t="s">
        <v>56</v>
      </c>
      <c r="E2739" s="2" t="s">
        <v>193</v>
      </c>
      <c r="F2739" s="2" t="s">
        <v>90</v>
      </c>
      <c r="G2739" s="2" t="s">
        <v>56</v>
      </c>
      <c r="H2739" s="2" t="s">
        <v>46</v>
      </c>
      <c r="I2739" s="2" t="s">
        <v>47</v>
      </c>
      <c r="J2739" s="2" t="s">
        <v>500</v>
      </c>
      <c r="K2739" s="2" t="s">
        <v>8473</v>
      </c>
      <c r="L2739" s="2" t="s">
        <v>246</v>
      </c>
      <c r="M2739" s="2" t="s">
        <v>2320</v>
      </c>
      <c r="N2739" s="16">
        <v>1.7999999999999999E-2</v>
      </c>
      <c r="O2739" s="17">
        <f>N2739*'Financial Inputs'!$B$3</f>
        <v>1799999.9999999998</v>
      </c>
      <c r="P2739" s="18">
        <f>IF(I2739="L",'Financial Inputs'!$B$4,IF(I2739="M",'Financial Inputs'!$B$5,'Financial Inputs'!$B$6))</f>
        <v>0.4</v>
      </c>
      <c r="Q2739" s="17">
        <f>O2739*P2739</f>
        <v>720000</v>
      </c>
      <c r="R2739" s="16">
        <f>'Financial Inputs'!$B$7</f>
        <v>0.35</v>
      </c>
      <c r="S2739" s="17">
        <f>Q2739*(1-R2739)</f>
        <v>468000</v>
      </c>
      <c r="T2739" s="18">
        <f>S2739/'Financial Inputs'!$B$3</f>
        <v>4.6800000000000001E-3</v>
      </c>
      <c r="U2739" s="9" t="s">
        <v>52</v>
      </c>
      <c r="V2739" s="3" t="s">
        <v>53</v>
      </c>
    </row>
    <row r="2740" spans="1:22">
      <c r="A2740" s="2" t="s">
        <v>8474</v>
      </c>
      <c r="B2740" s="2" t="s">
        <v>8475</v>
      </c>
      <c r="C2740" s="2" t="s">
        <v>8361</v>
      </c>
      <c r="D2740" s="2" t="s">
        <v>64</v>
      </c>
      <c r="E2740" s="2" t="s">
        <v>198</v>
      </c>
      <c r="F2740" s="2" t="s">
        <v>97</v>
      </c>
      <c r="G2740" s="2" t="s">
        <v>138</v>
      </c>
      <c r="H2740" s="2" t="s">
        <v>46</v>
      </c>
      <c r="I2740" s="2" t="s">
        <v>47</v>
      </c>
      <c r="J2740" s="2" t="s">
        <v>500</v>
      </c>
      <c r="K2740" s="2" t="s">
        <v>8476</v>
      </c>
      <c r="L2740" s="2" t="s">
        <v>250</v>
      </c>
      <c r="M2740" s="2" t="s">
        <v>2320</v>
      </c>
      <c r="N2740" s="16">
        <v>1.9800000000000002E-2</v>
      </c>
      <c r="O2740" s="17">
        <f>N2740*'Financial Inputs'!$B$3</f>
        <v>1980000.0000000002</v>
      </c>
      <c r="P2740" s="18">
        <f>IF(I2740="L",'Financial Inputs'!$B$4,IF(I2740="M",'Financial Inputs'!$B$5,'Financial Inputs'!$B$6))</f>
        <v>0.4</v>
      </c>
      <c r="Q2740" s="17">
        <f>O2740*P2740</f>
        <v>792000.00000000012</v>
      </c>
      <c r="R2740" s="16">
        <f>'Financial Inputs'!$B$7</f>
        <v>0.35</v>
      </c>
      <c r="S2740" s="17">
        <f>Q2740*(1-R2740)</f>
        <v>514800.00000000012</v>
      </c>
      <c r="T2740" s="18">
        <f>S2740/'Financial Inputs'!$B$3</f>
        <v>5.1480000000000015E-3</v>
      </c>
      <c r="U2740" s="9" t="s">
        <v>52</v>
      </c>
      <c r="V2740" s="3" t="s">
        <v>53</v>
      </c>
    </row>
    <row r="2741" spans="1:22">
      <c r="A2741" s="2" t="s">
        <v>8477</v>
      </c>
      <c r="B2741" s="2" t="s">
        <v>8478</v>
      </c>
      <c r="C2741" s="2" t="s">
        <v>8361</v>
      </c>
      <c r="D2741" s="2" t="s">
        <v>72</v>
      </c>
      <c r="E2741" s="2" t="s">
        <v>148</v>
      </c>
      <c r="F2741" s="2" t="s">
        <v>104</v>
      </c>
      <c r="G2741" s="2" t="s">
        <v>143</v>
      </c>
      <c r="H2741" s="2" t="s">
        <v>46</v>
      </c>
      <c r="I2741" s="2" t="s">
        <v>47</v>
      </c>
      <c r="J2741" s="2" t="s">
        <v>500</v>
      </c>
      <c r="K2741" s="2" t="s">
        <v>8479</v>
      </c>
      <c r="L2741" s="2" t="s">
        <v>254</v>
      </c>
      <c r="M2741" s="2" t="s">
        <v>2320</v>
      </c>
      <c r="N2741" s="16">
        <v>2.1600000000000001E-2</v>
      </c>
      <c r="O2741" s="17">
        <f>N2741*'Financial Inputs'!$B$3</f>
        <v>2160000</v>
      </c>
      <c r="P2741" s="18">
        <f>IF(I2741="L",'Financial Inputs'!$B$4,IF(I2741="M",'Financial Inputs'!$B$5,'Financial Inputs'!$B$6))</f>
        <v>0.4</v>
      </c>
      <c r="Q2741" s="17">
        <f>O2741*P2741</f>
        <v>864000</v>
      </c>
      <c r="R2741" s="16">
        <f>'Financial Inputs'!$B$7</f>
        <v>0.35</v>
      </c>
      <c r="S2741" s="17">
        <f>Q2741*(1-R2741)</f>
        <v>561600</v>
      </c>
      <c r="T2741" s="18">
        <f>S2741/'Financial Inputs'!$B$3</f>
        <v>5.6160000000000003E-3</v>
      </c>
      <c r="U2741" s="9" t="s">
        <v>52</v>
      </c>
      <c r="V2741" s="3" t="s">
        <v>53</v>
      </c>
    </row>
    <row r="2742" spans="1:22">
      <c r="A2742" s="2" t="s">
        <v>8480</v>
      </c>
      <c r="B2742" s="2" t="s">
        <v>8481</v>
      </c>
      <c r="C2742" s="2" t="s">
        <v>8361</v>
      </c>
      <c r="D2742" s="2" t="s">
        <v>133</v>
      </c>
      <c r="E2742" s="2" t="s">
        <v>109</v>
      </c>
      <c r="F2742" s="2" t="s">
        <v>82</v>
      </c>
      <c r="G2742" s="2" t="s">
        <v>56</v>
      </c>
      <c r="H2742" s="2" t="s">
        <v>46</v>
      </c>
      <c r="I2742" s="2" t="s">
        <v>47</v>
      </c>
      <c r="J2742" s="2" t="s">
        <v>500</v>
      </c>
      <c r="K2742" s="2" t="s">
        <v>8482</v>
      </c>
      <c r="L2742" s="2" t="s">
        <v>258</v>
      </c>
      <c r="M2742" s="2" t="s">
        <v>2320</v>
      </c>
      <c r="N2742" s="16">
        <v>1.44E-2</v>
      </c>
      <c r="O2742" s="17">
        <f>N2742*'Financial Inputs'!$B$3</f>
        <v>1440000</v>
      </c>
      <c r="P2742" s="18">
        <f>IF(I2742="L",'Financial Inputs'!$B$4,IF(I2742="M",'Financial Inputs'!$B$5,'Financial Inputs'!$B$6))</f>
        <v>0.4</v>
      </c>
      <c r="Q2742" s="17">
        <f>O2742*P2742</f>
        <v>576000</v>
      </c>
      <c r="R2742" s="16">
        <f>'Financial Inputs'!$B$7</f>
        <v>0.35</v>
      </c>
      <c r="S2742" s="17">
        <f>Q2742*(1-R2742)</f>
        <v>374400</v>
      </c>
      <c r="T2742" s="18">
        <f>S2742/'Financial Inputs'!$B$3</f>
        <v>3.7439999999999999E-3</v>
      </c>
      <c r="U2742" s="9" t="s">
        <v>52</v>
      </c>
      <c r="V2742" s="3" t="s">
        <v>53</v>
      </c>
    </row>
    <row r="2743" spans="1:22">
      <c r="A2743" s="2" t="s">
        <v>8483</v>
      </c>
      <c r="B2743" s="2" t="s">
        <v>8484</v>
      </c>
      <c r="C2743" s="2" t="s">
        <v>8361</v>
      </c>
      <c r="D2743" s="2" t="s">
        <v>88</v>
      </c>
      <c r="E2743" s="2" t="s">
        <v>116</v>
      </c>
      <c r="F2743" s="2" t="s">
        <v>44</v>
      </c>
      <c r="G2743" s="2" t="s">
        <v>138</v>
      </c>
      <c r="H2743" s="2" t="s">
        <v>46</v>
      </c>
      <c r="I2743" s="2" t="s">
        <v>47</v>
      </c>
      <c r="J2743" s="2" t="s">
        <v>500</v>
      </c>
      <c r="K2743" s="2" t="s">
        <v>8485</v>
      </c>
      <c r="L2743" s="2" t="s">
        <v>262</v>
      </c>
      <c r="M2743" s="2" t="s">
        <v>2320</v>
      </c>
      <c r="N2743" s="16">
        <v>1.6199999999999999E-2</v>
      </c>
      <c r="O2743" s="17">
        <f>N2743*'Financial Inputs'!$B$3</f>
        <v>1620000</v>
      </c>
      <c r="P2743" s="18">
        <f>IF(I2743="L",'Financial Inputs'!$B$4,IF(I2743="M",'Financial Inputs'!$B$5,'Financial Inputs'!$B$6))</f>
        <v>0.4</v>
      </c>
      <c r="Q2743" s="17">
        <f>O2743*P2743</f>
        <v>648000</v>
      </c>
      <c r="R2743" s="16">
        <f>'Financial Inputs'!$B$7</f>
        <v>0.35</v>
      </c>
      <c r="S2743" s="17">
        <f>Q2743*(1-R2743)</f>
        <v>421200</v>
      </c>
      <c r="T2743" s="18">
        <f>S2743/'Financial Inputs'!$B$3</f>
        <v>4.2119999999999996E-3</v>
      </c>
      <c r="U2743" s="9" t="s">
        <v>52</v>
      </c>
      <c r="V2743" s="3" t="s">
        <v>53</v>
      </c>
    </row>
    <row r="2744" spans="1:22">
      <c r="A2744" s="2" t="s">
        <v>8486</v>
      </c>
      <c r="B2744" s="2" t="s">
        <v>8487</v>
      </c>
      <c r="C2744" s="2" t="s">
        <v>8361</v>
      </c>
      <c r="D2744" s="2" t="s">
        <v>95</v>
      </c>
      <c r="E2744" s="2" t="s">
        <v>215</v>
      </c>
      <c r="F2744" s="2" t="s">
        <v>58</v>
      </c>
      <c r="G2744" s="2" t="s">
        <v>143</v>
      </c>
      <c r="H2744" s="2" t="s">
        <v>46</v>
      </c>
      <c r="I2744" s="2" t="s">
        <v>47</v>
      </c>
      <c r="J2744" s="2" t="s">
        <v>500</v>
      </c>
      <c r="K2744" s="2" t="s">
        <v>8488</v>
      </c>
      <c r="L2744" s="2" t="s">
        <v>266</v>
      </c>
      <c r="M2744" s="2" t="s">
        <v>2320</v>
      </c>
      <c r="N2744" s="16">
        <v>1.7999999999999999E-2</v>
      </c>
      <c r="O2744" s="17">
        <f>N2744*'Financial Inputs'!$B$3</f>
        <v>1799999.9999999998</v>
      </c>
      <c r="P2744" s="18">
        <f>IF(I2744="L",'Financial Inputs'!$B$4,IF(I2744="M",'Financial Inputs'!$B$5,'Financial Inputs'!$B$6))</f>
        <v>0.4</v>
      </c>
      <c r="Q2744" s="17">
        <f>O2744*P2744</f>
        <v>720000</v>
      </c>
      <c r="R2744" s="16">
        <f>'Financial Inputs'!$B$7</f>
        <v>0.35</v>
      </c>
      <c r="S2744" s="17">
        <f>Q2744*(1-R2744)</f>
        <v>468000</v>
      </c>
      <c r="T2744" s="18">
        <f>S2744/'Financial Inputs'!$B$3</f>
        <v>4.6800000000000001E-3</v>
      </c>
      <c r="U2744" s="9" t="s">
        <v>52</v>
      </c>
      <c r="V2744" s="3" t="s">
        <v>53</v>
      </c>
    </row>
    <row r="2745" spans="1:22">
      <c r="A2745" s="2" t="s">
        <v>8489</v>
      </c>
      <c r="B2745" s="2" t="s">
        <v>8490</v>
      </c>
      <c r="C2745" s="2" t="s">
        <v>8361</v>
      </c>
      <c r="D2745" s="2" t="s">
        <v>102</v>
      </c>
      <c r="E2745" s="2" t="s">
        <v>220</v>
      </c>
      <c r="F2745" s="2" t="s">
        <v>66</v>
      </c>
      <c r="G2745" s="2" t="s">
        <v>162</v>
      </c>
      <c r="H2745" s="2" t="s">
        <v>46</v>
      </c>
      <c r="I2745" s="2" t="s">
        <v>47</v>
      </c>
      <c r="J2745" s="2" t="s">
        <v>500</v>
      </c>
      <c r="K2745" s="2" t="s">
        <v>8491</v>
      </c>
      <c r="L2745" s="2" t="s">
        <v>270</v>
      </c>
      <c r="M2745" s="2" t="s">
        <v>2320</v>
      </c>
      <c r="N2745" s="16">
        <v>1.9800000000000002E-2</v>
      </c>
      <c r="O2745" s="17">
        <f>N2745*'Financial Inputs'!$B$3</f>
        <v>1980000.0000000002</v>
      </c>
      <c r="P2745" s="18">
        <f>IF(I2745="L",'Financial Inputs'!$B$4,IF(I2745="M",'Financial Inputs'!$B$5,'Financial Inputs'!$B$6))</f>
        <v>0.4</v>
      </c>
      <c r="Q2745" s="17">
        <f>O2745*P2745</f>
        <v>792000.00000000012</v>
      </c>
      <c r="R2745" s="16">
        <f>'Financial Inputs'!$B$7</f>
        <v>0.35</v>
      </c>
      <c r="S2745" s="17">
        <f>Q2745*(1-R2745)</f>
        <v>514800.00000000012</v>
      </c>
      <c r="T2745" s="18">
        <f>S2745/'Financial Inputs'!$B$3</f>
        <v>5.1480000000000015E-3</v>
      </c>
      <c r="U2745" s="9" t="s">
        <v>52</v>
      </c>
      <c r="V2745" s="3" t="s">
        <v>53</v>
      </c>
    </row>
    <row r="2746" spans="1:22">
      <c r="A2746" s="2" t="s">
        <v>8492</v>
      </c>
      <c r="B2746" s="2" t="s">
        <v>8493</v>
      </c>
      <c r="C2746" s="2" t="s">
        <v>8361</v>
      </c>
      <c r="D2746" s="2" t="s">
        <v>42</v>
      </c>
      <c r="E2746" s="2" t="s">
        <v>171</v>
      </c>
      <c r="F2746" s="2" t="s">
        <v>74</v>
      </c>
      <c r="G2746" s="2" t="s">
        <v>45</v>
      </c>
      <c r="H2746" s="2" t="s">
        <v>46</v>
      </c>
      <c r="I2746" s="2" t="s">
        <v>47</v>
      </c>
      <c r="J2746" s="2" t="s">
        <v>500</v>
      </c>
      <c r="K2746" s="2" t="s">
        <v>8494</v>
      </c>
      <c r="L2746" s="2" t="s">
        <v>274</v>
      </c>
      <c r="M2746" s="2" t="s">
        <v>2320</v>
      </c>
      <c r="N2746" s="16">
        <v>2.1600000000000001E-2</v>
      </c>
      <c r="O2746" s="17">
        <f>N2746*'Financial Inputs'!$B$3</f>
        <v>2160000</v>
      </c>
      <c r="P2746" s="18">
        <f>IF(I2746="L",'Financial Inputs'!$B$4,IF(I2746="M",'Financial Inputs'!$B$5,'Financial Inputs'!$B$6))</f>
        <v>0.4</v>
      </c>
      <c r="Q2746" s="17">
        <f>O2746*P2746</f>
        <v>864000</v>
      </c>
      <c r="R2746" s="16">
        <f>'Financial Inputs'!$B$7</f>
        <v>0.35</v>
      </c>
      <c r="S2746" s="17">
        <f>Q2746*(1-R2746)</f>
        <v>561600</v>
      </c>
      <c r="T2746" s="18">
        <f>S2746/'Financial Inputs'!$B$3</f>
        <v>5.6160000000000003E-3</v>
      </c>
      <c r="U2746" s="9" t="s">
        <v>52</v>
      </c>
      <c r="V2746" s="3" t="s">
        <v>53</v>
      </c>
    </row>
    <row r="2747" spans="1:22">
      <c r="A2747" s="2" t="s">
        <v>8495</v>
      </c>
      <c r="B2747" s="2" t="s">
        <v>8496</v>
      </c>
      <c r="C2747" s="2" t="s">
        <v>8361</v>
      </c>
      <c r="D2747" s="2" t="s">
        <v>72</v>
      </c>
      <c r="E2747" s="2" t="s">
        <v>57</v>
      </c>
      <c r="F2747" s="2" t="s">
        <v>117</v>
      </c>
      <c r="G2747" s="2" t="s">
        <v>143</v>
      </c>
      <c r="H2747" s="2" t="s">
        <v>46</v>
      </c>
      <c r="I2747" s="2" t="s">
        <v>47</v>
      </c>
      <c r="J2747" s="2" t="s">
        <v>500</v>
      </c>
      <c r="K2747" s="2" t="s">
        <v>8497</v>
      </c>
      <c r="L2747" s="2" t="s">
        <v>278</v>
      </c>
      <c r="M2747" s="2" t="s">
        <v>2320</v>
      </c>
      <c r="N2747" s="16">
        <v>1.44E-2</v>
      </c>
      <c r="O2747" s="17">
        <f>N2747*'Financial Inputs'!$B$3</f>
        <v>1440000</v>
      </c>
      <c r="P2747" s="18">
        <f>IF(I2747="L",'Financial Inputs'!$B$4,IF(I2747="M",'Financial Inputs'!$B$5,'Financial Inputs'!$B$6))</f>
        <v>0.4</v>
      </c>
      <c r="Q2747" s="17">
        <f>O2747*P2747</f>
        <v>576000</v>
      </c>
      <c r="R2747" s="16">
        <f>'Financial Inputs'!$B$7</f>
        <v>0.35</v>
      </c>
      <c r="S2747" s="17">
        <f>Q2747*(1-R2747)</f>
        <v>374400</v>
      </c>
      <c r="T2747" s="18">
        <f>S2747/'Financial Inputs'!$B$3</f>
        <v>3.7439999999999999E-3</v>
      </c>
      <c r="U2747" s="9" t="s">
        <v>52</v>
      </c>
      <c r="V2747" s="3" t="s">
        <v>53</v>
      </c>
    </row>
    <row r="2748" spans="1:22">
      <c r="A2748" s="2" t="s">
        <v>8498</v>
      </c>
      <c r="B2748" s="2" t="s">
        <v>8499</v>
      </c>
      <c r="C2748" s="2" t="s">
        <v>8361</v>
      </c>
      <c r="D2748" s="2" t="s">
        <v>80</v>
      </c>
      <c r="E2748" s="2" t="s">
        <v>65</v>
      </c>
      <c r="F2748" s="2" t="s">
        <v>90</v>
      </c>
      <c r="G2748" s="2" t="s">
        <v>162</v>
      </c>
      <c r="H2748" s="2" t="s">
        <v>46</v>
      </c>
      <c r="I2748" s="2" t="s">
        <v>47</v>
      </c>
      <c r="J2748" s="2" t="s">
        <v>500</v>
      </c>
      <c r="K2748" s="2" t="s">
        <v>8500</v>
      </c>
      <c r="L2748" s="2" t="s">
        <v>282</v>
      </c>
      <c r="M2748" s="2" t="s">
        <v>2320</v>
      </c>
      <c r="N2748" s="16">
        <v>1.6199999999999999E-2</v>
      </c>
      <c r="O2748" s="17">
        <f>N2748*'Financial Inputs'!$B$3</f>
        <v>1620000</v>
      </c>
      <c r="P2748" s="18">
        <f>IF(I2748="L",'Financial Inputs'!$B$4,IF(I2748="M",'Financial Inputs'!$B$5,'Financial Inputs'!$B$6))</f>
        <v>0.4</v>
      </c>
      <c r="Q2748" s="17">
        <f>O2748*P2748</f>
        <v>648000</v>
      </c>
      <c r="R2748" s="16">
        <f>'Financial Inputs'!$B$7</f>
        <v>0.35</v>
      </c>
      <c r="S2748" s="17">
        <f>Q2748*(1-R2748)</f>
        <v>421200</v>
      </c>
      <c r="T2748" s="18">
        <f>S2748/'Financial Inputs'!$B$3</f>
        <v>4.2119999999999996E-3</v>
      </c>
      <c r="U2748" s="9" t="s">
        <v>52</v>
      </c>
      <c r="V2748" s="3" t="s">
        <v>53</v>
      </c>
    </row>
    <row r="2749" spans="1:22">
      <c r="A2749" s="2" t="s">
        <v>8501</v>
      </c>
      <c r="B2749" s="2" t="s">
        <v>8502</v>
      </c>
      <c r="C2749" s="2" t="s">
        <v>8361</v>
      </c>
      <c r="D2749" s="2" t="s">
        <v>127</v>
      </c>
      <c r="E2749" s="2" t="s">
        <v>73</v>
      </c>
      <c r="F2749" s="2" t="s">
        <v>97</v>
      </c>
      <c r="G2749" s="2" t="s">
        <v>45</v>
      </c>
      <c r="H2749" s="2" t="s">
        <v>46</v>
      </c>
      <c r="I2749" s="2" t="s">
        <v>47</v>
      </c>
      <c r="J2749" s="2" t="s">
        <v>500</v>
      </c>
      <c r="K2749" s="2" t="s">
        <v>8503</v>
      </c>
      <c r="L2749" s="2" t="s">
        <v>286</v>
      </c>
      <c r="M2749" s="2" t="s">
        <v>2320</v>
      </c>
      <c r="N2749" s="16">
        <v>1.7999999999999999E-2</v>
      </c>
      <c r="O2749" s="17">
        <f>N2749*'Financial Inputs'!$B$3</f>
        <v>1799999.9999999998</v>
      </c>
      <c r="P2749" s="18">
        <f>IF(I2749="L",'Financial Inputs'!$B$4,IF(I2749="M",'Financial Inputs'!$B$5,'Financial Inputs'!$B$6))</f>
        <v>0.4</v>
      </c>
      <c r="Q2749" s="17">
        <f>O2749*P2749</f>
        <v>720000</v>
      </c>
      <c r="R2749" s="16">
        <f>'Financial Inputs'!$B$7</f>
        <v>0.35</v>
      </c>
      <c r="S2749" s="17">
        <f>Q2749*(1-R2749)</f>
        <v>468000</v>
      </c>
      <c r="T2749" s="18">
        <f>S2749/'Financial Inputs'!$B$3</f>
        <v>4.6800000000000001E-3</v>
      </c>
      <c r="U2749" s="9" t="s">
        <v>52</v>
      </c>
      <c r="V2749" s="3" t="s">
        <v>53</v>
      </c>
    </row>
    <row r="2750" spans="1:22">
      <c r="A2750" s="2" t="s">
        <v>8504</v>
      </c>
      <c r="B2750" s="2" t="s">
        <v>8505</v>
      </c>
      <c r="C2750" s="2" t="s">
        <v>8361</v>
      </c>
      <c r="D2750" s="2" t="s">
        <v>133</v>
      </c>
      <c r="E2750" s="2" t="s">
        <v>81</v>
      </c>
      <c r="F2750" s="2" t="s">
        <v>104</v>
      </c>
      <c r="G2750" s="2" t="s">
        <v>59</v>
      </c>
      <c r="H2750" s="2" t="s">
        <v>46</v>
      </c>
      <c r="I2750" s="2" t="s">
        <v>47</v>
      </c>
      <c r="J2750" s="2" t="s">
        <v>500</v>
      </c>
      <c r="K2750" s="2" t="s">
        <v>8506</v>
      </c>
      <c r="L2750" s="2" t="s">
        <v>290</v>
      </c>
      <c r="M2750" s="2" t="s">
        <v>2320</v>
      </c>
      <c r="N2750" s="16">
        <v>1.9800000000000002E-2</v>
      </c>
      <c r="O2750" s="17">
        <f>N2750*'Financial Inputs'!$B$3</f>
        <v>1980000.0000000002</v>
      </c>
      <c r="P2750" s="18">
        <f>IF(I2750="L",'Financial Inputs'!$B$4,IF(I2750="M",'Financial Inputs'!$B$5,'Financial Inputs'!$B$6))</f>
        <v>0.4</v>
      </c>
      <c r="Q2750" s="17">
        <f>O2750*P2750</f>
        <v>792000.00000000012</v>
      </c>
      <c r="R2750" s="16">
        <f>'Financial Inputs'!$B$7</f>
        <v>0.35</v>
      </c>
      <c r="S2750" s="17">
        <f>Q2750*(1-R2750)</f>
        <v>514800.00000000012</v>
      </c>
      <c r="T2750" s="18">
        <f>S2750/'Financial Inputs'!$B$3</f>
        <v>5.1480000000000015E-3</v>
      </c>
      <c r="U2750" s="9" t="s">
        <v>52</v>
      </c>
      <c r="V2750" s="3" t="s">
        <v>53</v>
      </c>
    </row>
    <row r="2751" spans="1:22">
      <c r="A2751" s="2" t="s">
        <v>8507</v>
      </c>
      <c r="B2751" s="2" t="s">
        <v>8508</v>
      </c>
      <c r="C2751" s="2" t="s">
        <v>8361</v>
      </c>
      <c r="D2751" s="2" t="s">
        <v>88</v>
      </c>
      <c r="E2751" s="2" t="s">
        <v>193</v>
      </c>
      <c r="F2751" s="2" t="s">
        <v>110</v>
      </c>
      <c r="G2751" s="2" t="s">
        <v>67</v>
      </c>
      <c r="H2751" s="2" t="s">
        <v>46</v>
      </c>
      <c r="I2751" s="2" t="s">
        <v>47</v>
      </c>
      <c r="J2751" s="2" t="s">
        <v>500</v>
      </c>
      <c r="K2751" s="2" t="s">
        <v>8509</v>
      </c>
      <c r="L2751" s="2" t="s">
        <v>294</v>
      </c>
      <c r="M2751" s="2" t="s">
        <v>2320</v>
      </c>
      <c r="N2751" s="16">
        <v>2.1600000000000001E-2</v>
      </c>
      <c r="O2751" s="17">
        <f>N2751*'Financial Inputs'!$B$3</f>
        <v>2160000</v>
      </c>
      <c r="P2751" s="18">
        <f>IF(I2751="L",'Financial Inputs'!$B$4,IF(I2751="M",'Financial Inputs'!$B$5,'Financial Inputs'!$B$6))</f>
        <v>0.4</v>
      </c>
      <c r="Q2751" s="17">
        <f>O2751*P2751</f>
        <v>864000</v>
      </c>
      <c r="R2751" s="16">
        <f>'Financial Inputs'!$B$7</f>
        <v>0.35</v>
      </c>
      <c r="S2751" s="17">
        <f>Q2751*(1-R2751)</f>
        <v>561600</v>
      </c>
      <c r="T2751" s="18">
        <f>S2751/'Financial Inputs'!$B$3</f>
        <v>5.6160000000000003E-3</v>
      </c>
      <c r="U2751" s="9" t="s">
        <v>52</v>
      </c>
      <c r="V2751" s="3" t="s">
        <v>53</v>
      </c>
    </row>
    <row r="2752" spans="1:22">
      <c r="A2752" s="2" t="s">
        <v>8510</v>
      </c>
      <c r="B2752" s="2" t="s">
        <v>8511</v>
      </c>
      <c r="C2752" s="2" t="s">
        <v>8361</v>
      </c>
      <c r="D2752" s="2" t="s">
        <v>42</v>
      </c>
      <c r="E2752" s="2" t="s">
        <v>96</v>
      </c>
      <c r="F2752" s="2" t="s">
        <v>44</v>
      </c>
      <c r="G2752" s="2" t="s">
        <v>45</v>
      </c>
      <c r="H2752" s="2" t="s">
        <v>46</v>
      </c>
      <c r="I2752" s="2" t="s">
        <v>47</v>
      </c>
      <c r="J2752" s="2" t="s">
        <v>500</v>
      </c>
      <c r="K2752" s="2" t="s">
        <v>8512</v>
      </c>
      <c r="L2752" s="2" t="s">
        <v>298</v>
      </c>
      <c r="M2752" s="2" t="s">
        <v>2320</v>
      </c>
      <c r="N2752" s="16">
        <v>1.44E-2</v>
      </c>
      <c r="O2752" s="17">
        <f>N2752*'Financial Inputs'!$B$3</f>
        <v>1440000</v>
      </c>
      <c r="P2752" s="18">
        <f>IF(I2752="L",'Financial Inputs'!$B$4,IF(I2752="M",'Financial Inputs'!$B$5,'Financial Inputs'!$B$6))</f>
        <v>0.4</v>
      </c>
      <c r="Q2752" s="17">
        <f>O2752*P2752</f>
        <v>576000</v>
      </c>
      <c r="R2752" s="16">
        <f>'Financial Inputs'!$B$7</f>
        <v>0.35</v>
      </c>
      <c r="S2752" s="17">
        <f>Q2752*(1-R2752)</f>
        <v>374400</v>
      </c>
      <c r="T2752" s="18">
        <f>S2752/'Financial Inputs'!$B$3</f>
        <v>3.7439999999999999E-3</v>
      </c>
      <c r="U2752" s="9" t="s">
        <v>52</v>
      </c>
      <c r="V2752" s="3" t="s">
        <v>53</v>
      </c>
    </row>
    <row r="2753" spans="1:22">
      <c r="A2753" s="2" t="s">
        <v>8513</v>
      </c>
      <c r="B2753" s="2" t="s">
        <v>8514</v>
      </c>
      <c r="C2753" s="2" t="s">
        <v>8361</v>
      </c>
      <c r="D2753" s="2" t="s">
        <v>56</v>
      </c>
      <c r="E2753" s="2" t="s">
        <v>103</v>
      </c>
      <c r="F2753" s="2" t="s">
        <v>58</v>
      </c>
      <c r="G2753" s="2" t="s">
        <v>59</v>
      </c>
      <c r="H2753" s="2" t="s">
        <v>46</v>
      </c>
      <c r="I2753" s="2" t="s">
        <v>47</v>
      </c>
      <c r="J2753" s="2" t="s">
        <v>500</v>
      </c>
      <c r="K2753" s="2" t="s">
        <v>8515</v>
      </c>
      <c r="L2753" s="2" t="s">
        <v>302</v>
      </c>
      <c r="M2753" s="2" t="s">
        <v>2320</v>
      </c>
      <c r="N2753" s="16">
        <v>1.6199999999999999E-2</v>
      </c>
      <c r="O2753" s="17">
        <f>N2753*'Financial Inputs'!$B$3</f>
        <v>1620000</v>
      </c>
      <c r="P2753" s="18">
        <f>IF(I2753="L",'Financial Inputs'!$B$4,IF(I2753="M",'Financial Inputs'!$B$5,'Financial Inputs'!$B$6))</f>
        <v>0.4</v>
      </c>
      <c r="Q2753" s="17">
        <f>O2753*P2753</f>
        <v>648000</v>
      </c>
      <c r="R2753" s="16">
        <f>'Financial Inputs'!$B$7</f>
        <v>0.35</v>
      </c>
      <c r="S2753" s="17">
        <f>Q2753*(1-R2753)</f>
        <v>421200</v>
      </c>
      <c r="T2753" s="18">
        <f>S2753/'Financial Inputs'!$B$3</f>
        <v>4.2119999999999996E-3</v>
      </c>
      <c r="U2753" s="9" t="s">
        <v>52</v>
      </c>
      <c r="V2753" s="3" t="s">
        <v>53</v>
      </c>
    </row>
    <row r="2754" spans="1:22">
      <c r="A2754" s="2" t="s">
        <v>8516</v>
      </c>
      <c r="B2754" s="2" t="s">
        <v>8517</v>
      </c>
      <c r="C2754" s="2" t="s">
        <v>8361</v>
      </c>
      <c r="D2754" s="2" t="s">
        <v>64</v>
      </c>
      <c r="E2754" s="2" t="s">
        <v>109</v>
      </c>
      <c r="F2754" s="2" t="s">
        <v>66</v>
      </c>
      <c r="G2754" s="2" t="s">
        <v>67</v>
      </c>
      <c r="H2754" s="2" t="s">
        <v>46</v>
      </c>
      <c r="I2754" s="2" t="s">
        <v>47</v>
      </c>
      <c r="J2754" s="2" t="s">
        <v>500</v>
      </c>
      <c r="K2754" s="2" t="s">
        <v>8518</v>
      </c>
      <c r="L2754" s="2" t="s">
        <v>306</v>
      </c>
      <c r="M2754" s="2" t="s">
        <v>2320</v>
      </c>
      <c r="N2754" s="16">
        <v>1.7999999999999999E-2</v>
      </c>
      <c r="O2754" s="17">
        <f>N2754*'Financial Inputs'!$B$3</f>
        <v>1799999.9999999998</v>
      </c>
      <c r="P2754" s="18">
        <f>IF(I2754="L",'Financial Inputs'!$B$4,IF(I2754="M",'Financial Inputs'!$B$5,'Financial Inputs'!$B$6))</f>
        <v>0.4</v>
      </c>
      <c r="Q2754" s="17">
        <f>O2754*P2754</f>
        <v>720000</v>
      </c>
      <c r="R2754" s="16">
        <f>'Financial Inputs'!$B$7</f>
        <v>0.35</v>
      </c>
      <c r="S2754" s="17">
        <f>Q2754*(1-R2754)</f>
        <v>468000</v>
      </c>
      <c r="T2754" s="18">
        <f>S2754/'Financial Inputs'!$B$3</f>
        <v>4.6800000000000001E-3</v>
      </c>
      <c r="U2754" s="9" t="s">
        <v>52</v>
      </c>
      <c r="V2754" s="3" t="s">
        <v>53</v>
      </c>
    </row>
    <row r="2755" spans="1:22">
      <c r="A2755" s="2" t="s">
        <v>8519</v>
      </c>
      <c r="B2755" s="2" t="s">
        <v>8520</v>
      </c>
      <c r="C2755" s="2" t="s">
        <v>8361</v>
      </c>
      <c r="D2755" s="2" t="s">
        <v>72</v>
      </c>
      <c r="E2755" s="2" t="s">
        <v>116</v>
      </c>
      <c r="F2755" s="2" t="s">
        <v>74</v>
      </c>
      <c r="G2755" s="2" t="s">
        <v>75</v>
      </c>
      <c r="H2755" s="2" t="s">
        <v>46</v>
      </c>
      <c r="I2755" s="2" t="s">
        <v>47</v>
      </c>
      <c r="J2755" s="2" t="s">
        <v>500</v>
      </c>
      <c r="K2755" s="2" t="s">
        <v>8521</v>
      </c>
      <c r="L2755" s="2" t="s">
        <v>310</v>
      </c>
      <c r="M2755" s="2" t="s">
        <v>2320</v>
      </c>
      <c r="N2755" s="16">
        <v>1.9800000000000002E-2</v>
      </c>
      <c r="O2755" s="17">
        <f>N2755*'Financial Inputs'!$B$3</f>
        <v>1980000.0000000002</v>
      </c>
      <c r="P2755" s="18">
        <f>IF(I2755="L",'Financial Inputs'!$B$4,IF(I2755="M",'Financial Inputs'!$B$5,'Financial Inputs'!$B$6))</f>
        <v>0.4</v>
      </c>
      <c r="Q2755" s="17">
        <f>O2755*P2755</f>
        <v>792000.00000000012</v>
      </c>
      <c r="R2755" s="16">
        <f>'Financial Inputs'!$B$7</f>
        <v>0.35</v>
      </c>
      <c r="S2755" s="17">
        <f>Q2755*(1-R2755)</f>
        <v>514800.00000000012</v>
      </c>
      <c r="T2755" s="18">
        <f>S2755/'Financial Inputs'!$B$3</f>
        <v>5.1480000000000015E-3</v>
      </c>
      <c r="U2755" s="9" t="s">
        <v>52</v>
      </c>
      <c r="V2755" s="3" t="s">
        <v>53</v>
      </c>
    </row>
    <row r="2756" spans="1:22">
      <c r="A2756" s="2" t="s">
        <v>8522</v>
      </c>
      <c r="B2756" s="2" t="s">
        <v>8523</v>
      </c>
      <c r="C2756" s="2" t="s">
        <v>8361</v>
      </c>
      <c r="D2756" s="2" t="s">
        <v>80</v>
      </c>
      <c r="E2756" s="2" t="s">
        <v>215</v>
      </c>
      <c r="F2756" s="2" t="s">
        <v>82</v>
      </c>
      <c r="G2756" s="2" t="s">
        <v>83</v>
      </c>
      <c r="H2756" s="2" t="s">
        <v>46</v>
      </c>
      <c r="I2756" s="2" t="s">
        <v>47</v>
      </c>
      <c r="J2756" s="2" t="s">
        <v>500</v>
      </c>
      <c r="K2756" s="2" t="s">
        <v>8524</v>
      </c>
      <c r="L2756" s="2" t="s">
        <v>314</v>
      </c>
      <c r="M2756" s="2" t="s">
        <v>2320</v>
      </c>
      <c r="N2756" s="16">
        <v>2.1600000000000001E-2</v>
      </c>
      <c r="O2756" s="17">
        <f>N2756*'Financial Inputs'!$B$3</f>
        <v>2160000</v>
      </c>
      <c r="P2756" s="18">
        <f>IF(I2756="L",'Financial Inputs'!$B$4,IF(I2756="M",'Financial Inputs'!$B$5,'Financial Inputs'!$B$6))</f>
        <v>0.4</v>
      </c>
      <c r="Q2756" s="17">
        <f>O2756*P2756</f>
        <v>864000</v>
      </c>
      <c r="R2756" s="16">
        <f>'Financial Inputs'!$B$7</f>
        <v>0.35</v>
      </c>
      <c r="S2756" s="17">
        <f>Q2756*(1-R2756)</f>
        <v>561600</v>
      </c>
      <c r="T2756" s="18">
        <f>S2756/'Financial Inputs'!$B$3</f>
        <v>5.6160000000000003E-3</v>
      </c>
      <c r="U2756" s="9" t="s">
        <v>52</v>
      </c>
      <c r="V2756" s="3" t="s">
        <v>53</v>
      </c>
    </row>
    <row r="2757" spans="1:22">
      <c r="A2757" s="2" t="s">
        <v>8525</v>
      </c>
      <c r="B2757" s="2" t="s">
        <v>8526</v>
      </c>
      <c r="C2757" s="2" t="s">
        <v>8361</v>
      </c>
      <c r="D2757" s="2" t="s">
        <v>88</v>
      </c>
      <c r="E2757" s="2" t="s">
        <v>128</v>
      </c>
      <c r="F2757" s="2" t="s">
        <v>90</v>
      </c>
      <c r="G2757" s="2" t="s">
        <v>67</v>
      </c>
      <c r="H2757" s="2" t="s">
        <v>46</v>
      </c>
      <c r="I2757" s="2" t="s">
        <v>47</v>
      </c>
      <c r="J2757" s="2" t="s">
        <v>500</v>
      </c>
      <c r="K2757" s="2" t="s">
        <v>8527</v>
      </c>
      <c r="L2757" s="2" t="s">
        <v>318</v>
      </c>
      <c r="M2757" s="2" t="s">
        <v>2320</v>
      </c>
      <c r="N2757" s="16">
        <v>1.44E-2</v>
      </c>
      <c r="O2757" s="17">
        <f>N2757*'Financial Inputs'!$B$3</f>
        <v>1440000</v>
      </c>
      <c r="P2757" s="18">
        <f>IF(I2757="L",'Financial Inputs'!$B$4,IF(I2757="M",'Financial Inputs'!$B$5,'Financial Inputs'!$B$6))</f>
        <v>0.4</v>
      </c>
      <c r="Q2757" s="17">
        <f>O2757*P2757</f>
        <v>576000</v>
      </c>
      <c r="R2757" s="16">
        <f>'Financial Inputs'!$B$7</f>
        <v>0.35</v>
      </c>
      <c r="S2757" s="17">
        <f>Q2757*(1-R2757)</f>
        <v>374400</v>
      </c>
      <c r="T2757" s="18">
        <f>S2757/'Financial Inputs'!$B$3</f>
        <v>3.7439999999999999E-3</v>
      </c>
      <c r="U2757" s="9" t="s">
        <v>52</v>
      </c>
      <c r="V2757" s="3" t="s">
        <v>53</v>
      </c>
    </row>
    <row r="2758" spans="1:22">
      <c r="A2758" s="2" t="s">
        <v>8528</v>
      </c>
      <c r="B2758" s="2" t="s">
        <v>8529</v>
      </c>
      <c r="C2758" s="2" t="s">
        <v>8361</v>
      </c>
      <c r="D2758" s="2" t="s">
        <v>95</v>
      </c>
      <c r="E2758" s="2" t="s">
        <v>43</v>
      </c>
      <c r="F2758" s="2" t="s">
        <v>97</v>
      </c>
      <c r="G2758" s="2" t="s">
        <v>75</v>
      </c>
      <c r="H2758" s="2" t="s">
        <v>46</v>
      </c>
      <c r="I2758" s="2" t="s">
        <v>47</v>
      </c>
      <c r="J2758" s="2" t="s">
        <v>500</v>
      </c>
      <c r="K2758" s="2" t="s">
        <v>8530</v>
      </c>
      <c r="L2758" s="2" t="s">
        <v>322</v>
      </c>
      <c r="M2758" s="2" t="s">
        <v>2320</v>
      </c>
      <c r="N2758" s="16">
        <v>1.6199999999999999E-2</v>
      </c>
      <c r="O2758" s="17">
        <f>N2758*'Financial Inputs'!$B$3</f>
        <v>1620000</v>
      </c>
      <c r="P2758" s="18">
        <f>IF(I2758="L",'Financial Inputs'!$B$4,IF(I2758="M",'Financial Inputs'!$B$5,'Financial Inputs'!$B$6))</f>
        <v>0.4</v>
      </c>
      <c r="Q2758" s="17">
        <f>O2758*P2758</f>
        <v>648000</v>
      </c>
      <c r="R2758" s="16">
        <f>'Financial Inputs'!$B$7</f>
        <v>0.35</v>
      </c>
      <c r="S2758" s="17">
        <f>Q2758*(1-R2758)</f>
        <v>421200</v>
      </c>
      <c r="T2758" s="18">
        <f>S2758/'Financial Inputs'!$B$3</f>
        <v>4.2119999999999996E-3</v>
      </c>
      <c r="U2758" s="9" t="s">
        <v>52</v>
      </c>
      <c r="V2758" s="3" t="s">
        <v>53</v>
      </c>
    </row>
    <row r="2759" spans="1:22">
      <c r="A2759" s="2" t="s">
        <v>8531</v>
      </c>
      <c r="B2759" s="2" t="s">
        <v>8532</v>
      </c>
      <c r="C2759" s="2" t="s">
        <v>8361</v>
      </c>
      <c r="D2759" s="2" t="s">
        <v>102</v>
      </c>
      <c r="E2759" s="2" t="s">
        <v>57</v>
      </c>
      <c r="F2759" s="2" t="s">
        <v>104</v>
      </c>
      <c r="G2759" s="2" t="s">
        <v>83</v>
      </c>
      <c r="H2759" s="2" t="s">
        <v>46</v>
      </c>
      <c r="I2759" s="2" t="s">
        <v>47</v>
      </c>
      <c r="J2759" s="2" t="s">
        <v>500</v>
      </c>
      <c r="K2759" s="2" t="s">
        <v>8533</v>
      </c>
      <c r="L2759" s="2" t="s">
        <v>326</v>
      </c>
      <c r="M2759" s="2" t="s">
        <v>2320</v>
      </c>
      <c r="N2759" s="16">
        <v>1.7999999999999999E-2</v>
      </c>
      <c r="O2759" s="17">
        <f>N2759*'Financial Inputs'!$B$3</f>
        <v>1799999.9999999998</v>
      </c>
      <c r="P2759" s="18">
        <f>IF(I2759="L",'Financial Inputs'!$B$4,IF(I2759="M",'Financial Inputs'!$B$5,'Financial Inputs'!$B$6))</f>
        <v>0.4</v>
      </c>
      <c r="Q2759" s="17">
        <f>O2759*P2759</f>
        <v>720000</v>
      </c>
      <c r="R2759" s="16">
        <f>'Financial Inputs'!$B$7</f>
        <v>0.35</v>
      </c>
      <c r="S2759" s="17">
        <f>Q2759*(1-R2759)</f>
        <v>468000</v>
      </c>
      <c r="T2759" s="18">
        <f>S2759/'Financial Inputs'!$B$3</f>
        <v>4.6800000000000001E-3</v>
      </c>
      <c r="U2759" s="9" t="s">
        <v>52</v>
      </c>
      <c r="V2759" s="3" t="s">
        <v>53</v>
      </c>
    </row>
    <row r="2760" spans="1:22">
      <c r="A2760" s="2" t="s">
        <v>8534</v>
      </c>
      <c r="B2760" s="2" t="s">
        <v>8535</v>
      </c>
      <c r="C2760" s="2" t="s">
        <v>8361</v>
      </c>
      <c r="D2760" s="2" t="s">
        <v>42</v>
      </c>
      <c r="E2760" s="2" t="s">
        <v>65</v>
      </c>
      <c r="F2760" s="2" t="s">
        <v>110</v>
      </c>
      <c r="G2760" s="2" t="s">
        <v>111</v>
      </c>
      <c r="H2760" s="2" t="s">
        <v>46</v>
      </c>
      <c r="I2760" s="2" t="s">
        <v>47</v>
      </c>
      <c r="J2760" s="2" t="s">
        <v>500</v>
      </c>
      <c r="K2760" s="2" t="s">
        <v>8536</v>
      </c>
      <c r="L2760" s="2" t="s">
        <v>330</v>
      </c>
      <c r="M2760" s="2" t="s">
        <v>2320</v>
      </c>
      <c r="N2760" s="16">
        <v>1.9800000000000002E-2</v>
      </c>
      <c r="O2760" s="17">
        <f>N2760*'Financial Inputs'!$B$3</f>
        <v>1980000.0000000002</v>
      </c>
      <c r="P2760" s="18">
        <f>IF(I2760="L",'Financial Inputs'!$B$4,IF(I2760="M",'Financial Inputs'!$B$5,'Financial Inputs'!$B$6))</f>
        <v>0.4</v>
      </c>
      <c r="Q2760" s="17">
        <f>O2760*P2760</f>
        <v>792000.00000000012</v>
      </c>
      <c r="R2760" s="16">
        <f>'Financial Inputs'!$B$7</f>
        <v>0.35</v>
      </c>
      <c r="S2760" s="17">
        <f>Q2760*(1-R2760)</f>
        <v>514800.00000000012</v>
      </c>
      <c r="T2760" s="18">
        <f>S2760/'Financial Inputs'!$B$3</f>
        <v>5.1480000000000015E-3</v>
      </c>
      <c r="U2760" s="9" t="s">
        <v>52</v>
      </c>
      <c r="V2760" s="3" t="s">
        <v>53</v>
      </c>
    </row>
    <row r="2761" spans="1:22">
      <c r="A2761" s="2" t="s">
        <v>8537</v>
      </c>
      <c r="B2761" s="2" t="s">
        <v>8538</v>
      </c>
      <c r="C2761" s="2" t="s">
        <v>8361</v>
      </c>
      <c r="D2761" s="2" t="s">
        <v>56</v>
      </c>
      <c r="E2761" s="2" t="s">
        <v>73</v>
      </c>
      <c r="F2761" s="2" t="s">
        <v>117</v>
      </c>
      <c r="G2761" s="2" t="s">
        <v>56</v>
      </c>
      <c r="H2761" s="2" t="s">
        <v>46</v>
      </c>
      <c r="I2761" s="2" t="s">
        <v>47</v>
      </c>
      <c r="J2761" s="2" t="s">
        <v>500</v>
      </c>
      <c r="K2761" s="2" t="s">
        <v>8539</v>
      </c>
      <c r="L2761" s="2" t="s">
        <v>334</v>
      </c>
      <c r="M2761" s="2" t="s">
        <v>2320</v>
      </c>
      <c r="N2761" s="16">
        <v>2.1600000000000001E-2</v>
      </c>
      <c r="O2761" s="17">
        <f>N2761*'Financial Inputs'!$B$3</f>
        <v>2160000</v>
      </c>
      <c r="P2761" s="18">
        <f>IF(I2761="L",'Financial Inputs'!$B$4,IF(I2761="M",'Financial Inputs'!$B$5,'Financial Inputs'!$B$6))</f>
        <v>0.4</v>
      </c>
      <c r="Q2761" s="17">
        <f>O2761*P2761</f>
        <v>864000</v>
      </c>
      <c r="R2761" s="16">
        <f>'Financial Inputs'!$B$7</f>
        <v>0.35</v>
      </c>
      <c r="S2761" s="17">
        <f>Q2761*(1-R2761)</f>
        <v>561600</v>
      </c>
      <c r="T2761" s="18">
        <f>S2761/'Financial Inputs'!$B$3</f>
        <v>5.6160000000000003E-3</v>
      </c>
      <c r="U2761" s="9" t="s">
        <v>52</v>
      </c>
      <c r="V2761" s="3" t="s">
        <v>53</v>
      </c>
    </row>
    <row r="2762" spans="1:22">
      <c r="A2762" s="2" t="s">
        <v>8540</v>
      </c>
      <c r="B2762" s="2" t="s">
        <v>8541</v>
      </c>
      <c r="C2762" s="2" t="s">
        <v>8361</v>
      </c>
      <c r="D2762" s="2" t="s">
        <v>80</v>
      </c>
      <c r="E2762" s="2" t="s">
        <v>153</v>
      </c>
      <c r="F2762" s="2" t="s">
        <v>58</v>
      </c>
      <c r="G2762" s="2" t="s">
        <v>83</v>
      </c>
      <c r="H2762" s="2" t="s">
        <v>46</v>
      </c>
      <c r="I2762" s="2" t="s">
        <v>47</v>
      </c>
      <c r="J2762" s="2" t="s">
        <v>500</v>
      </c>
      <c r="K2762" s="2" t="s">
        <v>8542</v>
      </c>
      <c r="L2762" s="2" t="s">
        <v>338</v>
      </c>
      <c r="M2762" s="2" t="s">
        <v>2320</v>
      </c>
      <c r="N2762" s="16">
        <v>1.44E-2</v>
      </c>
      <c r="O2762" s="17">
        <f>N2762*'Financial Inputs'!$B$3</f>
        <v>1440000</v>
      </c>
      <c r="P2762" s="18">
        <f>IF(I2762="L",'Financial Inputs'!$B$4,IF(I2762="M",'Financial Inputs'!$B$5,'Financial Inputs'!$B$6))</f>
        <v>0.4</v>
      </c>
      <c r="Q2762" s="17">
        <f>O2762*P2762</f>
        <v>576000</v>
      </c>
      <c r="R2762" s="16">
        <f>'Financial Inputs'!$B$7</f>
        <v>0.35</v>
      </c>
      <c r="S2762" s="17">
        <f>Q2762*(1-R2762)</f>
        <v>374400</v>
      </c>
      <c r="T2762" s="18">
        <f>S2762/'Financial Inputs'!$B$3</f>
        <v>3.7439999999999999E-3</v>
      </c>
      <c r="U2762" s="9" t="s">
        <v>52</v>
      </c>
      <c r="V2762" s="3" t="s">
        <v>53</v>
      </c>
    </row>
    <row r="2763" spans="1:22">
      <c r="A2763" s="2" t="s">
        <v>8543</v>
      </c>
      <c r="B2763" s="2" t="s">
        <v>8544</v>
      </c>
      <c r="C2763" s="2" t="s">
        <v>8361</v>
      </c>
      <c r="D2763" s="2" t="s">
        <v>127</v>
      </c>
      <c r="E2763" s="2" t="s">
        <v>89</v>
      </c>
      <c r="F2763" s="2" t="s">
        <v>66</v>
      </c>
      <c r="G2763" s="2" t="s">
        <v>111</v>
      </c>
      <c r="H2763" s="2" t="s">
        <v>46</v>
      </c>
      <c r="I2763" s="2" t="s">
        <v>47</v>
      </c>
      <c r="J2763" s="2" t="s">
        <v>500</v>
      </c>
      <c r="K2763" s="2" t="s">
        <v>8545</v>
      </c>
      <c r="L2763" s="2" t="s">
        <v>342</v>
      </c>
      <c r="M2763" s="2" t="s">
        <v>2320</v>
      </c>
      <c r="N2763" s="16">
        <v>1.6199999999999999E-2</v>
      </c>
      <c r="O2763" s="17">
        <f>N2763*'Financial Inputs'!$B$3</f>
        <v>1620000</v>
      </c>
      <c r="P2763" s="18">
        <f>IF(I2763="L",'Financial Inputs'!$B$4,IF(I2763="M",'Financial Inputs'!$B$5,'Financial Inputs'!$B$6))</f>
        <v>0.4</v>
      </c>
      <c r="Q2763" s="17">
        <f>O2763*P2763</f>
        <v>648000</v>
      </c>
      <c r="R2763" s="16">
        <f>'Financial Inputs'!$B$7</f>
        <v>0.35</v>
      </c>
      <c r="S2763" s="17">
        <f>Q2763*(1-R2763)</f>
        <v>421200</v>
      </c>
      <c r="T2763" s="18">
        <f>S2763/'Financial Inputs'!$B$3</f>
        <v>4.2119999999999996E-3</v>
      </c>
      <c r="U2763" s="9" t="s">
        <v>52</v>
      </c>
      <c r="V2763" s="3" t="s">
        <v>53</v>
      </c>
    </row>
    <row r="2764" spans="1:22">
      <c r="A2764" s="2" t="s">
        <v>8546</v>
      </c>
      <c r="B2764" s="2" t="s">
        <v>8547</v>
      </c>
      <c r="C2764" s="2" t="s">
        <v>8361</v>
      </c>
      <c r="D2764" s="2" t="s">
        <v>133</v>
      </c>
      <c r="E2764" s="2" t="s">
        <v>96</v>
      </c>
      <c r="F2764" s="2" t="s">
        <v>74</v>
      </c>
      <c r="G2764" s="2" t="s">
        <v>56</v>
      </c>
      <c r="H2764" s="2" t="s">
        <v>46</v>
      </c>
      <c r="I2764" s="2" t="s">
        <v>47</v>
      </c>
      <c r="J2764" s="2" t="s">
        <v>500</v>
      </c>
      <c r="K2764" s="2" t="s">
        <v>8548</v>
      </c>
      <c r="L2764" s="2" t="s">
        <v>346</v>
      </c>
      <c r="M2764" s="2" t="s">
        <v>2320</v>
      </c>
      <c r="N2764" s="16">
        <v>1.7999999999999999E-2</v>
      </c>
      <c r="O2764" s="17">
        <f>N2764*'Financial Inputs'!$B$3</f>
        <v>1799999.9999999998</v>
      </c>
      <c r="P2764" s="18">
        <f>IF(I2764="L",'Financial Inputs'!$B$4,IF(I2764="M",'Financial Inputs'!$B$5,'Financial Inputs'!$B$6))</f>
        <v>0.4</v>
      </c>
      <c r="Q2764" s="17">
        <f>O2764*P2764</f>
        <v>720000</v>
      </c>
      <c r="R2764" s="16">
        <f>'Financial Inputs'!$B$7</f>
        <v>0.35</v>
      </c>
      <c r="S2764" s="17">
        <f>Q2764*(1-R2764)</f>
        <v>468000</v>
      </c>
      <c r="T2764" s="18">
        <f>S2764/'Financial Inputs'!$B$3</f>
        <v>4.6800000000000001E-3</v>
      </c>
      <c r="U2764" s="9" t="s">
        <v>52</v>
      </c>
      <c r="V2764" s="3" t="s">
        <v>53</v>
      </c>
    </row>
    <row r="2765" spans="1:22">
      <c r="A2765" s="2" t="s">
        <v>8549</v>
      </c>
      <c r="B2765" s="2" t="s">
        <v>8550</v>
      </c>
      <c r="C2765" s="2" t="s">
        <v>8361</v>
      </c>
      <c r="D2765" s="2" t="s">
        <v>88</v>
      </c>
      <c r="E2765" s="2" t="s">
        <v>103</v>
      </c>
      <c r="F2765" s="2" t="s">
        <v>82</v>
      </c>
      <c r="G2765" s="2" t="s">
        <v>138</v>
      </c>
      <c r="H2765" s="2" t="s">
        <v>46</v>
      </c>
      <c r="I2765" s="2" t="s">
        <v>47</v>
      </c>
      <c r="J2765" s="2" t="s">
        <v>500</v>
      </c>
      <c r="K2765" s="2" t="s">
        <v>8551</v>
      </c>
      <c r="L2765" s="2" t="s">
        <v>350</v>
      </c>
      <c r="M2765" s="2" t="s">
        <v>2320</v>
      </c>
      <c r="N2765" s="16">
        <v>1.9800000000000002E-2</v>
      </c>
      <c r="O2765" s="17">
        <f>N2765*'Financial Inputs'!$B$3</f>
        <v>1980000.0000000002</v>
      </c>
      <c r="P2765" s="18">
        <f>IF(I2765="L",'Financial Inputs'!$B$4,IF(I2765="M",'Financial Inputs'!$B$5,'Financial Inputs'!$B$6))</f>
        <v>0.4</v>
      </c>
      <c r="Q2765" s="17">
        <f>O2765*P2765</f>
        <v>792000.00000000012</v>
      </c>
      <c r="R2765" s="16">
        <f>'Financial Inputs'!$B$7</f>
        <v>0.35</v>
      </c>
      <c r="S2765" s="17">
        <f>Q2765*(1-R2765)</f>
        <v>514800.00000000012</v>
      </c>
      <c r="T2765" s="18">
        <f>S2765/'Financial Inputs'!$B$3</f>
        <v>5.1480000000000015E-3</v>
      </c>
      <c r="U2765" s="9" t="s">
        <v>52</v>
      </c>
      <c r="V2765" s="3" t="s">
        <v>53</v>
      </c>
    </row>
    <row r="2766" spans="1:22">
      <c r="A2766" s="2" t="s">
        <v>8552</v>
      </c>
      <c r="B2766" s="2" t="s">
        <v>8553</v>
      </c>
      <c r="C2766" s="2" t="s">
        <v>8361</v>
      </c>
      <c r="D2766" s="2" t="s">
        <v>95</v>
      </c>
      <c r="E2766" s="2" t="s">
        <v>109</v>
      </c>
      <c r="F2766" s="2" t="s">
        <v>44</v>
      </c>
      <c r="G2766" s="2" t="s">
        <v>143</v>
      </c>
      <c r="H2766" s="2" t="s">
        <v>46</v>
      </c>
      <c r="I2766" s="2" t="s">
        <v>47</v>
      </c>
      <c r="J2766" s="2" t="s">
        <v>500</v>
      </c>
      <c r="K2766" s="2" t="s">
        <v>8554</v>
      </c>
      <c r="L2766" s="2" t="s">
        <v>354</v>
      </c>
      <c r="M2766" s="2" t="s">
        <v>2320</v>
      </c>
      <c r="N2766" s="16">
        <v>2.1600000000000001E-2</v>
      </c>
      <c r="O2766" s="17">
        <f>N2766*'Financial Inputs'!$B$3</f>
        <v>2160000</v>
      </c>
      <c r="P2766" s="18">
        <f>IF(I2766="L",'Financial Inputs'!$B$4,IF(I2766="M",'Financial Inputs'!$B$5,'Financial Inputs'!$B$6))</f>
        <v>0.4</v>
      </c>
      <c r="Q2766" s="17">
        <f>O2766*P2766</f>
        <v>864000</v>
      </c>
      <c r="R2766" s="16">
        <f>'Financial Inputs'!$B$7</f>
        <v>0.35</v>
      </c>
      <c r="S2766" s="17">
        <f>Q2766*(1-R2766)</f>
        <v>561600</v>
      </c>
      <c r="T2766" s="18">
        <f>S2766/'Financial Inputs'!$B$3</f>
        <v>5.6160000000000003E-3</v>
      </c>
      <c r="U2766" s="9" t="s">
        <v>52</v>
      </c>
      <c r="V2766" s="3" t="s">
        <v>53</v>
      </c>
    </row>
    <row r="2767" spans="1:22">
      <c r="A2767" s="2" t="s">
        <v>8555</v>
      </c>
      <c r="B2767" s="2" t="s">
        <v>8556</v>
      </c>
      <c r="C2767" s="2" t="s">
        <v>8361</v>
      </c>
      <c r="D2767" s="2" t="s">
        <v>56</v>
      </c>
      <c r="E2767" s="2" t="s">
        <v>176</v>
      </c>
      <c r="F2767" s="2" t="s">
        <v>97</v>
      </c>
      <c r="G2767" s="2" t="s">
        <v>56</v>
      </c>
      <c r="H2767" s="2" t="s">
        <v>46</v>
      </c>
      <c r="I2767" s="2" t="s">
        <v>47</v>
      </c>
      <c r="J2767" s="2" t="s">
        <v>500</v>
      </c>
      <c r="K2767" s="2" t="s">
        <v>8557</v>
      </c>
      <c r="L2767" s="2" t="s">
        <v>358</v>
      </c>
      <c r="M2767" s="2" t="s">
        <v>2320</v>
      </c>
      <c r="N2767" s="16">
        <v>1.44E-2</v>
      </c>
      <c r="O2767" s="17">
        <f>N2767*'Financial Inputs'!$B$3</f>
        <v>1440000</v>
      </c>
      <c r="P2767" s="18">
        <f>IF(I2767="L",'Financial Inputs'!$B$4,IF(I2767="M",'Financial Inputs'!$B$5,'Financial Inputs'!$B$6))</f>
        <v>0.4</v>
      </c>
      <c r="Q2767" s="17">
        <f>O2767*P2767</f>
        <v>576000</v>
      </c>
      <c r="R2767" s="16">
        <f>'Financial Inputs'!$B$7</f>
        <v>0.35</v>
      </c>
      <c r="S2767" s="17">
        <f>Q2767*(1-R2767)</f>
        <v>374400</v>
      </c>
      <c r="T2767" s="18">
        <f>S2767/'Financial Inputs'!$B$3</f>
        <v>3.7439999999999999E-3</v>
      </c>
      <c r="U2767" s="9" t="s">
        <v>52</v>
      </c>
      <c r="V2767" s="3" t="s">
        <v>53</v>
      </c>
    </row>
    <row r="2768" spans="1:22">
      <c r="A2768" s="2" t="s">
        <v>8558</v>
      </c>
      <c r="B2768" s="2" t="s">
        <v>8559</v>
      </c>
      <c r="C2768" s="2" t="s">
        <v>8361</v>
      </c>
      <c r="D2768" s="2" t="s">
        <v>64</v>
      </c>
      <c r="E2768" s="2" t="s">
        <v>122</v>
      </c>
      <c r="F2768" s="2" t="s">
        <v>104</v>
      </c>
      <c r="G2768" s="2" t="s">
        <v>138</v>
      </c>
      <c r="H2768" s="2" t="s">
        <v>46</v>
      </c>
      <c r="I2768" s="2" t="s">
        <v>47</v>
      </c>
      <c r="J2768" s="2" t="s">
        <v>500</v>
      </c>
      <c r="K2768" s="2" t="s">
        <v>8560</v>
      </c>
      <c r="L2768" s="2" t="s">
        <v>362</v>
      </c>
      <c r="M2768" s="2" t="s">
        <v>2320</v>
      </c>
      <c r="N2768" s="16">
        <v>1.6199999999999999E-2</v>
      </c>
      <c r="O2768" s="17">
        <f>N2768*'Financial Inputs'!$B$3</f>
        <v>1620000</v>
      </c>
      <c r="P2768" s="18">
        <f>IF(I2768="L",'Financial Inputs'!$B$4,IF(I2768="M",'Financial Inputs'!$B$5,'Financial Inputs'!$B$6))</f>
        <v>0.4</v>
      </c>
      <c r="Q2768" s="17">
        <f>O2768*P2768</f>
        <v>648000</v>
      </c>
      <c r="R2768" s="16">
        <f>'Financial Inputs'!$B$7</f>
        <v>0.35</v>
      </c>
      <c r="S2768" s="17">
        <f>Q2768*(1-R2768)</f>
        <v>421200</v>
      </c>
      <c r="T2768" s="18">
        <f>S2768/'Financial Inputs'!$B$3</f>
        <v>4.2119999999999996E-3</v>
      </c>
      <c r="U2768" s="9" t="s">
        <v>52</v>
      </c>
      <c r="V2768" s="3" t="s">
        <v>53</v>
      </c>
    </row>
    <row r="2769" spans="1:22">
      <c r="A2769" s="2" t="s">
        <v>8561</v>
      </c>
      <c r="B2769" s="2" t="s">
        <v>8562</v>
      </c>
      <c r="C2769" s="2" t="s">
        <v>8361</v>
      </c>
      <c r="D2769" s="2" t="s">
        <v>72</v>
      </c>
      <c r="E2769" s="2" t="s">
        <v>128</v>
      </c>
      <c r="F2769" s="2" t="s">
        <v>110</v>
      </c>
      <c r="G2769" s="2" t="s">
        <v>143</v>
      </c>
      <c r="H2769" s="2" t="s">
        <v>46</v>
      </c>
      <c r="I2769" s="2" t="s">
        <v>47</v>
      </c>
      <c r="J2769" s="2" t="s">
        <v>500</v>
      </c>
      <c r="K2769" s="2" t="s">
        <v>8563</v>
      </c>
      <c r="L2769" s="2" t="s">
        <v>366</v>
      </c>
      <c r="M2769" s="2" t="s">
        <v>2320</v>
      </c>
      <c r="N2769" s="16">
        <v>1.7999999999999999E-2</v>
      </c>
      <c r="O2769" s="17">
        <f>N2769*'Financial Inputs'!$B$3</f>
        <v>1799999.9999999998</v>
      </c>
      <c r="P2769" s="18">
        <f>IF(I2769="L",'Financial Inputs'!$B$4,IF(I2769="M",'Financial Inputs'!$B$5,'Financial Inputs'!$B$6))</f>
        <v>0.4</v>
      </c>
      <c r="Q2769" s="17">
        <f>O2769*P2769</f>
        <v>720000</v>
      </c>
      <c r="R2769" s="16">
        <f>'Financial Inputs'!$B$7</f>
        <v>0.35</v>
      </c>
      <c r="S2769" s="17">
        <f>Q2769*(1-R2769)</f>
        <v>468000</v>
      </c>
      <c r="T2769" s="18">
        <f>S2769/'Financial Inputs'!$B$3</f>
        <v>4.6800000000000001E-3</v>
      </c>
      <c r="U2769" s="9" t="s">
        <v>52</v>
      </c>
      <c r="V2769" s="3" t="s">
        <v>53</v>
      </c>
    </row>
    <row r="2770" spans="1:22">
      <c r="A2770" s="2" t="s">
        <v>8564</v>
      </c>
      <c r="B2770" s="2" t="s">
        <v>8565</v>
      </c>
      <c r="C2770" s="2" t="s">
        <v>8361</v>
      </c>
      <c r="D2770" s="2" t="s">
        <v>80</v>
      </c>
      <c r="E2770" s="2" t="s">
        <v>43</v>
      </c>
      <c r="F2770" s="2" t="s">
        <v>117</v>
      </c>
      <c r="G2770" s="2" t="s">
        <v>162</v>
      </c>
      <c r="H2770" s="2" t="s">
        <v>46</v>
      </c>
      <c r="I2770" s="2" t="s">
        <v>47</v>
      </c>
      <c r="J2770" s="2" t="s">
        <v>500</v>
      </c>
      <c r="K2770" s="2" t="s">
        <v>8566</v>
      </c>
      <c r="L2770" s="2" t="s">
        <v>370</v>
      </c>
      <c r="M2770" s="2" t="s">
        <v>2320</v>
      </c>
      <c r="N2770" s="16">
        <v>1.9800000000000002E-2</v>
      </c>
      <c r="O2770" s="17">
        <f>N2770*'Financial Inputs'!$B$3</f>
        <v>1980000.0000000002</v>
      </c>
      <c r="P2770" s="18">
        <f>IF(I2770="L",'Financial Inputs'!$B$4,IF(I2770="M",'Financial Inputs'!$B$5,'Financial Inputs'!$B$6))</f>
        <v>0.4</v>
      </c>
      <c r="Q2770" s="17">
        <f>O2770*P2770</f>
        <v>792000.00000000012</v>
      </c>
      <c r="R2770" s="16">
        <f>'Financial Inputs'!$B$7</f>
        <v>0.35</v>
      </c>
      <c r="S2770" s="17">
        <f>Q2770*(1-R2770)</f>
        <v>514800.00000000012</v>
      </c>
      <c r="T2770" s="18">
        <f>S2770/'Financial Inputs'!$B$3</f>
        <v>5.1480000000000015E-3</v>
      </c>
      <c r="U2770" s="9" t="s">
        <v>52</v>
      </c>
      <c r="V2770" s="3" t="s">
        <v>53</v>
      </c>
    </row>
    <row r="2771" spans="1:22">
      <c r="A2771" s="2" t="s">
        <v>8567</v>
      </c>
      <c r="B2771" s="2" t="s">
        <v>8568</v>
      </c>
      <c r="C2771" s="2" t="s">
        <v>8361</v>
      </c>
      <c r="D2771" s="2" t="s">
        <v>127</v>
      </c>
      <c r="E2771" s="2" t="s">
        <v>57</v>
      </c>
      <c r="F2771" s="2" t="s">
        <v>90</v>
      </c>
      <c r="G2771" s="2" t="s">
        <v>45</v>
      </c>
      <c r="H2771" s="2" t="s">
        <v>46</v>
      </c>
      <c r="I2771" s="2" t="s">
        <v>47</v>
      </c>
      <c r="J2771" s="2" t="s">
        <v>500</v>
      </c>
      <c r="K2771" s="2" t="s">
        <v>8569</v>
      </c>
      <c r="L2771" s="2" t="s">
        <v>374</v>
      </c>
      <c r="M2771" s="2" t="s">
        <v>2320</v>
      </c>
      <c r="N2771" s="16">
        <v>2.1600000000000001E-2</v>
      </c>
      <c r="O2771" s="17">
        <f>N2771*'Financial Inputs'!$B$3</f>
        <v>2160000</v>
      </c>
      <c r="P2771" s="18">
        <f>IF(I2771="L",'Financial Inputs'!$B$4,IF(I2771="M",'Financial Inputs'!$B$5,'Financial Inputs'!$B$6))</f>
        <v>0.4</v>
      </c>
      <c r="Q2771" s="17">
        <f>O2771*P2771</f>
        <v>864000</v>
      </c>
      <c r="R2771" s="16">
        <f>'Financial Inputs'!$B$7</f>
        <v>0.35</v>
      </c>
      <c r="S2771" s="17">
        <f>Q2771*(1-R2771)</f>
        <v>561600</v>
      </c>
      <c r="T2771" s="18">
        <f>S2771/'Financial Inputs'!$B$3</f>
        <v>5.6160000000000003E-3</v>
      </c>
      <c r="U2771" s="9" t="s">
        <v>52</v>
      </c>
      <c r="V2771" s="3" t="s">
        <v>53</v>
      </c>
    </row>
    <row r="2772" spans="1:22">
      <c r="A2772" s="2" t="s">
        <v>8570</v>
      </c>
      <c r="B2772" s="2" t="s">
        <v>8571</v>
      </c>
      <c r="C2772" s="2" t="s">
        <v>8361</v>
      </c>
      <c r="D2772" s="2" t="s">
        <v>95</v>
      </c>
      <c r="E2772" s="2" t="s">
        <v>198</v>
      </c>
      <c r="F2772" s="2" t="s">
        <v>66</v>
      </c>
      <c r="G2772" s="2" t="s">
        <v>143</v>
      </c>
      <c r="H2772" s="2" t="s">
        <v>46</v>
      </c>
      <c r="I2772" s="2" t="s">
        <v>47</v>
      </c>
      <c r="J2772" s="2" t="s">
        <v>500</v>
      </c>
      <c r="K2772" s="2" t="s">
        <v>8572</v>
      </c>
      <c r="L2772" s="2" t="s">
        <v>378</v>
      </c>
      <c r="M2772" s="2" t="s">
        <v>2320</v>
      </c>
      <c r="N2772" s="16">
        <v>1.44E-2</v>
      </c>
      <c r="O2772" s="17">
        <f>N2772*'Financial Inputs'!$B$3</f>
        <v>1440000</v>
      </c>
      <c r="P2772" s="18">
        <f>IF(I2772="L",'Financial Inputs'!$B$4,IF(I2772="M",'Financial Inputs'!$B$5,'Financial Inputs'!$B$6))</f>
        <v>0.4</v>
      </c>
      <c r="Q2772" s="17">
        <f>O2772*P2772</f>
        <v>576000</v>
      </c>
      <c r="R2772" s="16">
        <f>'Financial Inputs'!$B$7</f>
        <v>0.35</v>
      </c>
      <c r="S2772" s="17">
        <f>Q2772*(1-R2772)</f>
        <v>374400</v>
      </c>
      <c r="T2772" s="18">
        <f>S2772/'Financial Inputs'!$B$3</f>
        <v>3.7439999999999999E-3</v>
      </c>
      <c r="U2772" s="9" t="s">
        <v>52</v>
      </c>
      <c r="V2772" s="3" t="s">
        <v>53</v>
      </c>
    </row>
    <row r="2773" spans="1:22">
      <c r="A2773" s="2" t="s">
        <v>8573</v>
      </c>
      <c r="B2773" s="2" t="s">
        <v>8574</v>
      </c>
      <c r="C2773" s="2" t="s">
        <v>8361</v>
      </c>
      <c r="D2773" s="2" t="s">
        <v>102</v>
      </c>
      <c r="E2773" s="2" t="s">
        <v>148</v>
      </c>
      <c r="F2773" s="2" t="s">
        <v>74</v>
      </c>
      <c r="G2773" s="2" t="s">
        <v>162</v>
      </c>
      <c r="H2773" s="2" t="s">
        <v>46</v>
      </c>
      <c r="I2773" s="2" t="s">
        <v>47</v>
      </c>
      <c r="J2773" s="2" t="s">
        <v>500</v>
      </c>
      <c r="K2773" s="2" t="s">
        <v>8575</v>
      </c>
      <c r="L2773" s="2" t="s">
        <v>382</v>
      </c>
      <c r="M2773" s="2" t="s">
        <v>2320</v>
      </c>
      <c r="N2773" s="16">
        <v>1.6199999999999999E-2</v>
      </c>
      <c r="O2773" s="17">
        <f>N2773*'Financial Inputs'!$B$3</f>
        <v>1620000</v>
      </c>
      <c r="P2773" s="18">
        <f>IF(I2773="L",'Financial Inputs'!$B$4,IF(I2773="M",'Financial Inputs'!$B$5,'Financial Inputs'!$B$6))</f>
        <v>0.4</v>
      </c>
      <c r="Q2773" s="17">
        <f>O2773*P2773</f>
        <v>648000</v>
      </c>
      <c r="R2773" s="16">
        <f>'Financial Inputs'!$B$7</f>
        <v>0.35</v>
      </c>
      <c r="S2773" s="17">
        <f>Q2773*(1-R2773)</f>
        <v>421200</v>
      </c>
      <c r="T2773" s="18">
        <f>S2773/'Financial Inputs'!$B$3</f>
        <v>4.2119999999999996E-3</v>
      </c>
      <c r="U2773" s="9" t="s">
        <v>52</v>
      </c>
      <c r="V2773" s="3" t="s">
        <v>53</v>
      </c>
    </row>
    <row r="2774" spans="1:22">
      <c r="A2774" s="2" t="s">
        <v>8576</v>
      </c>
      <c r="B2774" s="2" t="s">
        <v>8577</v>
      </c>
      <c r="C2774" s="2" t="s">
        <v>8361</v>
      </c>
      <c r="D2774" s="2" t="s">
        <v>42</v>
      </c>
      <c r="E2774" s="2" t="s">
        <v>153</v>
      </c>
      <c r="F2774" s="2" t="s">
        <v>82</v>
      </c>
      <c r="G2774" s="2" t="s">
        <v>45</v>
      </c>
      <c r="H2774" s="2" t="s">
        <v>46</v>
      </c>
      <c r="I2774" s="2" t="s">
        <v>47</v>
      </c>
      <c r="J2774" s="2" t="s">
        <v>500</v>
      </c>
      <c r="K2774" s="2" t="s">
        <v>8578</v>
      </c>
      <c r="L2774" s="2" t="s">
        <v>386</v>
      </c>
      <c r="M2774" s="2" t="s">
        <v>2320</v>
      </c>
      <c r="N2774" s="16">
        <v>1.7999999999999999E-2</v>
      </c>
      <c r="O2774" s="17">
        <f>N2774*'Financial Inputs'!$B$3</f>
        <v>1799999.9999999998</v>
      </c>
      <c r="P2774" s="18">
        <f>IF(I2774="L",'Financial Inputs'!$B$4,IF(I2774="M",'Financial Inputs'!$B$5,'Financial Inputs'!$B$6))</f>
        <v>0.4</v>
      </c>
      <c r="Q2774" s="17">
        <f>O2774*P2774</f>
        <v>720000</v>
      </c>
      <c r="R2774" s="16">
        <f>'Financial Inputs'!$B$7</f>
        <v>0.35</v>
      </c>
      <c r="S2774" s="17">
        <f>Q2774*(1-R2774)</f>
        <v>468000</v>
      </c>
      <c r="T2774" s="18">
        <f>S2774/'Financial Inputs'!$B$3</f>
        <v>4.6800000000000001E-3</v>
      </c>
      <c r="U2774" s="9" t="s">
        <v>52</v>
      </c>
      <c r="V2774" s="3" t="s">
        <v>53</v>
      </c>
    </row>
    <row r="2775" spans="1:22">
      <c r="A2775" s="2" t="s">
        <v>8579</v>
      </c>
      <c r="B2775" s="2" t="s">
        <v>8580</v>
      </c>
      <c r="C2775" s="2" t="s">
        <v>8361</v>
      </c>
      <c r="D2775" s="2" t="s">
        <v>56</v>
      </c>
      <c r="E2775" s="2" t="s">
        <v>89</v>
      </c>
      <c r="F2775" s="2" t="s">
        <v>44</v>
      </c>
      <c r="G2775" s="2" t="s">
        <v>59</v>
      </c>
      <c r="H2775" s="2" t="s">
        <v>46</v>
      </c>
      <c r="I2775" s="2" t="s">
        <v>47</v>
      </c>
      <c r="J2775" s="2" t="s">
        <v>500</v>
      </c>
      <c r="K2775" s="2" t="s">
        <v>8581</v>
      </c>
      <c r="L2775" s="2" t="s">
        <v>390</v>
      </c>
      <c r="M2775" s="2" t="s">
        <v>2320</v>
      </c>
      <c r="N2775" s="16">
        <v>1.9800000000000002E-2</v>
      </c>
      <c r="O2775" s="17">
        <f>N2775*'Financial Inputs'!$B$3</f>
        <v>1980000.0000000002</v>
      </c>
      <c r="P2775" s="18">
        <f>IF(I2775="L",'Financial Inputs'!$B$4,IF(I2775="M",'Financial Inputs'!$B$5,'Financial Inputs'!$B$6))</f>
        <v>0.4</v>
      </c>
      <c r="Q2775" s="17">
        <f>O2775*P2775</f>
        <v>792000.00000000012</v>
      </c>
      <c r="R2775" s="16">
        <f>'Financial Inputs'!$B$7</f>
        <v>0.35</v>
      </c>
      <c r="S2775" s="17">
        <f>Q2775*(1-R2775)</f>
        <v>514800.00000000012</v>
      </c>
      <c r="T2775" s="18">
        <f>S2775/'Financial Inputs'!$B$3</f>
        <v>5.1480000000000015E-3</v>
      </c>
      <c r="U2775" s="9" t="s">
        <v>52</v>
      </c>
      <c r="V2775" s="3" t="s">
        <v>53</v>
      </c>
    </row>
    <row r="2776" spans="1:22">
      <c r="A2776" s="2" t="s">
        <v>8582</v>
      </c>
      <c r="B2776" s="2" t="s">
        <v>8583</v>
      </c>
      <c r="C2776" s="2" t="s">
        <v>8361</v>
      </c>
      <c r="D2776" s="2" t="s">
        <v>64</v>
      </c>
      <c r="E2776" s="2" t="s">
        <v>96</v>
      </c>
      <c r="F2776" s="2" t="s">
        <v>58</v>
      </c>
      <c r="G2776" s="2" t="s">
        <v>67</v>
      </c>
      <c r="H2776" s="2" t="s">
        <v>46</v>
      </c>
      <c r="I2776" s="2" t="s">
        <v>47</v>
      </c>
      <c r="J2776" s="2" t="s">
        <v>500</v>
      </c>
      <c r="K2776" s="2" t="s">
        <v>8584</v>
      </c>
      <c r="L2776" s="2" t="s">
        <v>394</v>
      </c>
      <c r="M2776" s="2" t="s">
        <v>2320</v>
      </c>
      <c r="N2776" s="16">
        <v>2.1600000000000001E-2</v>
      </c>
      <c r="O2776" s="17">
        <f>N2776*'Financial Inputs'!$B$3</f>
        <v>2160000</v>
      </c>
      <c r="P2776" s="18">
        <f>IF(I2776="L",'Financial Inputs'!$B$4,IF(I2776="M",'Financial Inputs'!$B$5,'Financial Inputs'!$B$6))</f>
        <v>0.4</v>
      </c>
      <c r="Q2776" s="17">
        <f>O2776*P2776</f>
        <v>864000</v>
      </c>
      <c r="R2776" s="16">
        <f>'Financial Inputs'!$B$7</f>
        <v>0.35</v>
      </c>
      <c r="S2776" s="17">
        <f>Q2776*(1-R2776)</f>
        <v>561600</v>
      </c>
      <c r="T2776" s="18">
        <f>S2776/'Financial Inputs'!$B$3</f>
        <v>5.6160000000000003E-3</v>
      </c>
      <c r="U2776" s="9" t="s">
        <v>52</v>
      </c>
      <c r="V2776" s="3" t="s">
        <v>53</v>
      </c>
    </row>
    <row r="2777" spans="1:22">
      <c r="A2777" s="2" t="s">
        <v>8585</v>
      </c>
      <c r="B2777" s="2" t="s">
        <v>8586</v>
      </c>
      <c r="C2777" s="2" t="s">
        <v>8361</v>
      </c>
      <c r="D2777" s="2" t="s">
        <v>127</v>
      </c>
      <c r="E2777" s="2" t="s">
        <v>220</v>
      </c>
      <c r="F2777" s="2" t="s">
        <v>104</v>
      </c>
      <c r="G2777" s="2" t="s">
        <v>45</v>
      </c>
      <c r="H2777" s="2" t="s">
        <v>46</v>
      </c>
      <c r="I2777" s="2" t="s">
        <v>47</v>
      </c>
      <c r="J2777" s="2" t="s">
        <v>500</v>
      </c>
      <c r="K2777" s="2" t="s">
        <v>8587</v>
      </c>
      <c r="L2777" s="2" t="s">
        <v>398</v>
      </c>
      <c r="M2777" s="2" t="s">
        <v>2320</v>
      </c>
      <c r="N2777" s="16">
        <v>1.44E-2</v>
      </c>
      <c r="O2777" s="17">
        <f>N2777*'Financial Inputs'!$B$3</f>
        <v>1440000</v>
      </c>
      <c r="P2777" s="18">
        <f>IF(I2777="L",'Financial Inputs'!$B$4,IF(I2777="M",'Financial Inputs'!$B$5,'Financial Inputs'!$B$6))</f>
        <v>0.4</v>
      </c>
      <c r="Q2777" s="17">
        <f>O2777*P2777</f>
        <v>576000</v>
      </c>
      <c r="R2777" s="16">
        <f>'Financial Inputs'!$B$7</f>
        <v>0.35</v>
      </c>
      <c r="S2777" s="17">
        <f>Q2777*(1-R2777)</f>
        <v>374400</v>
      </c>
      <c r="T2777" s="18">
        <f>S2777/'Financial Inputs'!$B$3</f>
        <v>3.7439999999999999E-3</v>
      </c>
      <c r="U2777" s="9" t="s">
        <v>52</v>
      </c>
      <c r="V2777" s="3" t="s">
        <v>53</v>
      </c>
    </row>
    <row r="2778" spans="1:22">
      <c r="A2778" s="2" t="s">
        <v>8588</v>
      </c>
      <c r="B2778" s="2" t="s">
        <v>8589</v>
      </c>
      <c r="C2778" s="2" t="s">
        <v>8361</v>
      </c>
      <c r="D2778" s="2" t="s">
        <v>133</v>
      </c>
      <c r="E2778" s="2" t="s">
        <v>171</v>
      </c>
      <c r="F2778" s="2" t="s">
        <v>110</v>
      </c>
      <c r="G2778" s="2" t="s">
        <v>59</v>
      </c>
      <c r="H2778" s="2" t="s">
        <v>46</v>
      </c>
      <c r="I2778" s="2" t="s">
        <v>47</v>
      </c>
      <c r="J2778" s="2" t="s">
        <v>500</v>
      </c>
      <c r="K2778" s="2" t="s">
        <v>8590</v>
      </c>
      <c r="L2778" s="2" t="s">
        <v>402</v>
      </c>
      <c r="M2778" s="2" t="s">
        <v>2320</v>
      </c>
      <c r="N2778" s="16">
        <v>1.6199999999999999E-2</v>
      </c>
      <c r="O2778" s="17">
        <f>N2778*'Financial Inputs'!$B$3</f>
        <v>1620000</v>
      </c>
      <c r="P2778" s="18">
        <f>IF(I2778="L",'Financial Inputs'!$B$4,IF(I2778="M",'Financial Inputs'!$B$5,'Financial Inputs'!$B$6))</f>
        <v>0.4</v>
      </c>
      <c r="Q2778" s="17">
        <f>O2778*P2778</f>
        <v>648000</v>
      </c>
      <c r="R2778" s="16">
        <f>'Financial Inputs'!$B$7</f>
        <v>0.35</v>
      </c>
      <c r="S2778" s="17">
        <f>Q2778*(1-R2778)</f>
        <v>421200</v>
      </c>
      <c r="T2778" s="18">
        <f>S2778/'Financial Inputs'!$B$3</f>
        <v>4.2119999999999996E-3</v>
      </c>
      <c r="U2778" s="9" t="s">
        <v>52</v>
      </c>
      <c r="V2778" s="3" t="s">
        <v>53</v>
      </c>
    </row>
    <row r="2779" spans="1:22">
      <c r="A2779" s="2" t="s">
        <v>8591</v>
      </c>
      <c r="B2779" s="2" t="s">
        <v>8592</v>
      </c>
      <c r="C2779" s="2" t="s">
        <v>8361</v>
      </c>
      <c r="D2779" s="2" t="s">
        <v>88</v>
      </c>
      <c r="E2779" s="2" t="s">
        <v>176</v>
      </c>
      <c r="F2779" s="2" t="s">
        <v>117</v>
      </c>
      <c r="G2779" s="2" t="s">
        <v>67</v>
      </c>
      <c r="H2779" s="2" t="s">
        <v>46</v>
      </c>
      <c r="I2779" s="2" t="s">
        <v>47</v>
      </c>
      <c r="J2779" s="2" t="s">
        <v>500</v>
      </c>
      <c r="K2779" s="2" t="s">
        <v>8593</v>
      </c>
      <c r="L2779" s="2" t="s">
        <v>406</v>
      </c>
      <c r="M2779" s="2" t="s">
        <v>2320</v>
      </c>
      <c r="N2779" s="16">
        <v>1.7999999999999999E-2</v>
      </c>
      <c r="O2779" s="17">
        <f>N2779*'Financial Inputs'!$B$3</f>
        <v>1799999.9999999998</v>
      </c>
      <c r="P2779" s="18">
        <f>IF(I2779="L",'Financial Inputs'!$B$4,IF(I2779="M",'Financial Inputs'!$B$5,'Financial Inputs'!$B$6))</f>
        <v>0.4</v>
      </c>
      <c r="Q2779" s="17">
        <f>O2779*P2779</f>
        <v>720000</v>
      </c>
      <c r="R2779" s="16">
        <f>'Financial Inputs'!$B$7</f>
        <v>0.35</v>
      </c>
      <c r="S2779" s="17">
        <f>Q2779*(1-R2779)</f>
        <v>468000</v>
      </c>
      <c r="T2779" s="18">
        <f>S2779/'Financial Inputs'!$B$3</f>
        <v>4.6800000000000001E-3</v>
      </c>
      <c r="U2779" s="9" t="s">
        <v>52</v>
      </c>
      <c r="V2779" s="3" t="s">
        <v>53</v>
      </c>
    </row>
    <row r="2780" spans="1:22">
      <c r="A2780" s="2" t="s">
        <v>8594</v>
      </c>
      <c r="B2780" s="2" t="s">
        <v>8595</v>
      </c>
      <c r="C2780" s="2" t="s">
        <v>8361</v>
      </c>
      <c r="D2780" s="2" t="s">
        <v>95</v>
      </c>
      <c r="E2780" s="2" t="s">
        <v>122</v>
      </c>
      <c r="F2780" s="2" t="s">
        <v>90</v>
      </c>
      <c r="G2780" s="2" t="s">
        <v>75</v>
      </c>
      <c r="H2780" s="2" t="s">
        <v>46</v>
      </c>
      <c r="I2780" s="2" t="s">
        <v>47</v>
      </c>
      <c r="J2780" s="2" t="s">
        <v>500</v>
      </c>
      <c r="K2780" s="2" t="s">
        <v>8596</v>
      </c>
      <c r="L2780" s="2" t="s">
        <v>410</v>
      </c>
      <c r="M2780" s="2" t="s">
        <v>2320</v>
      </c>
      <c r="N2780" s="16">
        <v>1.9800000000000002E-2</v>
      </c>
      <c r="O2780" s="17">
        <f>N2780*'Financial Inputs'!$B$3</f>
        <v>1980000.0000000002</v>
      </c>
      <c r="P2780" s="18">
        <f>IF(I2780="L",'Financial Inputs'!$B$4,IF(I2780="M",'Financial Inputs'!$B$5,'Financial Inputs'!$B$6))</f>
        <v>0.4</v>
      </c>
      <c r="Q2780" s="17">
        <f>O2780*P2780</f>
        <v>792000.00000000012</v>
      </c>
      <c r="R2780" s="16">
        <f>'Financial Inputs'!$B$7</f>
        <v>0.35</v>
      </c>
      <c r="S2780" s="17">
        <f>Q2780*(1-R2780)</f>
        <v>514800.00000000012</v>
      </c>
      <c r="T2780" s="18">
        <f>S2780/'Financial Inputs'!$B$3</f>
        <v>5.1480000000000015E-3</v>
      </c>
      <c r="U2780" s="9" t="s">
        <v>52</v>
      </c>
      <c r="V2780" s="3" t="s">
        <v>53</v>
      </c>
    </row>
    <row r="2781" spans="1:22">
      <c r="A2781" s="2" t="s">
        <v>8597</v>
      </c>
      <c r="B2781" s="2" t="s">
        <v>8598</v>
      </c>
      <c r="C2781" s="2" t="s">
        <v>8361</v>
      </c>
      <c r="D2781" s="2" t="s">
        <v>102</v>
      </c>
      <c r="E2781" s="2" t="s">
        <v>128</v>
      </c>
      <c r="F2781" s="2" t="s">
        <v>97</v>
      </c>
      <c r="G2781" s="2" t="s">
        <v>83</v>
      </c>
      <c r="H2781" s="2" t="s">
        <v>46</v>
      </c>
      <c r="I2781" s="2" t="s">
        <v>47</v>
      </c>
      <c r="J2781" s="2" t="s">
        <v>500</v>
      </c>
      <c r="K2781" s="2" t="s">
        <v>8599</v>
      </c>
      <c r="L2781" s="2" t="s">
        <v>414</v>
      </c>
      <c r="M2781" s="2" t="s">
        <v>2320</v>
      </c>
      <c r="N2781" s="16">
        <v>2.1600000000000001E-2</v>
      </c>
      <c r="O2781" s="17">
        <f>N2781*'Financial Inputs'!$B$3</f>
        <v>2160000</v>
      </c>
      <c r="P2781" s="18">
        <f>IF(I2781="L",'Financial Inputs'!$B$4,IF(I2781="M",'Financial Inputs'!$B$5,'Financial Inputs'!$B$6))</f>
        <v>0.4</v>
      </c>
      <c r="Q2781" s="17">
        <f>O2781*P2781</f>
        <v>864000</v>
      </c>
      <c r="R2781" s="16">
        <f>'Financial Inputs'!$B$7</f>
        <v>0.35</v>
      </c>
      <c r="S2781" s="17">
        <f>Q2781*(1-R2781)</f>
        <v>561600</v>
      </c>
      <c r="T2781" s="18">
        <f>S2781/'Financial Inputs'!$B$3</f>
        <v>5.6160000000000003E-3</v>
      </c>
      <c r="U2781" s="9" t="s">
        <v>52</v>
      </c>
      <c r="V2781" s="3" t="s">
        <v>53</v>
      </c>
    </row>
    <row r="2782" spans="1:22">
      <c r="A2782" s="2" t="s">
        <v>8600</v>
      </c>
      <c r="B2782" s="2" t="s">
        <v>8601</v>
      </c>
      <c r="C2782" s="2" t="s">
        <v>8361</v>
      </c>
      <c r="D2782" s="2" t="s">
        <v>64</v>
      </c>
      <c r="E2782" s="2" t="s">
        <v>81</v>
      </c>
      <c r="F2782" s="2" t="s">
        <v>74</v>
      </c>
      <c r="G2782" s="2" t="s">
        <v>67</v>
      </c>
      <c r="H2782" s="2" t="s">
        <v>46</v>
      </c>
      <c r="I2782" s="2" t="s">
        <v>47</v>
      </c>
      <c r="J2782" s="2" t="s">
        <v>500</v>
      </c>
      <c r="K2782" s="2" t="s">
        <v>8602</v>
      </c>
      <c r="L2782" s="2" t="s">
        <v>418</v>
      </c>
      <c r="M2782" s="2" t="s">
        <v>2320</v>
      </c>
      <c r="N2782" s="16">
        <v>1.44E-2</v>
      </c>
      <c r="O2782" s="17">
        <f>N2782*'Financial Inputs'!$B$3</f>
        <v>1440000</v>
      </c>
      <c r="P2782" s="18">
        <f>IF(I2782="L",'Financial Inputs'!$B$4,IF(I2782="M",'Financial Inputs'!$B$5,'Financial Inputs'!$B$6))</f>
        <v>0.4</v>
      </c>
      <c r="Q2782" s="17">
        <f>O2782*P2782</f>
        <v>576000</v>
      </c>
      <c r="R2782" s="16">
        <f>'Financial Inputs'!$B$7</f>
        <v>0.35</v>
      </c>
      <c r="S2782" s="17">
        <f>Q2782*(1-R2782)</f>
        <v>374400</v>
      </c>
      <c r="T2782" s="18">
        <f>S2782/'Financial Inputs'!$B$3</f>
        <v>3.7439999999999999E-3</v>
      </c>
      <c r="U2782" s="9" t="s">
        <v>52</v>
      </c>
      <c r="V2782" s="3" t="s">
        <v>53</v>
      </c>
    </row>
    <row r="2783" spans="1:22">
      <c r="A2783" s="2" t="s">
        <v>8603</v>
      </c>
      <c r="B2783" s="2" t="s">
        <v>8604</v>
      </c>
      <c r="C2783" s="2" t="s">
        <v>8361</v>
      </c>
      <c r="D2783" s="2" t="s">
        <v>72</v>
      </c>
      <c r="E2783" s="2" t="s">
        <v>193</v>
      </c>
      <c r="F2783" s="2" t="s">
        <v>82</v>
      </c>
      <c r="G2783" s="2" t="s">
        <v>75</v>
      </c>
      <c r="H2783" s="2" t="s">
        <v>46</v>
      </c>
      <c r="I2783" s="2" t="s">
        <v>47</v>
      </c>
      <c r="J2783" s="2" t="s">
        <v>500</v>
      </c>
      <c r="K2783" s="2" t="s">
        <v>8605</v>
      </c>
      <c r="L2783" s="2" t="s">
        <v>422</v>
      </c>
      <c r="M2783" s="2" t="s">
        <v>2320</v>
      </c>
      <c r="N2783" s="16">
        <v>1.6199999999999999E-2</v>
      </c>
      <c r="O2783" s="17">
        <f>N2783*'Financial Inputs'!$B$3</f>
        <v>1620000</v>
      </c>
      <c r="P2783" s="18">
        <f>IF(I2783="L",'Financial Inputs'!$B$4,IF(I2783="M",'Financial Inputs'!$B$5,'Financial Inputs'!$B$6))</f>
        <v>0.4</v>
      </c>
      <c r="Q2783" s="17">
        <f>O2783*P2783</f>
        <v>648000</v>
      </c>
      <c r="R2783" s="16">
        <f>'Financial Inputs'!$B$7</f>
        <v>0.35</v>
      </c>
      <c r="S2783" s="17">
        <f>Q2783*(1-R2783)</f>
        <v>421200</v>
      </c>
      <c r="T2783" s="18">
        <f>S2783/'Financial Inputs'!$B$3</f>
        <v>4.2119999999999996E-3</v>
      </c>
      <c r="U2783" s="9" t="s">
        <v>52</v>
      </c>
      <c r="V2783" s="3" t="s">
        <v>53</v>
      </c>
    </row>
    <row r="2784" spans="1:22">
      <c r="A2784" s="2" t="s">
        <v>8606</v>
      </c>
      <c r="B2784" s="2" t="s">
        <v>8607</v>
      </c>
      <c r="C2784" s="2" t="s">
        <v>8361</v>
      </c>
      <c r="D2784" s="2" t="s">
        <v>80</v>
      </c>
      <c r="E2784" s="2" t="s">
        <v>198</v>
      </c>
      <c r="F2784" s="2" t="s">
        <v>44</v>
      </c>
      <c r="G2784" s="2" t="s">
        <v>83</v>
      </c>
      <c r="H2784" s="2" t="s">
        <v>46</v>
      </c>
      <c r="I2784" s="2" t="s">
        <v>47</v>
      </c>
      <c r="J2784" s="2" t="s">
        <v>500</v>
      </c>
      <c r="K2784" s="2" t="s">
        <v>8608</v>
      </c>
      <c r="L2784" s="2" t="s">
        <v>426</v>
      </c>
      <c r="M2784" s="2" t="s">
        <v>2320</v>
      </c>
      <c r="N2784" s="16">
        <v>1.7999999999999999E-2</v>
      </c>
      <c r="O2784" s="17">
        <f>N2784*'Financial Inputs'!$B$3</f>
        <v>1799999.9999999998</v>
      </c>
      <c r="P2784" s="18">
        <f>IF(I2784="L",'Financial Inputs'!$B$4,IF(I2784="M",'Financial Inputs'!$B$5,'Financial Inputs'!$B$6))</f>
        <v>0.4</v>
      </c>
      <c r="Q2784" s="17">
        <f>O2784*P2784</f>
        <v>720000</v>
      </c>
      <c r="R2784" s="16">
        <f>'Financial Inputs'!$B$7</f>
        <v>0.35</v>
      </c>
      <c r="S2784" s="17">
        <f>Q2784*(1-R2784)</f>
        <v>468000</v>
      </c>
      <c r="T2784" s="18">
        <f>S2784/'Financial Inputs'!$B$3</f>
        <v>4.6800000000000001E-3</v>
      </c>
      <c r="U2784" s="9" t="s">
        <v>52</v>
      </c>
      <c r="V2784" s="3" t="s">
        <v>53</v>
      </c>
    </row>
    <row r="2785" spans="1:22">
      <c r="A2785" s="2" t="s">
        <v>8609</v>
      </c>
      <c r="B2785" s="2" t="s">
        <v>8610</v>
      </c>
      <c r="C2785" s="2" t="s">
        <v>8361</v>
      </c>
      <c r="D2785" s="2" t="s">
        <v>127</v>
      </c>
      <c r="E2785" s="2" t="s">
        <v>148</v>
      </c>
      <c r="F2785" s="2" t="s">
        <v>58</v>
      </c>
      <c r="G2785" s="2" t="s">
        <v>111</v>
      </c>
      <c r="H2785" s="2" t="s">
        <v>46</v>
      </c>
      <c r="I2785" s="2" t="s">
        <v>47</v>
      </c>
      <c r="J2785" s="2" t="s">
        <v>500</v>
      </c>
      <c r="K2785" s="2" t="s">
        <v>8611</v>
      </c>
      <c r="L2785" s="2" t="s">
        <v>430</v>
      </c>
      <c r="M2785" s="2" t="s">
        <v>2320</v>
      </c>
      <c r="N2785" s="16">
        <v>1.9800000000000002E-2</v>
      </c>
      <c r="O2785" s="17">
        <f>N2785*'Financial Inputs'!$B$3</f>
        <v>1980000.0000000002</v>
      </c>
      <c r="P2785" s="18">
        <f>IF(I2785="L",'Financial Inputs'!$B$4,IF(I2785="M",'Financial Inputs'!$B$5,'Financial Inputs'!$B$6))</f>
        <v>0.4</v>
      </c>
      <c r="Q2785" s="17">
        <f>O2785*P2785</f>
        <v>792000.00000000012</v>
      </c>
      <c r="R2785" s="16">
        <f>'Financial Inputs'!$B$7</f>
        <v>0.35</v>
      </c>
      <c r="S2785" s="17">
        <f>Q2785*(1-R2785)</f>
        <v>514800.00000000012</v>
      </c>
      <c r="T2785" s="18">
        <f>S2785/'Financial Inputs'!$B$3</f>
        <v>5.1480000000000015E-3</v>
      </c>
      <c r="U2785" s="9" t="s">
        <v>52</v>
      </c>
      <c r="V2785" s="3" t="s">
        <v>53</v>
      </c>
    </row>
    <row r="2786" spans="1:22">
      <c r="A2786" s="2" t="s">
        <v>8612</v>
      </c>
      <c r="B2786" s="2" t="s">
        <v>8613</v>
      </c>
      <c r="C2786" s="2" t="s">
        <v>8361</v>
      </c>
      <c r="D2786" s="2" t="s">
        <v>133</v>
      </c>
      <c r="E2786" s="2" t="s">
        <v>153</v>
      </c>
      <c r="F2786" s="2" t="s">
        <v>66</v>
      </c>
      <c r="G2786" s="2" t="s">
        <v>56</v>
      </c>
      <c r="H2786" s="2" t="s">
        <v>46</v>
      </c>
      <c r="I2786" s="2" t="s">
        <v>47</v>
      </c>
      <c r="J2786" s="2" t="s">
        <v>500</v>
      </c>
      <c r="K2786" s="2" t="s">
        <v>8614</v>
      </c>
      <c r="L2786" s="2" t="s">
        <v>434</v>
      </c>
      <c r="M2786" s="2" t="s">
        <v>2320</v>
      </c>
      <c r="N2786" s="16">
        <v>2.1600000000000001E-2</v>
      </c>
      <c r="O2786" s="17">
        <f>N2786*'Financial Inputs'!$B$3</f>
        <v>2160000</v>
      </c>
      <c r="P2786" s="18">
        <f>IF(I2786="L",'Financial Inputs'!$B$4,IF(I2786="M",'Financial Inputs'!$B$5,'Financial Inputs'!$B$6))</f>
        <v>0.4</v>
      </c>
      <c r="Q2786" s="17">
        <f>O2786*P2786</f>
        <v>864000</v>
      </c>
      <c r="R2786" s="16">
        <f>'Financial Inputs'!$B$7</f>
        <v>0.35</v>
      </c>
      <c r="S2786" s="17">
        <f>Q2786*(1-R2786)</f>
        <v>561600</v>
      </c>
      <c r="T2786" s="18">
        <f>S2786/'Financial Inputs'!$B$3</f>
        <v>5.6160000000000003E-3</v>
      </c>
      <c r="U2786" s="9" t="s">
        <v>52</v>
      </c>
      <c r="V2786" s="3" t="s">
        <v>53</v>
      </c>
    </row>
    <row r="2787" spans="1:22">
      <c r="A2787" s="2" t="s">
        <v>8615</v>
      </c>
      <c r="B2787" s="2" t="s">
        <v>8616</v>
      </c>
      <c r="C2787" s="2" t="s">
        <v>8361</v>
      </c>
      <c r="D2787" s="2" t="s">
        <v>102</v>
      </c>
      <c r="E2787" s="2" t="s">
        <v>116</v>
      </c>
      <c r="F2787" s="2" t="s">
        <v>110</v>
      </c>
      <c r="G2787" s="2" t="s">
        <v>83</v>
      </c>
      <c r="H2787" s="2" t="s">
        <v>46</v>
      </c>
      <c r="I2787" s="2" t="s">
        <v>47</v>
      </c>
      <c r="J2787" s="2" t="s">
        <v>500</v>
      </c>
      <c r="K2787" s="2" t="s">
        <v>8617</v>
      </c>
      <c r="L2787" s="2" t="s">
        <v>438</v>
      </c>
      <c r="M2787" s="2" t="s">
        <v>2320</v>
      </c>
      <c r="N2787" s="16">
        <v>1.44E-2</v>
      </c>
      <c r="O2787" s="17">
        <f>N2787*'Financial Inputs'!$B$3</f>
        <v>1440000</v>
      </c>
      <c r="P2787" s="18">
        <f>IF(I2787="L",'Financial Inputs'!$B$4,IF(I2787="M",'Financial Inputs'!$B$5,'Financial Inputs'!$B$6))</f>
        <v>0.4</v>
      </c>
      <c r="Q2787" s="17">
        <f>O2787*P2787</f>
        <v>576000</v>
      </c>
      <c r="R2787" s="16">
        <f>'Financial Inputs'!$B$7</f>
        <v>0.35</v>
      </c>
      <c r="S2787" s="17">
        <f>Q2787*(1-R2787)</f>
        <v>374400</v>
      </c>
      <c r="T2787" s="18">
        <f>S2787/'Financial Inputs'!$B$3</f>
        <v>3.7439999999999999E-3</v>
      </c>
      <c r="U2787" s="9" t="s">
        <v>52</v>
      </c>
      <c r="V2787" s="3" t="s">
        <v>53</v>
      </c>
    </row>
    <row r="2788" spans="1:22">
      <c r="A2788" s="2" t="s">
        <v>8618</v>
      </c>
      <c r="B2788" s="2" t="s">
        <v>8619</v>
      </c>
      <c r="C2788" s="2" t="s">
        <v>8361</v>
      </c>
      <c r="D2788" s="2" t="s">
        <v>42</v>
      </c>
      <c r="E2788" s="2" t="s">
        <v>215</v>
      </c>
      <c r="F2788" s="2" t="s">
        <v>117</v>
      </c>
      <c r="G2788" s="2" t="s">
        <v>111</v>
      </c>
      <c r="H2788" s="2" t="s">
        <v>46</v>
      </c>
      <c r="I2788" s="2" t="s">
        <v>47</v>
      </c>
      <c r="J2788" s="2" t="s">
        <v>500</v>
      </c>
      <c r="K2788" s="2" t="s">
        <v>8620</v>
      </c>
      <c r="L2788" s="2" t="s">
        <v>442</v>
      </c>
      <c r="M2788" s="2" t="s">
        <v>2320</v>
      </c>
      <c r="N2788" s="16">
        <v>1.6199999999999999E-2</v>
      </c>
      <c r="O2788" s="17">
        <f>N2788*'Financial Inputs'!$B$3</f>
        <v>1620000</v>
      </c>
      <c r="P2788" s="18">
        <f>IF(I2788="L",'Financial Inputs'!$B$4,IF(I2788="M",'Financial Inputs'!$B$5,'Financial Inputs'!$B$6))</f>
        <v>0.4</v>
      </c>
      <c r="Q2788" s="17">
        <f>O2788*P2788</f>
        <v>648000</v>
      </c>
      <c r="R2788" s="16">
        <f>'Financial Inputs'!$B$7</f>
        <v>0.35</v>
      </c>
      <c r="S2788" s="17">
        <f>Q2788*(1-R2788)</f>
        <v>421200</v>
      </c>
      <c r="T2788" s="18">
        <f>S2788/'Financial Inputs'!$B$3</f>
        <v>4.2119999999999996E-3</v>
      </c>
      <c r="U2788" s="9" t="s">
        <v>52</v>
      </c>
      <c r="V2788" s="3" t="s">
        <v>53</v>
      </c>
    </row>
    <row r="2789" spans="1:22">
      <c r="A2789" s="2" t="s">
        <v>8621</v>
      </c>
      <c r="B2789" s="2" t="s">
        <v>8622</v>
      </c>
      <c r="C2789" s="2" t="s">
        <v>8361</v>
      </c>
      <c r="D2789" s="2" t="s">
        <v>56</v>
      </c>
      <c r="E2789" s="2" t="s">
        <v>220</v>
      </c>
      <c r="F2789" s="2" t="s">
        <v>90</v>
      </c>
      <c r="G2789" s="2" t="s">
        <v>56</v>
      </c>
      <c r="H2789" s="2" t="s">
        <v>46</v>
      </c>
      <c r="I2789" s="2" t="s">
        <v>47</v>
      </c>
      <c r="J2789" s="2" t="s">
        <v>500</v>
      </c>
      <c r="K2789" s="2" t="s">
        <v>8623</v>
      </c>
      <c r="L2789" s="2" t="s">
        <v>446</v>
      </c>
      <c r="M2789" s="2" t="s">
        <v>2320</v>
      </c>
      <c r="N2789" s="16">
        <v>1.7999999999999999E-2</v>
      </c>
      <c r="O2789" s="17">
        <f>N2789*'Financial Inputs'!$B$3</f>
        <v>1799999.9999999998</v>
      </c>
      <c r="P2789" s="18">
        <f>IF(I2789="L",'Financial Inputs'!$B$4,IF(I2789="M",'Financial Inputs'!$B$5,'Financial Inputs'!$B$6))</f>
        <v>0.4</v>
      </c>
      <c r="Q2789" s="17">
        <f>O2789*P2789</f>
        <v>720000</v>
      </c>
      <c r="R2789" s="16">
        <f>'Financial Inputs'!$B$7</f>
        <v>0.35</v>
      </c>
      <c r="S2789" s="17">
        <f>Q2789*(1-R2789)</f>
        <v>468000</v>
      </c>
      <c r="T2789" s="18">
        <f>S2789/'Financial Inputs'!$B$3</f>
        <v>4.6800000000000001E-3</v>
      </c>
      <c r="U2789" s="9" t="s">
        <v>52</v>
      </c>
      <c r="V2789" s="3" t="s">
        <v>53</v>
      </c>
    </row>
    <row r="2790" spans="1:22">
      <c r="A2790" s="2" t="s">
        <v>8624</v>
      </c>
      <c r="B2790" s="2" t="s">
        <v>8625</v>
      </c>
      <c r="C2790" s="2" t="s">
        <v>8361</v>
      </c>
      <c r="D2790" s="2" t="s">
        <v>64</v>
      </c>
      <c r="E2790" s="2" t="s">
        <v>171</v>
      </c>
      <c r="F2790" s="2" t="s">
        <v>97</v>
      </c>
      <c r="G2790" s="2" t="s">
        <v>138</v>
      </c>
      <c r="H2790" s="2" t="s">
        <v>46</v>
      </c>
      <c r="I2790" s="2" t="s">
        <v>47</v>
      </c>
      <c r="J2790" s="2" t="s">
        <v>500</v>
      </c>
      <c r="K2790" s="2" t="s">
        <v>8626</v>
      </c>
      <c r="L2790" s="2" t="s">
        <v>450</v>
      </c>
      <c r="M2790" s="2" t="s">
        <v>2320</v>
      </c>
      <c r="N2790" s="16">
        <v>1.9800000000000002E-2</v>
      </c>
      <c r="O2790" s="17">
        <f>N2790*'Financial Inputs'!$B$3</f>
        <v>1980000.0000000002</v>
      </c>
      <c r="P2790" s="18">
        <f>IF(I2790="L",'Financial Inputs'!$B$4,IF(I2790="M",'Financial Inputs'!$B$5,'Financial Inputs'!$B$6))</f>
        <v>0.4</v>
      </c>
      <c r="Q2790" s="17">
        <f>O2790*P2790</f>
        <v>792000.00000000012</v>
      </c>
      <c r="R2790" s="16">
        <f>'Financial Inputs'!$B$7</f>
        <v>0.35</v>
      </c>
      <c r="S2790" s="17">
        <f>Q2790*(1-R2790)</f>
        <v>514800.00000000012</v>
      </c>
      <c r="T2790" s="18">
        <f>S2790/'Financial Inputs'!$B$3</f>
        <v>5.1480000000000015E-3</v>
      </c>
      <c r="U2790" s="9" t="s">
        <v>52</v>
      </c>
      <c r="V2790" s="3" t="s">
        <v>53</v>
      </c>
    </row>
    <row r="2791" spans="1:22">
      <c r="A2791" s="2" t="s">
        <v>8627</v>
      </c>
      <c r="B2791" s="2" t="s">
        <v>8628</v>
      </c>
      <c r="C2791" s="2" t="s">
        <v>8361</v>
      </c>
      <c r="D2791" s="2" t="s">
        <v>72</v>
      </c>
      <c r="E2791" s="2" t="s">
        <v>176</v>
      </c>
      <c r="F2791" s="2" t="s">
        <v>104</v>
      </c>
      <c r="G2791" s="2" t="s">
        <v>143</v>
      </c>
      <c r="H2791" s="2" t="s">
        <v>46</v>
      </c>
      <c r="I2791" s="2" t="s">
        <v>47</v>
      </c>
      <c r="J2791" s="2" t="s">
        <v>500</v>
      </c>
      <c r="K2791" s="2" t="s">
        <v>8629</v>
      </c>
      <c r="L2791" s="2" t="s">
        <v>454</v>
      </c>
      <c r="M2791" s="2" t="s">
        <v>2320</v>
      </c>
      <c r="N2791" s="16">
        <v>2.1600000000000001E-2</v>
      </c>
      <c r="O2791" s="17">
        <f>N2791*'Financial Inputs'!$B$3</f>
        <v>2160000</v>
      </c>
      <c r="P2791" s="18">
        <f>IF(I2791="L",'Financial Inputs'!$B$4,IF(I2791="M",'Financial Inputs'!$B$5,'Financial Inputs'!$B$6))</f>
        <v>0.4</v>
      </c>
      <c r="Q2791" s="17">
        <f>O2791*P2791</f>
        <v>864000</v>
      </c>
      <c r="R2791" s="16">
        <f>'Financial Inputs'!$B$7</f>
        <v>0.35</v>
      </c>
      <c r="S2791" s="17">
        <f>Q2791*(1-R2791)</f>
        <v>561600</v>
      </c>
      <c r="T2791" s="18">
        <f>S2791/'Financial Inputs'!$B$3</f>
        <v>5.6160000000000003E-3</v>
      </c>
      <c r="U2791" s="9" t="s">
        <v>52</v>
      </c>
      <c r="V2791" s="3" t="s">
        <v>53</v>
      </c>
    </row>
    <row r="2792" spans="1:22">
      <c r="A2792" s="2" t="s">
        <v>8630</v>
      </c>
      <c r="B2792" s="2" t="s">
        <v>8631</v>
      </c>
      <c r="C2792" s="2" t="s">
        <v>8361</v>
      </c>
      <c r="D2792" s="2" t="s">
        <v>133</v>
      </c>
      <c r="E2792" s="2" t="s">
        <v>65</v>
      </c>
      <c r="F2792" s="2" t="s">
        <v>82</v>
      </c>
      <c r="G2792" s="2" t="s">
        <v>56</v>
      </c>
      <c r="H2792" s="2" t="s">
        <v>46</v>
      </c>
      <c r="I2792" s="2" t="s">
        <v>47</v>
      </c>
      <c r="J2792" s="2" t="s">
        <v>500</v>
      </c>
      <c r="K2792" s="2" t="s">
        <v>8632</v>
      </c>
      <c r="L2792" s="2" t="s">
        <v>458</v>
      </c>
      <c r="M2792" s="2" t="s">
        <v>2320</v>
      </c>
      <c r="N2792" s="16">
        <v>1.44E-2</v>
      </c>
      <c r="O2792" s="17">
        <f>N2792*'Financial Inputs'!$B$3</f>
        <v>1440000</v>
      </c>
      <c r="P2792" s="18">
        <f>IF(I2792="L",'Financial Inputs'!$B$4,IF(I2792="M",'Financial Inputs'!$B$5,'Financial Inputs'!$B$6))</f>
        <v>0.4</v>
      </c>
      <c r="Q2792" s="17">
        <f>O2792*P2792</f>
        <v>576000</v>
      </c>
      <c r="R2792" s="16">
        <f>'Financial Inputs'!$B$7</f>
        <v>0.35</v>
      </c>
      <c r="S2792" s="17">
        <f>Q2792*(1-R2792)</f>
        <v>374400</v>
      </c>
      <c r="T2792" s="18">
        <f>S2792/'Financial Inputs'!$B$3</f>
        <v>3.7439999999999999E-3</v>
      </c>
      <c r="U2792" s="9" t="s">
        <v>52</v>
      </c>
      <c r="V2792" s="3" t="s">
        <v>53</v>
      </c>
    </row>
    <row r="2793" spans="1:22">
      <c r="A2793" s="2" t="s">
        <v>8633</v>
      </c>
      <c r="B2793" s="2" t="s">
        <v>8634</v>
      </c>
      <c r="C2793" s="2" t="s">
        <v>8361</v>
      </c>
      <c r="D2793" s="2" t="s">
        <v>88</v>
      </c>
      <c r="E2793" s="2" t="s">
        <v>73</v>
      </c>
      <c r="F2793" s="2" t="s">
        <v>44</v>
      </c>
      <c r="G2793" s="2" t="s">
        <v>138</v>
      </c>
      <c r="H2793" s="2" t="s">
        <v>46</v>
      </c>
      <c r="I2793" s="2" t="s">
        <v>47</v>
      </c>
      <c r="J2793" s="2" t="s">
        <v>500</v>
      </c>
      <c r="K2793" s="2" t="s">
        <v>8635</v>
      </c>
      <c r="L2793" s="2" t="s">
        <v>462</v>
      </c>
      <c r="M2793" s="2" t="s">
        <v>2320</v>
      </c>
      <c r="N2793" s="16">
        <v>1.6199999999999999E-2</v>
      </c>
      <c r="O2793" s="17">
        <f>N2793*'Financial Inputs'!$B$3</f>
        <v>1620000</v>
      </c>
      <c r="P2793" s="18">
        <f>IF(I2793="L",'Financial Inputs'!$B$4,IF(I2793="M",'Financial Inputs'!$B$5,'Financial Inputs'!$B$6))</f>
        <v>0.4</v>
      </c>
      <c r="Q2793" s="17">
        <f>O2793*P2793</f>
        <v>648000</v>
      </c>
      <c r="R2793" s="16">
        <f>'Financial Inputs'!$B$7</f>
        <v>0.35</v>
      </c>
      <c r="S2793" s="17">
        <f>Q2793*(1-R2793)</f>
        <v>421200</v>
      </c>
      <c r="T2793" s="18">
        <f>S2793/'Financial Inputs'!$B$3</f>
        <v>4.2119999999999996E-3</v>
      </c>
      <c r="U2793" s="9" t="s">
        <v>52</v>
      </c>
      <c r="V2793" s="3" t="s">
        <v>53</v>
      </c>
    </row>
    <row r="2794" spans="1:22">
      <c r="A2794" s="2" t="s">
        <v>8636</v>
      </c>
      <c r="B2794" s="2" t="s">
        <v>8637</v>
      </c>
      <c r="C2794" s="2" t="s">
        <v>8361</v>
      </c>
      <c r="D2794" s="2" t="s">
        <v>95</v>
      </c>
      <c r="E2794" s="2" t="s">
        <v>81</v>
      </c>
      <c r="F2794" s="2" t="s">
        <v>58</v>
      </c>
      <c r="G2794" s="2" t="s">
        <v>143</v>
      </c>
      <c r="H2794" s="2" t="s">
        <v>46</v>
      </c>
      <c r="I2794" s="2" t="s">
        <v>47</v>
      </c>
      <c r="J2794" s="2" t="s">
        <v>500</v>
      </c>
      <c r="K2794" s="2" t="s">
        <v>8638</v>
      </c>
      <c r="L2794" s="2" t="s">
        <v>466</v>
      </c>
      <c r="M2794" s="2" t="s">
        <v>2320</v>
      </c>
      <c r="N2794" s="16">
        <v>1.7999999999999999E-2</v>
      </c>
      <c r="O2794" s="17">
        <f>N2794*'Financial Inputs'!$B$3</f>
        <v>1799999.9999999998</v>
      </c>
      <c r="P2794" s="18">
        <f>IF(I2794="L",'Financial Inputs'!$B$4,IF(I2794="M",'Financial Inputs'!$B$5,'Financial Inputs'!$B$6))</f>
        <v>0.4</v>
      </c>
      <c r="Q2794" s="17">
        <f>O2794*P2794</f>
        <v>720000</v>
      </c>
      <c r="R2794" s="16">
        <f>'Financial Inputs'!$B$7</f>
        <v>0.35</v>
      </c>
      <c r="S2794" s="17">
        <f>Q2794*(1-R2794)</f>
        <v>468000</v>
      </c>
      <c r="T2794" s="18">
        <f>S2794/'Financial Inputs'!$B$3</f>
        <v>4.6800000000000001E-3</v>
      </c>
      <c r="U2794" s="9" t="s">
        <v>52</v>
      </c>
      <c r="V2794" s="3" t="s">
        <v>53</v>
      </c>
    </row>
    <row r="2795" spans="1:22">
      <c r="A2795" s="2" t="s">
        <v>8639</v>
      </c>
      <c r="B2795" s="2" t="s">
        <v>8640</v>
      </c>
      <c r="C2795" s="2" t="s">
        <v>8361</v>
      </c>
      <c r="D2795" s="2" t="s">
        <v>102</v>
      </c>
      <c r="E2795" s="2" t="s">
        <v>193</v>
      </c>
      <c r="F2795" s="2" t="s">
        <v>66</v>
      </c>
      <c r="G2795" s="2" t="s">
        <v>162</v>
      </c>
      <c r="H2795" s="2" t="s">
        <v>46</v>
      </c>
      <c r="I2795" s="2" t="s">
        <v>47</v>
      </c>
      <c r="J2795" s="2" t="s">
        <v>500</v>
      </c>
      <c r="K2795" s="2" t="s">
        <v>8641</v>
      </c>
      <c r="L2795" s="2" t="s">
        <v>470</v>
      </c>
      <c r="M2795" s="2" t="s">
        <v>2320</v>
      </c>
      <c r="N2795" s="16">
        <v>1.9800000000000002E-2</v>
      </c>
      <c r="O2795" s="17">
        <f>N2795*'Financial Inputs'!$B$3</f>
        <v>1980000.0000000002</v>
      </c>
      <c r="P2795" s="18">
        <f>IF(I2795="L",'Financial Inputs'!$B$4,IF(I2795="M",'Financial Inputs'!$B$5,'Financial Inputs'!$B$6))</f>
        <v>0.4</v>
      </c>
      <c r="Q2795" s="17">
        <f>O2795*P2795</f>
        <v>792000.00000000012</v>
      </c>
      <c r="R2795" s="16">
        <f>'Financial Inputs'!$B$7</f>
        <v>0.35</v>
      </c>
      <c r="S2795" s="17">
        <f>Q2795*(1-R2795)</f>
        <v>514800.00000000012</v>
      </c>
      <c r="T2795" s="18">
        <f>S2795/'Financial Inputs'!$B$3</f>
        <v>5.1480000000000015E-3</v>
      </c>
      <c r="U2795" s="9" t="s">
        <v>52</v>
      </c>
      <c r="V2795" s="3" t="s">
        <v>53</v>
      </c>
    </row>
    <row r="2796" spans="1:22">
      <c r="A2796" s="2" t="s">
        <v>8642</v>
      </c>
      <c r="B2796" s="2" t="s">
        <v>8643</v>
      </c>
      <c r="C2796" s="2" t="s">
        <v>8361</v>
      </c>
      <c r="D2796" s="2" t="s">
        <v>42</v>
      </c>
      <c r="E2796" s="2" t="s">
        <v>198</v>
      </c>
      <c r="F2796" s="2" t="s">
        <v>74</v>
      </c>
      <c r="G2796" s="2" t="s">
        <v>45</v>
      </c>
      <c r="H2796" s="2" t="s">
        <v>46</v>
      </c>
      <c r="I2796" s="2" t="s">
        <v>47</v>
      </c>
      <c r="J2796" s="2" t="s">
        <v>500</v>
      </c>
      <c r="K2796" s="2" t="s">
        <v>8644</v>
      </c>
      <c r="L2796" s="2" t="s">
        <v>474</v>
      </c>
      <c r="M2796" s="2" t="s">
        <v>2320</v>
      </c>
      <c r="N2796" s="16">
        <v>2.1600000000000001E-2</v>
      </c>
      <c r="O2796" s="17">
        <f>N2796*'Financial Inputs'!$B$3</f>
        <v>2160000</v>
      </c>
      <c r="P2796" s="18">
        <f>IF(I2796="L",'Financial Inputs'!$B$4,IF(I2796="M",'Financial Inputs'!$B$5,'Financial Inputs'!$B$6))</f>
        <v>0.4</v>
      </c>
      <c r="Q2796" s="17">
        <f>O2796*P2796</f>
        <v>864000</v>
      </c>
      <c r="R2796" s="16">
        <f>'Financial Inputs'!$B$7</f>
        <v>0.35</v>
      </c>
      <c r="S2796" s="17">
        <f>Q2796*(1-R2796)</f>
        <v>561600</v>
      </c>
      <c r="T2796" s="18">
        <f>S2796/'Financial Inputs'!$B$3</f>
        <v>5.6160000000000003E-3</v>
      </c>
      <c r="U2796" s="9" t="s">
        <v>52</v>
      </c>
      <c r="V2796" s="3" t="s">
        <v>53</v>
      </c>
    </row>
    <row r="2797" spans="1:22">
      <c r="A2797" s="2" t="s">
        <v>8645</v>
      </c>
      <c r="B2797" s="2" t="s">
        <v>8646</v>
      </c>
      <c r="C2797" s="2" t="s">
        <v>8361</v>
      </c>
      <c r="D2797" s="2" t="s">
        <v>72</v>
      </c>
      <c r="E2797" s="2" t="s">
        <v>103</v>
      </c>
      <c r="F2797" s="2" t="s">
        <v>117</v>
      </c>
      <c r="G2797" s="2" t="s">
        <v>143</v>
      </c>
      <c r="H2797" s="2" t="s">
        <v>46</v>
      </c>
      <c r="I2797" s="2" t="s">
        <v>47</v>
      </c>
      <c r="J2797" s="2" t="s">
        <v>500</v>
      </c>
      <c r="K2797" s="2" t="s">
        <v>8647</v>
      </c>
      <c r="L2797" s="2" t="s">
        <v>478</v>
      </c>
      <c r="M2797" s="2" t="s">
        <v>2320</v>
      </c>
      <c r="N2797" s="16">
        <v>1.44E-2</v>
      </c>
      <c r="O2797" s="17">
        <f>N2797*'Financial Inputs'!$B$3</f>
        <v>1440000</v>
      </c>
      <c r="P2797" s="18">
        <f>IF(I2797="L",'Financial Inputs'!$B$4,IF(I2797="M",'Financial Inputs'!$B$5,'Financial Inputs'!$B$6))</f>
        <v>0.4</v>
      </c>
      <c r="Q2797" s="17">
        <f>O2797*P2797</f>
        <v>576000</v>
      </c>
      <c r="R2797" s="16">
        <f>'Financial Inputs'!$B$7</f>
        <v>0.35</v>
      </c>
      <c r="S2797" s="17">
        <f>Q2797*(1-R2797)</f>
        <v>374400</v>
      </c>
      <c r="T2797" s="18">
        <f>S2797/'Financial Inputs'!$B$3</f>
        <v>3.7439999999999999E-3</v>
      </c>
      <c r="U2797" s="9" t="s">
        <v>52</v>
      </c>
      <c r="V2797" s="3" t="s">
        <v>53</v>
      </c>
    </row>
    <row r="2798" spans="1:22">
      <c r="A2798" s="2" t="s">
        <v>8648</v>
      </c>
      <c r="B2798" s="2" t="s">
        <v>8649</v>
      </c>
      <c r="C2798" s="2" t="s">
        <v>8361</v>
      </c>
      <c r="D2798" s="2" t="s">
        <v>80</v>
      </c>
      <c r="E2798" s="2" t="s">
        <v>109</v>
      </c>
      <c r="F2798" s="2" t="s">
        <v>90</v>
      </c>
      <c r="G2798" s="2" t="s">
        <v>162</v>
      </c>
      <c r="H2798" s="2" t="s">
        <v>46</v>
      </c>
      <c r="I2798" s="2" t="s">
        <v>47</v>
      </c>
      <c r="J2798" s="2" t="s">
        <v>500</v>
      </c>
      <c r="K2798" s="2" t="s">
        <v>8650</v>
      </c>
      <c r="L2798" s="2" t="s">
        <v>482</v>
      </c>
      <c r="M2798" s="2" t="s">
        <v>2320</v>
      </c>
      <c r="N2798" s="16">
        <v>1.6199999999999999E-2</v>
      </c>
      <c r="O2798" s="17">
        <f>N2798*'Financial Inputs'!$B$3</f>
        <v>1620000</v>
      </c>
      <c r="P2798" s="18">
        <f>IF(I2798="L",'Financial Inputs'!$B$4,IF(I2798="M",'Financial Inputs'!$B$5,'Financial Inputs'!$B$6))</f>
        <v>0.4</v>
      </c>
      <c r="Q2798" s="17">
        <f>O2798*P2798</f>
        <v>648000</v>
      </c>
      <c r="R2798" s="16">
        <f>'Financial Inputs'!$B$7</f>
        <v>0.35</v>
      </c>
      <c r="S2798" s="17">
        <f>Q2798*(1-R2798)</f>
        <v>421200</v>
      </c>
      <c r="T2798" s="18">
        <f>S2798/'Financial Inputs'!$B$3</f>
        <v>4.2119999999999996E-3</v>
      </c>
      <c r="U2798" s="9" t="s">
        <v>52</v>
      </c>
      <c r="V2798" s="3" t="s">
        <v>53</v>
      </c>
    </row>
    <row r="2799" spans="1:22">
      <c r="A2799" s="2" t="s">
        <v>8651</v>
      </c>
      <c r="B2799" s="2" t="s">
        <v>8652</v>
      </c>
      <c r="C2799" s="2" t="s">
        <v>8361</v>
      </c>
      <c r="D2799" s="2" t="s">
        <v>127</v>
      </c>
      <c r="E2799" s="2" t="s">
        <v>116</v>
      </c>
      <c r="F2799" s="2" t="s">
        <v>97</v>
      </c>
      <c r="G2799" s="2" t="s">
        <v>45</v>
      </c>
      <c r="H2799" s="2" t="s">
        <v>46</v>
      </c>
      <c r="I2799" s="2" t="s">
        <v>47</v>
      </c>
      <c r="J2799" s="2" t="s">
        <v>500</v>
      </c>
      <c r="K2799" s="2" t="s">
        <v>8653</v>
      </c>
      <c r="L2799" s="2" t="s">
        <v>486</v>
      </c>
      <c r="M2799" s="2" t="s">
        <v>2320</v>
      </c>
      <c r="N2799" s="16">
        <v>1.7999999999999999E-2</v>
      </c>
      <c r="O2799" s="17">
        <f>N2799*'Financial Inputs'!$B$3</f>
        <v>1799999.9999999998</v>
      </c>
      <c r="P2799" s="18">
        <f>IF(I2799="L",'Financial Inputs'!$B$4,IF(I2799="M",'Financial Inputs'!$B$5,'Financial Inputs'!$B$6))</f>
        <v>0.4</v>
      </c>
      <c r="Q2799" s="17">
        <f>O2799*P2799</f>
        <v>720000</v>
      </c>
      <c r="R2799" s="16">
        <f>'Financial Inputs'!$B$7</f>
        <v>0.35</v>
      </c>
      <c r="S2799" s="17">
        <f>Q2799*(1-R2799)</f>
        <v>468000</v>
      </c>
      <c r="T2799" s="18">
        <f>S2799/'Financial Inputs'!$B$3</f>
        <v>4.6800000000000001E-3</v>
      </c>
      <c r="U2799" s="9" t="s">
        <v>52</v>
      </c>
      <c r="V2799" s="3" t="s">
        <v>53</v>
      </c>
    </row>
    <row r="2800" spans="1:22">
      <c r="A2800" s="2" t="s">
        <v>8654</v>
      </c>
      <c r="B2800" s="2" t="s">
        <v>8655</v>
      </c>
      <c r="C2800" s="2" t="s">
        <v>8361</v>
      </c>
      <c r="D2800" s="2" t="s">
        <v>133</v>
      </c>
      <c r="E2800" s="2" t="s">
        <v>215</v>
      </c>
      <c r="F2800" s="2" t="s">
        <v>104</v>
      </c>
      <c r="G2800" s="2" t="s">
        <v>59</v>
      </c>
      <c r="H2800" s="2" t="s">
        <v>46</v>
      </c>
      <c r="I2800" s="2" t="s">
        <v>47</v>
      </c>
      <c r="J2800" s="2" t="s">
        <v>500</v>
      </c>
      <c r="K2800" s="2" t="s">
        <v>8656</v>
      </c>
      <c r="L2800" s="2" t="s">
        <v>490</v>
      </c>
      <c r="M2800" s="2" t="s">
        <v>2320</v>
      </c>
      <c r="N2800" s="16">
        <v>1.9800000000000002E-2</v>
      </c>
      <c r="O2800" s="17">
        <f>N2800*'Financial Inputs'!$B$3</f>
        <v>1980000.0000000002</v>
      </c>
      <c r="P2800" s="18">
        <f>IF(I2800="L",'Financial Inputs'!$B$4,IF(I2800="M",'Financial Inputs'!$B$5,'Financial Inputs'!$B$6))</f>
        <v>0.4</v>
      </c>
      <c r="Q2800" s="17">
        <f>O2800*P2800</f>
        <v>792000.00000000012</v>
      </c>
      <c r="R2800" s="16">
        <f>'Financial Inputs'!$B$7</f>
        <v>0.35</v>
      </c>
      <c r="S2800" s="17">
        <f>Q2800*(1-R2800)</f>
        <v>514800.00000000012</v>
      </c>
      <c r="T2800" s="18">
        <f>S2800/'Financial Inputs'!$B$3</f>
        <v>5.1480000000000015E-3</v>
      </c>
      <c r="U2800" s="9" t="s">
        <v>52</v>
      </c>
      <c r="V2800" s="3" t="s">
        <v>53</v>
      </c>
    </row>
    <row r="2801" spans="1:22">
      <c r="A2801" s="2" t="s">
        <v>8657</v>
      </c>
      <c r="B2801" s="2" t="s">
        <v>8658</v>
      </c>
      <c r="C2801" s="2" t="s">
        <v>8361</v>
      </c>
      <c r="D2801" s="2" t="s">
        <v>88</v>
      </c>
      <c r="E2801" s="2" t="s">
        <v>220</v>
      </c>
      <c r="F2801" s="2" t="s">
        <v>110</v>
      </c>
      <c r="G2801" s="2" t="s">
        <v>67</v>
      </c>
      <c r="H2801" s="2" t="s">
        <v>46</v>
      </c>
      <c r="I2801" s="2" t="s">
        <v>47</v>
      </c>
      <c r="J2801" s="2" t="s">
        <v>500</v>
      </c>
      <c r="K2801" s="2" t="s">
        <v>8659</v>
      </c>
      <c r="L2801" s="2" t="s">
        <v>494</v>
      </c>
      <c r="M2801" s="2" t="s">
        <v>2320</v>
      </c>
      <c r="N2801" s="16">
        <v>2.1600000000000001E-2</v>
      </c>
      <c r="O2801" s="17">
        <f>N2801*'Financial Inputs'!$B$3</f>
        <v>2160000</v>
      </c>
      <c r="P2801" s="18">
        <f>IF(I2801="L",'Financial Inputs'!$B$4,IF(I2801="M",'Financial Inputs'!$B$5,'Financial Inputs'!$B$6))</f>
        <v>0.4</v>
      </c>
      <c r="Q2801" s="17">
        <f>O2801*P2801</f>
        <v>864000</v>
      </c>
      <c r="R2801" s="16">
        <f>'Financial Inputs'!$B$7</f>
        <v>0.35</v>
      </c>
      <c r="S2801" s="17">
        <f>Q2801*(1-R2801)</f>
        <v>561600</v>
      </c>
      <c r="T2801" s="18">
        <f>S2801/'Financial Inputs'!$B$3</f>
        <v>5.6160000000000003E-3</v>
      </c>
      <c r="U2801" s="9" t="s">
        <v>52</v>
      </c>
      <c r="V2801" s="3" t="s">
        <v>53</v>
      </c>
    </row>
    <row r="2802" spans="1:22">
      <c r="A2802" s="2" t="s">
        <v>8660</v>
      </c>
      <c r="B2802" s="2" t="s">
        <v>8661</v>
      </c>
      <c r="C2802" s="2" t="s">
        <v>8662</v>
      </c>
      <c r="D2802" s="2" t="s">
        <v>42</v>
      </c>
      <c r="E2802" s="2" t="s">
        <v>43</v>
      </c>
      <c r="F2802" s="2" t="s">
        <v>44</v>
      </c>
      <c r="G2802" s="2" t="s">
        <v>45</v>
      </c>
      <c r="H2802" s="2" t="s">
        <v>46</v>
      </c>
      <c r="I2802" s="2" t="s">
        <v>3831</v>
      </c>
      <c r="J2802" s="2" t="s">
        <v>8663</v>
      </c>
      <c r="K2802" s="2" t="s">
        <v>8664</v>
      </c>
      <c r="L2802" s="2" t="s">
        <v>50</v>
      </c>
      <c r="M2802" s="2" t="s">
        <v>8665</v>
      </c>
      <c r="N2802" s="16">
        <v>8.0000000000000002E-3</v>
      </c>
      <c r="O2802" s="17">
        <f>N2802*'Financial Inputs'!$B$3</f>
        <v>800000</v>
      </c>
      <c r="P2802" s="18">
        <f>IF(I2802="L",'Financial Inputs'!$B$4,IF(I2802="M",'Financial Inputs'!$B$5,'Financial Inputs'!$B$6))</f>
        <v>0.15</v>
      </c>
      <c r="Q2802" s="17">
        <f>O2802*P2802</f>
        <v>120000</v>
      </c>
      <c r="R2802" s="16">
        <f>'Financial Inputs'!$B$7</f>
        <v>0.35</v>
      </c>
      <c r="S2802" s="17">
        <f>Q2802*(1-R2802)</f>
        <v>78000</v>
      </c>
      <c r="T2802" s="18">
        <f>S2802/'Financial Inputs'!$B$3</f>
        <v>7.7999999999999999E-4</v>
      </c>
      <c r="U2802" s="9" t="s">
        <v>52</v>
      </c>
      <c r="V2802" s="3" t="s">
        <v>53</v>
      </c>
    </row>
    <row r="2803" spans="1:22">
      <c r="A2803" s="2" t="s">
        <v>8666</v>
      </c>
      <c r="B2803" s="2" t="s">
        <v>8667</v>
      </c>
      <c r="C2803" s="2" t="s">
        <v>8662</v>
      </c>
      <c r="D2803" s="2" t="s">
        <v>56</v>
      </c>
      <c r="E2803" s="2" t="s">
        <v>57</v>
      </c>
      <c r="F2803" s="2" t="s">
        <v>58</v>
      </c>
      <c r="G2803" s="2" t="s">
        <v>59</v>
      </c>
      <c r="H2803" s="2" t="s">
        <v>46</v>
      </c>
      <c r="I2803" s="2" t="s">
        <v>3831</v>
      </c>
      <c r="J2803" s="2" t="s">
        <v>8663</v>
      </c>
      <c r="K2803" s="2" t="s">
        <v>8668</v>
      </c>
      <c r="L2803" s="2" t="s">
        <v>61</v>
      </c>
      <c r="M2803" s="2" t="s">
        <v>8665</v>
      </c>
      <c r="N2803" s="16">
        <v>9.0000000000000011E-3</v>
      </c>
      <c r="O2803" s="17">
        <f>N2803*'Financial Inputs'!$B$3</f>
        <v>900000.00000000012</v>
      </c>
      <c r="P2803" s="18">
        <f>IF(I2803="L",'Financial Inputs'!$B$4,IF(I2803="M",'Financial Inputs'!$B$5,'Financial Inputs'!$B$6))</f>
        <v>0.15</v>
      </c>
      <c r="Q2803" s="17">
        <f>O2803*P2803</f>
        <v>135000</v>
      </c>
      <c r="R2803" s="16">
        <f>'Financial Inputs'!$B$7</f>
        <v>0.35</v>
      </c>
      <c r="S2803" s="17">
        <f>Q2803*(1-R2803)</f>
        <v>87750</v>
      </c>
      <c r="T2803" s="18">
        <f>S2803/'Financial Inputs'!$B$3</f>
        <v>8.7750000000000002E-4</v>
      </c>
      <c r="U2803" s="9" t="s">
        <v>52</v>
      </c>
      <c r="V2803" s="3" t="s">
        <v>53</v>
      </c>
    </row>
    <row r="2804" spans="1:22">
      <c r="A2804" s="2" t="s">
        <v>8669</v>
      </c>
      <c r="B2804" s="2" t="s">
        <v>8670</v>
      </c>
      <c r="C2804" s="2" t="s">
        <v>8662</v>
      </c>
      <c r="D2804" s="2" t="s">
        <v>64</v>
      </c>
      <c r="E2804" s="2" t="s">
        <v>65</v>
      </c>
      <c r="F2804" s="2" t="s">
        <v>66</v>
      </c>
      <c r="G2804" s="2" t="s">
        <v>67</v>
      </c>
      <c r="H2804" s="2" t="s">
        <v>46</v>
      </c>
      <c r="I2804" s="2" t="s">
        <v>3831</v>
      </c>
      <c r="J2804" s="2" t="s">
        <v>8663</v>
      </c>
      <c r="K2804" s="2" t="s">
        <v>8671</v>
      </c>
      <c r="L2804" s="2" t="s">
        <v>69</v>
      </c>
      <c r="M2804" s="2" t="s">
        <v>8665</v>
      </c>
      <c r="N2804" s="16">
        <v>0.01</v>
      </c>
      <c r="O2804" s="17">
        <f>N2804*'Financial Inputs'!$B$3</f>
        <v>1000000</v>
      </c>
      <c r="P2804" s="18">
        <f>IF(I2804="L",'Financial Inputs'!$B$4,IF(I2804="M",'Financial Inputs'!$B$5,'Financial Inputs'!$B$6))</f>
        <v>0.15</v>
      </c>
      <c r="Q2804" s="17">
        <f>O2804*P2804</f>
        <v>150000</v>
      </c>
      <c r="R2804" s="16">
        <f>'Financial Inputs'!$B$7</f>
        <v>0.35</v>
      </c>
      <c r="S2804" s="17">
        <f>Q2804*(1-R2804)</f>
        <v>97500</v>
      </c>
      <c r="T2804" s="18">
        <f>S2804/'Financial Inputs'!$B$3</f>
        <v>9.7499999999999996E-4</v>
      </c>
      <c r="U2804" s="9" t="s">
        <v>52</v>
      </c>
      <c r="V2804" s="3" t="s">
        <v>53</v>
      </c>
    </row>
    <row r="2805" spans="1:22">
      <c r="A2805" s="2" t="s">
        <v>8672</v>
      </c>
      <c r="B2805" s="2" t="s">
        <v>8673</v>
      </c>
      <c r="C2805" s="2" t="s">
        <v>8662</v>
      </c>
      <c r="D2805" s="2" t="s">
        <v>72</v>
      </c>
      <c r="E2805" s="2" t="s">
        <v>73</v>
      </c>
      <c r="F2805" s="2" t="s">
        <v>74</v>
      </c>
      <c r="G2805" s="2" t="s">
        <v>75</v>
      </c>
      <c r="H2805" s="2" t="s">
        <v>46</v>
      </c>
      <c r="I2805" s="2" t="s">
        <v>3831</v>
      </c>
      <c r="J2805" s="2" t="s">
        <v>8663</v>
      </c>
      <c r="K2805" s="2" t="s">
        <v>8674</v>
      </c>
      <c r="L2805" s="2" t="s">
        <v>77</v>
      </c>
      <c r="M2805" s="2" t="s">
        <v>8665</v>
      </c>
      <c r="N2805" s="16">
        <v>1.0999999999999999E-2</v>
      </c>
      <c r="O2805" s="17">
        <f>N2805*'Financial Inputs'!$B$3</f>
        <v>1100000</v>
      </c>
      <c r="P2805" s="18">
        <f>IF(I2805="L",'Financial Inputs'!$B$4,IF(I2805="M",'Financial Inputs'!$B$5,'Financial Inputs'!$B$6))</f>
        <v>0.15</v>
      </c>
      <c r="Q2805" s="17">
        <f>O2805*P2805</f>
        <v>165000</v>
      </c>
      <c r="R2805" s="16">
        <f>'Financial Inputs'!$B$7</f>
        <v>0.35</v>
      </c>
      <c r="S2805" s="17">
        <f>Q2805*(1-R2805)</f>
        <v>107250</v>
      </c>
      <c r="T2805" s="18">
        <f>S2805/'Financial Inputs'!$B$3</f>
        <v>1.0725000000000001E-3</v>
      </c>
      <c r="U2805" s="9" t="s">
        <v>52</v>
      </c>
      <c r="V2805" s="3" t="s">
        <v>53</v>
      </c>
    </row>
    <row r="2806" spans="1:22">
      <c r="A2806" s="2" t="s">
        <v>8675</v>
      </c>
      <c r="B2806" s="2" t="s">
        <v>8676</v>
      </c>
      <c r="C2806" s="2" t="s">
        <v>8662</v>
      </c>
      <c r="D2806" s="2" t="s">
        <v>80</v>
      </c>
      <c r="E2806" s="2" t="s">
        <v>81</v>
      </c>
      <c r="F2806" s="2" t="s">
        <v>82</v>
      </c>
      <c r="G2806" s="2" t="s">
        <v>83</v>
      </c>
      <c r="H2806" s="2" t="s">
        <v>46</v>
      </c>
      <c r="I2806" s="2" t="s">
        <v>3831</v>
      </c>
      <c r="J2806" s="2" t="s">
        <v>8663</v>
      </c>
      <c r="K2806" s="2" t="s">
        <v>8677</v>
      </c>
      <c r="L2806" s="2" t="s">
        <v>85</v>
      </c>
      <c r="M2806" s="2" t="s">
        <v>8665</v>
      </c>
      <c r="N2806" s="16">
        <v>1.2E-2</v>
      </c>
      <c r="O2806" s="17">
        <f>N2806*'Financial Inputs'!$B$3</f>
        <v>1200000</v>
      </c>
      <c r="P2806" s="18">
        <f>IF(I2806="L",'Financial Inputs'!$B$4,IF(I2806="M",'Financial Inputs'!$B$5,'Financial Inputs'!$B$6))</f>
        <v>0.15</v>
      </c>
      <c r="Q2806" s="17">
        <f>O2806*P2806</f>
        <v>180000</v>
      </c>
      <c r="R2806" s="16">
        <f>'Financial Inputs'!$B$7</f>
        <v>0.35</v>
      </c>
      <c r="S2806" s="17">
        <f>Q2806*(1-R2806)</f>
        <v>117000</v>
      </c>
      <c r="T2806" s="18">
        <f>S2806/'Financial Inputs'!$B$3</f>
        <v>1.17E-3</v>
      </c>
      <c r="U2806" s="9" t="s">
        <v>52</v>
      </c>
      <c r="V2806" s="3" t="s">
        <v>53</v>
      </c>
    </row>
    <row r="2807" spans="1:22">
      <c r="A2807" s="2" t="s">
        <v>8678</v>
      </c>
      <c r="B2807" s="2" t="s">
        <v>8679</v>
      </c>
      <c r="C2807" s="2" t="s">
        <v>8662</v>
      </c>
      <c r="D2807" s="2" t="s">
        <v>88</v>
      </c>
      <c r="E2807" s="2" t="s">
        <v>89</v>
      </c>
      <c r="F2807" s="2" t="s">
        <v>90</v>
      </c>
      <c r="G2807" s="2" t="s">
        <v>67</v>
      </c>
      <c r="H2807" s="2" t="s">
        <v>46</v>
      </c>
      <c r="I2807" s="2" t="s">
        <v>3831</v>
      </c>
      <c r="J2807" s="2" t="s">
        <v>8663</v>
      </c>
      <c r="K2807" s="2" t="s">
        <v>8680</v>
      </c>
      <c r="L2807" s="2" t="s">
        <v>92</v>
      </c>
      <c r="M2807" s="2" t="s">
        <v>8665</v>
      </c>
      <c r="N2807" s="16">
        <v>8.0000000000000002E-3</v>
      </c>
      <c r="O2807" s="17">
        <f>N2807*'Financial Inputs'!$B$3</f>
        <v>800000</v>
      </c>
      <c r="P2807" s="18">
        <f>IF(I2807="L",'Financial Inputs'!$B$4,IF(I2807="M",'Financial Inputs'!$B$5,'Financial Inputs'!$B$6))</f>
        <v>0.15</v>
      </c>
      <c r="Q2807" s="17">
        <f>O2807*P2807</f>
        <v>120000</v>
      </c>
      <c r="R2807" s="16">
        <f>'Financial Inputs'!$B$7</f>
        <v>0.35</v>
      </c>
      <c r="S2807" s="17">
        <f>Q2807*(1-R2807)</f>
        <v>78000</v>
      </c>
      <c r="T2807" s="18">
        <f>S2807/'Financial Inputs'!$B$3</f>
        <v>7.7999999999999999E-4</v>
      </c>
      <c r="U2807" s="9" t="s">
        <v>52</v>
      </c>
      <c r="V2807" s="3" t="s">
        <v>53</v>
      </c>
    </row>
    <row r="2808" spans="1:22">
      <c r="A2808" s="2" t="s">
        <v>8681</v>
      </c>
      <c r="B2808" s="2" t="s">
        <v>8682</v>
      </c>
      <c r="C2808" s="2" t="s">
        <v>8662</v>
      </c>
      <c r="D2808" s="2" t="s">
        <v>95</v>
      </c>
      <c r="E2808" s="2" t="s">
        <v>96</v>
      </c>
      <c r="F2808" s="2" t="s">
        <v>97</v>
      </c>
      <c r="G2808" s="2" t="s">
        <v>75</v>
      </c>
      <c r="H2808" s="2" t="s">
        <v>46</v>
      </c>
      <c r="I2808" s="2" t="s">
        <v>3831</v>
      </c>
      <c r="J2808" s="2" t="s">
        <v>8663</v>
      </c>
      <c r="K2808" s="2" t="s">
        <v>8683</v>
      </c>
      <c r="L2808" s="2" t="s">
        <v>99</v>
      </c>
      <c r="M2808" s="2" t="s">
        <v>8665</v>
      </c>
      <c r="N2808" s="16">
        <v>9.0000000000000011E-3</v>
      </c>
      <c r="O2808" s="17">
        <f>N2808*'Financial Inputs'!$B$3</f>
        <v>900000.00000000012</v>
      </c>
      <c r="P2808" s="18">
        <f>IF(I2808="L",'Financial Inputs'!$B$4,IF(I2808="M",'Financial Inputs'!$B$5,'Financial Inputs'!$B$6))</f>
        <v>0.15</v>
      </c>
      <c r="Q2808" s="17">
        <f>O2808*P2808</f>
        <v>135000</v>
      </c>
      <c r="R2808" s="16">
        <f>'Financial Inputs'!$B$7</f>
        <v>0.35</v>
      </c>
      <c r="S2808" s="17">
        <f>Q2808*(1-R2808)</f>
        <v>87750</v>
      </c>
      <c r="T2808" s="18">
        <f>S2808/'Financial Inputs'!$B$3</f>
        <v>8.7750000000000002E-4</v>
      </c>
      <c r="U2808" s="9" t="s">
        <v>52</v>
      </c>
      <c r="V2808" s="3" t="s">
        <v>53</v>
      </c>
    </row>
    <row r="2809" spans="1:22">
      <c r="A2809" s="2" t="s">
        <v>8684</v>
      </c>
      <c r="B2809" s="2" t="s">
        <v>8685</v>
      </c>
      <c r="C2809" s="2" t="s">
        <v>8662</v>
      </c>
      <c r="D2809" s="2" t="s">
        <v>102</v>
      </c>
      <c r="E2809" s="2" t="s">
        <v>103</v>
      </c>
      <c r="F2809" s="2" t="s">
        <v>104</v>
      </c>
      <c r="G2809" s="2" t="s">
        <v>83</v>
      </c>
      <c r="H2809" s="2" t="s">
        <v>46</v>
      </c>
      <c r="I2809" s="2" t="s">
        <v>3831</v>
      </c>
      <c r="J2809" s="2" t="s">
        <v>8663</v>
      </c>
      <c r="K2809" s="2" t="s">
        <v>8686</v>
      </c>
      <c r="L2809" s="2" t="s">
        <v>106</v>
      </c>
      <c r="M2809" s="2" t="s">
        <v>8665</v>
      </c>
      <c r="N2809" s="16">
        <v>0.01</v>
      </c>
      <c r="O2809" s="17">
        <f>N2809*'Financial Inputs'!$B$3</f>
        <v>1000000</v>
      </c>
      <c r="P2809" s="18">
        <f>IF(I2809="L",'Financial Inputs'!$B$4,IF(I2809="M",'Financial Inputs'!$B$5,'Financial Inputs'!$B$6))</f>
        <v>0.15</v>
      </c>
      <c r="Q2809" s="17">
        <f>O2809*P2809</f>
        <v>150000</v>
      </c>
      <c r="R2809" s="16">
        <f>'Financial Inputs'!$B$7</f>
        <v>0.35</v>
      </c>
      <c r="S2809" s="17">
        <f>Q2809*(1-R2809)</f>
        <v>97500</v>
      </c>
      <c r="T2809" s="18">
        <f>S2809/'Financial Inputs'!$B$3</f>
        <v>9.7499999999999996E-4</v>
      </c>
      <c r="U2809" s="9" t="s">
        <v>52</v>
      </c>
      <c r="V2809" s="3" t="s">
        <v>53</v>
      </c>
    </row>
    <row r="2810" spans="1:22">
      <c r="A2810" s="2" t="s">
        <v>8687</v>
      </c>
      <c r="B2810" s="2" t="s">
        <v>8688</v>
      </c>
      <c r="C2810" s="2" t="s">
        <v>8662</v>
      </c>
      <c r="D2810" s="2" t="s">
        <v>42</v>
      </c>
      <c r="E2810" s="2" t="s">
        <v>109</v>
      </c>
      <c r="F2810" s="2" t="s">
        <v>110</v>
      </c>
      <c r="G2810" s="2" t="s">
        <v>111</v>
      </c>
      <c r="H2810" s="2" t="s">
        <v>46</v>
      </c>
      <c r="I2810" s="2" t="s">
        <v>3831</v>
      </c>
      <c r="J2810" s="2" t="s">
        <v>8663</v>
      </c>
      <c r="K2810" s="2" t="s">
        <v>8689</v>
      </c>
      <c r="L2810" s="2" t="s">
        <v>113</v>
      </c>
      <c r="M2810" s="2" t="s">
        <v>8665</v>
      </c>
      <c r="N2810" s="16">
        <v>1.0999999999999999E-2</v>
      </c>
      <c r="O2810" s="17">
        <f>N2810*'Financial Inputs'!$B$3</f>
        <v>1100000</v>
      </c>
      <c r="P2810" s="18">
        <f>IF(I2810="L",'Financial Inputs'!$B$4,IF(I2810="M",'Financial Inputs'!$B$5,'Financial Inputs'!$B$6))</f>
        <v>0.15</v>
      </c>
      <c r="Q2810" s="17">
        <f>O2810*P2810</f>
        <v>165000</v>
      </c>
      <c r="R2810" s="16">
        <f>'Financial Inputs'!$B$7</f>
        <v>0.35</v>
      </c>
      <c r="S2810" s="17">
        <f>Q2810*(1-R2810)</f>
        <v>107250</v>
      </c>
      <c r="T2810" s="18">
        <f>S2810/'Financial Inputs'!$B$3</f>
        <v>1.0725000000000001E-3</v>
      </c>
      <c r="U2810" s="9" t="s">
        <v>52</v>
      </c>
      <c r="V2810" s="3" t="s">
        <v>53</v>
      </c>
    </row>
    <row r="2811" spans="1:22">
      <c r="A2811" s="2" t="s">
        <v>8690</v>
      </c>
      <c r="B2811" s="2" t="s">
        <v>8691</v>
      </c>
      <c r="C2811" s="2" t="s">
        <v>8662</v>
      </c>
      <c r="D2811" s="2" t="s">
        <v>56</v>
      </c>
      <c r="E2811" s="2" t="s">
        <v>116</v>
      </c>
      <c r="F2811" s="2" t="s">
        <v>117</v>
      </c>
      <c r="G2811" s="2" t="s">
        <v>56</v>
      </c>
      <c r="H2811" s="2" t="s">
        <v>46</v>
      </c>
      <c r="I2811" s="2" t="s">
        <v>3831</v>
      </c>
      <c r="J2811" s="2" t="s">
        <v>8663</v>
      </c>
      <c r="K2811" s="2" t="s">
        <v>8692</v>
      </c>
      <c r="L2811" s="2" t="s">
        <v>119</v>
      </c>
      <c r="M2811" s="2" t="s">
        <v>8665</v>
      </c>
      <c r="N2811" s="16">
        <v>1.2E-2</v>
      </c>
      <c r="O2811" s="17">
        <f>N2811*'Financial Inputs'!$B$3</f>
        <v>1200000</v>
      </c>
      <c r="P2811" s="18">
        <f>IF(I2811="L",'Financial Inputs'!$B$4,IF(I2811="M",'Financial Inputs'!$B$5,'Financial Inputs'!$B$6))</f>
        <v>0.15</v>
      </c>
      <c r="Q2811" s="17">
        <f>O2811*P2811</f>
        <v>180000</v>
      </c>
      <c r="R2811" s="16">
        <f>'Financial Inputs'!$B$7</f>
        <v>0.35</v>
      </c>
      <c r="S2811" s="17">
        <f>Q2811*(1-R2811)</f>
        <v>117000</v>
      </c>
      <c r="T2811" s="18">
        <f>S2811/'Financial Inputs'!$B$3</f>
        <v>1.17E-3</v>
      </c>
      <c r="U2811" s="9" t="s">
        <v>52</v>
      </c>
      <c r="V2811" s="3" t="s">
        <v>53</v>
      </c>
    </row>
    <row r="2812" spans="1:22">
      <c r="A2812" s="2" t="s">
        <v>8693</v>
      </c>
      <c r="B2812" s="2" t="s">
        <v>8694</v>
      </c>
      <c r="C2812" s="2" t="s">
        <v>8662</v>
      </c>
      <c r="D2812" s="2" t="s">
        <v>80</v>
      </c>
      <c r="E2812" s="2" t="s">
        <v>122</v>
      </c>
      <c r="F2812" s="2" t="s">
        <v>58</v>
      </c>
      <c r="G2812" s="2" t="s">
        <v>83</v>
      </c>
      <c r="H2812" s="2" t="s">
        <v>46</v>
      </c>
      <c r="I2812" s="2" t="s">
        <v>3831</v>
      </c>
      <c r="J2812" s="2" t="s">
        <v>8663</v>
      </c>
      <c r="K2812" s="2" t="s">
        <v>8695</v>
      </c>
      <c r="L2812" s="2" t="s">
        <v>124</v>
      </c>
      <c r="M2812" s="2" t="s">
        <v>8665</v>
      </c>
      <c r="N2812" s="16">
        <v>8.0000000000000002E-3</v>
      </c>
      <c r="O2812" s="17">
        <f>N2812*'Financial Inputs'!$B$3</f>
        <v>800000</v>
      </c>
      <c r="P2812" s="18">
        <f>IF(I2812="L",'Financial Inputs'!$B$4,IF(I2812="M",'Financial Inputs'!$B$5,'Financial Inputs'!$B$6))</f>
        <v>0.15</v>
      </c>
      <c r="Q2812" s="17">
        <f>O2812*P2812</f>
        <v>120000</v>
      </c>
      <c r="R2812" s="16">
        <f>'Financial Inputs'!$B$7</f>
        <v>0.35</v>
      </c>
      <c r="S2812" s="17">
        <f>Q2812*(1-R2812)</f>
        <v>78000</v>
      </c>
      <c r="T2812" s="18">
        <f>S2812/'Financial Inputs'!$B$3</f>
        <v>7.7999999999999999E-4</v>
      </c>
      <c r="U2812" s="9" t="s">
        <v>52</v>
      </c>
      <c r="V2812" s="3" t="s">
        <v>53</v>
      </c>
    </row>
    <row r="2813" spans="1:22">
      <c r="A2813" s="2" t="s">
        <v>8696</v>
      </c>
      <c r="B2813" s="2" t="s">
        <v>8697</v>
      </c>
      <c r="C2813" s="2" t="s">
        <v>8662</v>
      </c>
      <c r="D2813" s="2" t="s">
        <v>127</v>
      </c>
      <c r="E2813" s="2" t="s">
        <v>128</v>
      </c>
      <c r="F2813" s="2" t="s">
        <v>66</v>
      </c>
      <c r="G2813" s="2" t="s">
        <v>111</v>
      </c>
      <c r="H2813" s="2" t="s">
        <v>46</v>
      </c>
      <c r="I2813" s="2" t="s">
        <v>3831</v>
      </c>
      <c r="J2813" s="2" t="s">
        <v>8663</v>
      </c>
      <c r="K2813" s="2" t="s">
        <v>8698</v>
      </c>
      <c r="L2813" s="2" t="s">
        <v>130</v>
      </c>
      <c r="M2813" s="2" t="s">
        <v>8665</v>
      </c>
      <c r="N2813" s="16">
        <v>9.0000000000000011E-3</v>
      </c>
      <c r="O2813" s="17">
        <f>N2813*'Financial Inputs'!$B$3</f>
        <v>900000.00000000012</v>
      </c>
      <c r="P2813" s="18">
        <f>IF(I2813="L",'Financial Inputs'!$B$4,IF(I2813="M",'Financial Inputs'!$B$5,'Financial Inputs'!$B$6))</f>
        <v>0.15</v>
      </c>
      <c r="Q2813" s="17">
        <f>O2813*P2813</f>
        <v>135000</v>
      </c>
      <c r="R2813" s="16">
        <f>'Financial Inputs'!$B$7</f>
        <v>0.35</v>
      </c>
      <c r="S2813" s="17">
        <f>Q2813*(1-R2813)</f>
        <v>87750</v>
      </c>
      <c r="T2813" s="18">
        <f>S2813/'Financial Inputs'!$B$3</f>
        <v>8.7750000000000002E-4</v>
      </c>
      <c r="U2813" s="9" t="s">
        <v>52</v>
      </c>
      <c r="V2813" s="3" t="s">
        <v>53</v>
      </c>
    </row>
    <row r="2814" spans="1:22">
      <c r="A2814" s="2" t="s">
        <v>8699</v>
      </c>
      <c r="B2814" s="2" t="s">
        <v>8700</v>
      </c>
      <c r="C2814" s="2" t="s">
        <v>8662</v>
      </c>
      <c r="D2814" s="2" t="s">
        <v>133</v>
      </c>
      <c r="E2814" s="2" t="s">
        <v>43</v>
      </c>
      <c r="F2814" s="2" t="s">
        <v>74</v>
      </c>
      <c r="G2814" s="2" t="s">
        <v>56</v>
      </c>
      <c r="H2814" s="2" t="s">
        <v>46</v>
      </c>
      <c r="I2814" s="2" t="s">
        <v>3831</v>
      </c>
      <c r="J2814" s="2" t="s">
        <v>8663</v>
      </c>
      <c r="K2814" s="2" t="s">
        <v>8701</v>
      </c>
      <c r="L2814" s="2" t="s">
        <v>135</v>
      </c>
      <c r="M2814" s="2" t="s">
        <v>8665</v>
      </c>
      <c r="N2814" s="16">
        <v>0.01</v>
      </c>
      <c r="O2814" s="17">
        <f>N2814*'Financial Inputs'!$B$3</f>
        <v>1000000</v>
      </c>
      <c r="P2814" s="18">
        <f>IF(I2814="L",'Financial Inputs'!$B$4,IF(I2814="M",'Financial Inputs'!$B$5,'Financial Inputs'!$B$6))</f>
        <v>0.15</v>
      </c>
      <c r="Q2814" s="17">
        <f>O2814*P2814</f>
        <v>150000</v>
      </c>
      <c r="R2814" s="16">
        <f>'Financial Inputs'!$B$7</f>
        <v>0.35</v>
      </c>
      <c r="S2814" s="17">
        <f>Q2814*(1-R2814)</f>
        <v>97500</v>
      </c>
      <c r="T2814" s="18">
        <f>S2814/'Financial Inputs'!$B$3</f>
        <v>9.7499999999999996E-4</v>
      </c>
      <c r="U2814" s="9" t="s">
        <v>52</v>
      </c>
      <c r="V2814" s="3" t="s">
        <v>53</v>
      </c>
    </row>
    <row r="2815" spans="1:22">
      <c r="A2815" s="2" t="s">
        <v>8702</v>
      </c>
      <c r="B2815" s="2" t="s">
        <v>8703</v>
      </c>
      <c r="C2815" s="2" t="s">
        <v>8662</v>
      </c>
      <c r="D2815" s="2" t="s">
        <v>88</v>
      </c>
      <c r="E2815" s="2" t="s">
        <v>57</v>
      </c>
      <c r="F2815" s="2" t="s">
        <v>82</v>
      </c>
      <c r="G2815" s="2" t="s">
        <v>138</v>
      </c>
      <c r="H2815" s="2" t="s">
        <v>46</v>
      </c>
      <c r="I2815" s="2" t="s">
        <v>3831</v>
      </c>
      <c r="J2815" s="2" t="s">
        <v>8663</v>
      </c>
      <c r="K2815" s="2" t="s">
        <v>8704</v>
      </c>
      <c r="L2815" s="2" t="s">
        <v>140</v>
      </c>
      <c r="M2815" s="2" t="s">
        <v>8665</v>
      </c>
      <c r="N2815" s="16">
        <v>1.0999999999999999E-2</v>
      </c>
      <c r="O2815" s="17">
        <f>N2815*'Financial Inputs'!$B$3</f>
        <v>1100000</v>
      </c>
      <c r="P2815" s="18">
        <f>IF(I2815="L",'Financial Inputs'!$B$4,IF(I2815="M",'Financial Inputs'!$B$5,'Financial Inputs'!$B$6))</f>
        <v>0.15</v>
      </c>
      <c r="Q2815" s="17">
        <f>O2815*P2815</f>
        <v>165000</v>
      </c>
      <c r="R2815" s="16">
        <f>'Financial Inputs'!$B$7</f>
        <v>0.35</v>
      </c>
      <c r="S2815" s="17">
        <f>Q2815*(1-R2815)</f>
        <v>107250</v>
      </c>
      <c r="T2815" s="18">
        <f>S2815/'Financial Inputs'!$B$3</f>
        <v>1.0725000000000001E-3</v>
      </c>
      <c r="U2815" s="9" t="s">
        <v>52</v>
      </c>
      <c r="V2815" s="3" t="s">
        <v>53</v>
      </c>
    </row>
    <row r="2816" spans="1:22">
      <c r="A2816" s="2" t="s">
        <v>8705</v>
      </c>
      <c r="B2816" s="2" t="s">
        <v>8706</v>
      </c>
      <c r="C2816" s="2" t="s">
        <v>8662</v>
      </c>
      <c r="D2816" s="2" t="s">
        <v>95</v>
      </c>
      <c r="E2816" s="2" t="s">
        <v>65</v>
      </c>
      <c r="F2816" s="2" t="s">
        <v>44</v>
      </c>
      <c r="G2816" s="2" t="s">
        <v>143</v>
      </c>
      <c r="H2816" s="2" t="s">
        <v>46</v>
      </c>
      <c r="I2816" s="2" t="s">
        <v>3831</v>
      </c>
      <c r="J2816" s="2" t="s">
        <v>8663</v>
      </c>
      <c r="K2816" s="2" t="s">
        <v>8707</v>
      </c>
      <c r="L2816" s="2" t="s">
        <v>145</v>
      </c>
      <c r="M2816" s="2" t="s">
        <v>8665</v>
      </c>
      <c r="N2816" s="16">
        <v>1.2E-2</v>
      </c>
      <c r="O2816" s="17">
        <f>N2816*'Financial Inputs'!$B$3</f>
        <v>1200000</v>
      </c>
      <c r="P2816" s="18">
        <f>IF(I2816="L",'Financial Inputs'!$B$4,IF(I2816="M",'Financial Inputs'!$B$5,'Financial Inputs'!$B$6))</f>
        <v>0.15</v>
      </c>
      <c r="Q2816" s="17">
        <f>O2816*P2816</f>
        <v>180000</v>
      </c>
      <c r="R2816" s="16">
        <f>'Financial Inputs'!$B$7</f>
        <v>0.35</v>
      </c>
      <c r="S2816" s="17">
        <f>Q2816*(1-R2816)</f>
        <v>117000</v>
      </c>
      <c r="T2816" s="18">
        <f>S2816/'Financial Inputs'!$B$3</f>
        <v>1.17E-3</v>
      </c>
      <c r="U2816" s="9" t="s">
        <v>52</v>
      </c>
      <c r="V2816" s="3" t="s">
        <v>53</v>
      </c>
    </row>
    <row r="2817" spans="1:22">
      <c r="A2817" s="2" t="s">
        <v>8708</v>
      </c>
      <c r="B2817" s="2" t="s">
        <v>8709</v>
      </c>
      <c r="C2817" s="2" t="s">
        <v>8662</v>
      </c>
      <c r="D2817" s="2" t="s">
        <v>56</v>
      </c>
      <c r="E2817" s="2" t="s">
        <v>148</v>
      </c>
      <c r="F2817" s="2" t="s">
        <v>97</v>
      </c>
      <c r="G2817" s="2" t="s">
        <v>56</v>
      </c>
      <c r="H2817" s="2" t="s">
        <v>46</v>
      </c>
      <c r="I2817" s="2" t="s">
        <v>3831</v>
      </c>
      <c r="J2817" s="2" t="s">
        <v>8663</v>
      </c>
      <c r="K2817" s="2" t="s">
        <v>8710</v>
      </c>
      <c r="L2817" s="2" t="s">
        <v>150</v>
      </c>
      <c r="M2817" s="2" t="s">
        <v>8665</v>
      </c>
      <c r="N2817" s="16">
        <v>8.0000000000000002E-3</v>
      </c>
      <c r="O2817" s="17">
        <f>N2817*'Financial Inputs'!$B$3</f>
        <v>800000</v>
      </c>
      <c r="P2817" s="18">
        <f>IF(I2817="L",'Financial Inputs'!$B$4,IF(I2817="M",'Financial Inputs'!$B$5,'Financial Inputs'!$B$6))</f>
        <v>0.15</v>
      </c>
      <c r="Q2817" s="17">
        <f>O2817*P2817</f>
        <v>120000</v>
      </c>
      <c r="R2817" s="16">
        <f>'Financial Inputs'!$B$7</f>
        <v>0.35</v>
      </c>
      <c r="S2817" s="17">
        <f>Q2817*(1-R2817)</f>
        <v>78000</v>
      </c>
      <c r="T2817" s="18">
        <f>S2817/'Financial Inputs'!$B$3</f>
        <v>7.7999999999999999E-4</v>
      </c>
      <c r="U2817" s="9" t="s">
        <v>52</v>
      </c>
      <c r="V2817" s="3" t="s">
        <v>53</v>
      </c>
    </row>
    <row r="2818" spans="1:22">
      <c r="A2818" s="2" t="s">
        <v>8711</v>
      </c>
      <c r="B2818" s="2" t="s">
        <v>8712</v>
      </c>
      <c r="C2818" s="2" t="s">
        <v>8662</v>
      </c>
      <c r="D2818" s="2" t="s">
        <v>64</v>
      </c>
      <c r="E2818" s="2" t="s">
        <v>153</v>
      </c>
      <c r="F2818" s="2" t="s">
        <v>104</v>
      </c>
      <c r="G2818" s="2" t="s">
        <v>138</v>
      </c>
      <c r="H2818" s="2" t="s">
        <v>46</v>
      </c>
      <c r="I2818" s="2" t="s">
        <v>3831</v>
      </c>
      <c r="J2818" s="2" t="s">
        <v>8663</v>
      </c>
      <c r="K2818" s="2" t="s">
        <v>8713</v>
      </c>
      <c r="L2818" s="2" t="s">
        <v>155</v>
      </c>
      <c r="M2818" s="2" t="s">
        <v>8665</v>
      </c>
      <c r="N2818" s="16">
        <v>9.0000000000000011E-3</v>
      </c>
      <c r="O2818" s="17">
        <f>N2818*'Financial Inputs'!$B$3</f>
        <v>900000.00000000012</v>
      </c>
      <c r="P2818" s="18">
        <f>IF(I2818="L",'Financial Inputs'!$B$4,IF(I2818="M",'Financial Inputs'!$B$5,'Financial Inputs'!$B$6))</f>
        <v>0.15</v>
      </c>
      <c r="Q2818" s="17">
        <f>O2818*P2818</f>
        <v>135000</v>
      </c>
      <c r="R2818" s="16">
        <f>'Financial Inputs'!$B$7</f>
        <v>0.35</v>
      </c>
      <c r="S2818" s="17">
        <f>Q2818*(1-R2818)</f>
        <v>87750</v>
      </c>
      <c r="T2818" s="18">
        <f>S2818/'Financial Inputs'!$B$3</f>
        <v>8.7750000000000002E-4</v>
      </c>
      <c r="U2818" s="9" t="s">
        <v>52</v>
      </c>
      <c r="V2818" s="3" t="s">
        <v>53</v>
      </c>
    </row>
    <row r="2819" spans="1:22">
      <c r="A2819" s="2" t="s">
        <v>8714</v>
      </c>
      <c r="B2819" s="2" t="s">
        <v>8715</v>
      </c>
      <c r="C2819" s="2" t="s">
        <v>8662</v>
      </c>
      <c r="D2819" s="2" t="s">
        <v>72</v>
      </c>
      <c r="E2819" s="2" t="s">
        <v>89</v>
      </c>
      <c r="F2819" s="2" t="s">
        <v>110</v>
      </c>
      <c r="G2819" s="2" t="s">
        <v>143</v>
      </c>
      <c r="H2819" s="2" t="s">
        <v>46</v>
      </c>
      <c r="I2819" s="2" t="s">
        <v>3831</v>
      </c>
      <c r="J2819" s="2" t="s">
        <v>8663</v>
      </c>
      <c r="K2819" s="2" t="s">
        <v>8716</v>
      </c>
      <c r="L2819" s="2" t="s">
        <v>159</v>
      </c>
      <c r="M2819" s="2" t="s">
        <v>8665</v>
      </c>
      <c r="N2819" s="16">
        <v>0.01</v>
      </c>
      <c r="O2819" s="17">
        <f>N2819*'Financial Inputs'!$B$3</f>
        <v>1000000</v>
      </c>
      <c r="P2819" s="18">
        <f>IF(I2819="L",'Financial Inputs'!$B$4,IF(I2819="M",'Financial Inputs'!$B$5,'Financial Inputs'!$B$6))</f>
        <v>0.15</v>
      </c>
      <c r="Q2819" s="17">
        <f>O2819*P2819</f>
        <v>150000</v>
      </c>
      <c r="R2819" s="16">
        <f>'Financial Inputs'!$B$7</f>
        <v>0.35</v>
      </c>
      <c r="S2819" s="17">
        <f>Q2819*(1-R2819)</f>
        <v>97500</v>
      </c>
      <c r="T2819" s="18">
        <f>S2819/'Financial Inputs'!$B$3</f>
        <v>9.7499999999999996E-4</v>
      </c>
      <c r="U2819" s="9" t="s">
        <v>52</v>
      </c>
      <c r="V2819" s="3" t="s">
        <v>53</v>
      </c>
    </row>
    <row r="2820" spans="1:22">
      <c r="A2820" s="2" t="s">
        <v>8717</v>
      </c>
      <c r="B2820" s="2" t="s">
        <v>8718</v>
      </c>
      <c r="C2820" s="2" t="s">
        <v>8662</v>
      </c>
      <c r="D2820" s="2" t="s">
        <v>80</v>
      </c>
      <c r="E2820" s="2" t="s">
        <v>96</v>
      </c>
      <c r="F2820" s="2" t="s">
        <v>117</v>
      </c>
      <c r="G2820" s="2" t="s">
        <v>162</v>
      </c>
      <c r="H2820" s="2" t="s">
        <v>46</v>
      </c>
      <c r="I2820" s="2" t="s">
        <v>3831</v>
      </c>
      <c r="J2820" s="2" t="s">
        <v>8663</v>
      </c>
      <c r="K2820" s="2" t="s">
        <v>8719</v>
      </c>
      <c r="L2820" s="2" t="s">
        <v>164</v>
      </c>
      <c r="M2820" s="2" t="s">
        <v>8665</v>
      </c>
      <c r="N2820" s="16">
        <v>1.0999999999999999E-2</v>
      </c>
      <c r="O2820" s="17">
        <f>N2820*'Financial Inputs'!$B$3</f>
        <v>1100000</v>
      </c>
      <c r="P2820" s="18">
        <f>IF(I2820="L",'Financial Inputs'!$B$4,IF(I2820="M",'Financial Inputs'!$B$5,'Financial Inputs'!$B$6))</f>
        <v>0.15</v>
      </c>
      <c r="Q2820" s="17">
        <f>O2820*P2820</f>
        <v>165000</v>
      </c>
      <c r="R2820" s="16">
        <f>'Financial Inputs'!$B$7</f>
        <v>0.35</v>
      </c>
      <c r="S2820" s="17">
        <f>Q2820*(1-R2820)</f>
        <v>107250</v>
      </c>
      <c r="T2820" s="18">
        <f>S2820/'Financial Inputs'!$B$3</f>
        <v>1.0725000000000001E-3</v>
      </c>
      <c r="U2820" s="9" t="s">
        <v>52</v>
      </c>
      <c r="V2820" s="3" t="s">
        <v>53</v>
      </c>
    </row>
    <row r="2821" spans="1:22">
      <c r="A2821" s="2" t="s">
        <v>8720</v>
      </c>
      <c r="B2821" s="2" t="s">
        <v>8721</v>
      </c>
      <c r="C2821" s="2" t="s">
        <v>8662</v>
      </c>
      <c r="D2821" s="2" t="s">
        <v>127</v>
      </c>
      <c r="E2821" s="2" t="s">
        <v>103</v>
      </c>
      <c r="F2821" s="2" t="s">
        <v>90</v>
      </c>
      <c r="G2821" s="2" t="s">
        <v>45</v>
      </c>
      <c r="H2821" s="2" t="s">
        <v>46</v>
      </c>
      <c r="I2821" s="2" t="s">
        <v>3831</v>
      </c>
      <c r="J2821" s="2" t="s">
        <v>8663</v>
      </c>
      <c r="K2821" s="2" t="s">
        <v>8722</v>
      </c>
      <c r="L2821" s="2" t="s">
        <v>168</v>
      </c>
      <c r="M2821" s="2" t="s">
        <v>8665</v>
      </c>
      <c r="N2821" s="16">
        <v>1.2E-2</v>
      </c>
      <c r="O2821" s="17">
        <f>N2821*'Financial Inputs'!$B$3</f>
        <v>1200000</v>
      </c>
      <c r="P2821" s="18">
        <f>IF(I2821="L",'Financial Inputs'!$B$4,IF(I2821="M",'Financial Inputs'!$B$5,'Financial Inputs'!$B$6))</f>
        <v>0.15</v>
      </c>
      <c r="Q2821" s="17">
        <f>O2821*P2821</f>
        <v>180000</v>
      </c>
      <c r="R2821" s="16">
        <f>'Financial Inputs'!$B$7</f>
        <v>0.35</v>
      </c>
      <c r="S2821" s="17">
        <f>Q2821*(1-R2821)</f>
        <v>117000</v>
      </c>
      <c r="T2821" s="18">
        <f>S2821/'Financial Inputs'!$B$3</f>
        <v>1.17E-3</v>
      </c>
      <c r="U2821" s="9" t="s">
        <v>52</v>
      </c>
      <c r="V2821" s="3" t="s">
        <v>53</v>
      </c>
    </row>
    <row r="2822" spans="1:22">
      <c r="A2822" s="2" t="s">
        <v>8723</v>
      </c>
      <c r="B2822" s="2" t="s">
        <v>8724</v>
      </c>
      <c r="C2822" s="2" t="s">
        <v>8662</v>
      </c>
      <c r="D2822" s="2" t="s">
        <v>95</v>
      </c>
      <c r="E2822" s="2" t="s">
        <v>171</v>
      </c>
      <c r="F2822" s="2" t="s">
        <v>66</v>
      </c>
      <c r="G2822" s="2" t="s">
        <v>143</v>
      </c>
      <c r="H2822" s="2" t="s">
        <v>46</v>
      </c>
      <c r="I2822" s="2" t="s">
        <v>3831</v>
      </c>
      <c r="J2822" s="2" t="s">
        <v>8663</v>
      </c>
      <c r="K2822" s="2" t="s">
        <v>8725</v>
      </c>
      <c r="L2822" s="2" t="s">
        <v>173</v>
      </c>
      <c r="M2822" s="2" t="s">
        <v>8665</v>
      </c>
      <c r="N2822" s="16">
        <v>8.0000000000000002E-3</v>
      </c>
      <c r="O2822" s="17">
        <f>N2822*'Financial Inputs'!$B$3</f>
        <v>800000</v>
      </c>
      <c r="P2822" s="18">
        <f>IF(I2822="L",'Financial Inputs'!$B$4,IF(I2822="M",'Financial Inputs'!$B$5,'Financial Inputs'!$B$6))</f>
        <v>0.15</v>
      </c>
      <c r="Q2822" s="17">
        <f>O2822*P2822</f>
        <v>120000</v>
      </c>
      <c r="R2822" s="16">
        <f>'Financial Inputs'!$B$7</f>
        <v>0.35</v>
      </c>
      <c r="S2822" s="17">
        <f>Q2822*(1-R2822)</f>
        <v>78000</v>
      </c>
      <c r="T2822" s="18">
        <f>S2822/'Financial Inputs'!$B$3</f>
        <v>7.7999999999999999E-4</v>
      </c>
      <c r="U2822" s="9" t="s">
        <v>52</v>
      </c>
      <c r="V2822" s="3" t="s">
        <v>53</v>
      </c>
    </row>
    <row r="2823" spans="1:22">
      <c r="A2823" s="2" t="s">
        <v>8726</v>
      </c>
      <c r="B2823" s="2" t="s">
        <v>8727</v>
      </c>
      <c r="C2823" s="2" t="s">
        <v>8662</v>
      </c>
      <c r="D2823" s="2" t="s">
        <v>102</v>
      </c>
      <c r="E2823" s="2" t="s">
        <v>176</v>
      </c>
      <c r="F2823" s="2" t="s">
        <v>74</v>
      </c>
      <c r="G2823" s="2" t="s">
        <v>162</v>
      </c>
      <c r="H2823" s="2" t="s">
        <v>46</v>
      </c>
      <c r="I2823" s="2" t="s">
        <v>3831</v>
      </c>
      <c r="J2823" s="2" t="s">
        <v>8663</v>
      </c>
      <c r="K2823" s="2" t="s">
        <v>8728</v>
      </c>
      <c r="L2823" s="2" t="s">
        <v>178</v>
      </c>
      <c r="M2823" s="2" t="s">
        <v>8665</v>
      </c>
      <c r="N2823" s="16">
        <v>9.0000000000000011E-3</v>
      </c>
      <c r="O2823" s="17">
        <f>N2823*'Financial Inputs'!$B$3</f>
        <v>900000.00000000012</v>
      </c>
      <c r="P2823" s="18">
        <f>IF(I2823="L",'Financial Inputs'!$B$4,IF(I2823="M",'Financial Inputs'!$B$5,'Financial Inputs'!$B$6))</f>
        <v>0.15</v>
      </c>
      <c r="Q2823" s="17">
        <f>O2823*P2823</f>
        <v>135000</v>
      </c>
      <c r="R2823" s="16">
        <f>'Financial Inputs'!$B$7</f>
        <v>0.35</v>
      </c>
      <c r="S2823" s="17">
        <f>Q2823*(1-R2823)</f>
        <v>87750</v>
      </c>
      <c r="T2823" s="18">
        <f>S2823/'Financial Inputs'!$B$3</f>
        <v>8.7750000000000002E-4</v>
      </c>
      <c r="U2823" s="9" t="s">
        <v>52</v>
      </c>
      <c r="V2823" s="3" t="s">
        <v>53</v>
      </c>
    </row>
    <row r="2824" spans="1:22">
      <c r="A2824" s="2" t="s">
        <v>8729</v>
      </c>
      <c r="B2824" s="2" t="s">
        <v>8730</v>
      </c>
      <c r="C2824" s="2" t="s">
        <v>8662</v>
      </c>
      <c r="D2824" s="2" t="s">
        <v>42</v>
      </c>
      <c r="E2824" s="2" t="s">
        <v>122</v>
      </c>
      <c r="F2824" s="2" t="s">
        <v>82</v>
      </c>
      <c r="G2824" s="2" t="s">
        <v>45</v>
      </c>
      <c r="H2824" s="2" t="s">
        <v>46</v>
      </c>
      <c r="I2824" s="2" t="s">
        <v>3831</v>
      </c>
      <c r="J2824" s="2" t="s">
        <v>8663</v>
      </c>
      <c r="K2824" s="2" t="s">
        <v>8731</v>
      </c>
      <c r="L2824" s="2" t="s">
        <v>182</v>
      </c>
      <c r="M2824" s="2" t="s">
        <v>8665</v>
      </c>
      <c r="N2824" s="16">
        <v>0.01</v>
      </c>
      <c r="O2824" s="17">
        <f>N2824*'Financial Inputs'!$B$3</f>
        <v>1000000</v>
      </c>
      <c r="P2824" s="18">
        <f>IF(I2824="L",'Financial Inputs'!$B$4,IF(I2824="M",'Financial Inputs'!$B$5,'Financial Inputs'!$B$6))</f>
        <v>0.15</v>
      </c>
      <c r="Q2824" s="17">
        <f>O2824*P2824</f>
        <v>150000</v>
      </c>
      <c r="R2824" s="16">
        <f>'Financial Inputs'!$B$7</f>
        <v>0.35</v>
      </c>
      <c r="S2824" s="17">
        <f>Q2824*(1-R2824)</f>
        <v>97500</v>
      </c>
      <c r="T2824" s="18">
        <f>S2824/'Financial Inputs'!$B$3</f>
        <v>9.7499999999999996E-4</v>
      </c>
      <c r="U2824" s="9" t="s">
        <v>52</v>
      </c>
      <c r="V2824" s="3" t="s">
        <v>53</v>
      </c>
    </row>
    <row r="2825" spans="1:22">
      <c r="A2825" s="2" t="s">
        <v>8732</v>
      </c>
      <c r="B2825" s="2" t="s">
        <v>8733</v>
      </c>
      <c r="C2825" s="2" t="s">
        <v>8662</v>
      </c>
      <c r="D2825" s="2" t="s">
        <v>56</v>
      </c>
      <c r="E2825" s="2" t="s">
        <v>128</v>
      </c>
      <c r="F2825" s="2" t="s">
        <v>44</v>
      </c>
      <c r="G2825" s="2" t="s">
        <v>59</v>
      </c>
      <c r="H2825" s="2" t="s">
        <v>46</v>
      </c>
      <c r="I2825" s="2" t="s">
        <v>3831</v>
      </c>
      <c r="J2825" s="2" t="s">
        <v>8663</v>
      </c>
      <c r="K2825" s="2" t="s">
        <v>8734</v>
      </c>
      <c r="L2825" s="2" t="s">
        <v>186</v>
      </c>
      <c r="M2825" s="2" t="s">
        <v>8665</v>
      </c>
      <c r="N2825" s="16">
        <v>1.0999999999999999E-2</v>
      </c>
      <c r="O2825" s="17">
        <f>N2825*'Financial Inputs'!$B$3</f>
        <v>1100000</v>
      </c>
      <c r="P2825" s="18">
        <f>IF(I2825="L",'Financial Inputs'!$B$4,IF(I2825="M",'Financial Inputs'!$B$5,'Financial Inputs'!$B$6))</f>
        <v>0.15</v>
      </c>
      <c r="Q2825" s="17">
        <f>O2825*P2825</f>
        <v>165000</v>
      </c>
      <c r="R2825" s="16">
        <f>'Financial Inputs'!$B$7</f>
        <v>0.35</v>
      </c>
      <c r="S2825" s="17">
        <f>Q2825*(1-R2825)</f>
        <v>107250</v>
      </c>
      <c r="T2825" s="18">
        <f>S2825/'Financial Inputs'!$B$3</f>
        <v>1.0725000000000001E-3</v>
      </c>
      <c r="U2825" s="9" t="s">
        <v>52</v>
      </c>
      <c r="V2825" s="3" t="s">
        <v>53</v>
      </c>
    </row>
    <row r="2826" spans="1:22">
      <c r="A2826" s="2" t="s">
        <v>8735</v>
      </c>
      <c r="B2826" s="2" t="s">
        <v>8736</v>
      </c>
      <c r="C2826" s="2" t="s">
        <v>8662</v>
      </c>
      <c r="D2826" s="2" t="s">
        <v>64</v>
      </c>
      <c r="E2826" s="2" t="s">
        <v>43</v>
      </c>
      <c r="F2826" s="2" t="s">
        <v>58</v>
      </c>
      <c r="G2826" s="2" t="s">
        <v>67</v>
      </c>
      <c r="H2826" s="2" t="s">
        <v>46</v>
      </c>
      <c r="I2826" s="2" t="s">
        <v>3831</v>
      </c>
      <c r="J2826" s="2" t="s">
        <v>8663</v>
      </c>
      <c r="K2826" s="2" t="s">
        <v>8737</v>
      </c>
      <c r="L2826" s="2" t="s">
        <v>190</v>
      </c>
      <c r="M2826" s="2" t="s">
        <v>8665</v>
      </c>
      <c r="N2826" s="16">
        <v>1.2E-2</v>
      </c>
      <c r="O2826" s="17">
        <f>N2826*'Financial Inputs'!$B$3</f>
        <v>1200000</v>
      </c>
      <c r="P2826" s="18">
        <f>IF(I2826="L",'Financial Inputs'!$B$4,IF(I2826="M",'Financial Inputs'!$B$5,'Financial Inputs'!$B$6))</f>
        <v>0.15</v>
      </c>
      <c r="Q2826" s="17">
        <f>O2826*P2826</f>
        <v>180000</v>
      </c>
      <c r="R2826" s="16">
        <f>'Financial Inputs'!$B$7</f>
        <v>0.35</v>
      </c>
      <c r="S2826" s="17">
        <f>Q2826*(1-R2826)</f>
        <v>117000</v>
      </c>
      <c r="T2826" s="18">
        <f>S2826/'Financial Inputs'!$B$3</f>
        <v>1.17E-3</v>
      </c>
      <c r="U2826" s="9" t="s">
        <v>52</v>
      </c>
      <c r="V2826" s="3" t="s">
        <v>53</v>
      </c>
    </row>
    <row r="2827" spans="1:22">
      <c r="A2827" s="2" t="s">
        <v>8738</v>
      </c>
      <c r="B2827" s="2" t="s">
        <v>8739</v>
      </c>
      <c r="C2827" s="2" t="s">
        <v>8662</v>
      </c>
      <c r="D2827" s="2" t="s">
        <v>127</v>
      </c>
      <c r="E2827" s="2" t="s">
        <v>193</v>
      </c>
      <c r="F2827" s="2" t="s">
        <v>104</v>
      </c>
      <c r="G2827" s="2" t="s">
        <v>45</v>
      </c>
      <c r="H2827" s="2" t="s">
        <v>46</v>
      </c>
      <c r="I2827" s="2" t="s">
        <v>3831</v>
      </c>
      <c r="J2827" s="2" t="s">
        <v>8663</v>
      </c>
      <c r="K2827" s="2" t="s">
        <v>8740</v>
      </c>
      <c r="L2827" s="2" t="s">
        <v>195</v>
      </c>
      <c r="M2827" s="2" t="s">
        <v>8665</v>
      </c>
      <c r="N2827" s="16">
        <v>8.0000000000000002E-3</v>
      </c>
      <c r="O2827" s="17">
        <f>N2827*'Financial Inputs'!$B$3</f>
        <v>800000</v>
      </c>
      <c r="P2827" s="18">
        <f>IF(I2827="L",'Financial Inputs'!$B$4,IF(I2827="M",'Financial Inputs'!$B$5,'Financial Inputs'!$B$6))</f>
        <v>0.15</v>
      </c>
      <c r="Q2827" s="17">
        <f>O2827*P2827</f>
        <v>120000</v>
      </c>
      <c r="R2827" s="16">
        <f>'Financial Inputs'!$B$7</f>
        <v>0.35</v>
      </c>
      <c r="S2827" s="17">
        <f>Q2827*(1-R2827)</f>
        <v>78000</v>
      </c>
      <c r="T2827" s="18">
        <f>S2827/'Financial Inputs'!$B$3</f>
        <v>7.7999999999999999E-4</v>
      </c>
      <c r="U2827" s="9" t="s">
        <v>52</v>
      </c>
      <c r="V2827" s="3" t="s">
        <v>53</v>
      </c>
    </row>
    <row r="2828" spans="1:22">
      <c r="A2828" s="2" t="s">
        <v>8741</v>
      </c>
      <c r="B2828" s="2" t="s">
        <v>8742</v>
      </c>
      <c r="C2828" s="2" t="s">
        <v>8662</v>
      </c>
      <c r="D2828" s="2" t="s">
        <v>133</v>
      </c>
      <c r="E2828" s="2" t="s">
        <v>198</v>
      </c>
      <c r="F2828" s="2" t="s">
        <v>110</v>
      </c>
      <c r="G2828" s="2" t="s">
        <v>59</v>
      </c>
      <c r="H2828" s="2" t="s">
        <v>46</v>
      </c>
      <c r="I2828" s="2" t="s">
        <v>3831</v>
      </c>
      <c r="J2828" s="2" t="s">
        <v>8663</v>
      </c>
      <c r="K2828" s="2" t="s">
        <v>8743</v>
      </c>
      <c r="L2828" s="2" t="s">
        <v>200</v>
      </c>
      <c r="M2828" s="2" t="s">
        <v>8665</v>
      </c>
      <c r="N2828" s="16">
        <v>9.0000000000000011E-3</v>
      </c>
      <c r="O2828" s="17">
        <f>N2828*'Financial Inputs'!$B$3</f>
        <v>900000.00000000012</v>
      </c>
      <c r="P2828" s="18">
        <f>IF(I2828="L",'Financial Inputs'!$B$4,IF(I2828="M",'Financial Inputs'!$B$5,'Financial Inputs'!$B$6))</f>
        <v>0.15</v>
      </c>
      <c r="Q2828" s="17">
        <f>O2828*P2828</f>
        <v>135000</v>
      </c>
      <c r="R2828" s="16">
        <f>'Financial Inputs'!$B$7</f>
        <v>0.35</v>
      </c>
      <c r="S2828" s="17">
        <f>Q2828*(1-R2828)</f>
        <v>87750</v>
      </c>
      <c r="T2828" s="18">
        <f>S2828/'Financial Inputs'!$B$3</f>
        <v>8.7750000000000002E-4</v>
      </c>
      <c r="U2828" s="9" t="s">
        <v>52</v>
      </c>
      <c r="V2828" s="3" t="s">
        <v>53</v>
      </c>
    </row>
    <row r="2829" spans="1:22">
      <c r="A2829" s="2" t="s">
        <v>8744</v>
      </c>
      <c r="B2829" s="2" t="s">
        <v>8745</v>
      </c>
      <c r="C2829" s="2" t="s">
        <v>8662</v>
      </c>
      <c r="D2829" s="2" t="s">
        <v>88</v>
      </c>
      <c r="E2829" s="2" t="s">
        <v>148</v>
      </c>
      <c r="F2829" s="2" t="s">
        <v>117</v>
      </c>
      <c r="G2829" s="2" t="s">
        <v>67</v>
      </c>
      <c r="H2829" s="2" t="s">
        <v>46</v>
      </c>
      <c r="I2829" s="2" t="s">
        <v>3831</v>
      </c>
      <c r="J2829" s="2" t="s">
        <v>8663</v>
      </c>
      <c r="K2829" s="2" t="s">
        <v>8746</v>
      </c>
      <c r="L2829" s="2" t="s">
        <v>204</v>
      </c>
      <c r="M2829" s="2" t="s">
        <v>8665</v>
      </c>
      <c r="N2829" s="16">
        <v>0.01</v>
      </c>
      <c r="O2829" s="17">
        <f>N2829*'Financial Inputs'!$B$3</f>
        <v>1000000</v>
      </c>
      <c r="P2829" s="18">
        <f>IF(I2829="L",'Financial Inputs'!$B$4,IF(I2829="M",'Financial Inputs'!$B$5,'Financial Inputs'!$B$6))</f>
        <v>0.15</v>
      </c>
      <c r="Q2829" s="17">
        <f>O2829*P2829</f>
        <v>150000</v>
      </c>
      <c r="R2829" s="16">
        <f>'Financial Inputs'!$B$7</f>
        <v>0.35</v>
      </c>
      <c r="S2829" s="17">
        <f>Q2829*(1-R2829)</f>
        <v>97500</v>
      </c>
      <c r="T2829" s="18">
        <f>S2829/'Financial Inputs'!$B$3</f>
        <v>9.7499999999999996E-4</v>
      </c>
      <c r="U2829" s="9" t="s">
        <v>52</v>
      </c>
      <c r="V2829" s="3" t="s">
        <v>53</v>
      </c>
    </row>
    <row r="2830" spans="1:22">
      <c r="A2830" s="2" t="s">
        <v>8747</v>
      </c>
      <c r="B2830" s="2" t="s">
        <v>8748</v>
      </c>
      <c r="C2830" s="2" t="s">
        <v>8662</v>
      </c>
      <c r="D2830" s="2" t="s">
        <v>95</v>
      </c>
      <c r="E2830" s="2" t="s">
        <v>153</v>
      </c>
      <c r="F2830" s="2" t="s">
        <v>90</v>
      </c>
      <c r="G2830" s="2" t="s">
        <v>75</v>
      </c>
      <c r="H2830" s="2" t="s">
        <v>46</v>
      </c>
      <c r="I2830" s="2" t="s">
        <v>3831</v>
      </c>
      <c r="J2830" s="2" t="s">
        <v>8663</v>
      </c>
      <c r="K2830" s="2" t="s">
        <v>8749</v>
      </c>
      <c r="L2830" s="2" t="s">
        <v>208</v>
      </c>
      <c r="M2830" s="2" t="s">
        <v>8665</v>
      </c>
      <c r="N2830" s="16">
        <v>1.0999999999999999E-2</v>
      </c>
      <c r="O2830" s="17">
        <f>N2830*'Financial Inputs'!$B$3</f>
        <v>1100000</v>
      </c>
      <c r="P2830" s="18">
        <f>IF(I2830="L",'Financial Inputs'!$B$4,IF(I2830="M",'Financial Inputs'!$B$5,'Financial Inputs'!$B$6))</f>
        <v>0.15</v>
      </c>
      <c r="Q2830" s="17">
        <f>O2830*P2830</f>
        <v>165000</v>
      </c>
      <c r="R2830" s="16">
        <f>'Financial Inputs'!$B$7</f>
        <v>0.35</v>
      </c>
      <c r="S2830" s="17">
        <f>Q2830*(1-R2830)</f>
        <v>107250</v>
      </c>
      <c r="T2830" s="18">
        <f>S2830/'Financial Inputs'!$B$3</f>
        <v>1.0725000000000001E-3</v>
      </c>
      <c r="U2830" s="9" t="s">
        <v>52</v>
      </c>
      <c r="V2830" s="3" t="s">
        <v>53</v>
      </c>
    </row>
    <row r="2831" spans="1:22">
      <c r="A2831" s="2" t="s">
        <v>8750</v>
      </c>
      <c r="B2831" s="2" t="s">
        <v>8751</v>
      </c>
      <c r="C2831" s="2" t="s">
        <v>8662</v>
      </c>
      <c r="D2831" s="2" t="s">
        <v>102</v>
      </c>
      <c r="E2831" s="2" t="s">
        <v>89</v>
      </c>
      <c r="F2831" s="2" t="s">
        <v>97</v>
      </c>
      <c r="G2831" s="2" t="s">
        <v>83</v>
      </c>
      <c r="H2831" s="2" t="s">
        <v>46</v>
      </c>
      <c r="I2831" s="2" t="s">
        <v>3831</v>
      </c>
      <c r="J2831" s="2" t="s">
        <v>8663</v>
      </c>
      <c r="K2831" s="2" t="s">
        <v>8752</v>
      </c>
      <c r="L2831" s="2" t="s">
        <v>212</v>
      </c>
      <c r="M2831" s="2" t="s">
        <v>8665</v>
      </c>
      <c r="N2831" s="16">
        <v>1.2E-2</v>
      </c>
      <c r="O2831" s="17">
        <f>N2831*'Financial Inputs'!$B$3</f>
        <v>1200000</v>
      </c>
      <c r="P2831" s="18">
        <f>IF(I2831="L",'Financial Inputs'!$B$4,IF(I2831="M",'Financial Inputs'!$B$5,'Financial Inputs'!$B$6))</f>
        <v>0.15</v>
      </c>
      <c r="Q2831" s="17">
        <f>O2831*P2831</f>
        <v>180000</v>
      </c>
      <c r="R2831" s="16">
        <f>'Financial Inputs'!$B$7</f>
        <v>0.35</v>
      </c>
      <c r="S2831" s="17">
        <f>Q2831*(1-R2831)</f>
        <v>117000</v>
      </c>
      <c r="T2831" s="18">
        <f>S2831/'Financial Inputs'!$B$3</f>
        <v>1.17E-3</v>
      </c>
      <c r="U2831" s="9" t="s">
        <v>52</v>
      </c>
      <c r="V2831" s="3" t="s">
        <v>53</v>
      </c>
    </row>
    <row r="2832" spans="1:22">
      <c r="A2832" s="2" t="s">
        <v>8753</v>
      </c>
      <c r="B2832" s="2" t="s">
        <v>8754</v>
      </c>
      <c r="C2832" s="2" t="s">
        <v>8662</v>
      </c>
      <c r="D2832" s="2" t="s">
        <v>64</v>
      </c>
      <c r="E2832" s="2" t="s">
        <v>215</v>
      </c>
      <c r="F2832" s="2" t="s">
        <v>74</v>
      </c>
      <c r="G2832" s="2" t="s">
        <v>67</v>
      </c>
      <c r="H2832" s="2" t="s">
        <v>46</v>
      </c>
      <c r="I2832" s="2" t="s">
        <v>3831</v>
      </c>
      <c r="J2832" s="2" t="s">
        <v>8663</v>
      </c>
      <c r="K2832" s="2" t="s">
        <v>8755</v>
      </c>
      <c r="L2832" s="2" t="s">
        <v>217</v>
      </c>
      <c r="M2832" s="2" t="s">
        <v>8665</v>
      </c>
      <c r="N2832" s="16">
        <v>8.0000000000000002E-3</v>
      </c>
      <c r="O2832" s="17">
        <f>N2832*'Financial Inputs'!$B$3</f>
        <v>800000</v>
      </c>
      <c r="P2832" s="18">
        <f>IF(I2832="L",'Financial Inputs'!$B$4,IF(I2832="M",'Financial Inputs'!$B$5,'Financial Inputs'!$B$6))</f>
        <v>0.15</v>
      </c>
      <c r="Q2832" s="17">
        <f>O2832*P2832</f>
        <v>120000</v>
      </c>
      <c r="R2832" s="16">
        <f>'Financial Inputs'!$B$7</f>
        <v>0.35</v>
      </c>
      <c r="S2832" s="17">
        <f>Q2832*(1-R2832)</f>
        <v>78000</v>
      </c>
      <c r="T2832" s="18">
        <f>S2832/'Financial Inputs'!$B$3</f>
        <v>7.7999999999999999E-4</v>
      </c>
      <c r="U2832" s="9" t="s">
        <v>52</v>
      </c>
      <c r="V2832" s="3" t="s">
        <v>53</v>
      </c>
    </row>
    <row r="2833" spans="1:22">
      <c r="A2833" s="2" t="s">
        <v>8756</v>
      </c>
      <c r="B2833" s="2" t="s">
        <v>8757</v>
      </c>
      <c r="C2833" s="2" t="s">
        <v>8662</v>
      </c>
      <c r="D2833" s="2" t="s">
        <v>72</v>
      </c>
      <c r="E2833" s="2" t="s">
        <v>220</v>
      </c>
      <c r="F2833" s="2" t="s">
        <v>82</v>
      </c>
      <c r="G2833" s="2" t="s">
        <v>75</v>
      </c>
      <c r="H2833" s="2" t="s">
        <v>46</v>
      </c>
      <c r="I2833" s="2" t="s">
        <v>3831</v>
      </c>
      <c r="J2833" s="2" t="s">
        <v>8663</v>
      </c>
      <c r="K2833" s="2" t="s">
        <v>8758</v>
      </c>
      <c r="L2833" s="2" t="s">
        <v>222</v>
      </c>
      <c r="M2833" s="2" t="s">
        <v>8665</v>
      </c>
      <c r="N2833" s="16">
        <v>9.0000000000000011E-3</v>
      </c>
      <c r="O2833" s="17">
        <f>N2833*'Financial Inputs'!$B$3</f>
        <v>900000.00000000012</v>
      </c>
      <c r="P2833" s="18">
        <f>IF(I2833="L",'Financial Inputs'!$B$4,IF(I2833="M",'Financial Inputs'!$B$5,'Financial Inputs'!$B$6))</f>
        <v>0.15</v>
      </c>
      <c r="Q2833" s="17">
        <f>O2833*P2833</f>
        <v>135000</v>
      </c>
      <c r="R2833" s="16">
        <f>'Financial Inputs'!$B$7</f>
        <v>0.35</v>
      </c>
      <c r="S2833" s="17">
        <f>Q2833*(1-R2833)</f>
        <v>87750</v>
      </c>
      <c r="T2833" s="18">
        <f>S2833/'Financial Inputs'!$B$3</f>
        <v>8.7750000000000002E-4</v>
      </c>
      <c r="U2833" s="9" t="s">
        <v>52</v>
      </c>
      <c r="V2833" s="3" t="s">
        <v>53</v>
      </c>
    </row>
    <row r="2834" spans="1:22">
      <c r="A2834" s="2" t="s">
        <v>8759</v>
      </c>
      <c r="B2834" s="2" t="s">
        <v>8760</v>
      </c>
      <c r="C2834" s="2" t="s">
        <v>8662</v>
      </c>
      <c r="D2834" s="2" t="s">
        <v>80</v>
      </c>
      <c r="E2834" s="2" t="s">
        <v>171</v>
      </c>
      <c r="F2834" s="2" t="s">
        <v>44</v>
      </c>
      <c r="G2834" s="2" t="s">
        <v>83</v>
      </c>
      <c r="H2834" s="2" t="s">
        <v>46</v>
      </c>
      <c r="I2834" s="2" t="s">
        <v>3831</v>
      </c>
      <c r="J2834" s="2" t="s">
        <v>8663</v>
      </c>
      <c r="K2834" s="2" t="s">
        <v>8761</v>
      </c>
      <c r="L2834" s="2" t="s">
        <v>226</v>
      </c>
      <c r="M2834" s="2" t="s">
        <v>8665</v>
      </c>
      <c r="N2834" s="16">
        <v>0.01</v>
      </c>
      <c r="O2834" s="17">
        <f>N2834*'Financial Inputs'!$B$3</f>
        <v>1000000</v>
      </c>
      <c r="P2834" s="18">
        <f>IF(I2834="L",'Financial Inputs'!$B$4,IF(I2834="M",'Financial Inputs'!$B$5,'Financial Inputs'!$B$6))</f>
        <v>0.15</v>
      </c>
      <c r="Q2834" s="17">
        <f>O2834*P2834</f>
        <v>150000</v>
      </c>
      <c r="R2834" s="16">
        <f>'Financial Inputs'!$B$7</f>
        <v>0.35</v>
      </c>
      <c r="S2834" s="17">
        <f>Q2834*(1-R2834)</f>
        <v>97500</v>
      </c>
      <c r="T2834" s="18">
        <f>S2834/'Financial Inputs'!$B$3</f>
        <v>9.7499999999999996E-4</v>
      </c>
      <c r="U2834" s="9" t="s">
        <v>52</v>
      </c>
      <c r="V2834" s="3" t="s">
        <v>53</v>
      </c>
    </row>
    <row r="2835" spans="1:22">
      <c r="A2835" s="2" t="s">
        <v>8762</v>
      </c>
      <c r="B2835" s="2" t="s">
        <v>8763</v>
      </c>
      <c r="C2835" s="2" t="s">
        <v>8662</v>
      </c>
      <c r="D2835" s="2" t="s">
        <v>127</v>
      </c>
      <c r="E2835" s="2" t="s">
        <v>176</v>
      </c>
      <c r="F2835" s="2" t="s">
        <v>58</v>
      </c>
      <c r="G2835" s="2" t="s">
        <v>111</v>
      </c>
      <c r="H2835" s="2" t="s">
        <v>46</v>
      </c>
      <c r="I2835" s="2" t="s">
        <v>3831</v>
      </c>
      <c r="J2835" s="2" t="s">
        <v>8663</v>
      </c>
      <c r="K2835" s="2" t="s">
        <v>8764</v>
      </c>
      <c r="L2835" s="2" t="s">
        <v>230</v>
      </c>
      <c r="M2835" s="2" t="s">
        <v>8665</v>
      </c>
      <c r="N2835" s="16">
        <v>1.0999999999999999E-2</v>
      </c>
      <c r="O2835" s="17">
        <f>N2835*'Financial Inputs'!$B$3</f>
        <v>1100000</v>
      </c>
      <c r="P2835" s="18">
        <f>IF(I2835="L",'Financial Inputs'!$B$4,IF(I2835="M",'Financial Inputs'!$B$5,'Financial Inputs'!$B$6))</f>
        <v>0.15</v>
      </c>
      <c r="Q2835" s="17">
        <f>O2835*P2835</f>
        <v>165000</v>
      </c>
      <c r="R2835" s="16">
        <f>'Financial Inputs'!$B$7</f>
        <v>0.35</v>
      </c>
      <c r="S2835" s="17">
        <f>Q2835*(1-R2835)</f>
        <v>107250</v>
      </c>
      <c r="T2835" s="18">
        <f>S2835/'Financial Inputs'!$B$3</f>
        <v>1.0725000000000001E-3</v>
      </c>
      <c r="U2835" s="9" t="s">
        <v>52</v>
      </c>
      <c r="V2835" s="3" t="s">
        <v>53</v>
      </c>
    </row>
    <row r="2836" spans="1:22">
      <c r="A2836" s="2" t="s">
        <v>8765</v>
      </c>
      <c r="B2836" s="2" t="s">
        <v>8766</v>
      </c>
      <c r="C2836" s="2" t="s">
        <v>8662</v>
      </c>
      <c r="D2836" s="2" t="s">
        <v>133</v>
      </c>
      <c r="E2836" s="2" t="s">
        <v>122</v>
      </c>
      <c r="F2836" s="2" t="s">
        <v>66</v>
      </c>
      <c r="G2836" s="2" t="s">
        <v>56</v>
      </c>
      <c r="H2836" s="2" t="s">
        <v>46</v>
      </c>
      <c r="I2836" s="2" t="s">
        <v>3831</v>
      </c>
      <c r="J2836" s="2" t="s">
        <v>8663</v>
      </c>
      <c r="K2836" s="2" t="s">
        <v>8767</v>
      </c>
      <c r="L2836" s="2" t="s">
        <v>234</v>
      </c>
      <c r="M2836" s="2" t="s">
        <v>8665</v>
      </c>
      <c r="N2836" s="16">
        <v>1.2E-2</v>
      </c>
      <c r="O2836" s="17">
        <f>N2836*'Financial Inputs'!$B$3</f>
        <v>1200000</v>
      </c>
      <c r="P2836" s="18">
        <f>IF(I2836="L",'Financial Inputs'!$B$4,IF(I2836="M",'Financial Inputs'!$B$5,'Financial Inputs'!$B$6))</f>
        <v>0.15</v>
      </c>
      <c r="Q2836" s="17">
        <f>O2836*P2836</f>
        <v>180000</v>
      </c>
      <c r="R2836" s="16">
        <f>'Financial Inputs'!$B$7</f>
        <v>0.35</v>
      </c>
      <c r="S2836" s="17">
        <f>Q2836*(1-R2836)</f>
        <v>117000</v>
      </c>
      <c r="T2836" s="18">
        <f>S2836/'Financial Inputs'!$B$3</f>
        <v>1.17E-3</v>
      </c>
      <c r="U2836" s="9" t="s">
        <v>52</v>
      </c>
      <c r="V2836" s="3" t="s">
        <v>53</v>
      </c>
    </row>
    <row r="2837" spans="1:22">
      <c r="A2837" s="2" t="s">
        <v>8768</v>
      </c>
      <c r="B2837" s="2" t="s">
        <v>8769</v>
      </c>
      <c r="C2837" s="2" t="s">
        <v>8662</v>
      </c>
      <c r="D2837" s="2" t="s">
        <v>102</v>
      </c>
      <c r="E2837" s="2" t="s">
        <v>73</v>
      </c>
      <c r="F2837" s="2" t="s">
        <v>110</v>
      </c>
      <c r="G2837" s="2" t="s">
        <v>83</v>
      </c>
      <c r="H2837" s="2" t="s">
        <v>46</v>
      </c>
      <c r="I2837" s="2" t="s">
        <v>3831</v>
      </c>
      <c r="J2837" s="2" t="s">
        <v>8663</v>
      </c>
      <c r="K2837" s="2" t="s">
        <v>8770</v>
      </c>
      <c r="L2837" s="2" t="s">
        <v>238</v>
      </c>
      <c r="M2837" s="2" t="s">
        <v>8665</v>
      </c>
      <c r="N2837" s="16">
        <v>8.0000000000000002E-3</v>
      </c>
      <c r="O2837" s="17">
        <f>N2837*'Financial Inputs'!$B$3</f>
        <v>800000</v>
      </c>
      <c r="P2837" s="18">
        <f>IF(I2837="L",'Financial Inputs'!$B$4,IF(I2837="M",'Financial Inputs'!$B$5,'Financial Inputs'!$B$6))</f>
        <v>0.15</v>
      </c>
      <c r="Q2837" s="17">
        <f>O2837*P2837</f>
        <v>120000</v>
      </c>
      <c r="R2837" s="16">
        <f>'Financial Inputs'!$B$7</f>
        <v>0.35</v>
      </c>
      <c r="S2837" s="17">
        <f>Q2837*(1-R2837)</f>
        <v>78000</v>
      </c>
      <c r="T2837" s="18">
        <f>S2837/'Financial Inputs'!$B$3</f>
        <v>7.7999999999999999E-4</v>
      </c>
      <c r="U2837" s="9" t="s">
        <v>52</v>
      </c>
      <c r="V2837" s="3" t="s">
        <v>53</v>
      </c>
    </row>
    <row r="2838" spans="1:22">
      <c r="A2838" s="2" t="s">
        <v>8771</v>
      </c>
      <c r="B2838" s="2" t="s">
        <v>8772</v>
      </c>
      <c r="C2838" s="2" t="s">
        <v>8662</v>
      </c>
      <c r="D2838" s="2" t="s">
        <v>42</v>
      </c>
      <c r="E2838" s="2" t="s">
        <v>81</v>
      </c>
      <c r="F2838" s="2" t="s">
        <v>117</v>
      </c>
      <c r="G2838" s="2" t="s">
        <v>111</v>
      </c>
      <c r="H2838" s="2" t="s">
        <v>46</v>
      </c>
      <c r="I2838" s="2" t="s">
        <v>3831</v>
      </c>
      <c r="J2838" s="2" t="s">
        <v>8663</v>
      </c>
      <c r="K2838" s="2" t="s">
        <v>8773</v>
      </c>
      <c r="L2838" s="2" t="s">
        <v>242</v>
      </c>
      <c r="M2838" s="2" t="s">
        <v>8665</v>
      </c>
      <c r="N2838" s="16">
        <v>9.0000000000000011E-3</v>
      </c>
      <c r="O2838" s="17">
        <f>N2838*'Financial Inputs'!$B$3</f>
        <v>900000.00000000012</v>
      </c>
      <c r="P2838" s="18">
        <f>IF(I2838="L",'Financial Inputs'!$B$4,IF(I2838="M",'Financial Inputs'!$B$5,'Financial Inputs'!$B$6))</f>
        <v>0.15</v>
      </c>
      <c r="Q2838" s="17">
        <f>O2838*P2838</f>
        <v>135000</v>
      </c>
      <c r="R2838" s="16">
        <f>'Financial Inputs'!$B$7</f>
        <v>0.35</v>
      </c>
      <c r="S2838" s="17">
        <f>Q2838*(1-R2838)</f>
        <v>87750</v>
      </c>
      <c r="T2838" s="18">
        <f>S2838/'Financial Inputs'!$B$3</f>
        <v>8.7750000000000002E-4</v>
      </c>
      <c r="U2838" s="9" t="s">
        <v>52</v>
      </c>
      <c r="V2838" s="3" t="s">
        <v>53</v>
      </c>
    </row>
    <row r="2839" spans="1:22">
      <c r="A2839" s="2" t="s">
        <v>8774</v>
      </c>
      <c r="B2839" s="2" t="s">
        <v>8775</v>
      </c>
      <c r="C2839" s="2" t="s">
        <v>8662</v>
      </c>
      <c r="D2839" s="2" t="s">
        <v>56</v>
      </c>
      <c r="E2839" s="2" t="s">
        <v>193</v>
      </c>
      <c r="F2839" s="2" t="s">
        <v>90</v>
      </c>
      <c r="G2839" s="2" t="s">
        <v>56</v>
      </c>
      <c r="H2839" s="2" t="s">
        <v>46</v>
      </c>
      <c r="I2839" s="2" t="s">
        <v>3831</v>
      </c>
      <c r="J2839" s="2" t="s">
        <v>8663</v>
      </c>
      <c r="K2839" s="2" t="s">
        <v>8776</v>
      </c>
      <c r="L2839" s="2" t="s">
        <v>246</v>
      </c>
      <c r="M2839" s="2" t="s">
        <v>8665</v>
      </c>
      <c r="N2839" s="16">
        <v>0.01</v>
      </c>
      <c r="O2839" s="17">
        <f>N2839*'Financial Inputs'!$B$3</f>
        <v>1000000</v>
      </c>
      <c r="P2839" s="18">
        <f>IF(I2839="L",'Financial Inputs'!$B$4,IF(I2839="M",'Financial Inputs'!$B$5,'Financial Inputs'!$B$6))</f>
        <v>0.15</v>
      </c>
      <c r="Q2839" s="17">
        <f>O2839*P2839</f>
        <v>150000</v>
      </c>
      <c r="R2839" s="16">
        <f>'Financial Inputs'!$B$7</f>
        <v>0.35</v>
      </c>
      <c r="S2839" s="17">
        <f>Q2839*(1-R2839)</f>
        <v>97500</v>
      </c>
      <c r="T2839" s="18">
        <f>S2839/'Financial Inputs'!$B$3</f>
        <v>9.7499999999999996E-4</v>
      </c>
      <c r="U2839" s="9" t="s">
        <v>52</v>
      </c>
      <c r="V2839" s="3" t="s">
        <v>53</v>
      </c>
    </row>
    <row r="2840" spans="1:22">
      <c r="A2840" s="2" t="s">
        <v>8777</v>
      </c>
      <c r="B2840" s="2" t="s">
        <v>8778</v>
      </c>
      <c r="C2840" s="2" t="s">
        <v>8662</v>
      </c>
      <c r="D2840" s="2" t="s">
        <v>64</v>
      </c>
      <c r="E2840" s="2" t="s">
        <v>198</v>
      </c>
      <c r="F2840" s="2" t="s">
        <v>97</v>
      </c>
      <c r="G2840" s="2" t="s">
        <v>138</v>
      </c>
      <c r="H2840" s="2" t="s">
        <v>46</v>
      </c>
      <c r="I2840" s="2" t="s">
        <v>3831</v>
      </c>
      <c r="J2840" s="2" t="s">
        <v>8663</v>
      </c>
      <c r="K2840" s="2" t="s">
        <v>8779</v>
      </c>
      <c r="L2840" s="2" t="s">
        <v>250</v>
      </c>
      <c r="M2840" s="2" t="s">
        <v>8665</v>
      </c>
      <c r="N2840" s="16">
        <v>1.0999999999999999E-2</v>
      </c>
      <c r="O2840" s="17">
        <f>N2840*'Financial Inputs'!$B$3</f>
        <v>1100000</v>
      </c>
      <c r="P2840" s="18">
        <f>IF(I2840="L",'Financial Inputs'!$B$4,IF(I2840="M",'Financial Inputs'!$B$5,'Financial Inputs'!$B$6))</f>
        <v>0.15</v>
      </c>
      <c r="Q2840" s="17">
        <f>O2840*P2840</f>
        <v>165000</v>
      </c>
      <c r="R2840" s="16">
        <f>'Financial Inputs'!$B$7</f>
        <v>0.35</v>
      </c>
      <c r="S2840" s="17">
        <f>Q2840*(1-R2840)</f>
        <v>107250</v>
      </c>
      <c r="T2840" s="18">
        <f>S2840/'Financial Inputs'!$B$3</f>
        <v>1.0725000000000001E-3</v>
      </c>
      <c r="U2840" s="9" t="s">
        <v>52</v>
      </c>
      <c r="V2840" s="3" t="s">
        <v>53</v>
      </c>
    </row>
    <row r="2841" spans="1:22">
      <c r="A2841" s="2" t="s">
        <v>8780</v>
      </c>
      <c r="B2841" s="2" t="s">
        <v>8781</v>
      </c>
      <c r="C2841" s="2" t="s">
        <v>8662</v>
      </c>
      <c r="D2841" s="2" t="s">
        <v>72</v>
      </c>
      <c r="E2841" s="2" t="s">
        <v>148</v>
      </c>
      <c r="F2841" s="2" t="s">
        <v>104</v>
      </c>
      <c r="G2841" s="2" t="s">
        <v>143</v>
      </c>
      <c r="H2841" s="2" t="s">
        <v>46</v>
      </c>
      <c r="I2841" s="2" t="s">
        <v>3831</v>
      </c>
      <c r="J2841" s="2" t="s">
        <v>8663</v>
      </c>
      <c r="K2841" s="2" t="s">
        <v>8782</v>
      </c>
      <c r="L2841" s="2" t="s">
        <v>254</v>
      </c>
      <c r="M2841" s="2" t="s">
        <v>8665</v>
      </c>
      <c r="N2841" s="16">
        <v>1.2E-2</v>
      </c>
      <c r="O2841" s="17">
        <f>N2841*'Financial Inputs'!$B$3</f>
        <v>1200000</v>
      </c>
      <c r="P2841" s="18">
        <f>IF(I2841="L",'Financial Inputs'!$B$4,IF(I2841="M",'Financial Inputs'!$B$5,'Financial Inputs'!$B$6))</f>
        <v>0.15</v>
      </c>
      <c r="Q2841" s="17">
        <f>O2841*P2841</f>
        <v>180000</v>
      </c>
      <c r="R2841" s="16">
        <f>'Financial Inputs'!$B$7</f>
        <v>0.35</v>
      </c>
      <c r="S2841" s="17">
        <f>Q2841*(1-R2841)</f>
        <v>117000</v>
      </c>
      <c r="T2841" s="18">
        <f>S2841/'Financial Inputs'!$B$3</f>
        <v>1.17E-3</v>
      </c>
      <c r="U2841" s="9" t="s">
        <v>52</v>
      </c>
      <c r="V2841" s="3" t="s">
        <v>53</v>
      </c>
    </row>
    <row r="2842" spans="1:22">
      <c r="A2842" s="2" t="s">
        <v>8783</v>
      </c>
      <c r="B2842" s="2" t="s">
        <v>8784</v>
      </c>
      <c r="C2842" s="2" t="s">
        <v>8662</v>
      </c>
      <c r="D2842" s="2" t="s">
        <v>133</v>
      </c>
      <c r="E2842" s="2" t="s">
        <v>109</v>
      </c>
      <c r="F2842" s="2" t="s">
        <v>82</v>
      </c>
      <c r="G2842" s="2" t="s">
        <v>56</v>
      </c>
      <c r="H2842" s="2" t="s">
        <v>46</v>
      </c>
      <c r="I2842" s="2" t="s">
        <v>3831</v>
      </c>
      <c r="J2842" s="2" t="s">
        <v>8663</v>
      </c>
      <c r="K2842" s="2" t="s">
        <v>8785</v>
      </c>
      <c r="L2842" s="2" t="s">
        <v>258</v>
      </c>
      <c r="M2842" s="2" t="s">
        <v>8665</v>
      </c>
      <c r="N2842" s="16">
        <v>8.0000000000000002E-3</v>
      </c>
      <c r="O2842" s="17">
        <f>N2842*'Financial Inputs'!$B$3</f>
        <v>800000</v>
      </c>
      <c r="P2842" s="18">
        <f>IF(I2842="L",'Financial Inputs'!$B$4,IF(I2842="M",'Financial Inputs'!$B$5,'Financial Inputs'!$B$6))</f>
        <v>0.15</v>
      </c>
      <c r="Q2842" s="17">
        <f>O2842*P2842</f>
        <v>120000</v>
      </c>
      <c r="R2842" s="16">
        <f>'Financial Inputs'!$B$7</f>
        <v>0.35</v>
      </c>
      <c r="S2842" s="17">
        <f>Q2842*(1-R2842)</f>
        <v>78000</v>
      </c>
      <c r="T2842" s="18">
        <f>S2842/'Financial Inputs'!$B$3</f>
        <v>7.7999999999999999E-4</v>
      </c>
      <c r="U2842" s="9" t="s">
        <v>52</v>
      </c>
      <c r="V2842" s="3" t="s">
        <v>53</v>
      </c>
    </row>
    <row r="2843" spans="1:22">
      <c r="A2843" s="2" t="s">
        <v>8786</v>
      </c>
      <c r="B2843" s="2" t="s">
        <v>8787</v>
      </c>
      <c r="C2843" s="2" t="s">
        <v>8662</v>
      </c>
      <c r="D2843" s="2" t="s">
        <v>88</v>
      </c>
      <c r="E2843" s="2" t="s">
        <v>116</v>
      </c>
      <c r="F2843" s="2" t="s">
        <v>44</v>
      </c>
      <c r="G2843" s="2" t="s">
        <v>138</v>
      </c>
      <c r="H2843" s="2" t="s">
        <v>46</v>
      </c>
      <c r="I2843" s="2" t="s">
        <v>3831</v>
      </c>
      <c r="J2843" s="2" t="s">
        <v>8663</v>
      </c>
      <c r="K2843" s="2" t="s">
        <v>8788</v>
      </c>
      <c r="L2843" s="2" t="s">
        <v>262</v>
      </c>
      <c r="M2843" s="2" t="s">
        <v>8665</v>
      </c>
      <c r="N2843" s="16">
        <v>9.0000000000000011E-3</v>
      </c>
      <c r="O2843" s="17">
        <f>N2843*'Financial Inputs'!$B$3</f>
        <v>900000.00000000012</v>
      </c>
      <c r="P2843" s="18">
        <f>IF(I2843="L",'Financial Inputs'!$B$4,IF(I2843="M",'Financial Inputs'!$B$5,'Financial Inputs'!$B$6))</f>
        <v>0.15</v>
      </c>
      <c r="Q2843" s="17">
        <f>O2843*P2843</f>
        <v>135000</v>
      </c>
      <c r="R2843" s="16">
        <f>'Financial Inputs'!$B$7</f>
        <v>0.35</v>
      </c>
      <c r="S2843" s="17">
        <f>Q2843*(1-R2843)</f>
        <v>87750</v>
      </c>
      <c r="T2843" s="18">
        <f>S2843/'Financial Inputs'!$B$3</f>
        <v>8.7750000000000002E-4</v>
      </c>
      <c r="U2843" s="9" t="s">
        <v>52</v>
      </c>
      <c r="V2843" s="3" t="s">
        <v>53</v>
      </c>
    </row>
    <row r="2844" spans="1:22">
      <c r="A2844" s="2" t="s">
        <v>8789</v>
      </c>
      <c r="B2844" s="2" t="s">
        <v>8790</v>
      </c>
      <c r="C2844" s="2" t="s">
        <v>8662</v>
      </c>
      <c r="D2844" s="2" t="s">
        <v>95</v>
      </c>
      <c r="E2844" s="2" t="s">
        <v>215</v>
      </c>
      <c r="F2844" s="2" t="s">
        <v>58</v>
      </c>
      <c r="G2844" s="2" t="s">
        <v>143</v>
      </c>
      <c r="H2844" s="2" t="s">
        <v>46</v>
      </c>
      <c r="I2844" s="2" t="s">
        <v>3831</v>
      </c>
      <c r="J2844" s="2" t="s">
        <v>8663</v>
      </c>
      <c r="K2844" s="2" t="s">
        <v>8791</v>
      </c>
      <c r="L2844" s="2" t="s">
        <v>266</v>
      </c>
      <c r="M2844" s="2" t="s">
        <v>8665</v>
      </c>
      <c r="N2844" s="16">
        <v>0.01</v>
      </c>
      <c r="O2844" s="17">
        <f>N2844*'Financial Inputs'!$B$3</f>
        <v>1000000</v>
      </c>
      <c r="P2844" s="18">
        <f>IF(I2844="L",'Financial Inputs'!$B$4,IF(I2844="M",'Financial Inputs'!$B$5,'Financial Inputs'!$B$6))</f>
        <v>0.15</v>
      </c>
      <c r="Q2844" s="17">
        <f>O2844*P2844</f>
        <v>150000</v>
      </c>
      <c r="R2844" s="16">
        <f>'Financial Inputs'!$B$7</f>
        <v>0.35</v>
      </c>
      <c r="S2844" s="17">
        <f>Q2844*(1-R2844)</f>
        <v>97500</v>
      </c>
      <c r="T2844" s="18">
        <f>S2844/'Financial Inputs'!$B$3</f>
        <v>9.7499999999999996E-4</v>
      </c>
      <c r="U2844" s="9" t="s">
        <v>52</v>
      </c>
      <c r="V2844" s="3" t="s">
        <v>53</v>
      </c>
    </row>
    <row r="2845" spans="1:22">
      <c r="A2845" s="2" t="s">
        <v>8792</v>
      </c>
      <c r="B2845" s="2" t="s">
        <v>8793</v>
      </c>
      <c r="C2845" s="2" t="s">
        <v>8662</v>
      </c>
      <c r="D2845" s="2" t="s">
        <v>102</v>
      </c>
      <c r="E2845" s="2" t="s">
        <v>220</v>
      </c>
      <c r="F2845" s="2" t="s">
        <v>66</v>
      </c>
      <c r="G2845" s="2" t="s">
        <v>162</v>
      </c>
      <c r="H2845" s="2" t="s">
        <v>46</v>
      </c>
      <c r="I2845" s="2" t="s">
        <v>3831</v>
      </c>
      <c r="J2845" s="2" t="s">
        <v>8663</v>
      </c>
      <c r="K2845" s="2" t="s">
        <v>8794</v>
      </c>
      <c r="L2845" s="2" t="s">
        <v>270</v>
      </c>
      <c r="M2845" s="2" t="s">
        <v>8665</v>
      </c>
      <c r="N2845" s="16">
        <v>1.0999999999999999E-2</v>
      </c>
      <c r="O2845" s="17">
        <f>N2845*'Financial Inputs'!$B$3</f>
        <v>1100000</v>
      </c>
      <c r="P2845" s="18">
        <f>IF(I2845="L",'Financial Inputs'!$B$4,IF(I2845="M",'Financial Inputs'!$B$5,'Financial Inputs'!$B$6))</f>
        <v>0.15</v>
      </c>
      <c r="Q2845" s="17">
        <f>O2845*P2845</f>
        <v>165000</v>
      </c>
      <c r="R2845" s="16">
        <f>'Financial Inputs'!$B$7</f>
        <v>0.35</v>
      </c>
      <c r="S2845" s="17">
        <f>Q2845*(1-R2845)</f>
        <v>107250</v>
      </c>
      <c r="T2845" s="18">
        <f>S2845/'Financial Inputs'!$B$3</f>
        <v>1.0725000000000001E-3</v>
      </c>
      <c r="U2845" s="9" t="s">
        <v>52</v>
      </c>
      <c r="V2845" s="3" t="s">
        <v>53</v>
      </c>
    </row>
    <row r="2846" spans="1:22">
      <c r="A2846" s="2" t="s">
        <v>8795</v>
      </c>
      <c r="B2846" s="2" t="s">
        <v>8796</v>
      </c>
      <c r="C2846" s="2" t="s">
        <v>8662</v>
      </c>
      <c r="D2846" s="2" t="s">
        <v>42</v>
      </c>
      <c r="E2846" s="2" t="s">
        <v>171</v>
      </c>
      <c r="F2846" s="2" t="s">
        <v>74</v>
      </c>
      <c r="G2846" s="2" t="s">
        <v>45</v>
      </c>
      <c r="H2846" s="2" t="s">
        <v>46</v>
      </c>
      <c r="I2846" s="2" t="s">
        <v>3831</v>
      </c>
      <c r="J2846" s="2" t="s">
        <v>8663</v>
      </c>
      <c r="K2846" s="2" t="s">
        <v>8797</v>
      </c>
      <c r="L2846" s="2" t="s">
        <v>274</v>
      </c>
      <c r="M2846" s="2" t="s">
        <v>8665</v>
      </c>
      <c r="N2846" s="16">
        <v>1.2E-2</v>
      </c>
      <c r="O2846" s="17">
        <f>N2846*'Financial Inputs'!$B$3</f>
        <v>1200000</v>
      </c>
      <c r="P2846" s="18">
        <f>IF(I2846="L",'Financial Inputs'!$B$4,IF(I2846="M",'Financial Inputs'!$B$5,'Financial Inputs'!$B$6))</f>
        <v>0.15</v>
      </c>
      <c r="Q2846" s="17">
        <f>O2846*P2846</f>
        <v>180000</v>
      </c>
      <c r="R2846" s="16">
        <f>'Financial Inputs'!$B$7</f>
        <v>0.35</v>
      </c>
      <c r="S2846" s="17">
        <f>Q2846*(1-R2846)</f>
        <v>117000</v>
      </c>
      <c r="T2846" s="18">
        <f>S2846/'Financial Inputs'!$B$3</f>
        <v>1.17E-3</v>
      </c>
      <c r="U2846" s="9" t="s">
        <v>52</v>
      </c>
      <c r="V2846" s="3" t="s">
        <v>53</v>
      </c>
    </row>
    <row r="2847" spans="1:22">
      <c r="A2847" s="2" t="s">
        <v>8798</v>
      </c>
      <c r="B2847" s="2" t="s">
        <v>8799</v>
      </c>
      <c r="C2847" s="2" t="s">
        <v>8662</v>
      </c>
      <c r="D2847" s="2" t="s">
        <v>72</v>
      </c>
      <c r="E2847" s="2" t="s">
        <v>57</v>
      </c>
      <c r="F2847" s="2" t="s">
        <v>117</v>
      </c>
      <c r="G2847" s="2" t="s">
        <v>143</v>
      </c>
      <c r="H2847" s="2" t="s">
        <v>46</v>
      </c>
      <c r="I2847" s="2" t="s">
        <v>3831</v>
      </c>
      <c r="J2847" s="2" t="s">
        <v>8663</v>
      </c>
      <c r="K2847" s="2" t="s">
        <v>8800</v>
      </c>
      <c r="L2847" s="2" t="s">
        <v>278</v>
      </c>
      <c r="M2847" s="2" t="s">
        <v>8665</v>
      </c>
      <c r="N2847" s="16">
        <v>8.0000000000000002E-3</v>
      </c>
      <c r="O2847" s="17">
        <f>N2847*'Financial Inputs'!$B$3</f>
        <v>800000</v>
      </c>
      <c r="P2847" s="18">
        <f>IF(I2847="L",'Financial Inputs'!$B$4,IF(I2847="M",'Financial Inputs'!$B$5,'Financial Inputs'!$B$6))</f>
        <v>0.15</v>
      </c>
      <c r="Q2847" s="17">
        <f>O2847*P2847</f>
        <v>120000</v>
      </c>
      <c r="R2847" s="16">
        <f>'Financial Inputs'!$B$7</f>
        <v>0.35</v>
      </c>
      <c r="S2847" s="17">
        <f>Q2847*(1-R2847)</f>
        <v>78000</v>
      </c>
      <c r="T2847" s="18">
        <f>S2847/'Financial Inputs'!$B$3</f>
        <v>7.7999999999999999E-4</v>
      </c>
      <c r="U2847" s="9" t="s">
        <v>52</v>
      </c>
      <c r="V2847" s="3" t="s">
        <v>53</v>
      </c>
    </row>
    <row r="2848" spans="1:22">
      <c r="A2848" s="2" t="s">
        <v>8801</v>
      </c>
      <c r="B2848" s="2" t="s">
        <v>8802</v>
      </c>
      <c r="C2848" s="2" t="s">
        <v>8662</v>
      </c>
      <c r="D2848" s="2" t="s">
        <v>80</v>
      </c>
      <c r="E2848" s="2" t="s">
        <v>65</v>
      </c>
      <c r="F2848" s="2" t="s">
        <v>90</v>
      </c>
      <c r="G2848" s="2" t="s">
        <v>162</v>
      </c>
      <c r="H2848" s="2" t="s">
        <v>46</v>
      </c>
      <c r="I2848" s="2" t="s">
        <v>3831</v>
      </c>
      <c r="J2848" s="2" t="s">
        <v>8663</v>
      </c>
      <c r="K2848" s="2" t="s">
        <v>8803</v>
      </c>
      <c r="L2848" s="2" t="s">
        <v>282</v>
      </c>
      <c r="M2848" s="2" t="s">
        <v>8665</v>
      </c>
      <c r="N2848" s="16">
        <v>9.0000000000000011E-3</v>
      </c>
      <c r="O2848" s="17">
        <f>N2848*'Financial Inputs'!$B$3</f>
        <v>900000.00000000012</v>
      </c>
      <c r="P2848" s="18">
        <f>IF(I2848="L",'Financial Inputs'!$B$4,IF(I2848="M",'Financial Inputs'!$B$5,'Financial Inputs'!$B$6))</f>
        <v>0.15</v>
      </c>
      <c r="Q2848" s="17">
        <f>O2848*P2848</f>
        <v>135000</v>
      </c>
      <c r="R2848" s="16">
        <f>'Financial Inputs'!$B$7</f>
        <v>0.35</v>
      </c>
      <c r="S2848" s="17">
        <f>Q2848*(1-R2848)</f>
        <v>87750</v>
      </c>
      <c r="T2848" s="18">
        <f>S2848/'Financial Inputs'!$B$3</f>
        <v>8.7750000000000002E-4</v>
      </c>
      <c r="U2848" s="9" t="s">
        <v>52</v>
      </c>
      <c r="V2848" s="3" t="s">
        <v>53</v>
      </c>
    </row>
    <row r="2849" spans="1:22">
      <c r="A2849" s="2" t="s">
        <v>8804</v>
      </c>
      <c r="B2849" s="2" t="s">
        <v>8805</v>
      </c>
      <c r="C2849" s="2" t="s">
        <v>8662</v>
      </c>
      <c r="D2849" s="2" t="s">
        <v>127</v>
      </c>
      <c r="E2849" s="2" t="s">
        <v>73</v>
      </c>
      <c r="F2849" s="2" t="s">
        <v>97</v>
      </c>
      <c r="G2849" s="2" t="s">
        <v>45</v>
      </c>
      <c r="H2849" s="2" t="s">
        <v>46</v>
      </c>
      <c r="I2849" s="2" t="s">
        <v>3831</v>
      </c>
      <c r="J2849" s="2" t="s">
        <v>8663</v>
      </c>
      <c r="K2849" s="2" t="s">
        <v>8806</v>
      </c>
      <c r="L2849" s="2" t="s">
        <v>286</v>
      </c>
      <c r="M2849" s="2" t="s">
        <v>8665</v>
      </c>
      <c r="N2849" s="16">
        <v>0.01</v>
      </c>
      <c r="O2849" s="17">
        <f>N2849*'Financial Inputs'!$B$3</f>
        <v>1000000</v>
      </c>
      <c r="P2849" s="18">
        <f>IF(I2849="L",'Financial Inputs'!$B$4,IF(I2849="M",'Financial Inputs'!$B$5,'Financial Inputs'!$B$6))</f>
        <v>0.15</v>
      </c>
      <c r="Q2849" s="17">
        <f>O2849*P2849</f>
        <v>150000</v>
      </c>
      <c r="R2849" s="16">
        <f>'Financial Inputs'!$B$7</f>
        <v>0.35</v>
      </c>
      <c r="S2849" s="17">
        <f>Q2849*(1-R2849)</f>
        <v>97500</v>
      </c>
      <c r="T2849" s="18">
        <f>S2849/'Financial Inputs'!$B$3</f>
        <v>9.7499999999999996E-4</v>
      </c>
      <c r="U2849" s="9" t="s">
        <v>52</v>
      </c>
      <c r="V2849" s="3" t="s">
        <v>53</v>
      </c>
    </row>
    <row r="2850" spans="1:22">
      <c r="A2850" s="2" t="s">
        <v>8807</v>
      </c>
      <c r="B2850" s="2" t="s">
        <v>8808</v>
      </c>
      <c r="C2850" s="2" t="s">
        <v>8662</v>
      </c>
      <c r="D2850" s="2" t="s">
        <v>133</v>
      </c>
      <c r="E2850" s="2" t="s">
        <v>81</v>
      </c>
      <c r="F2850" s="2" t="s">
        <v>104</v>
      </c>
      <c r="G2850" s="2" t="s">
        <v>59</v>
      </c>
      <c r="H2850" s="2" t="s">
        <v>46</v>
      </c>
      <c r="I2850" s="2" t="s">
        <v>3831</v>
      </c>
      <c r="J2850" s="2" t="s">
        <v>8663</v>
      </c>
      <c r="K2850" s="2" t="s">
        <v>8809</v>
      </c>
      <c r="L2850" s="2" t="s">
        <v>290</v>
      </c>
      <c r="M2850" s="2" t="s">
        <v>8665</v>
      </c>
      <c r="N2850" s="16">
        <v>1.0999999999999999E-2</v>
      </c>
      <c r="O2850" s="17">
        <f>N2850*'Financial Inputs'!$B$3</f>
        <v>1100000</v>
      </c>
      <c r="P2850" s="18">
        <f>IF(I2850="L",'Financial Inputs'!$B$4,IF(I2850="M",'Financial Inputs'!$B$5,'Financial Inputs'!$B$6))</f>
        <v>0.15</v>
      </c>
      <c r="Q2850" s="17">
        <f>O2850*P2850</f>
        <v>165000</v>
      </c>
      <c r="R2850" s="16">
        <f>'Financial Inputs'!$B$7</f>
        <v>0.35</v>
      </c>
      <c r="S2850" s="17">
        <f>Q2850*(1-R2850)</f>
        <v>107250</v>
      </c>
      <c r="T2850" s="18">
        <f>S2850/'Financial Inputs'!$B$3</f>
        <v>1.0725000000000001E-3</v>
      </c>
      <c r="U2850" s="9" t="s">
        <v>52</v>
      </c>
      <c r="V2850" s="3" t="s">
        <v>53</v>
      </c>
    </row>
    <row r="2851" spans="1:22">
      <c r="A2851" s="2" t="s">
        <v>8810</v>
      </c>
      <c r="B2851" s="2" t="s">
        <v>8811</v>
      </c>
      <c r="C2851" s="2" t="s">
        <v>8662</v>
      </c>
      <c r="D2851" s="2" t="s">
        <v>88</v>
      </c>
      <c r="E2851" s="2" t="s">
        <v>193</v>
      </c>
      <c r="F2851" s="2" t="s">
        <v>110</v>
      </c>
      <c r="G2851" s="2" t="s">
        <v>67</v>
      </c>
      <c r="H2851" s="2" t="s">
        <v>46</v>
      </c>
      <c r="I2851" s="2" t="s">
        <v>3831</v>
      </c>
      <c r="J2851" s="2" t="s">
        <v>8663</v>
      </c>
      <c r="K2851" s="2" t="s">
        <v>8812</v>
      </c>
      <c r="L2851" s="2" t="s">
        <v>294</v>
      </c>
      <c r="M2851" s="2" t="s">
        <v>8665</v>
      </c>
      <c r="N2851" s="16">
        <v>1.2E-2</v>
      </c>
      <c r="O2851" s="17">
        <f>N2851*'Financial Inputs'!$B$3</f>
        <v>1200000</v>
      </c>
      <c r="P2851" s="18">
        <f>IF(I2851="L",'Financial Inputs'!$B$4,IF(I2851="M",'Financial Inputs'!$B$5,'Financial Inputs'!$B$6))</f>
        <v>0.15</v>
      </c>
      <c r="Q2851" s="17">
        <f>O2851*P2851</f>
        <v>180000</v>
      </c>
      <c r="R2851" s="16">
        <f>'Financial Inputs'!$B$7</f>
        <v>0.35</v>
      </c>
      <c r="S2851" s="17">
        <f>Q2851*(1-R2851)</f>
        <v>117000</v>
      </c>
      <c r="T2851" s="18">
        <f>S2851/'Financial Inputs'!$B$3</f>
        <v>1.17E-3</v>
      </c>
      <c r="U2851" s="9" t="s">
        <v>52</v>
      </c>
      <c r="V2851" s="3" t="s">
        <v>53</v>
      </c>
    </row>
    <row r="2852" spans="1:22">
      <c r="A2852" s="2" t="s">
        <v>8813</v>
      </c>
      <c r="B2852" s="2" t="s">
        <v>8814</v>
      </c>
      <c r="C2852" s="2" t="s">
        <v>8662</v>
      </c>
      <c r="D2852" s="2" t="s">
        <v>42</v>
      </c>
      <c r="E2852" s="2" t="s">
        <v>96</v>
      </c>
      <c r="F2852" s="2" t="s">
        <v>44</v>
      </c>
      <c r="G2852" s="2" t="s">
        <v>45</v>
      </c>
      <c r="H2852" s="2" t="s">
        <v>46</v>
      </c>
      <c r="I2852" s="2" t="s">
        <v>3831</v>
      </c>
      <c r="J2852" s="2" t="s">
        <v>8663</v>
      </c>
      <c r="K2852" s="2" t="s">
        <v>8815</v>
      </c>
      <c r="L2852" s="2" t="s">
        <v>298</v>
      </c>
      <c r="M2852" s="2" t="s">
        <v>8665</v>
      </c>
      <c r="N2852" s="16">
        <v>8.0000000000000002E-3</v>
      </c>
      <c r="O2852" s="17">
        <f>N2852*'Financial Inputs'!$B$3</f>
        <v>800000</v>
      </c>
      <c r="P2852" s="18">
        <f>IF(I2852="L",'Financial Inputs'!$B$4,IF(I2852="M",'Financial Inputs'!$B$5,'Financial Inputs'!$B$6))</f>
        <v>0.15</v>
      </c>
      <c r="Q2852" s="17">
        <f>O2852*P2852</f>
        <v>120000</v>
      </c>
      <c r="R2852" s="16">
        <f>'Financial Inputs'!$B$7</f>
        <v>0.35</v>
      </c>
      <c r="S2852" s="17">
        <f>Q2852*(1-R2852)</f>
        <v>78000</v>
      </c>
      <c r="T2852" s="18">
        <f>S2852/'Financial Inputs'!$B$3</f>
        <v>7.7999999999999999E-4</v>
      </c>
      <c r="U2852" s="9" t="s">
        <v>52</v>
      </c>
      <c r="V2852" s="3" t="s">
        <v>53</v>
      </c>
    </row>
    <row r="2853" spans="1:22">
      <c r="A2853" s="2" t="s">
        <v>8816</v>
      </c>
      <c r="B2853" s="2" t="s">
        <v>8817</v>
      </c>
      <c r="C2853" s="2" t="s">
        <v>8662</v>
      </c>
      <c r="D2853" s="2" t="s">
        <v>56</v>
      </c>
      <c r="E2853" s="2" t="s">
        <v>103</v>
      </c>
      <c r="F2853" s="2" t="s">
        <v>58</v>
      </c>
      <c r="G2853" s="2" t="s">
        <v>59</v>
      </c>
      <c r="H2853" s="2" t="s">
        <v>46</v>
      </c>
      <c r="I2853" s="2" t="s">
        <v>3831</v>
      </c>
      <c r="J2853" s="2" t="s">
        <v>8663</v>
      </c>
      <c r="K2853" s="2" t="s">
        <v>8818</v>
      </c>
      <c r="L2853" s="2" t="s">
        <v>302</v>
      </c>
      <c r="M2853" s="2" t="s">
        <v>8665</v>
      </c>
      <c r="N2853" s="16">
        <v>9.0000000000000011E-3</v>
      </c>
      <c r="O2853" s="17">
        <f>N2853*'Financial Inputs'!$B$3</f>
        <v>900000.00000000012</v>
      </c>
      <c r="P2853" s="18">
        <f>IF(I2853="L",'Financial Inputs'!$B$4,IF(I2853="M",'Financial Inputs'!$B$5,'Financial Inputs'!$B$6))</f>
        <v>0.15</v>
      </c>
      <c r="Q2853" s="17">
        <f>O2853*P2853</f>
        <v>135000</v>
      </c>
      <c r="R2853" s="16">
        <f>'Financial Inputs'!$B$7</f>
        <v>0.35</v>
      </c>
      <c r="S2853" s="17">
        <f>Q2853*(1-R2853)</f>
        <v>87750</v>
      </c>
      <c r="T2853" s="18">
        <f>S2853/'Financial Inputs'!$B$3</f>
        <v>8.7750000000000002E-4</v>
      </c>
      <c r="U2853" s="9" t="s">
        <v>52</v>
      </c>
      <c r="V2853" s="3" t="s">
        <v>53</v>
      </c>
    </row>
    <row r="2854" spans="1:22">
      <c r="A2854" s="2" t="s">
        <v>8819</v>
      </c>
      <c r="B2854" s="2" t="s">
        <v>8820</v>
      </c>
      <c r="C2854" s="2" t="s">
        <v>8662</v>
      </c>
      <c r="D2854" s="2" t="s">
        <v>64</v>
      </c>
      <c r="E2854" s="2" t="s">
        <v>109</v>
      </c>
      <c r="F2854" s="2" t="s">
        <v>66</v>
      </c>
      <c r="G2854" s="2" t="s">
        <v>67</v>
      </c>
      <c r="H2854" s="2" t="s">
        <v>46</v>
      </c>
      <c r="I2854" s="2" t="s">
        <v>3831</v>
      </c>
      <c r="J2854" s="2" t="s">
        <v>8663</v>
      </c>
      <c r="K2854" s="2" t="s">
        <v>8821</v>
      </c>
      <c r="L2854" s="2" t="s">
        <v>306</v>
      </c>
      <c r="M2854" s="2" t="s">
        <v>8665</v>
      </c>
      <c r="N2854" s="16">
        <v>0.01</v>
      </c>
      <c r="O2854" s="17">
        <f>N2854*'Financial Inputs'!$B$3</f>
        <v>1000000</v>
      </c>
      <c r="P2854" s="18">
        <f>IF(I2854="L",'Financial Inputs'!$B$4,IF(I2854="M",'Financial Inputs'!$B$5,'Financial Inputs'!$B$6))</f>
        <v>0.15</v>
      </c>
      <c r="Q2854" s="17">
        <f>O2854*P2854</f>
        <v>150000</v>
      </c>
      <c r="R2854" s="16">
        <f>'Financial Inputs'!$B$7</f>
        <v>0.35</v>
      </c>
      <c r="S2854" s="17">
        <f>Q2854*(1-R2854)</f>
        <v>97500</v>
      </c>
      <c r="T2854" s="18">
        <f>S2854/'Financial Inputs'!$B$3</f>
        <v>9.7499999999999996E-4</v>
      </c>
      <c r="U2854" s="9" t="s">
        <v>52</v>
      </c>
      <c r="V2854" s="3" t="s">
        <v>53</v>
      </c>
    </row>
    <row r="2855" spans="1:22">
      <c r="A2855" s="2" t="s">
        <v>8822</v>
      </c>
      <c r="B2855" s="2" t="s">
        <v>8823</v>
      </c>
      <c r="C2855" s="2" t="s">
        <v>8662</v>
      </c>
      <c r="D2855" s="2" t="s">
        <v>72</v>
      </c>
      <c r="E2855" s="2" t="s">
        <v>116</v>
      </c>
      <c r="F2855" s="2" t="s">
        <v>74</v>
      </c>
      <c r="G2855" s="2" t="s">
        <v>75</v>
      </c>
      <c r="H2855" s="2" t="s">
        <v>46</v>
      </c>
      <c r="I2855" s="2" t="s">
        <v>3831</v>
      </c>
      <c r="J2855" s="2" t="s">
        <v>8663</v>
      </c>
      <c r="K2855" s="2" t="s">
        <v>8824</v>
      </c>
      <c r="L2855" s="2" t="s">
        <v>310</v>
      </c>
      <c r="M2855" s="2" t="s">
        <v>8665</v>
      </c>
      <c r="N2855" s="16">
        <v>1.0999999999999999E-2</v>
      </c>
      <c r="O2855" s="17">
        <f>N2855*'Financial Inputs'!$B$3</f>
        <v>1100000</v>
      </c>
      <c r="P2855" s="18">
        <f>IF(I2855="L",'Financial Inputs'!$B$4,IF(I2855="M",'Financial Inputs'!$B$5,'Financial Inputs'!$B$6))</f>
        <v>0.15</v>
      </c>
      <c r="Q2855" s="17">
        <f>O2855*P2855</f>
        <v>165000</v>
      </c>
      <c r="R2855" s="16">
        <f>'Financial Inputs'!$B$7</f>
        <v>0.35</v>
      </c>
      <c r="S2855" s="17">
        <f>Q2855*(1-R2855)</f>
        <v>107250</v>
      </c>
      <c r="T2855" s="18">
        <f>S2855/'Financial Inputs'!$B$3</f>
        <v>1.0725000000000001E-3</v>
      </c>
      <c r="U2855" s="9" t="s">
        <v>52</v>
      </c>
      <c r="V2855" s="3" t="s">
        <v>53</v>
      </c>
    </row>
    <row r="2856" spans="1:22">
      <c r="A2856" s="2" t="s">
        <v>8825</v>
      </c>
      <c r="B2856" s="2" t="s">
        <v>8826</v>
      </c>
      <c r="C2856" s="2" t="s">
        <v>8662</v>
      </c>
      <c r="D2856" s="2" t="s">
        <v>80</v>
      </c>
      <c r="E2856" s="2" t="s">
        <v>215</v>
      </c>
      <c r="F2856" s="2" t="s">
        <v>82</v>
      </c>
      <c r="G2856" s="2" t="s">
        <v>83</v>
      </c>
      <c r="H2856" s="2" t="s">
        <v>46</v>
      </c>
      <c r="I2856" s="2" t="s">
        <v>3831</v>
      </c>
      <c r="J2856" s="2" t="s">
        <v>8663</v>
      </c>
      <c r="K2856" s="2" t="s">
        <v>8827</v>
      </c>
      <c r="L2856" s="2" t="s">
        <v>314</v>
      </c>
      <c r="M2856" s="2" t="s">
        <v>8665</v>
      </c>
      <c r="N2856" s="16">
        <v>1.2E-2</v>
      </c>
      <c r="O2856" s="17">
        <f>N2856*'Financial Inputs'!$B$3</f>
        <v>1200000</v>
      </c>
      <c r="P2856" s="18">
        <f>IF(I2856="L",'Financial Inputs'!$B$4,IF(I2856="M",'Financial Inputs'!$B$5,'Financial Inputs'!$B$6))</f>
        <v>0.15</v>
      </c>
      <c r="Q2856" s="17">
        <f>O2856*P2856</f>
        <v>180000</v>
      </c>
      <c r="R2856" s="16">
        <f>'Financial Inputs'!$B$7</f>
        <v>0.35</v>
      </c>
      <c r="S2856" s="17">
        <f>Q2856*(1-R2856)</f>
        <v>117000</v>
      </c>
      <c r="T2856" s="18">
        <f>S2856/'Financial Inputs'!$B$3</f>
        <v>1.17E-3</v>
      </c>
      <c r="U2856" s="9" t="s">
        <v>52</v>
      </c>
      <c r="V2856" s="3" t="s">
        <v>53</v>
      </c>
    </row>
    <row r="2857" spans="1:22">
      <c r="A2857" s="2" t="s">
        <v>8828</v>
      </c>
      <c r="B2857" s="2" t="s">
        <v>8829</v>
      </c>
      <c r="C2857" s="2" t="s">
        <v>8662</v>
      </c>
      <c r="D2857" s="2" t="s">
        <v>88</v>
      </c>
      <c r="E2857" s="2" t="s">
        <v>128</v>
      </c>
      <c r="F2857" s="2" t="s">
        <v>90</v>
      </c>
      <c r="G2857" s="2" t="s">
        <v>67</v>
      </c>
      <c r="H2857" s="2" t="s">
        <v>46</v>
      </c>
      <c r="I2857" s="2" t="s">
        <v>3831</v>
      </c>
      <c r="J2857" s="2" t="s">
        <v>8663</v>
      </c>
      <c r="K2857" s="2" t="s">
        <v>8830</v>
      </c>
      <c r="L2857" s="2" t="s">
        <v>318</v>
      </c>
      <c r="M2857" s="2" t="s">
        <v>8665</v>
      </c>
      <c r="N2857" s="16">
        <v>8.0000000000000002E-3</v>
      </c>
      <c r="O2857" s="17">
        <f>N2857*'Financial Inputs'!$B$3</f>
        <v>800000</v>
      </c>
      <c r="P2857" s="18">
        <f>IF(I2857="L",'Financial Inputs'!$B$4,IF(I2857="M",'Financial Inputs'!$B$5,'Financial Inputs'!$B$6))</f>
        <v>0.15</v>
      </c>
      <c r="Q2857" s="17">
        <f>O2857*P2857</f>
        <v>120000</v>
      </c>
      <c r="R2857" s="16">
        <f>'Financial Inputs'!$B$7</f>
        <v>0.35</v>
      </c>
      <c r="S2857" s="17">
        <f>Q2857*(1-R2857)</f>
        <v>78000</v>
      </c>
      <c r="T2857" s="18">
        <f>S2857/'Financial Inputs'!$B$3</f>
        <v>7.7999999999999999E-4</v>
      </c>
      <c r="U2857" s="9" t="s">
        <v>52</v>
      </c>
      <c r="V2857" s="3" t="s">
        <v>53</v>
      </c>
    </row>
    <row r="2858" spans="1:22">
      <c r="A2858" s="2" t="s">
        <v>8831</v>
      </c>
      <c r="B2858" s="2" t="s">
        <v>8832</v>
      </c>
      <c r="C2858" s="2" t="s">
        <v>8662</v>
      </c>
      <c r="D2858" s="2" t="s">
        <v>95</v>
      </c>
      <c r="E2858" s="2" t="s">
        <v>43</v>
      </c>
      <c r="F2858" s="2" t="s">
        <v>97</v>
      </c>
      <c r="G2858" s="2" t="s">
        <v>75</v>
      </c>
      <c r="H2858" s="2" t="s">
        <v>46</v>
      </c>
      <c r="I2858" s="2" t="s">
        <v>3831</v>
      </c>
      <c r="J2858" s="2" t="s">
        <v>8663</v>
      </c>
      <c r="K2858" s="2" t="s">
        <v>8833</v>
      </c>
      <c r="L2858" s="2" t="s">
        <v>322</v>
      </c>
      <c r="M2858" s="2" t="s">
        <v>8665</v>
      </c>
      <c r="N2858" s="16">
        <v>9.0000000000000011E-3</v>
      </c>
      <c r="O2858" s="17">
        <f>N2858*'Financial Inputs'!$B$3</f>
        <v>900000.00000000012</v>
      </c>
      <c r="P2858" s="18">
        <f>IF(I2858="L",'Financial Inputs'!$B$4,IF(I2858="M",'Financial Inputs'!$B$5,'Financial Inputs'!$B$6))</f>
        <v>0.15</v>
      </c>
      <c r="Q2858" s="17">
        <f>O2858*P2858</f>
        <v>135000</v>
      </c>
      <c r="R2858" s="16">
        <f>'Financial Inputs'!$B$7</f>
        <v>0.35</v>
      </c>
      <c r="S2858" s="17">
        <f>Q2858*(1-R2858)</f>
        <v>87750</v>
      </c>
      <c r="T2858" s="18">
        <f>S2858/'Financial Inputs'!$B$3</f>
        <v>8.7750000000000002E-4</v>
      </c>
      <c r="U2858" s="9" t="s">
        <v>52</v>
      </c>
      <c r="V2858" s="3" t="s">
        <v>53</v>
      </c>
    </row>
    <row r="2859" spans="1:22">
      <c r="A2859" s="2" t="s">
        <v>8834</v>
      </c>
      <c r="B2859" s="2" t="s">
        <v>8835</v>
      </c>
      <c r="C2859" s="2" t="s">
        <v>8662</v>
      </c>
      <c r="D2859" s="2" t="s">
        <v>102</v>
      </c>
      <c r="E2859" s="2" t="s">
        <v>57</v>
      </c>
      <c r="F2859" s="2" t="s">
        <v>104</v>
      </c>
      <c r="G2859" s="2" t="s">
        <v>83</v>
      </c>
      <c r="H2859" s="2" t="s">
        <v>46</v>
      </c>
      <c r="I2859" s="2" t="s">
        <v>3831</v>
      </c>
      <c r="J2859" s="2" t="s">
        <v>8663</v>
      </c>
      <c r="K2859" s="2" t="s">
        <v>8836</v>
      </c>
      <c r="L2859" s="2" t="s">
        <v>326</v>
      </c>
      <c r="M2859" s="2" t="s">
        <v>8665</v>
      </c>
      <c r="N2859" s="16">
        <v>0.01</v>
      </c>
      <c r="O2859" s="17">
        <f>N2859*'Financial Inputs'!$B$3</f>
        <v>1000000</v>
      </c>
      <c r="P2859" s="18">
        <f>IF(I2859="L",'Financial Inputs'!$B$4,IF(I2859="M",'Financial Inputs'!$B$5,'Financial Inputs'!$B$6))</f>
        <v>0.15</v>
      </c>
      <c r="Q2859" s="17">
        <f>O2859*P2859</f>
        <v>150000</v>
      </c>
      <c r="R2859" s="16">
        <f>'Financial Inputs'!$B$7</f>
        <v>0.35</v>
      </c>
      <c r="S2859" s="17">
        <f>Q2859*(1-R2859)</f>
        <v>97500</v>
      </c>
      <c r="T2859" s="18">
        <f>S2859/'Financial Inputs'!$B$3</f>
        <v>9.7499999999999996E-4</v>
      </c>
      <c r="U2859" s="9" t="s">
        <v>52</v>
      </c>
      <c r="V2859" s="3" t="s">
        <v>53</v>
      </c>
    </row>
    <row r="2860" spans="1:22">
      <c r="A2860" s="2" t="s">
        <v>8837</v>
      </c>
      <c r="B2860" s="2" t="s">
        <v>8838</v>
      </c>
      <c r="C2860" s="2" t="s">
        <v>8662</v>
      </c>
      <c r="D2860" s="2" t="s">
        <v>42</v>
      </c>
      <c r="E2860" s="2" t="s">
        <v>65</v>
      </c>
      <c r="F2860" s="2" t="s">
        <v>110</v>
      </c>
      <c r="G2860" s="2" t="s">
        <v>111</v>
      </c>
      <c r="H2860" s="2" t="s">
        <v>46</v>
      </c>
      <c r="I2860" s="2" t="s">
        <v>3831</v>
      </c>
      <c r="J2860" s="2" t="s">
        <v>8663</v>
      </c>
      <c r="K2860" s="2" t="s">
        <v>8839</v>
      </c>
      <c r="L2860" s="2" t="s">
        <v>330</v>
      </c>
      <c r="M2860" s="2" t="s">
        <v>8665</v>
      </c>
      <c r="N2860" s="16">
        <v>1.0999999999999999E-2</v>
      </c>
      <c r="O2860" s="17">
        <f>N2860*'Financial Inputs'!$B$3</f>
        <v>1100000</v>
      </c>
      <c r="P2860" s="18">
        <f>IF(I2860="L",'Financial Inputs'!$B$4,IF(I2860="M",'Financial Inputs'!$B$5,'Financial Inputs'!$B$6))</f>
        <v>0.15</v>
      </c>
      <c r="Q2860" s="17">
        <f>O2860*P2860</f>
        <v>165000</v>
      </c>
      <c r="R2860" s="16">
        <f>'Financial Inputs'!$B$7</f>
        <v>0.35</v>
      </c>
      <c r="S2860" s="17">
        <f>Q2860*(1-R2860)</f>
        <v>107250</v>
      </c>
      <c r="T2860" s="18">
        <f>S2860/'Financial Inputs'!$B$3</f>
        <v>1.0725000000000001E-3</v>
      </c>
      <c r="U2860" s="9" t="s">
        <v>52</v>
      </c>
      <c r="V2860" s="3" t="s">
        <v>53</v>
      </c>
    </row>
    <row r="2861" spans="1:22">
      <c r="A2861" s="2" t="s">
        <v>8840</v>
      </c>
      <c r="B2861" s="2" t="s">
        <v>8841</v>
      </c>
      <c r="C2861" s="2" t="s">
        <v>8662</v>
      </c>
      <c r="D2861" s="2" t="s">
        <v>56</v>
      </c>
      <c r="E2861" s="2" t="s">
        <v>73</v>
      </c>
      <c r="F2861" s="2" t="s">
        <v>117</v>
      </c>
      <c r="G2861" s="2" t="s">
        <v>56</v>
      </c>
      <c r="H2861" s="2" t="s">
        <v>46</v>
      </c>
      <c r="I2861" s="2" t="s">
        <v>3831</v>
      </c>
      <c r="J2861" s="2" t="s">
        <v>8663</v>
      </c>
      <c r="K2861" s="2" t="s">
        <v>8842</v>
      </c>
      <c r="L2861" s="2" t="s">
        <v>334</v>
      </c>
      <c r="M2861" s="2" t="s">
        <v>8665</v>
      </c>
      <c r="N2861" s="16">
        <v>1.2E-2</v>
      </c>
      <c r="O2861" s="17">
        <f>N2861*'Financial Inputs'!$B$3</f>
        <v>1200000</v>
      </c>
      <c r="P2861" s="18">
        <f>IF(I2861="L",'Financial Inputs'!$B$4,IF(I2861="M",'Financial Inputs'!$B$5,'Financial Inputs'!$B$6))</f>
        <v>0.15</v>
      </c>
      <c r="Q2861" s="17">
        <f>O2861*P2861</f>
        <v>180000</v>
      </c>
      <c r="R2861" s="16">
        <f>'Financial Inputs'!$B$7</f>
        <v>0.35</v>
      </c>
      <c r="S2861" s="17">
        <f>Q2861*(1-R2861)</f>
        <v>117000</v>
      </c>
      <c r="T2861" s="18">
        <f>S2861/'Financial Inputs'!$B$3</f>
        <v>1.17E-3</v>
      </c>
      <c r="U2861" s="9" t="s">
        <v>52</v>
      </c>
      <c r="V2861" s="3" t="s">
        <v>53</v>
      </c>
    </row>
    <row r="2862" spans="1:22">
      <c r="A2862" s="2" t="s">
        <v>8843</v>
      </c>
      <c r="B2862" s="2" t="s">
        <v>8844</v>
      </c>
      <c r="C2862" s="2" t="s">
        <v>8662</v>
      </c>
      <c r="D2862" s="2" t="s">
        <v>80</v>
      </c>
      <c r="E2862" s="2" t="s">
        <v>153</v>
      </c>
      <c r="F2862" s="2" t="s">
        <v>58</v>
      </c>
      <c r="G2862" s="2" t="s">
        <v>83</v>
      </c>
      <c r="H2862" s="2" t="s">
        <v>46</v>
      </c>
      <c r="I2862" s="2" t="s">
        <v>3831</v>
      </c>
      <c r="J2862" s="2" t="s">
        <v>8663</v>
      </c>
      <c r="K2862" s="2" t="s">
        <v>8845</v>
      </c>
      <c r="L2862" s="2" t="s">
        <v>338</v>
      </c>
      <c r="M2862" s="2" t="s">
        <v>8665</v>
      </c>
      <c r="N2862" s="16">
        <v>8.0000000000000002E-3</v>
      </c>
      <c r="O2862" s="17">
        <f>N2862*'Financial Inputs'!$B$3</f>
        <v>800000</v>
      </c>
      <c r="P2862" s="18">
        <f>IF(I2862="L",'Financial Inputs'!$B$4,IF(I2862="M",'Financial Inputs'!$B$5,'Financial Inputs'!$B$6))</f>
        <v>0.15</v>
      </c>
      <c r="Q2862" s="17">
        <f>O2862*P2862</f>
        <v>120000</v>
      </c>
      <c r="R2862" s="16">
        <f>'Financial Inputs'!$B$7</f>
        <v>0.35</v>
      </c>
      <c r="S2862" s="17">
        <f>Q2862*(1-R2862)</f>
        <v>78000</v>
      </c>
      <c r="T2862" s="18">
        <f>S2862/'Financial Inputs'!$B$3</f>
        <v>7.7999999999999999E-4</v>
      </c>
      <c r="U2862" s="9" t="s">
        <v>52</v>
      </c>
      <c r="V2862" s="3" t="s">
        <v>53</v>
      </c>
    </row>
    <row r="2863" spans="1:22">
      <c r="A2863" s="2" t="s">
        <v>8846</v>
      </c>
      <c r="B2863" s="2" t="s">
        <v>8847</v>
      </c>
      <c r="C2863" s="2" t="s">
        <v>8662</v>
      </c>
      <c r="D2863" s="2" t="s">
        <v>127</v>
      </c>
      <c r="E2863" s="2" t="s">
        <v>89</v>
      </c>
      <c r="F2863" s="2" t="s">
        <v>66</v>
      </c>
      <c r="G2863" s="2" t="s">
        <v>111</v>
      </c>
      <c r="H2863" s="2" t="s">
        <v>46</v>
      </c>
      <c r="I2863" s="2" t="s">
        <v>3831</v>
      </c>
      <c r="J2863" s="2" t="s">
        <v>8663</v>
      </c>
      <c r="K2863" s="2" t="s">
        <v>8848</v>
      </c>
      <c r="L2863" s="2" t="s">
        <v>342</v>
      </c>
      <c r="M2863" s="2" t="s">
        <v>8665</v>
      </c>
      <c r="N2863" s="16">
        <v>9.0000000000000011E-3</v>
      </c>
      <c r="O2863" s="17">
        <f>N2863*'Financial Inputs'!$B$3</f>
        <v>900000.00000000012</v>
      </c>
      <c r="P2863" s="18">
        <f>IF(I2863="L",'Financial Inputs'!$B$4,IF(I2863="M",'Financial Inputs'!$B$5,'Financial Inputs'!$B$6))</f>
        <v>0.15</v>
      </c>
      <c r="Q2863" s="17">
        <f>O2863*P2863</f>
        <v>135000</v>
      </c>
      <c r="R2863" s="16">
        <f>'Financial Inputs'!$B$7</f>
        <v>0.35</v>
      </c>
      <c r="S2863" s="17">
        <f>Q2863*(1-R2863)</f>
        <v>87750</v>
      </c>
      <c r="T2863" s="18">
        <f>S2863/'Financial Inputs'!$B$3</f>
        <v>8.7750000000000002E-4</v>
      </c>
      <c r="U2863" s="9" t="s">
        <v>52</v>
      </c>
      <c r="V2863" s="3" t="s">
        <v>53</v>
      </c>
    </row>
    <row r="2864" spans="1:22">
      <c r="A2864" s="2" t="s">
        <v>8849</v>
      </c>
      <c r="B2864" s="2" t="s">
        <v>8850</v>
      </c>
      <c r="C2864" s="2" t="s">
        <v>8662</v>
      </c>
      <c r="D2864" s="2" t="s">
        <v>133</v>
      </c>
      <c r="E2864" s="2" t="s">
        <v>96</v>
      </c>
      <c r="F2864" s="2" t="s">
        <v>74</v>
      </c>
      <c r="G2864" s="2" t="s">
        <v>56</v>
      </c>
      <c r="H2864" s="2" t="s">
        <v>46</v>
      </c>
      <c r="I2864" s="2" t="s">
        <v>3831</v>
      </c>
      <c r="J2864" s="2" t="s">
        <v>8663</v>
      </c>
      <c r="K2864" s="2" t="s">
        <v>8851</v>
      </c>
      <c r="L2864" s="2" t="s">
        <v>346</v>
      </c>
      <c r="M2864" s="2" t="s">
        <v>8665</v>
      </c>
      <c r="N2864" s="16">
        <v>0.01</v>
      </c>
      <c r="O2864" s="17">
        <f>N2864*'Financial Inputs'!$B$3</f>
        <v>1000000</v>
      </c>
      <c r="P2864" s="18">
        <f>IF(I2864="L",'Financial Inputs'!$B$4,IF(I2864="M",'Financial Inputs'!$B$5,'Financial Inputs'!$B$6))</f>
        <v>0.15</v>
      </c>
      <c r="Q2864" s="17">
        <f>O2864*P2864</f>
        <v>150000</v>
      </c>
      <c r="R2864" s="16">
        <f>'Financial Inputs'!$B$7</f>
        <v>0.35</v>
      </c>
      <c r="S2864" s="17">
        <f>Q2864*(1-R2864)</f>
        <v>97500</v>
      </c>
      <c r="T2864" s="18">
        <f>S2864/'Financial Inputs'!$B$3</f>
        <v>9.7499999999999996E-4</v>
      </c>
      <c r="U2864" s="9" t="s">
        <v>52</v>
      </c>
      <c r="V2864" s="3" t="s">
        <v>53</v>
      </c>
    </row>
    <row r="2865" spans="1:22">
      <c r="A2865" s="2" t="s">
        <v>8852</v>
      </c>
      <c r="B2865" s="2" t="s">
        <v>8853</v>
      </c>
      <c r="C2865" s="2" t="s">
        <v>8662</v>
      </c>
      <c r="D2865" s="2" t="s">
        <v>88</v>
      </c>
      <c r="E2865" s="2" t="s">
        <v>103</v>
      </c>
      <c r="F2865" s="2" t="s">
        <v>82</v>
      </c>
      <c r="G2865" s="2" t="s">
        <v>138</v>
      </c>
      <c r="H2865" s="2" t="s">
        <v>46</v>
      </c>
      <c r="I2865" s="2" t="s">
        <v>3831</v>
      </c>
      <c r="J2865" s="2" t="s">
        <v>8663</v>
      </c>
      <c r="K2865" s="2" t="s">
        <v>8854</v>
      </c>
      <c r="L2865" s="2" t="s">
        <v>350</v>
      </c>
      <c r="M2865" s="2" t="s">
        <v>8665</v>
      </c>
      <c r="N2865" s="16">
        <v>1.0999999999999999E-2</v>
      </c>
      <c r="O2865" s="17">
        <f>N2865*'Financial Inputs'!$B$3</f>
        <v>1100000</v>
      </c>
      <c r="P2865" s="18">
        <f>IF(I2865="L",'Financial Inputs'!$B$4,IF(I2865="M",'Financial Inputs'!$B$5,'Financial Inputs'!$B$6))</f>
        <v>0.15</v>
      </c>
      <c r="Q2865" s="17">
        <f>O2865*P2865</f>
        <v>165000</v>
      </c>
      <c r="R2865" s="16">
        <f>'Financial Inputs'!$B$7</f>
        <v>0.35</v>
      </c>
      <c r="S2865" s="17">
        <f>Q2865*(1-R2865)</f>
        <v>107250</v>
      </c>
      <c r="T2865" s="18">
        <f>S2865/'Financial Inputs'!$B$3</f>
        <v>1.0725000000000001E-3</v>
      </c>
      <c r="U2865" s="9" t="s">
        <v>52</v>
      </c>
      <c r="V2865" s="3" t="s">
        <v>53</v>
      </c>
    </row>
    <row r="2866" spans="1:22">
      <c r="A2866" s="2" t="s">
        <v>8855</v>
      </c>
      <c r="B2866" s="2" t="s">
        <v>8856</v>
      </c>
      <c r="C2866" s="2" t="s">
        <v>8662</v>
      </c>
      <c r="D2866" s="2" t="s">
        <v>95</v>
      </c>
      <c r="E2866" s="2" t="s">
        <v>109</v>
      </c>
      <c r="F2866" s="2" t="s">
        <v>44</v>
      </c>
      <c r="G2866" s="2" t="s">
        <v>143</v>
      </c>
      <c r="H2866" s="2" t="s">
        <v>46</v>
      </c>
      <c r="I2866" s="2" t="s">
        <v>3831</v>
      </c>
      <c r="J2866" s="2" t="s">
        <v>8663</v>
      </c>
      <c r="K2866" s="2" t="s">
        <v>8857</v>
      </c>
      <c r="L2866" s="2" t="s">
        <v>354</v>
      </c>
      <c r="M2866" s="2" t="s">
        <v>8665</v>
      </c>
      <c r="N2866" s="16">
        <v>1.2E-2</v>
      </c>
      <c r="O2866" s="17">
        <f>N2866*'Financial Inputs'!$B$3</f>
        <v>1200000</v>
      </c>
      <c r="P2866" s="18">
        <f>IF(I2866="L",'Financial Inputs'!$B$4,IF(I2866="M",'Financial Inputs'!$B$5,'Financial Inputs'!$B$6))</f>
        <v>0.15</v>
      </c>
      <c r="Q2866" s="17">
        <f>O2866*P2866</f>
        <v>180000</v>
      </c>
      <c r="R2866" s="16">
        <f>'Financial Inputs'!$B$7</f>
        <v>0.35</v>
      </c>
      <c r="S2866" s="17">
        <f>Q2866*(1-R2866)</f>
        <v>117000</v>
      </c>
      <c r="T2866" s="18">
        <f>S2866/'Financial Inputs'!$B$3</f>
        <v>1.17E-3</v>
      </c>
      <c r="U2866" s="9" t="s">
        <v>52</v>
      </c>
      <c r="V2866" s="3" t="s">
        <v>53</v>
      </c>
    </row>
    <row r="2867" spans="1:22">
      <c r="A2867" s="2" t="s">
        <v>8858</v>
      </c>
      <c r="B2867" s="2" t="s">
        <v>8859</v>
      </c>
      <c r="C2867" s="2" t="s">
        <v>8662</v>
      </c>
      <c r="D2867" s="2" t="s">
        <v>56</v>
      </c>
      <c r="E2867" s="2" t="s">
        <v>176</v>
      </c>
      <c r="F2867" s="2" t="s">
        <v>97</v>
      </c>
      <c r="G2867" s="2" t="s">
        <v>56</v>
      </c>
      <c r="H2867" s="2" t="s">
        <v>46</v>
      </c>
      <c r="I2867" s="2" t="s">
        <v>3831</v>
      </c>
      <c r="J2867" s="2" t="s">
        <v>8663</v>
      </c>
      <c r="K2867" s="2" t="s">
        <v>8860</v>
      </c>
      <c r="L2867" s="2" t="s">
        <v>358</v>
      </c>
      <c r="M2867" s="2" t="s">
        <v>8665</v>
      </c>
      <c r="N2867" s="16">
        <v>8.0000000000000002E-3</v>
      </c>
      <c r="O2867" s="17">
        <f>N2867*'Financial Inputs'!$B$3</f>
        <v>800000</v>
      </c>
      <c r="P2867" s="18">
        <f>IF(I2867="L",'Financial Inputs'!$B$4,IF(I2867="M",'Financial Inputs'!$B$5,'Financial Inputs'!$B$6))</f>
        <v>0.15</v>
      </c>
      <c r="Q2867" s="17">
        <f>O2867*P2867</f>
        <v>120000</v>
      </c>
      <c r="R2867" s="16">
        <f>'Financial Inputs'!$B$7</f>
        <v>0.35</v>
      </c>
      <c r="S2867" s="17">
        <f>Q2867*(1-R2867)</f>
        <v>78000</v>
      </c>
      <c r="T2867" s="18">
        <f>S2867/'Financial Inputs'!$B$3</f>
        <v>7.7999999999999999E-4</v>
      </c>
      <c r="U2867" s="9" t="s">
        <v>52</v>
      </c>
      <c r="V2867" s="3" t="s">
        <v>53</v>
      </c>
    </row>
    <row r="2868" spans="1:22">
      <c r="A2868" s="2" t="s">
        <v>8861</v>
      </c>
      <c r="B2868" s="2" t="s">
        <v>8862</v>
      </c>
      <c r="C2868" s="2" t="s">
        <v>8662</v>
      </c>
      <c r="D2868" s="2" t="s">
        <v>64</v>
      </c>
      <c r="E2868" s="2" t="s">
        <v>122</v>
      </c>
      <c r="F2868" s="2" t="s">
        <v>104</v>
      </c>
      <c r="G2868" s="2" t="s">
        <v>138</v>
      </c>
      <c r="H2868" s="2" t="s">
        <v>46</v>
      </c>
      <c r="I2868" s="2" t="s">
        <v>3831</v>
      </c>
      <c r="J2868" s="2" t="s">
        <v>8663</v>
      </c>
      <c r="K2868" s="2" t="s">
        <v>8863</v>
      </c>
      <c r="L2868" s="2" t="s">
        <v>362</v>
      </c>
      <c r="M2868" s="2" t="s">
        <v>8665</v>
      </c>
      <c r="N2868" s="16">
        <v>9.0000000000000011E-3</v>
      </c>
      <c r="O2868" s="17">
        <f>N2868*'Financial Inputs'!$B$3</f>
        <v>900000.00000000012</v>
      </c>
      <c r="P2868" s="18">
        <f>IF(I2868="L",'Financial Inputs'!$B$4,IF(I2868="M",'Financial Inputs'!$B$5,'Financial Inputs'!$B$6))</f>
        <v>0.15</v>
      </c>
      <c r="Q2868" s="17">
        <f>O2868*P2868</f>
        <v>135000</v>
      </c>
      <c r="R2868" s="16">
        <f>'Financial Inputs'!$B$7</f>
        <v>0.35</v>
      </c>
      <c r="S2868" s="17">
        <f>Q2868*(1-R2868)</f>
        <v>87750</v>
      </c>
      <c r="T2868" s="18">
        <f>S2868/'Financial Inputs'!$B$3</f>
        <v>8.7750000000000002E-4</v>
      </c>
      <c r="U2868" s="9" t="s">
        <v>52</v>
      </c>
      <c r="V2868" s="3" t="s">
        <v>53</v>
      </c>
    </row>
    <row r="2869" spans="1:22">
      <c r="A2869" s="2" t="s">
        <v>8864</v>
      </c>
      <c r="B2869" s="2" t="s">
        <v>8865</v>
      </c>
      <c r="C2869" s="2" t="s">
        <v>8662</v>
      </c>
      <c r="D2869" s="2" t="s">
        <v>72</v>
      </c>
      <c r="E2869" s="2" t="s">
        <v>128</v>
      </c>
      <c r="F2869" s="2" t="s">
        <v>110</v>
      </c>
      <c r="G2869" s="2" t="s">
        <v>143</v>
      </c>
      <c r="H2869" s="2" t="s">
        <v>46</v>
      </c>
      <c r="I2869" s="2" t="s">
        <v>3831</v>
      </c>
      <c r="J2869" s="2" t="s">
        <v>8663</v>
      </c>
      <c r="K2869" s="2" t="s">
        <v>8866</v>
      </c>
      <c r="L2869" s="2" t="s">
        <v>366</v>
      </c>
      <c r="M2869" s="2" t="s">
        <v>8665</v>
      </c>
      <c r="N2869" s="16">
        <v>0.01</v>
      </c>
      <c r="O2869" s="17">
        <f>N2869*'Financial Inputs'!$B$3</f>
        <v>1000000</v>
      </c>
      <c r="P2869" s="18">
        <f>IF(I2869="L",'Financial Inputs'!$B$4,IF(I2869="M",'Financial Inputs'!$B$5,'Financial Inputs'!$B$6))</f>
        <v>0.15</v>
      </c>
      <c r="Q2869" s="17">
        <f>O2869*P2869</f>
        <v>150000</v>
      </c>
      <c r="R2869" s="16">
        <f>'Financial Inputs'!$B$7</f>
        <v>0.35</v>
      </c>
      <c r="S2869" s="17">
        <f>Q2869*(1-R2869)</f>
        <v>97500</v>
      </c>
      <c r="T2869" s="18">
        <f>S2869/'Financial Inputs'!$B$3</f>
        <v>9.7499999999999996E-4</v>
      </c>
      <c r="U2869" s="9" t="s">
        <v>52</v>
      </c>
      <c r="V2869" s="3" t="s">
        <v>53</v>
      </c>
    </row>
    <row r="2870" spans="1:22">
      <c r="A2870" s="2" t="s">
        <v>8867</v>
      </c>
      <c r="B2870" s="2" t="s">
        <v>8868</v>
      </c>
      <c r="C2870" s="2" t="s">
        <v>8662</v>
      </c>
      <c r="D2870" s="2" t="s">
        <v>80</v>
      </c>
      <c r="E2870" s="2" t="s">
        <v>43</v>
      </c>
      <c r="F2870" s="2" t="s">
        <v>117</v>
      </c>
      <c r="G2870" s="2" t="s">
        <v>162</v>
      </c>
      <c r="H2870" s="2" t="s">
        <v>46</v>
      </c>
      <c r="I2870" s="2" t="s">
        <v>3831</v>
      </c>
      <c r="J2870" s="2" t="s">
        <v>8663</v>
      </c>
      <c r="K2870" s="2" t="s">
        <v>8869</v>
      </c>
      <c r="L2870" s="2" t="s">
        <v>370</v>
      </c>
      <c r="M2870" s="2" t="s">
        <v>8665</v>
      </c>
      <c r="N2870" s="16">
        <v>1.0999999999999999E-2</v>
      </c>
      <c r="O2870" s="17">
        <f>N2870*'Financial Inputs'!$B$3</f>
        <v>1100000</v>
      </c>
      <c r="P2870" s="18">
        <f>IF(I2870="L",'Financial Inputs'!$B$4,IF(I2870="M",'Financial Inputs'!$B$5,'Financial Inputs'!$B$6))</f>
        <v>0.15</v>
      </c>
      <c r="Q2870" s="17">
        <f>O2870*P2870</f>
        <v>165000</v>
      </c>
      <c r="R2870" s="16">
        <f>'Financial Inputs'!$B$7</f>
        <v>0.35</v>
      </c>
      <c r="S2870" s="17">
        <f>Q2870*(1-R2870)</f>
        <v>107250</v>
      </c>
      <c r="T2870" s="18">
        <f>S2870/'Financial Inputs'!$B$3</f>
        <v>1.0725000000000001E-3</v>
      </c>
      <c r="U2870" s="9" t="s">
        <v>52</v>
      </c>
      <c r="V2870" s="3" t="s">
        <v>53</v>
      </c>
    </row>
    <row r="2871" spans="1:22">
      <c r="A2871" s="2" t="s">
        <v>8870</v>
      </c>
      <c r="B2871" s="2" t="s">
        <v>8871</v>
      </c>
      <c r="C2871" s="2" t="s">
        <v>8662</v>
      </c>
      <c r="D2871" s="2" t="s">
        <v>127</v>
      </c>
      <c r="E2871" s="2" t="s">
        <v>57</v>
      </c>
      <c r="F2871" s="2" t="s">
        <v>90</v>
      </c>
      <c r="G2871" s="2" t="s">
        <v>45</v>
      </c>
      <c r="H2871" s="2" t="s">
        <v>46</v>
      </c>
      <c r="I2871" s="2" t="s">
        <v>3831</v>
      </c>
      <c r="J2871" s="2" t="s">
        <v>8663</v>
      </c>
      <c r="K2871" s="2" t="s">
        <v>8872</v>
      </c>
      <c r="L2871" s="2" t="s">
        <v>374</v>
      </c>
      <c r="M2871" s="2" t="s">
        <v>8665</v>
      </c>
      <c r="N2871" s="16">
        <v>1.2E-2</v>
      </c>
      <c r="O2871" s="17">
        <f>N2871*'Financial Inputs'!$B$3</f>
        <v>1200000</v>
      </c>
      <c r="P2871" s="18">
        <f>IF(I2871="L",'Financial Inputs'!$B$4,IF(I2871="M",'Financial Inputs'!$B$5,'Financial Inputs'!$B$6))</f>
        <v>0.15</v>
      </c>
      <c r="Q2871" s="17">
        <f>O2871*P2871</f>
        <v>180000</v>
      </c>
      <c r="R2871" s="16">
        <f>'Financial Inputs'!$B$7</f>
        <v>0.35</v>
      </c>
      <c r="S2871" s="17">
        <f>Q2871*(1-R2871)</f>
        <v>117000</v>
      </c>
      <c r="T2871" s="18">
        <f>S2871/'Financial Inputs'!$B$3</f>
        <v>1.17E-3</v>
      </c>
      <c r="U2871" s="9" t="s">
        <v>52</v>
      </c>
      <c r="V2871" s="3" t="s">
        <v>53</v>
      </c>
    </row>
    <row r="2872" spans="1:22">
      <c r="A2872" s="2" t="s">
        <v>8873</v>
      </c>
      <c r="B2872" s="2" t="s">
        <v>8874</v>
      </c>
      <c r="C2872" s="2" t="s">
        <v>8662</v>
      </c>
      <c r="D2872" s="2" t="s">
        <v>95</v>
      </c>
      <c r="E2872" s="2" t="s">
        <v>198</v>
      </c>
      <c r="F2872" s="2" t="s">
        <v>66</v>
      </c>
      <c r="G2872" s="2" t="s">
        <v>143</v>
      </c>
      <c r="H2872" s="2" t="s">
        <v>46</v>
      </c>
      <c r="I2872" s="2" t="s">
        <v>3831</v>
      </c>
      <c r="J2872" s="2" t="s">
        <v>8663</v>
      </c>
      <c r="K2872" s="2" t="s">
        <v>8875</v>
      </c>
      <c r="L2872" s="2" t="s">
        <v>378</v>
      </c>
      <c r="M2872" s="2" t="s">
        <v>8665</v>
      </c>
      <c r="N2872" s="16">
        <v>8.0000000000000002E-3</v>
      </c>
      <c r="O2872" s="17">
        <f>N2872*'Financial Inputs'!$B$3</f>
        <v>800000</v>
      </c>
      <c r="P2872" s="18">
        <f>IF(I2872="L",'Financial Inputs'!$B$4,IF(I2872="M",'Financial Inputs'!$B$5,'Financial Inputs'!$B$6))</f>
        <v>0.15</v>
      </c>
      <c r="Q2872" s="17">
        <f>O2872*P2872</f>
        <v>120000</v>
      </c>
      <c r="R2872" s="16">
        <f>'Financial Inputs'!$B$7</f>
        <v>0.35</v>
      </c>
      <c r="S2872" s="17">
        <f>Q2872*(1-R2872)</f>
        <v>78000</v>
      </c>
      <c r="T2872" s="18">
        <f>S2872/'Financial Inputs'!$B$3</f>
        <v>7.7999999999999999E-4</v>
      </c>
      <c r="U2872" s="9" t="s">
        <v>52</v>
      </c>
      <c r="V2872" s="3" t="s">
        <v>53</v>
      </c>
    </row>
    <row r="2873" spans="1:22">
      <c r="A2873" s="2" t="s">
        <v>8876</v>
      </c>
      <c r="B2873" s="2" t="s">
        <v>8877</v>
      </c>
      <c r="C2873" s="2" t="s">
        <v>8662</v>
      </c>
      <c r="D2873" s="2" t="s">
        <v>102</v>
      </c>
      <c r="E2873" s="2" t="s">
        <v>148</v>
      </c>
      <c r="F2873" s="2" t="s">
        <v>74</v>
      </c>
      <c r="G2873" s="2" t="s">
        <v>162</v>
      </c>
      <c r="H2873" s="2" t="s">
        <v>46</v>
      </c>
      <c r="I2873" s="2" t="s">
        <v>3831</v>
      </c>
      <c r="J2873" s="2" t="s">
        <v>8663</v>
      </c>
      <c r="K2873" s="2" t="s">
        <v>8878</v>
      </c>
      <c r="L2873" s="2" t="s">
        <v>382</v>
      </c>
      <c r="M2873" s="2" t="s">
        <v>8665</v>
      </c>
      <c r="N2873" s="16">
        <v>9.0000000000000011E-3</v>
      </c>
      <c r="O2873" s="17">
        <f>N2873*'Financial Inputs'!$B$3</f>
        <v>900000.00000000012</v>
      </c>
      <c r="P2873" s="18">
        <f>IF(I2873="L",'Financial Inputs'!$B$4,IF(I2873="M",'Financial Inputs'!$B$5,'Financial Inputs'!$B$6))</f>
        <v>0.15</v>
      </c>
      <c r="Q2873" s="17">
        <f>O2873*P2873</f>
        <v>135000</v>
      </c>
      <c r="R2873" s="16">
        <f>'Financial Inputs'!$B$7</f>
        <v>0.35</v>
      </c>
      <c r="S2873" s="17">
        <f>Q2873*(1-R2873)</f>
        <v>87750</v>
      </c>
      <c r="T2873" s="18">
        <f>S2873/'Financial Inputs'!$B$3</f>
        <v>8.7750000000000002E-4</v>
      </c>
      <c r="U2873" s="9" t="s">
        <v>52</v>
      </c>
      <c r="V2873" s="3" t="s">
        <v>53</v>
      </c>
    </row>
    <row r="2874" spans="1:22">
      <c r="A2874" s="2" t="s">
        <v>8879</v>
      </c>
      <c r="B2874" s="2" t="s">
        <v>8880</v>
      </c>
      <c r="C2874" s="2" t="s">
        <v>8662</v>
      </c>
      <c r="D2874" s="2" t="s">
        <v>42</v>
      </c>
      <c r="E2874" s="2" t="s">
        <v>153</v>
      </c>
      <c r="F2874" s="2" t="s">
        <v>82</v>
      </c>
      <c r="G2874" s="2" t="s">
        <v>45</v>
      </c>
      <c r="H2874" s="2" t="s">
        <v>46</v>
      </c>
      <c r="I2874" s="2" t="s">
        <v>3831</v>
      </c>
      <c r="J2874" s="2" t="s">
        <v>8663</v>
      </c>
      <c r="K2874" s="2" t="s">
        <v>8881</v>
      </c>
      <c r="L2874" s="2" t="s">
        <v>386</v>
      </c>
      <c r="M2874" s="2" t="s">
        <v>8665</v>
      </c>
      <c r="N2874" s="16">
        <v>0.01</v>
      </c>
      <c r="O2874" s="17">
        <f>N2874*'Financial Inputs'!$B$3</f>
        <v>1000000</v>
      </c>
      <c r="P2874" s="18">
        <f>IF(I2874="L",'Financial Inputs'!$B$4,IF(I2874="M",'Financial Inputs'!$B$5,'Financial Inputs'!$B$6))</f>
        <v>0.15</v>
      </c>
      <c r="Q2874" s="17">
        <f>O2874*P2874</f>
        <v>150000</v>
      </c>
      <c r="R2874" s="16">
        <f>'Financial Inputs'!$B$7</f>
        <v>0.35</v>
      </c>
      <c r="S2874" s="17">
        <f>Q2874*(1-R2874)</f>
        <v>97500</v>
      </c>
      <c r="T2874" s="18">
        <f>S2874/'Financial Inputs'!$B$3</f>
        <v>9.7499999999999996E-4</v>
      </c>
      <c r="U2874" s="9" t="s">
        <v>52</v>
      </c>
      <c r="V2874" s="3" t="s">
        <v>53</v>
      </c>
    </row>
    <row r="2875" spans="1:22">
      <c r="A2875" s="2" t="s">
        <v>8882</v>
      </c>
      <c r="B2875" s="2" t="s">
        <v>8883</v>
      </c>
      <c r="C2875" s="2" t="s">
        <v>8662</v>
      </c>
      <c r="D2875" s="2" t="s">
        <v>56</v>
      </c>
      <c r="E2875" s="2" t="s">
        <v>89</v>
      </c>
      <c r="F2875" s="2" t="s">
        <v>44</v>
      </c>
      <c r="G2875" s="2" t="s">
        <v>59</v>
      </c>
      <c r="H2875" s="2" t="s">
        <v>46</v>
      </c>
      <c r="I2875" s="2" t="s">
        <v>3831</v>
      </c>
      <c r="J2875" s="2" t="s">
        <v>8663</v>
      </c>
      <c r="K2875" s="2" t="s">
        <v>8884</v>
      </c>
      <c r="L2875" s="2" t="s">
        <v>390</v>
      </c>
      <c r="M2875" s="2" t="s">
        <v>8665</v>
      </c>
      <c r="N2875" s="16">
        <v>1.0999999999999999E-2</v>
      </c>
      <c r="O2875" s="17">
        <f>N2875*'Financial Inputs'!$B$3</f>
        <v>1100000</v>
      </c>
      <c r="P2875" s="18">
        <f>IF(I2875="L",'Financial Inputs'!$B$4,IF(I2875="M",'Financial Inputs'!$B$5,'Financial Inputs'!$B$6))</f>
        <v>0.15</v>
      </c>
      <c r="Q2875" s="17">
        <f>O2875*P2875</f>
        <v>165000</v>
      </c>
      <c r="R2875" s="16">
        <f>'Financial Inputs'!$B$7</f>
        <v>0.35</v>
      </c>
      <c r="S2875" s="17">
        <f>Q2875*(1-R2875)</f>
        <v>107250</v>
      </c>
      <c r="T2875" s="18">
        <f>S2875/'Financial Inputs'!$B$3</f>
        <v>1.0725000000000001E-3</v>
      </c>
      <c r="U2875" s="9" t="s">
        <v>52</v>
      </c>
      <c r="V2875" s="3" t="s">
        <v>53</v>
      </c>
    </row>
    <row r="2876" spans="1:22">
      <c r="A2876" s="2" t="s">
        <v>8885</v>
      </c>
      <c r="B2876" s="2" t="s">
        <v>8886</v>
      </c>
      <c r="C2876" s="2" t="s">
        <v>8662</v>
      </c>
      <c r="D2876" s="2" t="s">
        <v>64</v>
      </c>
      <c r="E2876" s="2" t="s">
        <v>96</v>
      </c>
      <c r="F2876" s="2" t="s">
        <v>58</v>
      </c>
      <c r="G2876" s="2" t="s">
        <v>67</v>
      </c>
      <c r="H2876" s="2" t="s">
        <v>46</v>
      </c>
      <c r="I2876" s="2" t="s">
        <v>3831</v>
      </c>
      <c r="J2876" s="2" t="s">
        <v>8663</v>
      </c>
      <c r="K2876" s="2" t="s">
        <v>8887</v>
      </c>
      <c r="L2876" s="2" t="s">
        <v>394</v>
      </c>
      <c r="M2876" s="2" t="s">
        <v>8665</v>
      </c>
      <c r="N2876" s="16">
        <v>1.2E-2</v>
      </c>
      <c r="O2876" s="17">
        <f>N2876*'Financial Inputs'!$B$3</f>
        <v>1200000</v>
      </c>
      <c r="P2876" s="18">
        <f>IF(I2876="L",'Financial Inputs'!$B$4,IF(I2876="M",'Financial Inputs'!$B$5,'Financial Inputs'!$B$6))</f>
        <v>0.15</v>
      </c>
      <c r="Q2876" s="17">
        <f>O2876*P2876</f>
        <v>180000</v>
      </c>
      <c r="R2876" s="16">
        <f>'Financial Inputs'!$B$7</f>
        <v>0.35</v>
      </c>
      <c r="S2876" s="17">
        <f>Q2876*(1-R2876)</f>
        <v>117000</v>
      </c>
      <c r="T2876" s="18">
        <f>S2876/'Financial Inputs'!$B$3</f>
        <v>1.17E-3</v>
      </c>
      <c r="U2876" s="9" t="s">
        <v>52</v>
      </c>
      <c r="V2876" s="3" t="s">
        <v>53</v>
      </c>
    </row>
    <row r="2877" spans="1:22">
      <c r="A2877" s="2" t="s">
        <v>8888</v>
      </c>
      <c r="B2877" s="2" t="s">
        <v>8889</v>
      </c>
      <c r="C2877" s="2" t="s">
        <v>8662</v>
      </c>
      <c r="D2877" s="2" t="s">
        <v>127</v>
      </c>
      <c r="E2877" s="2" t="s">
        <v>220</v>
      </c>
      <c r="F2877" s="2" t="s">
        <v>104</v>
      </c>
      <c r="G2877" s="2" t="s">
        <v>45</v>
      </c>
      <c r="H2877" s="2" t="s">
        <v>46</v>
      </c>
      <c r="I2877" s="2" t="s">
        <v>3831</v>
      </c>
      <c r="J2877" s="2" t="s">
        <v>8663</v>
      </c>
      <c r="K2877" s="2" t="s">
        <v>8890</v>
      </c>
      <c r="L2877" s="2" t="s">
        <v>398</v>
      </c>
      <c r="M2877" s="2" t="s">
        <v>8665</v>
      </c>
      <c r="N2877" s="16">
        <v>8.0000000000000002E-3</v>
      </c>
      <c r="O2877" s="17">
        <f>N2877*'Financial Inputs'!$B$3</f>
        <v>800000</v>
      </c>
      <c r="P2877" s="18">
        <f>IF(I2877="L",'Financial Inputs'!$B$4,IF(I2877="M",'Financial Inputs'!$B$5,'Financial Inputs'!$B$6))</f>
        <v>0.15</v>
      </c>
      <c r="Q2877" s="17">
        <f>O2877*P2877</f>
        <v>120000</v>
      </c>
      <c r="R2877" s="16">
        <f>'Financial Inputs'!$B$7</f>
        <v>0.35</v>
      </c>
      <c r="S2877" s="17">
        <f>Q2877*(1-R2877)</f>
        <v>78000</v>
      </c>
      <c r="T2877" s="18">
        <f>S2877/'Financial Inputs'!$B$3</f>
        <v>7.7999999999999999E-4</v>
      </c>
      <c r="U2877" s="9" t="s">
        <v>52</v>
      </c>
      <c r="V2877" s="3" t="s">
        <v>53</v>
      </c>
    </row>
    <row r="2878" spans="1:22">
      <c r="A2878" s="2" t="s">
        <v>8891</v>
      </c>
      <c r="B2878" s="2" t="s">
        <v>8892</v>
      </c>
      <c r="C2878" s="2" t="s">
        <v>8662</v>
      </c>
      <c r="D2878" s="2" t="s">
        <v>133</v>
      </c>
      <c r="E2878" s="2" t="s">
        <v>171</v>
      </c>
      <c r="F2878" s="2" t="s">
        <v>110</v>
      </c>
      <c r="G2878" s="2" t="s">
        <v>59</v>
      </c>
      <c r="H2878" s="2" t="s">
        <v>46</v>
      </c>
      <c r="I2878" s="2" t="s">
        <v>3831</v>
      </c>
      <c r="J2878" s="2" t="s">
        <v>8663</v>
      </c>
      <c r="K2878" s="2" t="s">
        <v>8893</v>
      </c>
      <c r="L2878" s="2" t="s">
        <v>402</v>
      </c>
      <c r="M2878" s="2" t="s">
        <v>8665</v>
      </c>
      <c r="N2878" s="16">
        <v>9.0000000000000011E-3</v>
      </c>
      <c r="O2878" s="17">
        <f>N2878*'Financial Inputs'!$B$3</f>
        <v>900000.00000000012</v>
      </c>
      <c r="P2878" s="18">
        <f>IF(I2878="L",'Financial Inputs'!$B$4,IF(I2878="M",'Financial Inputs'!$B$5,'Financial Inputs'!$B$6))</f>
        <v>0.15</v>
      </c>
      <c r="Q2878" s="17">
        <f>O2878*P2878</f>
        <v>135000</v>
      </c>
      <c r="R2878" s="16">
        <f>'Financial Inputs'!$B$7</f>
        <v>0.35</v>
      </c>
      <c r="S2878" s="17">
        <f>Q2878*(1-R2878)</f>
        <v>87750</v>
      </c>
      <c r="T2878" s="18">
        <f>S2878/'Financial Inputs'!$B$3</f>
        <v>8.7750000000000002E-4</v>
      </c>
      <c r="U2878" s="9" t="s">
        <v>52</v>
      </c>
      <c r="V2878" s="3" t="s">
        <v>53</v>
      </c>
    </row>
    <row r="2879" spans="1:22">
      <c r="A2879" s="2" t="s">
        <v>8894</v>
      </c>
      <c r="B2879" s="2" t="s">
        <v>8895</v>
      </c>
      <c r="C2879" s="2" t="s">
        <v>8662</v>
      </c>
      <c r="D2879" s="2" t="s">
        <v>88</v>
      </c>
      <c r="E2879" s="2" t="s">
        <v>176</v>
      </c>
      <c r="F2879" s="2" t="s">
        <v>117</v>
      </c>
      <c r="G2879" s="2" t="s">
        <v>67</v>
      </c>
      <c r="H2879" s="2" t="s">
        <v>46</v>
      </c>
      <c r="I2879" s="2" t="s">
        <v>3831</v>
      </c>
      <c r="J2879" s="2" t="s">
        <v>8663</v>
      </c>
      <c r="K2879" s="2" t="s">
        <v>8896</v>
      </c>
      <c r="L2879" s="2" t="s">
        <v>406</v>
      </c>
      <c r="M2879" s="2" t="s">
        <v>8665</v>
      </c>
      <c r="N2879" s="16">
        <v>0.01</v>
      </c>
      <c r="O2879" s="17">
        <f>N2879*'Financial Inputs'!$B$3</f>
        <v>1000000</v>
      </c>
      <c r="P2879" s="18">
        <f>IF(I2879="L",'Financial Inputs'!$B$4,IF(I2879="M",'Financial Inputs'!$B$5,'Financial Inputs'!$B$6))</f>
        <v>0.15</v>
      </c>
      <c r="Q2879" s="17">
        <f>O2879*P2879</f>
        <v>150000</v>
      </c>
      <c r="R2879" s="16">
        <f>'Financial Inputs'!$B$7</f>
        <v>0.35</v>
      </c>
      <c r="S2879" s="17">
        <f>Q2879*(1-R2879)</f>
        <v>97500</v>
      </c>
      <c r="T2879" s="18">
        <f>S2879/'Financial Inputs'!$B$3</f>
        <v>9.7499999999999996E-4</v>
      </c>
      <c r="U2879" s="9" t="s">
        <v>52</v>
      </c>
      <c r="V2879" s="3" t="s">
        <v>53</v>
      </c>
    </row>
    <row r="2880" spans="1:22">
      <c r="A2880" s="2" t="s">
        <v>8897</v>
      </c>
      <c r="B2880" s="2" t="s">
        <v>8898</v>
      </c>
      <c r="C2880" s="2" t="s">
        <v>8662</v>
      </c>
      <c r="D2880" s="2" t="s">
        <v>95</v>
      </c>
      <c r="E2880" s="2" t="s">
        <v>122</v>
      </c>
      <c r="F2880" s="2" t="s">
        <v>90</v>
      </c>
      <c r="G2880" s="2" t="s">
        <v>75</v>
      </c>
      <c r="H2880" s="2" t="s">
        <v>46</v>
      </c>
      <c r="I2880" s="2" t="s">
        <v>3831</v>
      </c>
      <c r="J2880" s="2" t="s">
        <v>8663</v>
      </c>
      <c r="K2880" s="2" t="s">
        <v>8899</v>
      </c>
      <c r="L2880" s="2" t="s">
        <v>410</v>
      </c>
      <c r="M2880" s="2" t="s">
        <v>8665</v>
      </c>
      <c r="N2880" s="16">
        <v>1.0999999999999999E-2</v>
      </c>
      <c r="O2880" s="17">
        <f>N2880*'Financial Inputs'!$B$3</f>
        <v>1100000</v>
      </c>
      <c r="P2880" s="18">
        <f>IF(I2880="L",'Financial Inputs'!$B$4,IF(I2880="M",'Financial Inputs'!$B$5,'Financial Inputs'!$B$6))</f>
        <v>0.15</v>
      </c>
      <c r="Q2880" s="17">
        <f>O2880*P2880</f>
        <v>165000</v>
      </c>
      <c r="R2880" s="16">
        <f>'Financial Inputs'!$B$7</f>
        <v>0.35</v>
      </c>
      <c r="S2880" s="17">
        <f>Q2880*(1-R2880)</f>
        <v>107250</v>
      </c>
      <c r="T2880" s="18">
        <f>S2880/'Financial Inputs'!$B$3</f>
        <v>1.0725000000000001E-3</v>
      </c>
      <c r="U2880" s="9" t="s">
        <v>52</v>
      </c>
      <c r="V2880" s="3" t="s">
        <v>53</v>
      </c>
    </row>
    <row r="2881" spans="1:22">
      <c r="A2881" s="2" t="s">
        <v>8900</v>
      </c>
      <c r="B2881" s="2" t="s">
        <v>8901</v>
      </c>
      <c r="C2881" s="2" t="s">
        <v>8662</v>
      </c>
      <c r="D2881" s="2" t="s">
        <v>102</v>
      </c>
      <c r="E2881" s="2" t="s">
        <v>128</v>
      </c>
      <c r="F2881" s="2" t="s">
        <v>97</v>
      </c>
      <c r="G2881" s="2" t="s">
        <v>83</v>
      </c>
      <c r="H2881" s="2" t="s">
        <v>46</v>
      </c>
      <c r="I2881" s="2" t="s">
        <v>3831</v>
      </c>
      <c r="J2881" s="2" t="s">
        <v>8663</v>
      </c>
      <c r="K2881" s="2" t="s">
        <v>8902</v>
      </c>
      <c r="L2881" s="2" t="s">
        <v>414</v>
      </c>
      <c r="M2881" s="2" t="s">
        <v>8665</v>
      </c>
      <c r="N2881" s="16">
        <v>1.2E-2</v>
      </c>
      <c r="O2881" s="17">
        <f>N2881*'Financial Inputs'!$B$3</f>
        <v>1200000</v>
      </c>
      <c r="P2881" s="18">
        <f>IF(I2881="L",'Financial Inputs'!$B$4,IF(I2881="M",'Financial Inputs'!$B$5,'Financial Inputs'!$B$6))</f>
        <v>0.15</v>
      </c>
      <c r="Q2881" s="17">
        <f>O2881*P2881</f>
        <v>180000</v>
      </c>
      <c r="R2881" s="16">
        <f>'Financial Inputs'!$B$7</f>
        <v>0.35</v>
      </c>
      <c r="S2881" s="17">
        <f>Q2881*(1-R2881)</f>
        <v>117000</v>
      </c>
      <c r="T2881" s="18">
        <f>S2881/'Financial Inputs'!$B$3</f>
        <v>1.17E-3</v>
      </c>
      <c r="U2881" s="9" t="s">
        <v>52</v>
      </c>
      <c r="V2881" s="3" t="s">
        <v>53</v>
      </c>
    </row>
    <row r="2882" spans="1:22">
      <c r="A2882" s="2" t="s">
        <v>8903</v>
      </c>
      <c r="B2882" s="2" t="s">
        <v>8904</v>
      </c>
      <c r="C2882" s="2" t="s">
        <v>8662</v>
      </c>
      <c r="D2882" s="2" t="s">
        <v>64</v>
      </c>
      <c r="E2882" s="2" t="s">
        <v>81</v>
      </c>
      <c r="F2882" s="2" t="s">
        <v>74</v>
      </c>
      <c r="G2882" s="2" t="s">
        <v>67</v>
      </c>
      <c r="H2882" s="2" t="s">
        <v>46</v>
      </c>
      <c r="I2882" s="2" t="s">
        <v>3831</v>
      </c>
      <c r="J2882" s="2" t="s">
        <v>8663</v>
      </c>
      <c r="K2882" s="2" t="s">
        <v>8905</v>
      </c>
      <c r="L2882" s="2" t="s">
        <v>418</v>
      </c>
      <c r="M2882" s="2" t="s">
        <v>8665</v>
      </c>
      <c r="N2882" s="16">
        <v>8.0000000000000002E-3</v>
      </c>
      <c r="O2882" s="17">
        <f>N2882*'Financial Inputs'!$B$3</f>
        <v>800000</v>
      </c>
      <c r="P2882" s="18">
        <f>IF(I2882="L",'Financial Inputs'!$B$4,IF(I2882="M",'Financial Inputs'!$B$5,'Financial Inputs'!$B$6))</f>
        <v>0.15</v>
      </c>
      <c r="Q2882" s="17">
        <f>O2882*P2882</f>
        <v>120000</v>
      </c>
      <c r="R2882" s="16">
        <f>'Financial Inputs'!$B$7</f>
        <v>0.35</v>
      </c>
      <c r="S2882" s="17">
        <f>Q2882*(1-R2882)</f>
        <v>78000</v>
      </c>
      <c r="T2882" s="18">
        <f>S2882/'Financial Inputs'!$B$3</f>
        <v>7.7999999999999999E-4</v>
      </c>
      <c r="U2882" s="9" t="s">
        <v>52</v>
      </c>
      <c r="V2882" s="3" t="s">
        <v>53</v>
      </c>
    </row>
    <row r="2883" spans="1:22">
      <c r="A2883" s="2" t="s">
        <v>8906</v>
      </c>
      <c r="B2883" s="2" t="s">
        <v>8907</v>
      </c>
      <c r="C2883" s="2" t="s">
        <v>8662</v>
      </c>
      <c r="D2883" s="2" t="s">
        <v>72</v>
      </c>
      <c r="E2883" s="2" t="s">
        <v>193</v>
      </c>
      <c r="F2883" s="2" t="s">
        <v>82</v>
      </c>
      <c r="G2883" s="2" t="s">
        <v>75</v>
      </c>
      <c r="H2883" s="2" t="s">
        <v>46</v>
      </c>
      <c r="I2883" s="2" t="s">
        <v>3831</v>
      </c>
      <c r="J2883" s="2" t="s">
        <v>8663</v>
      </c>
      <c r="K2883" s="2" t="s">
        <v>8908</v>
      </c>
      <c r="L2883" s="2" t="s">
        <v>422</v>
      </c>
      <c r="M2883" s="2" t="s">
        <v>8665</v>
      </c>
      <c r="N2883" s="16">
        <v>9.0000000000000011E-3</v>
      </c>
      <c r="O2883" s="17">
        <f>N2883*'Financial Inputs'!$B$3</f>
        <v>900000.00000000012</v>
      </c>
      <c r="P2883" s="18">
        <f>IF(I2883="L",'Financial Inputs'!$B$4,IF(I2883="M",'Financial Inputs'!$B$5,'Financial Inputs'!$B$6))</f>
        <v>0.15</v>
      </c>
      <c r="Q2883" s="17">
        <f>O2883*P2883</f>
        <v>135000</v>
      </c>
      <c r="R2883" s="16">
        <f>'Financial Inputs'!$B$7</f>
        <v>0.35</v>
      </c>
      <c r="S2883" s="17">
        <f>Q2883*(1-R2883)</f>
        <v>87750</v>
      </c>
      <c r="T2883" s="18">
        <f>S2883/'Financial Inputs'!$B$3</f>
        <v>8.7750000000000002E-4</v>
      </c>
      <c r="U2883" s="9" t="s">
        <v>52</v>
      </c>
      <c r="V2883" s="3" t="s">
        <v>53</v>
      </c>
    </row>
    <row r="2884" spans="1:22">
      <c r="A2884" s="2" t="s">
        <v>8909</v>
      </c>
      <c r="B2884" s="2" t="s">
        <v>8910</v>
      </c>
      <c r="C2884" s="2" t="s">
        <v>8662</v>
      </c>
      <c r="D2884" s="2" t="s">
        <v>80</v>
      </c>
      <c r="E2884" s="2" t="s">
        <v>198</v>
      </c>
      <c r="F2884" s="2" t="s">
        <v>44</v>
      </c>
      <c r="G2884" s="2" t="s">
        <v>83</v>
      </c>
      <c r="H2884" s="2" t="s">
        <v>46</v>
      </c>
      <c r="I2884" s="2" t="s">
        <v>3831</v>
      </c>
      <c r="J2884" s="2" t="s">
        <v>8663</v>
      </c>
      <c r="K2884" s="2" t="s">
        <v>8911</v>
      </c>
      <c r="L2884" s="2" t="s">
        <v>426</v>
      </c>
      <c r="M2884" s="2" t="s">
        <v>8665</v>
      </c>
      <c r="N2884" s="16">
        <v>0.01</v>
      </c>
      <c r="O2884" s="17">
        <f>N2884*'Financial Inputs'!$B$3</f>
        <v>1000000</v>
      </c>
      <c r="P2884" s="18">
        <f>IF(I2884="L",'Financial Inputs'!$B$4,IF(I2884="M",'Financial Inputs'!$B$5,'Financial Inputs'!$B$6))</f>
        <v>0.15</v>
      </c>
      <c r="Q2884" s="17">
        <f>O2884*P2884</f>
        <v>150000</v>
      </c>
      <c r="R2884" s="16">
        <f>'Financial Inputs'!$B$7</f>
        <v>0.35</v>
      </c>
      <c r="S2884" s="17">
        <f>Q2884*(1-R2884)</f>
        <v>97500</v>
      </c>
      <c r="T2884" s="18">
        <f>S2884/'Financial Inputs'!$B$3</f>
        <v>9.7499999999999996E-4</v>
      </c>
      <c r="U2884" s="9" t="s">
        <v>52</v>
      </c>
      <c r="V2884" s="3" t="s">
        <v>53</v>
      </c>
    </row>
    <row r="2885" spans="1:22">
      <c r="A2885" s="2" t="s">
        <v>8912</v>
      </c>
      <c r="B2885" s="2" t="s">
        <v>8913</v>
      </c>
      <c r="C2885" s="2" t="s">
        <v>8662</v>
      </c>
      <c r="D2885" s="2" t="s">
        <v>127</v>
      </c>
      <c r="E2885" s="2" t="s">
        <v>148</v>
      </c>
      <c r="F2885" s="2" t="s">
        <v>58</v>
      </c>
      <c r="G2885" s="2" t="s">
        <v>111</v>
      </c>
      <c r="H2885" s="2" t="s">
        <v>46</v>
      </c>
      <c r="I2885" s="2" t="s">
        <v>3831</v>
      </c>
      <c r="J2885" s="2" t="s">
        <v>8663</v>
      </c>
      <c r="K2885" s="2" t="s">
        <v>8914</v>
      </c>
      <c r="L2885" s="2" t="s">
        <v>430</v>
      </c>
      <c r="M2885" s="2" t="s">
        <v>8665</v>
      </c>
      <c r="N2885" s="16">
        <v>1.0999999999999999E-2</v>
      </c>
      <c r="O2885" s="17">
        <f>N2885*'Financial Inputs'!$B$3</f>
        <v>1100000</v>
      </c>
      <c r="P2885" s="18">
        <f>IF(I2885="L",'Financial Inputs'!$B$4,IF(I2885="M",'Financial Inputs'!$B$5,'Financial Inputs'!$B$6))</f>
        <v>0.15</v>
      </c>
      <c r="Q2885" s="17">
        <f>O2885*P2885</f>
        <v>165000</v>
      </c>
      <c r="R2885" s="16">
        <f>'Financial Inputs'!$B$7</f>
        <v>0.35</v>
      </c>
      <c r="S2885" s="17">
        <f>Q2885*(1-R2885)</f>
        <v>107250</v>
      </c>
      <c r="T2885" s="18">
        <f>S2885/'Financial Inputs'!$B$3</f>
        <v>1.0725000000000001E-3</v>
      </c>
      <c r="U2885" s="9" t="s">
        <v>52</v>
      </c>
      <c r="V2885" s="3" t="s">
        <v>53</v>
      </c>
    </row>
    <row r="2886" spans="1:22">
      <c r="A2886" s="2" t="s">
        <v>8915</v>
      </c>
      <c r="B2886" s="2" t="s">
        <v>8916</v>
      </c>
      <c r="C2886" s="2" t="s">
        <v>8662</v>
      </c>
      <c r="D2886" s="2" t="s">
        <v>133</v>
      </c>
      <c r="E2886" s="2" t="s">
        <v>153</v>
      </c>
      <c r="F2886" s="2" t="s">
        <v>66</v>
      </c>
      <c r="G2886" s="2" t="s">
        <v>56</v>
      </c>
      <c r="H2886" s="2" t="s">
        <v>46</v>
      </c>
      <c r="I2886" s="2" t="s">
        <v>3831</v>
      </c>
      <c r="J2886" s="2" t="s">
        <v>8663</v>
      </c>
      <c r="K2886" s="2" t="s">
        <v>8917</v>
      </c>
      <c r="L2886" s="2" t="s">
        <v>434</v>
      </c>
      <c r="M2886" s="2" t="s">
        <v>8665</v>
      </c>
      <c r="N2886" s="16">
        <v>1.2E-2</v>
      </c>
      <c r="O2886" s="17">
        <f>N2886*'Financial Inputs'!$B$3</f>
        <v>1200000</v>
      </c>
      <c r="P2886" s="18">
        <f>IF(I2886="L",'Financial Inputs'!$B$4,IF(I2886="M",'Financial Inputs'!$B$5,'Financial Inputs'!$B$6))</f>
        <v>0.15</v>
      </c>
      <c r="Q2886" s="17">
        <f>O2886*P2886</f>
        <v>180000</v>
      </c>
      <c r="R2886" s="16">
        <f>'Financial Inputs'!$B$7</f>
        <v>0.35</v>
      </c>
      <c r="S2886" s="17">
        <f>Q2886*(1-R2886)</f>
        <v>117000</v>
      </c>
      <c r="T2886" s="18">
        <f>S2886/'Financial Inputs'!$B$3</f>
        <v>1.17E-3</v>
      </c>
      <c r="U2886" s="9" t="s">
        <v>52</v>
      </c>
      <c r="V2886" s="3" t="s">
        <v>53</v>
      </c>
    </row>
    <row r="2887" spans="1:22">
      <c r="A2887" s="2" t="s">
        <v>8918</v>
      </c>
      <c r="B2887" s="2" t="s">
        <v>8919</v>
      </c>
      <c r="C2887" s="2" t="s">
        <v>8662</v>
      </c>
      <c r="D2887" s="2" t="s">
        <v>102</v>
      </c>
      <c r="E2887" s="2" t="s">
        <v>116</v>
      </c>
      <c r="F2887" s="2" t="s">
        <v>110</v>
      </c>
      <c r="G2887" s="2" t="s">
        <v>83</v>
      </c>
      <c r="H2887" s="2" t="s">
        <v>46</v>
      </c>
      <c r="I2887" s="2" t="s">
        <v>3831</v>
      </c>
      <c r="J2887" s="2" t="s">
        <v>8663</v>
      </c>
      <c r="K2887" s="2" t="s">
        <v>8920</v>
      </c>
      <c r="L2887" s="2" t="s">
        <v>438</v>
      </c>
      <c r="M2887" s="2" t="s">
        <v>8665</v>
      </c>
      <c r="N2887" s="16">
        <v>8.0000000000000002E-3</v>
      </c>
      <c r="O2887" s="17">
        <f>N2887*'Financial Inputs'!$B$3</f>
        <v>800000</v>
      </c>
      <c r="P2887" s="18">
        <f>IF(I2887="L",'Financial Inputs'!$B$4,IF(I2887="M",'Financial Inputs'!$B$5,'Financial Inputs'!$B$6))</f>
        <v>0.15</v>
      </c>
      <c r="Q2887" s="17">
        <f>O2887*P2887</f>
        <v>120000</v>
      </c>
      <c r="R2887" s="16">
        <f>'Financial Inputs'!$B$7</f>
        <v>0.35</v>
      </c>
      <c r="S2887" s="17">
        <f>Q2887*(1-R2887)</f>
        <v>78000</v>
      </c>
      <c r="T2887" s="18">
        <f>S2887/'Financial Inputs'!$B$3</f>
        <v>7.7999999999999999E-4</v>
      </c>
      <c r="U2887" s="9" t="s">
        <v>52</v>
      </c>
      <c r="V2887" s="3" t="s">
        <v>53</v>
      </c>
    </row>
    <row r="2888" spans="1:22">
      <c r="A2888" s="2" t="s">
        <v>8921</v>
      </c>
      <c r="B2888" s="2" t="s">
        <v>8922</v>
      </c>
      <c r="C2888" s="2" t="s">
        <v>8662</v>
      </c>
      <c r="D2888" s="2" t="s">
        <v>42</v>
      </c>
      <c r="E2888" s="2" t="s">
        <v>215</v>
      </c>
      <c r="F2888" s="2" t="s">
        <v>117</v>
      </c>
      <c r="G2888" s="2" t="s">
        <v>111</v>
      </c>
      <c r="H2888" s="2" t="s">
        <v>46</v>
      </c>
      <c r="I2888" s="2" t="s">
        <v>3831</v>
      </c>
      <c r="J2888" s="2" t="s">
        <v>8663</v>
      </c>
      <c r="K2888" s="2" t="s">
        <v>8923</v>
      </c>
      <c r="L2888" s="2" t="s">
        <v>442</v>
      </c>
      <c r="M2888" s="2" t="s">
        <v>8665</v>
      </c>
      <c r="N2888" s="16">
        <v>9.0000000000000011E-3</v>
      </c>
      <c r="O2888" s="17">
        <f>N2888*'Financial Inputs'!$B$3</f>
        <v>900000.00000000012</v>
      </c>
      <c r="P2888" s="18">
        <f>IF(I2888="L",'Financial Inputs'!$B$4,IF(I2888="M",'Financial Inputs'!$B$5,'Financial Inputs'!$B$6))</f>
        <v>0.15</v>
      </c>
      <c r="Q2888" s="17">
        <f>O2888*P2888</f>
        <v>135000</v>
      </c>
      <c r="R2888" s="16">
        <f>'Financial Inputs'!$B$7</f>
        <v>0.35</v>
      </c>
      <c r="S2888" s="17">
        <f>Q2888*(1-R2888)</f>
        <v>87750</v>
      </c>
      <c r="T2888" s="18">
        <f>S2888/'Financial Inputs'!$B$3</f>
        <v>8.7750000000000002E-4</v>
      </c>
      <c r="U2888" s="9" t="s">
        <v>52</v>
      </c>
      <c r="V2888" s="3" t="s">
        <v>53</v>
      </c>
    </row>
    <row r="2889" spans="1:22">
      <c r="A2889" s="2" t="s">
        <v>8924</v>
      </c>
      <c r="B2889" s="2" t="s">
        <v>8925</v>
      </c>
      <c r="C2889" s="2" t="s">
        <v>8662</v>
      </c>
      <c r="D2889" s="2" t="s">
        <v>56</v>
      </c>
      <c r="E2889" s="2" t="s">
        <v>220</v>
      </c>
      <c r="F2889" s="2" t="s">
        <v>90</v>
      </c>
      <c r="G2889" s="2" t="s">
        <v>56</v>
      </c>
      <c r="H2889" s="2" t="s">
        <v>46</v>
      </c>
      <c r="I2889" s="2" t="s">
        <v>3831</v>
      </c>
      <c r="J2889" s="2" t="s">
        <v>8663</v>
      </c>
      <c r="K2889" s="2" t="s">
        <v>8926</v>
      </c>
      <c r="L2889" s="2" t="s">
        <v>446</v>
      </c>
      <c r="M2889" s="2" t="s">
        <v>8665</v>
      </c>
      <c r="N2889" s="16">
        <v>0.01</v>
      </c>
      <c r="O2889" s="17">
        <f>N2889*'Financial Inputs'!$B$3</f>
        <v>1000000</v>
      </c>
      <c r="P2889" s="18">
        <f>IF(I2889="L",'Financial Inputs'!$B$4,IF(I2889="M",'Financial Inputs'!$B$5,'Financial Inputs'!$B$6))</f>
        <v>0.15</v>
      </c>
      <c r="Q2889" s="17">
        <f>O2889*P2889</f>
        <v>150000</v>
      </c>
      <c r="R2889" s="16">
        <f>'Financial Inputs'!$B$7</f>
        <v>0.35</v>
      </c>
      <c r="S2889" s="17">
        <f>Q2889*(1-R2889)</f>
        <v>97500</v>
      </c>
      <c r="T2889" s="18">
        <f>S2889/'Financial Inputs'!$B$3</f>
        <v>9.7499999999999996E-4</v>
      </c>
      <c r="U2889" s="9" t="s">
        <v>52</v>
      </c>
      <c r="V2889" s="3" t="s">
        <v>53</v>
      </c>
    </row>
    <row r="2890" spans="1:22">
      <c r="A2890" s="2" t="s">
        <v>8927</v>
      </c>
      <c r="B2890" s="2" t="s">
        <v>8928</v>
      </c>
      <c r="C2890" s="2" t="s">
        <v>8662</v>
      </c>
      <c r="D2890" s="2" t="s">
        <v>64</v>
      </c>
      <c r="E2890" s="2" t="s">
        <v>171</v>
      </c>
      <c r="F2890" s="2" t="s">
        <v>97</v>
      </c>
      <c r="G2890" s="2" t="s">
        <v>138</v>
      </c>
      <c r="H2890" s="2" t="s">
        <v>46</v>
      </c>
      <c r="I2890" s="2" t="s">
        <v>3831</v>
      </c>
      <c r="J2890" s="2" t="s">
        <v>8663</v>
      </c>
      <c r="K2890" s="2" t="s">
        <v>8929</v>
      </c>
      <c r="L2890" s="2" t="s">
        <v>450</v>
      </c>
      <c r="M2890" s="2" t="s">
        <v>8665</v>
      </c>
      <c r="N2890" s="16">
        <v>1.0999999999999999E-2</v>
      </c>
      <c r="O2890" s="17">
        <f>N2890*'Financial Inputs'!$B$3</f>
        <v>1100000</v>
      </c>
      <c r="P2890" s="18">
        <f>IF(I2890="L",'Financial Inputs'!$B$4,IF(I2890="M",'Financial Inputs'!$B$5,'Financial Inputs'!$B$6))</f>
        <v>0.15</v>
      </c>
      <c r="Q2890" s="17">
        <f>O2890*P2890</f>
        <v>165000</v>
      </c>
      <c r="R2890" s="16">
        <f>'Financial Inputs'!$B$7</f>
        <v>0.35</v>
      </c>
      <c r="S2890" s="17">
        <f>Q2890*(1-R2890)</f>
        <v>107250</v>
      </c>
      <c r="T2890" s="18">
        <f>S2890/'Financial Inputs'!$B$3</f>
        <v>1.0725000000000001E-3</v>
      </c>
      <c r="U2890" s="9" t="s">
        <v>52</v>
      </c>
      <c r="V2890" s="3" t="s">
        <v>53</v>
      </c>
    </row>
    <row r="2891" spans="1:22">
      <c r="A2891" s="2" t="s">
        <v>8930</v>
      </c>
      <c r="B2891" s="2" t="s">
        <v>8931</v>
      </c>
      <c r="C2891" s="2" t="s">
        <v>8662</v>
      </c>
      <c r="D2891" s="2" t="s">
        <v>72</v>
      </c>
      <c r="E2891" s="2" t="s">
        <v>176</v>
      </c>
      <c r="F2891" s="2" t="s">
        <v>104</v>
      </c>
      <c r="G2891" s="2" t="s">
        <v>143</v>
      </c>
      <c r="H2891" s="2" t="s">
        <v>46</v>
      </c>
      <c r="I2891" s="2" t="s">
        <v>3831</v>
      </c>
      <c r="J2891" s="2" t="s">
        <v>8663</v>
      </c>
      <c r="K2891" s="2" t="s">
        <v>8932</v>
      </c>
      <c r="L2891" s="2" t="s">
        <v>454</v>
      </c>
      <c r="M2891" s="2" t="s">
        <v>8665</v>
      </c>
      <c r="N2891" s="16">
        <v>1.2E-2</v>
      </c>
      <c r="O2891" s="17">
        <f>N2891*'Financial Inputs'!$B$3</f>
        <v>1200000</v>
      </c>
      <c r="P2891" s="18">
        <f>IF(I2891="L",'Financial Inputs'!$B$4,IF(I2891="M",'Financial Inputs'!$B$5,'Financial Inputs'!$B$6))</f>
        <v>0.15</v>
      </c>
      <c r="Q2891" s="17">
        <f>O2891*P2891</f>
        <v>180000</v>
      </c>
      <c r="R2891" s="16">
        <f>'Financial Inputs'!$B$7</f>
        <v>0.35</v>
      </c>
      <c r="S2891" s="17">
        <f>Q2891*(1-R2891)</f>
        <v>117000</v>
      </c>
      <c r="T2891" s="18">
        <f>S2891/'Financial Inputs'!$B$3</f>
        <v>1.17E-3</v>
      </c>
      <c r="U2891" s="9" t="s">
        <v>52</v>
      </c>
      <c r="V2891" s="3" t="s">
        <v>53</v>
      </c>
    </row>
    <row r="2892" spans="1:22">
      <c r="A2892" s="2" t="s">
        <v>8933</v>
      </c>
      <c r="B2892" s="2" t="s">
        <v>8934</v>
      </c>
      <c r="C2892" s="2" t="s">
        <v>8662</v>
      </c>
      <c r="D2892" s="2" t="s">
        <v>133</v>
      </c>
      <c r="E2892" s="2" t="s">
        <v>65</v>
      </c>
      <c r="F2892" s="2" t="s">
        <v>82</v>
      </c>
      <c r="G2892" s="2" t="s">
        <v>56</v>
      </c>
      <c r="H2892" s="2" t="s">
        <v>46</v>
      </c>
      <c r="I2892" s="2" t="s">
        <v>3831</v>
      </c>
      <c r="J2892" s="2" t="s">
        <v>8663</v>
      </c>
      <c r="K2892" s="2" t="s">
        <v>8935</v>
      </c>
      <c r="L2892" s="2" t="s">
        <v>458</v>
      </c>
      <c r="M2892" s="2" t="s">
        <v>8665</v>
      </c>
      <c r="N2892" s="16">
        <v>8.0000000000000002E-3</v>
      </c>
      <c r="O2892" s="17">
        <f>N2892*'Financial Inputs'!$B$3</f>
        <v>800000</v>
      </c>
      <c r="P2892" s="18">
        <f>IF(I2892="L",'Financial Inputs'!$B$4,IF(I2892="M",'Financial Inputs'!$B$5,'Financial Inputs'!$B$6))</f>
        <v>0.15</v>
      </c>
      <c r="Q2892" s="17">
        <f>O2892*P2892</f>
        <v>120000</v>
      </c>
      <c r="R2892" s="16">
        <f>'Financial Inputs'!$B$7</f>
        <v>0.35</v>
      </c>
      <c r="S2892" s="17">
        <f>Q2892*(1-R2892)</f>
        <v>78000</v>
      </c>
      <c r="T2892" s="18">
        <f>S2892/'Financial Inputs'!$B$3</f>
        <v>7.7999999999999999E-4</v>
      </c>
      <c r="U2892" s="9" t="s">
        <v>52</v>
      </c>
      <c r="V2892" s="3" t="s">
        <v>53</v>
      </c>
    </row>
    <row r="2893" spans="1:22">
      <c r="A2893" s="2" t="s">
        <v>8936</v>
      </c>
      <c r="B2893" s="2" t="s">
        <v>8937</v>
      </c>
      <c r="C2893" s="2" t="s">
        <v>8662</v>
      </c>
      <c r="D2893" s="2" t="s">
        <v>88</v>
      </c>
      <c r="E2893" s="2" t="s">
        <v>73</v>
      </c>
      <c r="F2893" s="2" t="s">
        <v>44</v>
      </c>
      <c r="G2893" s="2" t="s">
        <v>138</v>
      </c>
      <c r="H2893" s="2" t="s">
        <v>46</v>
      </c>
      <c r="I2893" s="2" t="s">
        <v>3831</v>
      </c>
      <c r="J2893" s="2" t="s">
        <v>8663</v>
      </c>
      <c r="K2893" s="2" t="s">
        <v>8938</v>
      </c>
      <c r="L2893" s="2" t="s">
        <v>462</v>
      </c>
      <c r="M2893" s="2" t="s">
        <v>8665</v>
      </c>
      <c r="N2893" s="16">
        <v>9.0000000000000011E-3</v>
      </c>
      <c r="O2893" s="17">
        <f>N2893*'Financial Inputs'!$B$3</f>
        <v>900000.00000000012</v>
      </c>
      <c r="P2893" s="18">
        <f>IF(I2893="L",'Financial Inputs'!$B$4,IF(I2893="M",'Financial Inputs'!$B$5,'Financial Inputs'!$B$6))</f>
        <v>0.15</v>
      </c>
      <c r="Q2893" s="17">
        <f>O2893*P2893</f>
        <v>135000</v>
      </c>
      <c r="R2893" s="16">
        <f>'Financial Inputs'!$B$7</f>
        <v>0.35</v>
      </c>
      <c r="S2893" s="17">
        <f>Q2893*(1-R2893)</f>
        <v>87750</v>
      </c>
      <c r="T2893" s="18">
        <f>S2893/'Financial Inputs'!$B$3</f>
        <v>8.7750000000000002E-4</v>
      </c>
      <c r="U2893" s="9" t="s">
        <v>52</v>
      </c>
      <c r="V2893" s="3" t="s">
        <v>53</v>
      </c>
    </row>
    <row r="2894" spans="1:22">
      <c r="A2894" s="2" t="s">
        <v>8939</v>
      </c>
      <c r="B2894" s="2" t="s">
        <v>8940</v>
      </c>
      <c r="C2894" s="2" t="s">
        <v>8662</v>
      </c>
      <c r="D2894" s="2" t="s">
        <v>95</v>
      </c>
      <c r="E2894" s="2" t="s">
        <v>81</v>
      </c>
      <c r="F2894" s="2" t="s">
        <v>58</v>
      </c>
      <c r="G2894" s="2" t="s">
        <v>143</v>
      </c>
      <c r="H2894" s="2" t="s">
        <v>46</v>
      </c>
      <c r="I2894" s="2" t="s">
        <v>3831</v>
      </c>
      <c r="J2894" s="2" t="s">
        <v>8663</v>
      </c>
      <c r="K2894" s="2" t="s">
        <v>8941</v>
      </c>
      <c r="L2894" s="2" t="s">
        <v>466</v>
      </c>
      <c r="M2894" s="2" t="s">
        <v>8665</v>
      </c>
      <c r="N2894" s="16">
        <v>0.01</v>
      </c>
      <c r="O2894" s="17">
        <f>N2894*'Financial Inputs'!$B$3</f>
        <v>1000000</v>
      </c>
      <c r="P2894" s="18">
        <f>IF(I2894="L",'Financial Inputs'!$B$4,IF(I2894="M",'Financial Inputs'!$B$5,'Financial Inputs'!$B$6))</f>
        <v>0.15</v>
      </c>
      <c r="Q2894" s="17">
        <f>O2894*P2894</f>
        <v>150000</v>
      </c>
      <c r="R2894" s="16">
        <f>'Financial Inputs'!$B$7</f>
        <v>0.35</v>
      </c>
      <c r="S2894" s="17">
        <f>Q2894*(1-R2894)</f>
        <v>97500</v>
      </c>
      <c r="T2894" s="18">
        <f>S2894/'Financial Inputs'!$B$3</f>
        <v>9.7499999999999996E-4</v>
      </c>
      <c r="U2894" s="9" t="s">
        <v>52</v>
      </c>
      <c r="V2894" s="3" t="s">
        <v>53</v>
      </c>
    </row>
    <row r="2895" spans="1:22">
      <c r="A2895" s="2" t="s">
        <v>8942</v>
      </c>
      <c r="B2895" s="2" t="s">
        <v>8943</v>
      </c>
      <c r="C2895" s="2" t="s">
        <v>8662</v>
      </c>
      <c r="D2895" s="2" t="s">
        <v>102</v>
      </c>
      <c r="E2895" s="2" t="s">
        <v>193</v>
      </c>
      <c r="F2895" s="2" t="s">
        <v>66</v>
      </c>
      <c r="G2895" s="2" t="s">
        <v>162</v>
      </c>
      <c r="H2895" s="2" t="s">
        <v>46</v>
      </c>
      <c r="I2895" s="2" t="s">
        <v>3831</v>
      </c>
      <c r="J2895" s="2" t="s">
        <v>8663</v>
      </c>
      <c r="K2895" s="2" t="s">
        <v>8944</v>
      </c>
      <c r="L2895" s="2" t="s">
        <v>470</v>
      </c>
      <c r="M2895" s="2" t="s">
        <v>8665</v>
      </c>
      <c r="N2895" s="16">
        <v>1.0999999999999999E-2</v>
      </c>
      <c r="O2895" s="17">
        <f>N2895*'Financial Inputs'!$B$3</f>
        <v>1100000</v>
      </c>
      <c r="P2895" s="18">
        <f>IF(I2895="L",'Financial Inputs'!$B$4,IF(I2895="M",'Financial Inputs'!$B$5,'Financial Inputs'!$B$6))</f>
        <v>0.15</v>
      </c>
      <c r="Q2895" s="17">
        <f>O2895*P2895</f>
        <v>165000</v>
      </c>
      <c r="R2895" s="16">
        <f>'Financial Inputs'!$B$7</f>
        <v>0.35</v>
      </c>
      <c r="S2895" s="17">
        <f>Q2895*(1-R2895)</f>
        <v>107250</v>
      </c>
      <c r="T2895" s="18">
        <f>S2895/'Financial Inputs'!$B$3</f>
        <v>1.0725000000000001E-3</v>
      </c>
      <c r="U2895" s="9" t="s">
        <v>52</v>
      </c>
      <c r="V2895" s="3" t="s">
        <v>53</v>
      </c>
    </row>
    <row r="2896" spans="1:22">
      <c r="A2896" s="2" t="s">
        <v>8945</v>
      </c>
      <c r="B2896" s="2" t="s">
        <v>8946</v>
      </c>
      <c r="C2896" s="2" t="s">
        <v>8662</v>
      </c>
      <c r="D2896" s="2" t="s">
        <v>42</v>
      </c>
      <c r="E2896" s="2" t="s">
        <v>198</v>
      </c>
      <c r="F2896" s="2" t="s">
        <v>74</v>
      </c>
      <c r="G2896" s="2" t="s">
        <v>45</v>
      </c>
      <c r="H2896" s="2" t="s">
        <v>46</v>
      </c>
      <c r="I2896" s="2" t="s">
        <v>3831</v>
      </c>
      <c r="J2896" s="2" t="s">
        <v>8663</v>
      </c>
      <c r="K2896" s="2" t="s">
        <v>8947</v>
      </c>
      <c r="L2896" s="2" t="s">
        <v>474</v>
      </c>
      <c r="M2896" s="2" t="s">
        <v>8665</v>
      </c>
      <c r="N2896" s="16">
        <v>1.2E-2</v>
      </c>
      <c r="O2896" s="17">
        <f>N2896*'Financial Inputs'!$B$3</f>
        <v>1200000</v>
      </c>
      <c r="P2896" s="18">
        <f>IF(I2896="L",'Financial Inputs'!$B$4,IF(I2896="M",'Financial Inputs'!$B$5,'Financial Inputs'!$B$6))</f>
        <v>0.15</v>
      </c>
      <c r="Q2896" s="17">
        <f>O2896*P2896</f>
        <v>180000</v>
      </c>
      <c r="R2896" s="16">
        <f>'Financial Inputs'!$B$7</f>
        <v>0.35</v>
      </c>
      <c r="S2896" s="17">
        <f>Q2896*(1-R2896)</f>
        <v>117000</v>
      </c>
      <c r="T2896" s="18">
        <f>S2896/'Financial Inputs'!$B$3</f>
        <v>1.17E-3</v>
      </c>
      <c r="U2896" s="9" t="s">
        <v>52</v>
      </c>
      <c r="V2896" s="3" t="s">
        <v>53</v>
      </c>
    </row>
    <row r="2897" spans="1:22">
      <c r="A2897" s="2" t="s">
        <v>8948</v>
      </c>
      <c r="B2897" s="2" t="s">
        <v>8949</v>
      </c>
      <c r="C2897" s="2" t="s">
        <v>8662</v>
      </c>
      <c r="D2897" s="2" t="s">
        <v>72</v>
      </c>
      <c r="E2897" s="2" t="s">
        <v>103</v>
      </c>
      <c r="F2897" s="2" t="s">
        <v>117</v>
      </c>
      <c r="G2897" s="2" t="s">
        <v>143</v>
      </c>
      <c r="H2897" s="2" t="s">
        <v>46</v>
      </c>
      <c r="I2897" s="2" t="s">
        <v>3831</v>
      </c>
      <c r="J2897" s="2" t="s">
        <v>8663</v>
      </c>
      <c r="K2897" s="2" t="s">
        <v>8950</v>
      </c>
      <c r="L2897" s="2" t="s">
        <v>478</v>
      </c>
      <c r="M2897" s="2" t="s">
        <v>8665</v>
      </c>
      <c r="N2897" s="16">
        <v>8.0000000000000002E-3</v>
      </c>
      <c r="O2897" s="17">
        <f>N2897*'Financial Inputs'!$B$3</f>
        <v>800000</v>
      </c>
      <c r="P2897" s="18">
        <f>IF(I2897="L",'Financial Inputs'!$B$4,IF(I2897="M",'Financial Inputs'!$B$5,'Financial Inputs'!$B$6))</f>
        <v>0.15</v>
      </c>
      <c r="Q2897" s="17">
        <f>O2897*P2897</f>
        <v>120000</v>
      </c>
      <c r="R2897" s="16">
        <f>'Financial Inputs'!$B$7</f>
        <v>0.35</v>
      </c>
      <c r="S2897" s="17">
        <f>Q2897*(1-R2897)</f>
        <v>78000</v>
      </c>
      <c r="T2897" s="18">
        <f>S2897/'Financial Inputs'!$B$3</f>
        <v>7.7999999999999999E-4</v>
      </c>
      <c r="U2897" s="9" t="s">
        <v>52</v>
      </c>
      <c r="V2897" s="3" t="s">
        <v>53</v>
      </c>
    </row>
    <row r="2898" spans="1:22">
      <c r="A2898" s="2" t="s">
        <v>8951</v>
      </c>
      <c r="B2898" s="2" t="s">
        <v>8952</v>
      </c>
      <c r="C2898" s="2" t="s">
        <v>8662</v>
      </c>
      <c r="D2898" s="2" t="s">
        <v>80</v>
      </c>
      <c r="E2898" s="2" t="s">
        <v>109</v>
      </c>
      <c r="F2898" s="2" t="s">
        <v>90</v>
      </c>
      <c r="G2898" s="2" t="s">
        <v>162</v>
      </c>
      <c r="H2898" s="2" t="s">
        <v>46</v>
      </c>
      <c r="I2898" s="2" t="s">
        <v>3831</v>
      </c>
      <c r="J2898" s="2" t="s">
        <v>8663</v>
      </c>
      <c r="K2898" s="2" t="s">
        <v>8953</v>
      </c>
      <c r="L2898" s="2" t="s">
        <v>482</v>
      </c>
      <c r="M2898" s="2" t="s">
        <v>8665</v>
      </c>
      <c r="N2898" s="16">
        <v>9.0000000000000011E-3</v>
      </c>
      <c r="O2898" s="17">
        <f>N2898*'Financial Inputs'!$B$3</f>
        <v>900000.00000000012</v>
      </c>
      <c r="P2898" s="18">
        <f>IF(I2898="L",'Financial Inputs'!$B$4,IF(I2898="M",'Financial Inputs'!$B$5,'Financial Inputs'!$B$6))</f>
        <v>0.15</v>
      </c>
      <c r="Q2898" s="17">
        <f>O2898*P2898</f>
        <v>135000</v>
      </c>
      <c r="R2898" s="16">
        <f>'Financial Inputs'!$B$7</f>
        <v>0.35</v>
      </c>
      <c r="S2898" s="17">
        <f>Q2898*(1-R2898)</f>
        <v>87750</v>
      </c>
      <c r="T2898" s="18">
        <f>S2898/'Financial Inputs'!$B$3</f>
        <v>8.7750000000000002E-4</v>
      </c>
      <c r="U2898" s="9" t="s">
        <v>52</v>
      </c>
      <c r="V2898" s="3" t="s">
        <v>53</v>
      </c>
    </row>
    <row r="2899" spans="1:22">
      <c r="A2899" s="2" t="s">
        <v>8954</v>
      </c>
      <c r="B2899" s="2" t="s">
        <v>8955</v>
      </c>
      <c r="C2899" s="2" t="s">
        <v>8662</v>
      </c>
      <c r="D2899" s="2" t="s">
        <v>127</v>
      </c>
      <c r="E2899" s="2" t="s">
        <v>116</v>
      </c>
      <c r="F2899" s="2" t="s">
        <v>97</v>
      </c>
      <c r="G2899" s="2" t="s">
        <v>45</v>
      </c>
      <c r="H2899" s="2" t="s">
        <v>46</v>
      </c>
      <c r="I2899" s="2" t="s">
        <v>3831</v>
      </c>
      <c r="J2899" s="2" t="s">
        <v>8663</v>
      </c>
      <c r="K2899" s="2" t="s">
        <v>8956</v>
      </c>
      <c r="L2899" s="2" t="s">
        <v>486</v>
      </c>
      <c r="M2899" s="2" t="s">
        <v>8665</v>
      </c>
      <c r="N2899" s="16">
        <v>0.01</v>
      </c>
      <c r="O2899" s="17">
        <f>N2899*'Financial Inputs'!$B$3</f>
        <v>1000000</v>
      </c>
      <c r="P2899" s="18">
        <f>IF(I2899="L",'Financial Inputs'!$B$4,IF(I2899="M",'Financial Inputs'!$B$5,'Financial Inputs'!$B$6))</f>
        <v>0.15</v>
      </c>
      <c r="Q2899" s="17">
        <f>O2899*P2899</f>
        <v>150000</v>
      </c>
      <c r="R2899" s="16">
        <f>'Financial Inputs'!$B$7</f>
        <v>0.35</v>
      </c>
      <c r="S2899" s="17">
        <f>Q2899*(1-R2899)</f>
        <v>97500</v>
      </c>
      <c r="T2899" s="18">
        <f>S2899/'Financial Inputs'!$B$3</f>
        <v>9.7499999999999996E-4</v>
      </c>
      <c r="U2899" s="9" t="s">
        <v>52</v>
      </c>
      <c r="V2899" s="3" t="s">
        <v>53</v>
      </c>
    </row>
    <row r="2900" spans="1:22">
      <c r="A2900" s="2" t="s">
        <v>8957</v>
      </c>
      <c r="B2900" s="2" t="s">
        <v>8958</v>
      </c>
      <c r="C2900" s="2" t="s">
        <v>8662</v>
      </c>
      <c r="D2900" s="2" t="s">
        <v>133</v>
      </c>
      <c r="E2900" s="2" t="s">
        <v>215</v>
      </c>
      <c r="F2900" s="2" t="s">
        <v>104</v>
      </c>
      <c r="G2900" s="2" t="s">
        <v>59</v>
      </c>
      <c r="H2900" s="2" t="s">
        <v>46</v>
      </c>
      <c r="I2900" s="2" t="s">
        <v>3831</v>
      </c>
      <c r="J2900" s="2" t="s">
        <v>8663</v>
      </c>
      <c r="K2900" s="2" t="s">
        <v>8959</v>
      </c>
      <c r="L2900" s="2" t="s">
        <v>490</v>
      </c>
      <c r="M2900" s="2" t="s">
        <v>8665</v>
      </c>
      <c r="N2900" s="16">
        <v>1.0999999999999999E-2</v>
      </c>
      <c r="O2900" s="17">
        <f>N2900*'Financial Inputs'!$B$3</f>
        <v>1100000</v>
      </c>
      <c r="P2900" s="18">
        <f>IF(I2900="L",'Financial Inputs'!$B$4,IF(I2900="M",'Financial Inputs'!$B$5,'Financial Inputs'!$B$6))</f>
        <v>0.15</v>
      </c>
      <c r="Q2900" s="17">
        <f>O2900*P2900</f>
        <v>165000</v>
      </c>
      <c r="R2900" s="16">
        <f>'Financial Inputs'!$B$7</f>
        <v>0.35</v>
      </c>
      <c r="S2900" s="17">
        <f>Q2900*(1-R2900)</f>
        <v>107250</v>
      </c>
      <c r="T2900" s="18">
        <f>S2900/'Financial Inputs'!$B$3</f>
        <v>1.0725000000000001E-3</v>
      </c>
      <c r="U2900" s="9" t="s">
        <v>52</v>
      </c>
      <c r="V2900" s="3" t="s">
        <v>53</v>
      </c>
    </row>
    <row r="2901" spans="1:22">
      <c r="A2901" s="2" t="s">
        <v>8960</v>
      </c>
      <c r="B2901" s="2" t="s">
        <v>8961</v>
      </c>
      <c r="C2901" s="2" t="s">
        <v>8662</v>
      </c>
      <c r="D2901" s="2" t="s">
        <v>88</v>
      </c>
      <c r="E2901" s="2" t="s">
        <v>220</v>
      </c>
      <c r="F2901" s="2" t="s">
        <v>110</v>
      </c>
      <c r="G2901" s="2" t="s">
        <v>67</v>
      </c>
      <c r="H2901" s="2" t="s">
        <v>46</v>
      </c>
      <c r="I2901" s="2" t="s">
        <v>3831</v>
      </c>
      <c r="J2901" s="2" t="s">
        <v>8663</v>
      </c>
      <c r="K2901" s="2" t="s">
        <v>8962</v>
      </c>
      <c r="L2901" s="2" t="s">
        <v>494</v>
      </c>
      <c r="M2901" s="2" t="s">
        <v>8665</v>
      </c>
      <c r="N2901" s="16">
        <v>1.2E-2</v>
      </c>
      <c r="O2901" s="17">
        <f>N2901*'Financial Inputs'!$B$3</f>
        <v>1200000</v>
      </c>
      <c r="P2901" s="18">
        <f>IF(I2901="L",'Financial Inputs'!$B$4,IF(I2901="M",'Financial Inputs'!$B$5,'Financial Inputs'!$B$6))</f>
        <v>0.15</v>
      </c>
      <c r="Q2901" s="17">
        <f>O2901*P2901</f>
        <v>180000</v>
      </c>
      <c r="R2901" s="16">
        <f>'Financial Inputs'!$B$7</f>
        <v>0.35</v>
      </c>
      <c r="S2901" s="17">
        <f>Q2901*(1-R2901)</f>
        <v>117000</v>
      </c>
      <c r="T2901" s="18">
        <f>S2901/'Financial Inputs'!$B$3</f>
        <v>1.17E-3</v>
      </c>
      <c r="U2901" s="9" t="s">
        <v>52</v>
      </c>
      <c r="V2901" s="3" t="s">
        <v>53</v>
      </c>
    </row>
    <row r="2902" spans="1:22">
      <c r="A2902" s="2" t="s">
        <v>8963</v>
      </c>
      <c r="B2902" s="2" t="s">
        <v>8964</v>
      </c>
      <c r="C2902" s="2" t="s">
        <v>8965</v>
      </c>
      <c r="D2902" s="2" t="s">
        <v>42</v>
      </c>
      <c r="E2902" s="2" t="s">
        <v>43</v>
      </c>
      <c r="F2902" s="2" t="s">
        <v>44</v>
      </c>
      <c r="G2902" s="2" t="s">
        <v>45</v>
      </c>
      <c r="H2902" s="2" t="s">
        <v>46</v>
      </c>
      <c r="I2902" s="2" t="s">
        <v>3831</v>
      </c>
      <c r="J2902" s="2" t="s">
        <v>48</v>
      </c>
      <c r="K2902" s="2" t="s">
        <v>8966</v>
      </c>
      <c r="L2902" s="2" t="s">
        <v>50</v>
      </c>
      <c r="M2902" s="2" t="s">
        <v>8967</v>
      </c>
      <c r="N2902" s="16">
        <v>8.0000000000000002E-3</v>
      </c>
      <c r="O2902" s="17">
        <f>N2902*'Financial Inputs'!$B$3</f>
        <v>800000</v>
      </c>
      <c r="P2902" s="18">
        <f>IF(I2902="L",'Financial Inputs'!$B$4,IF(I2902="M",'Financial Inputs'!$B$5,'Financial Inputs'!$B$6))</f>
        <v>0.15</v>
      </c>
      <c r="Q2902" s="17">
        <f>O2902*P2902</f>
        <v>120000</v>
      </c>
      <c r="R2902" s="16">
        <f>'Financial Inputs'!$B$7</f>
        <v>0.35</v>
      </c>
      <c r="S2902" s="17">
        <f>Q2902*(1-R2902)</f>
        <v>78000</v>
      </c>
      <c r="T2902" s="18">
        <f>S2902/'Financial Inputs'!$B$3</f>
        <v>7.7999999999999999E-4</v>
      </c>
      <c r="U2902" s="9" t="s">
        <v>52</v>
      </c>
      <c r="V2902" s="3" t="s">
        <v>53</v>
      </c>
    </row>
    <row r="2903" spans="1:22">
      <c r="A2903" s="2" t="s">
        <v>8968</v>
      </c>
      <c r="B2903" s="2" t="s">
        <v>8969</v>
      </c>
      <c r="C2903" s="2" t="s">
        <v>8965</v>
      </c>
      <c r="D2903" s="2" t="s">
        <v>56</v>
      </c>
      <c r="E2903" s="2" t="s">
        <v>57</v>
      </c>
      <c r="F2903" s="2" t="s">
        <v>58</v>
      </c>
      <c r="G2903" s="2" t="s">
        <v>59</v>
      </c>
      <c r="H2903" s="2" t="s">
        <v>46</v>
      </c>
      <c r="I2903" s="2" t="s">
        <v>3831</v>
      </c>
      <c r="J2903" s="2" t="s">
        <v>48</v>
      </c>
      <c r="K2903" s="2" t="s">
        <v>8970</v>
      </c>
      <c r="L2903" s="2" t="s">
        <v>61</v>
      </c>
      <c r="M2903" s="2" t="s">
        <v>8967</v>
      </c>
      <c r="N2903" s="16">
        <v>9.0000000000000011E-3</v>
      </c>
      <c r="O2903" s="17">
        <f>N2903*'Financial Inputs'!$B$3</f>
        <v>900000.00000000012</v>
      </c>
      <c r="P2903" s="18">
        <f>IF(I2903="L",'Financial Inputs'!$B$4,IF(I2903="M",'Financial Inputs'!$B$5,'Financial Inputs'!$B$6))</f>
        <v>0.15</v>
      </c>
      <c r="Q2903" s="17">
        <f>O2903*P2903</f>
        <v>135000</v>
      </c>
      <c r="R2903" s="16">
        <f>'Financial Inputs'!$B$7</f>
        <v>0.35</v>
      </c>
      <c r="S2903" s="17">
        <f>Q2903*(1-R2903)</f>
        <v>87750</v>
      </c>
      <c r="T2903" s="18">
        <f>S2903/'Financial Inputs'!$B$3</f>
        <v>8.7750000000000002E-4</v>
      </c>
      <c r="U2903" s="9" t="s">
        <v>52</v>
      </c>
      <c r="V2903" s="3" t="s">
        <v>53</v>
      </c>
    </row>
    <row r="2904" spans="1:22">
      <c r="A2904" s="2" t="s">
        <v>8971</v>
      </c>
      <c r="B2904" s="2" t="s">
        <v>8972</v>
      </c>
      <c r="C2904" s="2" t="s">
        <v>8965</v>
      </c>
      <c r="D2904" s="2" t="s">
        <v>64</v>
      </c>
      <c r="E2904" s="2" t="s">
        <v>65</v>
      </c>
      <c r="F2904" s="2" t="s">
        <v>66</v>
      </c>
      <c r="G2904" s="2" t="s">
        <v>67</v>
      </c>
      <c r="H2904" s="2" t="s">
        <v>46</v>
      </c>
      <c r="I2904" s="2" t="s">
        <v>3831</v>
      </c>
      <c r="J2904" s="2" t="s">
        <v>48</v>
      </c>
      <c r="K2904" s="2" t="s">
        <v>8973</v>
      </c>
      <c r="L2904" s="2" t="s">
        <v>69</v>
      </c>
      <c r="M2904" s="2" t="s">
        <v>8967</v>
      </c>
      <c r="N2904" s="16">
        <v>0.01</v>
      </c>
      <c r="O2904" s="17">
        <f>N2904*'Financial Inputs'!$B$3</f>
        <v>1000000</v>
      </c>
      <c r="P2904" s="18">
        <f>IF(I2904="L",'Financial Inputs'!$B$4,IF(I2904="M",'Financial Inputs'!$B$5,'Financial Inputs'!$B$6))</f>
        <v>0.15</v>
      </c>
      <c r="Q2904" s="17">
        <f>O2904*P2904</f>
        <v>150000</v>
      </c>
      <c r="R2904" s="16">
        <f>'Financial Inputs'!$B$7</f>
        <v>0.35</v>
      </c>
      <c r="S2904" s="17">
        <f>Q2904*(1-R2904)</f>
        <v>97500</v>
      </c>
      <c r="T2904" s="18">
        <f>S2904/'Financial Inputs'!$B$3</f>
        <v>9.7499999999999996E-4</v>
      </c>
      <c r="U2904" s="9" t="s">
        <v>52</v>
      </c>
      <c r="V2904" s="3" t="s">
        <v>53</v>
      </c>
    </row>
    <row r="2905" spans="1:22">
      <c r="A2905" s="2" t="s">
        <v>8974</v>
      </c>
      <c r="B2905" s="2" t="s">
        <v>8975</v>
      </c>
      <c r="C2905" s="2" t="s">
        <v>8965</v>
      </c>
      <c r="D2905" s="2" t="s">
        <v>72</v>
      </c>
      <c r="E2905" s="2" t="s">
        <v>73</v>
      </c>
      <c r="F2905" s="2" t="s">
        <v>74</v>
      </c>
      <c r="G2905" s="2" t="s">
        <v>75</v>
      </c>
      <c r="H2905" s="2" t="s">
        <v>46</v>
      </c>
      <c r="I2905" s="2" t="s">
        <v>3831</v>
      </c>
      <c r="J2905" s="2" t="s">
        <v>48</v>
      </c>
      <c r="K2905" s="2" t="s">
        <v>8976</v>
      </c>
      <c r="L2905" s="2" t="s">
        <v>77</v>
      </c>
      <c r="M2905" s="2" t="s">
        <v>8967</v>
      </c>
      <c r="N2905" s="16">
        <v>1.0999999999999999E-2</v>
      </c>
      <c r="O2905" s="17">
        <f>N2905*'Financial Inputs'!$B$3</f>
        <v>1100000</v>
      </c>
      <c r="P2905" s="18">
        <f>IF(I2905="L",'Financial Inputs'!$B$4,IF(I2905="M",'Financial Inputs'!$B$5,'Financial Inputs'!$B$6))</f>
        <v>0.15</v>
      </c>
      <c r="Q2905" s="17">
        <f>O2905*P2905</f>
        <v>165000</v>
      </c>
      <c r="R2905" s="16">
        <f>'Financial Inputs'!$B$7</f>
        <v>0.35</v>
      </c>
      <c r="S2905" s="17">
        <f>Q2905*(1-R2905)</f>
        <v>107250</v>
      </c>
      <c r="T2905" s="18">
        <f>S2905/'Financial Inputs'!$B$3</f>
        <v>1.0725000000000001E-3</v>
      </c>
      <c r="U2905" s="9" t="s">
        <v>52</v>
      </c>
      <c r="V2905" s="3" t="s">
        <v>53</v>
      </c>
    </row>
    <row r="2906" spans="1:22">
      <c r="A2906" s="2" t="s">
        <v>8977</v>
      </c>
      <c r="B2906" s="2" t="s">
        <v>8978</v>
      </c>
      <c r="C2906" s="2" t="s">
        <v>8965</v>
      </c>
      <c r="D2906" s="2" t="s">
        <v>80</v>
      </c>
      <c r="E2906" s="2" t="s">
        <v>81</v>
      </c>
      <c r="F2906" s="2" t="s">
        <v>82</v>
      </c>
      <c r="G2906" s="2" t="s">
        <v>83</v>
      </c>
      <c r="H2906" s="2" t="s">
        <v>46</v>
      </c>
      <c r="I2906" s="2" t="s">
        <v>3831</v>
      </c>
      <c r="J2906" s="2" t="s">
        <v>48</v>
      </c>
      <c r="K2906" s="2" t="s">
        <v>8979</v>
      </c>
      <c r="L2906" s="2" t="s">
        <v>85</v>
      </c>
      <c r="M2906" s="2" t="s">
        <v>8967</v>
      </c>
      <c r="N2906" s="16">
        <v>1.2E-2</v>
      </c>
      <c r="O2906" s="17">
        <f>N2906*'Financial Inputs'!$B$3</f>
        <v>1200000</v>
      </c>
      <c r="P2906" s="18">
        <f>IF(I2906="L",'Financial Inputs'!$B$4,IF(I2906="M",'Financial Inputs'!$B$5,'Financial Inputs'!$B$6))</f>
        <v>0.15</v>
      </c>
      <c r="Q2906" s="17">
        <f>O2906*P2906</f>
        <v>180000</v>
      </c>
      <c r="R2906" s="16">
        <f>'Financial Inputs'!$B$7</f>
        <v>0.35</v>
      </c>
      <c r="S2906" s="17">
        <f>Q2906*(1-R2906)</f>
        <v>117000</v>
      </c>
      <c r="T2906" s="18">
        <f>S2906/'Financial Inputs'!$B$3</f>
        <v>1.17E-3</v>
      </c>
      <c r="U2906" s="9" t="s">
        <v>52</v>
      </c>
      <c r="V2906" s="3" t="s">
        <v>53</v>
      </c>
    </row>
    <row r="2907" spans="1:22">
      <c r="A2907" s="2" t="s">
        <v>8980</v>
      </c>
      <c r="B2907" s="2" t="s">
        <v>8981</v>
      </c>
      <c r="C2907" s="2" t="s">
        <v>8965</v>
      </c>
      <c r="D2907" s="2" t="s">
        <v>88</v>
      </c>
      <c r="E2907" s="2" t="s">
        <v>89</v>
      </c>
      <c r="F2907" s="2" t="s">
        <v>90</v>
      </c>
      <c r="G2907" s="2" t="s">
        <v>67</v>
      </c>
      <c r="H2907" s="2" t="s">
        <v>46</v>
      </c>
      <c r="I2907" s="2" t="s">
        <v>3831</v>
      </c>
      <c r="J2907" s="2" t="s">
        <v>48</v>
      </c>
      <c r="K2907" s="2" t="s">
        <v>8982</v>
      </c>
      <c r="L2907" s="2" t="s">
        <v>92</v>
      </c>
      <c r="M2907" s="2" t="s">
        <v>8967</v>
      </c>
      <c r="N2907" s="16">
        <v>8.0000000000000002E-3</v>
      </c>
      <c r="O2907" s="17">
        <f>N2907*'Financial Inputs'!$B$3</f>
        <v>800000</v>
      </c>
      <c r="P2907" s="18">
        <f>IF(I2907="L",'Financial Inputs'!$B$4,IF(I2907="M",'Financial Inputs'!$B$5,'Financial Inputs'!$B$6))</f>
        <v>0.15</v>
      </c>
      <c r="Q2907" s="17">
        <f>O2907*P2907</f>
        <v>120000</v>
      </c>
      <c r="R2907" s="16">
        <f>'Financial Inputs'!$B$7</f>
        <v>0.35</v>
      </c>
      <c r="S2907" s="17">
        <f>Q2907*(1-R2907)</f>
        <v>78000</v>
      </c>
      <c r="T2907" s="18">
        <f>S2907/'Financial Inputs'!$B$3</f>
        <v>7.7999999999999999E-4</v>
      </c>
      <c r="U2907" s="9" t="s">
        <v>52</v>
      </c>
      <c r="V2907" s="3" t="s">
        <v>53</v>
      </c>
    </row>
    <row r="2908" spans="1:22">
      <c r="A2908" s="2" t="s">
        <v>8983</v>
      </c>
      <c r="B2908" s="2" t="s">
        <v>8984</v>
      </c>
      <c r="C2908" s="2" t="s">
        <v>8965</v>
      </c>
      <c r="D2908" s="2" t="s">
        <v>95</v>
      </c>
      <c r="E2908" s="2" t="s">
        <v>96</v>
      </c>
      <c r="F2908" s="2" t="s">
        <v>97</v>
      </c>
      <c r="G2908" s="2" t="s">
        <v>75</v>
      </c>
      <c r="H2908" s="2" t="s">
        <v>46</v>
      </c>
      <c r="I2908" s="2" t="s">
        <v>3831</v>
      </c>
      <c r="J2908" s="2" t="s">
        <v>48</v>
      </c>
      <c r="K2908" s="2" t="s">
        <v>8985</v>
      </c>
      <c r="L2908" s="2" t="s">
        <v>99</v>
      </c>
      <c r="M2908" s="2" t="s">
        <v>8967</v>
      </c>
      <c r="N2908" s="16">
        <v>9.0000000000000011E-3</v>
      </c>
      <c r="O2908" s="17">
        <f>N2908*'Financial Inputs'!$B$3</f>
        <v>900000.00000000012</v>
      </c>
      <c r="P2908" s="18">
        <f>IF(I2908="L",'Financial Inputs'!$B$4,IF(I2908="M",'Financial Inputs'!$B$5,'Financial Inputs'!$B$6))</f>
        <v>0.15</v>
      </c>
      <c r="Q2908" s="17">
        <f>O2908*P2908</f>
        <v>135000</v>
      </c>
      <c r="R2908" s="16">
        <f>'Financial Inputs'!$B$7</f>
        <v>0.35</v>
      </c>
      <c r="S2908" s="17">
        <f>Q2908*(1-R2908)</f>
        <v>87750</v>
      </c>
      <c r="T2908" s="18">
        <f>S2908/'Financial Inputs'!$B$3</f>
        <v>8.7750000000000002E-4</v>
      </c>
      <c r="U2908" s="9" t="s">
        <v>52</v>
      </c>
      <c r="V2908" s="3" t="s">
        <v>53</v>
      </c>
    </row>
    <row r="2909" spans="1:22">
      <c r="A2909" s="2" t="s">
        <v>8986</v>
      </c>
      <c r="B2909" s="2" t="s">
        <v>8987</v>
      </c>
      <c r="C2909" s="2" t="s">
        <v>8965</v>
      </c>
      <c r="D2909" s="2" t="s">
        <v>102</v>
      </c>
      <c r="E2909" s="2" t="s">
        <v>103</v>
      </c>
      <c r="F2909" s="2" t="s">
        <v>104</v>
      </c>
      <c r="G2909" s="2" t="s">
        <v>83</v>
      </c>
      <c r="H2909" s="2" t="s">
        <v>46</v>
      </c>
      <c r="I2909" s="2" t="s">
        <v>3831</v>
      </c>
      <c r="J2909" s="2" t="s">
        <v>48</v>
      </c>
      <c r="K2909" s="2" t="s">
        <v>8988</v>
      </c>
      <c r="L2909" s="2" t="s">
        <v>106</v>
      </c>
      <c r="M2909" s="2" t="s">
        <v>8967</v>
      </c>
      <c r="N2909" s="16">
        <v>0.01</v>
      </c>
      <c r="O2909" s="17">
        <f>N2909*'Financial Inputs'!$B$3</f>
        <v>1000000</v>
      </c>
      <c r="P2909" s="18">
        <f>IF(I2909="L",'Financial Inputs'!$B$4,IF(I2909="M",'Financial Inputs'!$B$5,'Financial Inputs'!$B$6))</f>
        <v>0.15</v>
      </c>
      <c r="Q2909" s="17">
        <f>O2909*P2909</f>
        <v>150000</v>
      </c>
      <c r="R2909" s="16">
        <f>'Financial Inputs'!$B$7</f>
        <v>0.35</v>
      </c>
      <c r="S2909" s="17">
        <f>Q2909*(1-R2909)</f>
        <v>97500</v>
      </c>
      <c r="T2909" s="18">
        <f>S2909/'Financial Inputs'!$B$3</f>
        <v>9.7499999999999996E-4</v>
      </c>
      <c r="U2909" s="9" t="s">
        <v>52</v>
      </c>
      <c r="V2909" s="3" t="s">
        <v>53</v>
      </c>
    </row>
    <row r="2910" spans="1:22">
      <c r="A2910" s="2" t="s">
        <v>8989</v>
      </c>
      <c r="B2910" s="2" t="s">
        <v>8990</v>
      </c>
      <c r="C2910" s="2" t="s">
        <v>8965</v>
      </c>
      <c r="D2910" s="2" t="s">
        <v>42</v>
      </c>
      <c r="E2910" s="2" t="s">
        <v>109</v>
      </c>
      <c r="F2910" s="2" t="s">
        <v>110</v>
      </c>
      <c r="G2910" s="2" t="s">
        <v>111</v>
      </c>
      <c r="H2910" s="2" t="s">
        <v>46</v>
      </c>
      <c r="I2910" s="2" t="s">
        <v>3831</v>
      </c>
      <c r="J2910" s="2" t="s">
        <v>48</v>
      </c>
      <c r="K2910" s="2" t="s">
        <v>8991</v>
      </c>
      <c r="L2910" s="2" t="s">
        <v>113</v>
      </c>
      <c r="M2910" s="2" t="s">
        <v>8967</v>
      </c>
      <c r="N2910" s="16">
        <v>1.0999999999999999E-2</v>
      </c>
      <c r="O2910" s="17">
        <f>N2910*'Financial Inputs'!$B$3</f>
        <v>1100000</v>
      </c>
      <c r="P2910" s="18">
        <f>IF(I2910="L",'Financial Inputs'!$B$4,IF(I2910="M",'Financial Inputs'!$B$5,'Financial Inputs'!$B$6))</f>
        <v>0.15</v>
      </c>
      <c r="Q2910" s="17">
        <f>O2910*P2910</f>
        <v>165000</v>
      </c>
      <c r="R2910" s="16">
        <f>'Financial Inputs'!$B$7</f>
        <v>0.35</v>
      </c>
      <c r="S2910" s="17">
        <f>Q2910*(1-R2910)</f>
        <v>107250</v>
      </c>
      <c r="T2910" s="18">
        <f>S2910/'Financial Inputs'!$B$3</f>
        <v>1.0725000000000001E-3</v>
      </c>
      <c r="U2910" s="9" t="s">
        <v>52</v>
      </c>
      <c r="V2910" s="3" t="s">
        <v>53</v>
      </c>
    </row>
    <row r="2911" spans="1:22">
      <c r="A2911" s="2" t="s">
        <v>8992</v>
      </c>
      <c r="B2911" s="2" t="s">
        <v>8993</v>
      </c>
      <c r="C2911" s="2" t="s">
        <v>8965</v>
      </c>
      <c r="D2911" s="2" t="s">
        <v>56</v>
      </c>
      <c r="E2911" s="2" t="s">
        <v>116</v>
      </c>
      <c r="F2911" s="2" t="s">
        <v>117</v>
      </c>
      <c r="G2911" s="2" t="s">
        <v>56</v>
      </c>
      <c r="H2911" s="2" t="s">
        <v>46</v>
      </c>
      <c r="I2911" s="2" t="s">
        <v>3831</v>
      </c>
      <c r="J2911" s="2" t="s">
        <v>48</v>
      </c>
      <c r="K2911" s="2" t="s">
        <v>8994</v>
      </c>
      <c r="L2911" s="2" t="s">
        <v>119</v>
      </c>
      <c r="M2911" s="2" t="s">
        <v>8967</v>
      </c>
      <c r="N2911" s="16">
        <v>1.2E-2</v>
      </c>
      <c r="O2911" s="17">
        <f>N2911*'Financial Inputs'!$B$3</f>
        <v>1200000</v>
      </c>
      <c r="P2911" s="18">
        <f>IF(I2911="L",'Financial Inputs'!$B$4,IF(I2911="M",'Financial Inputs'!$B$5,'Financial Inputs'!$B$6))</f>
        <v>0.15</v>
      </c>
      <c r="Q2911" s="17">
        <f>O2911*P2911</f>
        <v>180000</v>
      </c>
      <c r="R2911" s="16">
        <f>'Financial Inputs'!$B$7</f>
        <v>0.35</v>
      </c>
      <c r="S2911" s="17">
        <f>Q2911*(1-R2911)</f>
        <v>117000</v>
      </c>
      <c r="T2911" s="18">
        <f>S2911/'Financial Inputs'!$B$3</f>
        <v>1.17E-3</v>
      </c>
      <c r="U2911" s="9" t="s">
        <v>52</v>
      </c>
      <c r="V2911" s="3" t="s">
        <v>53</v>
      </c>
    </row>
    <row r="2912" spans="1:22">
      <c r="A2912" s="2" t="s">
        <v>8995</v>
      </c>
      <c r="B2912" s="2" t="s">
        <v>8996</v>
      </c>
      <c r="C2912" s="2" t="s">
        <v>8965</v>
      </c>
      <c r="D2912" s="2" t="s">
        <v>80</v>
      </c>
      <c r="E2912" s="2" t="s">
        <v>122</v>
      </c>
      <c r="F2912" s="2" t="s">
        <v>58</v>
      </c>
      <c r="G2912" s="2" t="s">
        <v>83</v>
      </c>
      <c r="H2912" s="2" t="s">
        <v>46</v>
      </c>
      <c r="I2912" s="2" t="s">
        <v>3831</v>
      </c>
      <c r="J2912" s="2" t="s">
        <v>48</v>
      </c>
      <c r="K2912" s="2" t="s">
        <v>8997</v>
      </c>
      <c r="L2912" s="2" t="s">
        <v>124</v>
      </c>
      <c r="M2912" s="2" t="s">
        <v>8967</v>
      </c>
      <c r="N2912" s="16">
        <v>8.0000000000000002E-3</v>
      </c>
      <c r="O2912" s="17">
        <f>N2912*'Financial Inputs'!$B$3</f>
        <v>800000</v>
      </c>
      <c r="P2912" s="18">
        <f>IF(I2912="L",'Financial Inputs'!$B$4,IF(I2912="M",'Financial Inputs'!$B$5,'Financial Inputs'!$B$6))</f>
        <v>0.15</v>
      </c>
      <c r="Q2912" s="17">
        <f>O2912*P2912</f>
        <v>120000</v>
      </c>
      <c r="R2912" s="16">
        <f>'Financial Inputs'!$B$7</f>
        <v>0.35</v>
      </c>
      <c r="S2912" s="17">
        <f>Q2912*(1-R2912)</f>
        <v>78000</v>
      </c>
      <c r="T2912" s="18">
        <f>S2912/'Financial Inputs'!$B$3</f>
        <v>7.7999999999999999E-4</v>
      </c>
      <c r="U2912" s="9" t="s">
        <v>52</v>
      </c>
      <c r="V2912" s="3" t="s">
        <v>53</v>
      </c>
    </row>
    <row r="2913" spans="1:22">
      <c r="A2913" s="2" t="s">
        <v>8998</v>
      </c>
      <c r="B2913" s="2" t="s">
        <v>8999</v>
      </c>
      <c r="C2913" s="2" t="s">
        <v>8965</v>
      </c>
      <c r="D2913" s="2" t="s">
        <v>127</v>
      </c>
      <c r="E2913" s="2" t="s">
        <v>128</v>
      </c>
      <c r="F2913" s="2" t="s">
        <v>66</v>
      </c>
      <c r="G2913" s="2" t="s">
        <v>111</v>
      </c>
      <c r="H2913" s="2" t="s">
        <v>46</v>
      </c>
      <c r="I2913" s="2" t="s">
        <v>3831</v>
      </c>
      <c r="J2913" s="2" t="s">
        <v>48</v>
      </c>
      <c r="K2913" s="2" t="s">
        <v>9000</v>
      </c>
      <c r="L2913" s="2" t="s">
        <v>130</v>
      </c>
      <c r="M2913" s="2" t="s">
        <v>8967</v>
      </c>
      <c r="N2913" s="16">
        <v>9.0000000000000011E-3</v>
      </c>
      <c r="O2913" s="17">
        <f>N2913*'Financial Inputs'!$B$3</f>
        <v>900000.00000000012</v>
      </c>
      <c r="P2913" s="18">
        <f>IF(I2913="L",'Financial Inputs'!$B$4,IF(I2913="M",'Financial Inputs'!$B$5,'Financial Inputs'!$B$6))</f>
        <v>0.15</v>
      </c>
      <c r="Q2913" s="17">
        <f>O2913*P2913</f>
        <v>135000</v>
      </c>
      <c r="R2913" s="16">
        <f>'Financial Inputs'!$B$7</f>
        <v>0.35</v>
      </c>
      <c r="S2913" s="17">
        <f>Q2913*(1-R2913)</f>
        <v>87750</v>
      </c>
      <c r="T2913" s="18">
        <f>S2913/'Financial Inputs'!$B$3</f>
        <v>8.7750000000000002E-4</v>
      </c>
      <c r="U2913" s="9" t="s">
        <v>52</v>
      </c>
      <c r="V2913" s="3" t="s">
        <v>53</v>
      </c>
    </row>
    <row r="2914" spans="1:22">
      <c r="A2914" s="2" t="s">
        <v>9001</v>
      </c>
      <c r="B2914" s="2" t="s">
        <v>9002</v>
      </c>
      <c r="C2914" s="2" t="s">
        <v>8965</v>
      </c>
      <c r="D2914" s="2" t="s">
        <v>133</v>
      </c>
      <c r="E2914" s="2" t="s">
        <v>43</v>
      </c>
      <c r="F2914" s="2" t="s">
        <v>74</v>
      </c>
      <c r="G2914" s="2" t="s">
        <v>56</v>
      </c>
      <c r="H2914" s="2" t="s">
        <v>46</v>
      </c>
      <c r="I2914" s="2" t="s">
        <v>3831</v>
      </c>
      <c r="J2914" s="2" t="s">
        <v>48</v>
      </c>
      <c r="K2914" s="2" t="s">
        <v>9003</v>
      </c>
      <c r="L2914" s="2" t="s">
        <v>135</v>
      </c>
      <c r="M2914" s="2" t="s">
        <v>8967</v>
      </c>
      <c r="N2914" s="16">
        <v>0.01</v>
      </c>
      <c r="O2914" s="17">
        <f>N2914*'Financial Inputs'!$B$3</f>
        <v>1000000</v>
      </c>
      <c r="P2914" s="18">
        <f>IF(I2914="L",'Financial Inputs'!$B$4,IF(I2914="M",'Financial Inputs'!$B$5,'Financial Inputs'!$B$6))</f>
        <v>0.15</v>
      </c>
      <c r="Q2914" s="17">
        <f>O2914*P2914</f>
        <v>150000</v>
      </c>
      <c r="R2914" s="16">
        <f>'Financial Inputs'!$B$7</f>
        <v>0.35</v>
      </c>
      <c r="S2914" s="17">
        <f>Q2914*(1-R2914)</f>
        <v>97500</v>
      </c>
      <c r="T2914" s="18">
        <f>S2914/'Financial Inputs'!$B$3</f>
        <v>9.7499999999999996E-4</v>
      </c>
      <c r="U2914" s="9" t="s">
        <v>52</v>
      </c>
      <c r="V2914" s="3" t="s">
        <v>53</v>
      </c>
    </row>
    <row r="2915" spans="1:22">
      <c r="A2915" s="2" t="s">
        <v>9004</v>
      </c>
      <c r="B2915" s="2" t="s">
        <v>9005</v>
      </c>
      <c r="C2915" s="2" t="s">
        <v>8965</v>
      </c>
      <c r="D2915" s="2" t="s">
        <v>88</v>
      </c>
      <c r="E2915" s="2" t="s">
        <v>57</v>
      </c>
      <c r="F2915" s="2" t="s">
        <v>82</v>
      </c>
      <c r="G2915" s="2" t="s">
        <v>138</v>
      </c>
      <c r="H2915" s="2" t="s">
        <v>46</v>
      </c>
      <c r="I2915" s="2" t="s">
        <v>3831</v>
      </c>
      <c r="J2915" s="2" t="s">
        <v>48</v>
      </c>
      <c r="K2915" s="2" t="s">
        <v>9006</v>
      </c>
      <c r="L2915" s="2" t="s">
        <v>140</v>
      </c>
      <c r="M2915" s="2" t="s">
        <v>8967</v>
      </c>
      <c r="N2915" s="16">
        <v>1.0999999999999999E-2</v>
      </c>
      <c r="O2915" s="17">
        <f>N2915*'Financial Inputs'!$B$3</f>
        <v>1100000</v>
      </c>
      <c r="P2915" s="18">
        <f>IF(I2915="L",'Financial Inputs'!$B$4,IF(I2915="M",'Financial Inputs'!$B$5,'Financial Inputs'!$B$6))</f>
        <v>0.15</v>
      </c>
      <c r="Q2915" s="17">
        <f>O2915*P2915</f>
        <v>165000</v>
      </c>
      <c r="R2915" s="16">
        <f>'Financial Inputs'!$B$7</f>
        <v>0.35</v>
      </c>
      <c r="S2915" s="17">
        <f>Q2915*(1-R2915)</f>
        <v>107250</v>
      </c>
      <c r="T2915" s="18">
        <f>S2915/'Financial Inputs'!$B$3</f>
        <v>1.0725000000000001E-3</v>
      </c>
      <c r="U2915" s="9" t="s">
        <v>52</v>
      </c>
      <c r="V2915" s="3" t="s">
        <v>53</v>
      </c>
    </row>
    <row r="2916" spans="1:22">
      <c r="A2916" s="2" t="s">
        <v>9007</v>
      </c>
      <c r="B2916" s="2" t="s">
        <v>9008</v>
      </c>
      <c r="C2916" s="2" t="s">
        <v>8965</v>
      </c>
      <c r="D2916" s="2" t="s">
        <v>95</v>
      </c>
      <c r="E2916" s="2" t="s">
        <v>65</v>
      </c>
      <c r="F2916" s="2" t="s">
        <v>44</v>
      </c>
      <c r="G2916" s="2" t="s">
        <v>143</v>
      </c>
      <c r="H2916" s="2" t="s">
        <v>46</v>
      </c>
      <c r="I2916" s="2" t="s">
        <v>3831</v>
      </c>
      <c r="J2916" s="2" t="s">
        <v>48</v>
      </c>
      <c r="K2916" s="2" t="s">
        <v>9009</v>
      </c>
      <c r="L2916" s="2" t="s">
        <v>145</v>
      </c>
      <c r="M2916" s="2" t="s">
        <v>8967</v>
      </c>
      <c r="N2916" s="16">
        <v>1.2E-2</v>
      </c>
      <c r="O2916" s="17">
        <f>N2916*'Financial Inputs'!$B$3</f>
        <v>1200000</v>
      </c>
      <c r="P2916" s="18">
        <f>IF(I2916="L",'Financial Inputs'!$B$4,IF(I2916="M",'Financial Inputs'!$B$5,'Financial Inputs'!$B$6))</f>
        <v>0.15</v>
      </c>
      <c r="Q2916" s="17">
        <f>O2916*P2916</f>
        <v>180000</v>
      </c>
      <c r="R2916" s="16">
        <f>'Financial Inputs'!$B$7</f>
        <v>0.35</v>
      </c>
      <c r="S2916" s="17">
        <f>Q2916*(1-R2916)</f>
        <v>117000</v>
      </c>
      <c r="T2916" s="18">
        <f>S2916/'Financial Inputs'!$B$3</f>
        <v>1.17E-3</v>
      </c>
      <c r="U2916" s="9" t="s">
        <v>52</v>
      </c>
      <c r="V2916" s="3" t="s">
        <v>53</v>
      </c>
    </row>
    <row r="2917" spans="1:22">
      <c r="A2917" s="2" t="s">
        <v>9010</v>
      </c>
      <c r="B2917" s="2" t="s">
        <v>9011</v>
      </c>
      <c r="C2917" s="2" t="s">
        <v>8965</v>
      </c>
      <c r="D2917" s="2" t="s">
        <v>56</v>
      </c>
      <c r="E2917" s="2" t="s">
        <v>148</v>
      </c>
      <c r="F2917" s="2" t="s">
        <v>97</v>
      </c>
      <c r="G2917" s="2" t="s">
        <v>56</v>
      </c>
      <c r="H2917" s="2" t="s">
        <v>46</v>
      </c>
      <c r="I2917" s="2" t="s">
        <v>3831</v>
      </c>
      <c r="J2917" s="2" t="s">
        <v>48</v>
      </c>
      <c r="K2917" s="2" t="s">
        <v>9012</v>
      </c>
      <c r="L2917" s="2" t="s">
        <v>150</v>
      </c>
      <c r="M2917" s="2" t="s">
        <v>8967</v>
      </c>
      <c r="N2917" s="16">
        <v>8.0000000000000002E-3</v>
      </c>
      <c r="O2917" s="17">
        <f>N2917*'Financial Inputs'!$B$3</f>
        <v>800000</v>
      </c>
      <c r="P2917" s="18">
        <f>IF(I2917="L",'Financial Inputs'!$B$4,IF(I2917="M",'Financial Inputs'!$B$5,'Financial Inputs'!$B$6))</f>
        <v>0.15</v>
      </c>
      <c r="Q2917" s="17">
        <f>O2917*P2917</f>
        <v>120000</v>
      </c>
      <c r="R2917" s="16">
        <f>'Financial Inputs'!$B$7</f>
        <v>0.35</v>
      </c>
      <c r="S2917" s="17">
        <f>Q2917*(1-R2917)</f>
        <v>78000</v>
      </c>
      <c r="T2917" s="18">
        <f>S2917/'Financial Inputs'!$B$3</f>
        <v>7.7999999999999999E-4</v>
      </c>
      <c r="U2917" s="9" t="s">
        <v>52</v>
      </c>
      <c r="V2917" s="3" t="s">
        <v>53</v>
      </c>
    </row>
    <row r="2918" spans="1:22">
      <c r="A2918" s="2" t="s">
        <v>9013</v>
      </c>
      <c r="B2918" s="2" t="s">
        <v>9014</v>
      </c>
      <c r="C2918" s="2" t="s">
        <v>8965</v>
      </c>
      <c r="D2918" s="2" t="s">
        <v>64</v>
      </c>
      <c r="E2918" s="2" t="s">
        <v>153</v>
      </c>
      <c r="F2918" s="2" t="s">
        <v>104</v>
      </c>
      <c r="G2918" s="2" t="s">
        <v>138</v>
      </c>
      <c r="H2918" s="2" t="s">
        <v>46</v>
      </c>
      <c r="I2918" s="2" t="s">
        <v>3831</v>
      </c>
      <c r="J2918" s="2" t="s">
        <v>48</v>
      </c>
      <c r="K2918" s="2" t="s">
        <v>9015</v>
      </c>
      <c r="L2918" s="2" t="s">
        <v>155</v>
      </c>
      <c r="M2918" s="2" t="s">
        <v>8967</v>
      </c>
      <c r="N2918" s="16">
        <v>9.0000000000000011E-3</v>
      </c>
      <c r="O2918" s="17">
        <f>N2918*'Financial Inputs'!$B$3</f>
        <v>900000.00000000012</v>
      </c>
      <c r="P2918" s="18">
        <f>IF(I2918="L",'Financial Inputs'!$B$4,IF(I2918="M",'Financial Inputs'!$B$5,'Financial Inputs'!$B$6))</f>
        <v>0.15</v>
      </c>
      <c r="Q2918" s="17">
        <f>O2918*P2918</f>
        <v>135000</v>
      </c>
      <c r="R2918" s="16">
        <f>'Financial Inputs'!$B$7</f>
        <v>0.35</v>
      </c>
      <c r="S2918" s="17">
        <f>Q2918*(1-R2918)</f>
        <v>87750</v>
      </c>
      <c r="T2918" s="18">
        <f>S2918/'Financial Inputs'!$B$3</f>
        <v>8.7750000000000002E-4</v>
      </c>
      <c r="U2918" s="9" t="s">
        <v>52</v>
      </c>
      <c r="V2918" s="3" t="s">
        <v>53</v>
      </c>
    </row>
    <row r="2919" spans="1:22">
      <c r="A2919" s="2" t="s">
        <v>9016</v>
      </c>
      <c r="B2919" s="2" t="s">
        <v>9017</v>
      </c>
      <c r="C2919" s="2" t="s">
        <v>8965</v>
      </c>
      <c r="D2919" s="2" t="s">
        <v>72</v>
      </c>
      <c r="E2919" s="2" t="s">
        <v>89</v>
      </c>
      <c r="F2919" s="2" t="s">
        <v>110</v>
      </c>
      <c r="G2919" s="2" t="s">
        <v>143</v>
      </c>
      <c r="H2919" s="2" t="s">
        <v>46</v>
      </c>
      <c r="I2919" s="2" t="s">
        <v>3831</v>
      </c>
      <c r="J2919" s="2" t="s">
        <v>48</v>
      </c>
      <c r="K2919" s="2" t="s">
        <v>9018</v>
      </c>
      <c r="L2919" s="2" t="s">
        <v>159</v>
      </c>
      <c r="M2919" s="2" t="s">
        <v>8967</v>
      </c>
      <c r="N2919" s="16">
        <v>0.01</v>
      </c>
      <c r="O2919" s="17">
        <f>N2919*'Financial Inputs'!$B$3</f>
        <v>1000000</v>
      </c>
      <c r="P2919" s="18">
        <f>IF(I2919="L",'Financial Inputs'!$B$4,IF(I2919="M",'Financial Inputs'!$B$5,'Financial Inputs'!$B$6))</f>
        <v>0.15</v>
      </c>
      <c r="Q2919" s="17">
        <f>O2919*P2919</f>
        <v>150000</v>
      </c>
      <c r="R2919" s="16">
        <f>'Financial Inputs'!$B$7</f>
        <v>0.35</v>
      </c>
      <c r="S2919" s="17">
        <f>Q2919*(1-R2919)</f>
        <v>97500</v>
      </c>
      <c r="T2919" s="18">
        <f>S2919/'Financial Inputs'!$B$3</f>
        <v>9.7499999999999996E-4</v>
      </c>
      <c r="U2919" s="9" t="s">
        <v>52</v>
      </c>
      <c r="V2919" s="3" t="s">
        <v>53</v>
      </c>
    </row>
    <row r="2920" spans="1:22">
      <c r="A2920" s="2" t="s">
        <v>9019</v>
      </c>
      <c r="B2920" s="2" t="s">
        <v>9020</v>
      </c>
      <c r="C2920" s="2" t="s">
        <v>8965</v>
      </c>
      <c r="D2920" s="2" t="s">
        <v>80</v>
      </c>
      <c r="E2920" s="2" t="s">
        <v>96</v>
      </c>
      <c r="F2920" s="2" t="s">
        <v>117</v>
      </c>
      <c r="G2920" s="2" t="s">
        <v>162</v>
      </c>
      <c r="H2920" s="2" t="s">
        <v>46</v>
      </c>
      <c r="I2920" s="2" t="s">
        <v>3831</v>
      </c>
      <c r="J2920" s="2" t="s">
        <v>48</v>
      </c>
      <c r="K2920" s="2" t="s">
        <v>9021</v>
      </c>
      <c r="L2920" s="2" t="s">
        <v>164</v>
      </c>
      <c r="M2920" s="2" t="s">
        <v>8967</v>
      </c>
      <c r="N2920" s="16">
        <v>1.0999999999999999E-2</v>
      </c>
      <c r="O2920" s="17">
        <f>N2920*'Financial Inputs'!$B$3</f>
        <v>1100000</v>
      </c>
      <c r="P2920" s="18">
        <f>IF(I2920="L",'Financial Inputs'!$B$4,IF(I2920="M",'Financial Inputs'!$B$5,'Financial Inputs'!$B$6))</f>
        <v>0.15</v>
      </c>
      <c r="Q2920" s="17">
        <f>O2920*P2920</f>
        <v>165000</v>
      </c>
      <c r="R2920" s="16">
        <f>'Financial Inputs'!$B$7</f>
        <v>0.35</v>
      </c>
      <c r="S2920" s="17">
        <f>Q2920*(1-R2920)</f>
        <v>107250</v>
      </c>
      <c r="T2920" s="18">
        <f>S2920/'Financial Inputs'!$B$3</f>
        <v>1.0725000000000001E-3</v>
      </c>
      <c r="U2920" s="9" t="s">
        <v>52</v>
      </c>
      <c r="V2920" s="3" t="s">
        <v>53</v>
      </c>
    </row>
    <row r="2921" spans="1:22">
      <c r="A2921" s="2" t="s">
        <v>9022</v>
      </c>
      <c r="B2921" s="2" t="s">
        <v>9023</v>
      </c>
      <c r="C2921" s="2" t="s">
        <v>8965</v>
      </c>
      <c r="D2921" s="2" t="s">
        <v>127</v>
      </c>
      <c r="E2921" s="2" t="s">
        <v>103</v>
      </c>
      <c r="F2921" s="2" t="s">
        <v>90</v>
      </c>
      <c r="G2921" s="2" t="s">
        <v>45</v>
      </c>
      <c r="H2921" s="2" t="s">
        <v>46</v>
      </c>
      <c r="I2921" s="2" t="s">
        <v>3831</v>
      </c>
      <c r="J2921" s="2" t="s">
        <v>48</v>
      </c>
      <c r="K2921" s="2" t="s">
        <v>9024</v>
      </c>
      <c r="L2921" s="2" t="s">
        <v>168</v>
      </c>
      <c r="M2921" s="2" t="s">
        <v>8967</v>
      </c>
      <c r="N2921" s="16">
        <v>1.2E-2</v>
      </c>
      <c r="O2921" s="17">
        <f>N2921*'Financial Inputs'!$B$3</f>
        <v>1200000</v>
      </c>
      <c r="P2921" s="18">
        <f>IF(I2921="L",'Financial Inputs'!$B$4,IF(I2921="M",'Financial Inputs'!$B$5,'Financial Inputs'!$B$6))</f>
        <v>0.15</v>
      </c>
      <c r="Q2921" s="17">
        <f>O2921*P2921</f>
        <v>180000</v>
      </c>
      <c r="R2921" s="16">
        <f>'Financial Inputs'!$B$7</f>
        <v>0.35</v>
      </c>
      <c r="S2921" s="17">
        <f>Q2921*(1-R2921)</f>
        <v>117000</v>
      </c>
      <c r="T2921" s="18">
        <f>S2921/'Financial Inputs'!$B$3</f>
        <v>1.17E-3</v>
      </c>
      <c r="U2921" s="9" t="s">
        <v>52</v>
      </c>
      <c r="V2921" s="3" t="s">
        <v>53</v>
      </c>
    </row>
    <row r="2922" spans="1:22">
      <c r="A2922" s="2" t="s">
        <v>9025</v>
      </c>
      <c r="B2922" s="2" t="s">
        <v>9026</v>
      </c>
      <c r="C2922" s="2" t="s">
        <v>8965</v>
      </c>
      <c r="D2922" s="2" t="s">
        <v>95</v>
      </c>
      <c r="E2922" s="2" t="s">
        <v>171</v>
      </c>
      <c r="F2922" s="2" t="s">
        <v>66</v>
      </c>
      <c r="G2922" s="2" t="s">
        <v>143</v>
      </c>
      <c r="H2922" s="2" t="s">
        <v>46</v>
      </c>
      <c r="I2922" s="2" t="s">
        <v>3831</v>
      </c>
      <c r="J2922" s="2" t="s">
        <v>48</v>
      </c>
      <c r="K2922" s="2" t="s">
        <v>9027</v>
      </c>
      <c r="L2922" s="2" t="s">
        <v>173</v>
      </c>
      <c r="M2922" s="2" t="s">
        <v>8967</v>
      </c>
      <c r="N2922" s="16">
        <v>8.0000000000000002E-3</v>
      </c>
      <c r="O2922" s="17">
        <f>N2922*'Financial Inputs'!$B$3</f>
        <v>800000</v>
      </c>
      <c r="P2922" s="18">
        <f>IF(I2922="L",'Financial Inputs'!$B$4,IF(I2922="M",'Financial Inputs'!$B$5,'Financial Inputs'!$B$6))</f>
        <v>0.15</v>
      </c>
      <c r="Q2922" s="17">
        <f>O2922*P2922</f>
        <v>120000</v>
      </c>
      <c r="R2922" s="16">
        <f>'Financial Inputs'!$B$7</f>
        <v>0.35</v>
      </c>
      <c r="S2922" s="17">
        <f>Q2922*(1-R2922)</f>
        <v>78000</v>
      </c>
      <c r="T2922" s="18">
        <f>S2922/'Financial Inputs'!$B$3</f>
        <v>7.7999999999999999E-4</v>
      </c>
      <c r="U2922" s="9" t="s">
        <v>52</v>
      </c>
      <c r="V2922" s="3" t="s">
        <v>53</v>
      </c>
    </row>
    <row r="2923" spans="1:22">
      <c r="A2923" s="2" t="s">
        <v>9028</v>
      </c>
      <c r="B2923" s="2" t="s">
        <v>9029</v>
      </c>
      <c r="C2923" s="2" t="s">
        <v>8965</v>
      </c>
      <c r="D2923" s="2" t="s">
        <v>102</v>
      </c>
      <c r="E2923" s="2" t="s">
        <v>176</v>
      </c>
      <c r="F2923" s="2" t="s">
        <v>74</v>
      </c>
      <c r="G2923" s="2" t="s">
        <v>162</v>
      </c>
      <c r="H2923" s="2" t="s">
        <v>46</v>
      </c>
      <c r="I2923" s="2" t="s">
        <v>3831</v>
      </c>
      <c r="J2923" s="2" t="s">
        <v>48</v>
      </c>
      <c r="K2923" s="2" t="s">
        <v>9030</v>
      </c>
      <c r="L2923" s="2" t="s">
        <v>178</v>
      </c>
      <c r="M2923" s="2" t="s">
        <v>8967</v>
      </c>
      <c r="N2923" s="16">
        <v>9.0000000000000011E-3</v>
      </c>
      <c r="O2923" s="17">
        <f>N2923*'Financial Inputs'!$B$3</f>
        <v>900000.00000000012</v>
      </c>
      <c r="P2923" s="18">
        <f>IF(I2923="L",'Financial Inputs'!$B$4,IF(I2923="M",'Financial Inputs'!$B$5,'Financial Inputs'!$B$6))</f>
        <v>0.15</v>
      </c>
      <c r="Q2923" s="17">
        <f>O2923*P2923</f>
        <v>135000</v>
      </c>
      <c r="R2923" s="16">
        <f>'Financial Inputs'!$B$7</f>
        <v>0.35</v>
      </c>
      <c r="S2923" s="17">
        <f>Q2923*(1-R2923)</f>
        <v>87750</v>
      </c>
      <c r="T2923" s="18">
        <f>S2923/'Financial Inputs'!$B$3</f>
        <v>8.7750000000000002E-4</v>
      </c>
      <c r="U2923" s="9" t="s">
        <v>52</v>
      </c>
      <c r="V2923" s="3" t="s">
        <v>53</v>
      </c>
    </row>
    <row r="2924" spans="1:22">
      <c r="A2924" s="2" t="s">
        <v>9031</v>
      </c>
      <c r="B2924" s="2" t="s">
        <v>9032</v>
      </c>
      <c r="C2924" s="2" t="s">
        <v>8965</v>
      </c>
      <c r="D2924" s="2" t="s">
        <v>42</v>
      </c>
      <c r="E2924" s="2" t="s">
        <v>122</v>
      </c>
      <c r="F2924" s="2" t="s">
        <v>82</v>
      </c>
      <c r="G2924" s="2" t="s">
        <v>45</v>
      </c>
      <c r="H2924" s="2" t="s">
        <v>46</v>
      </c>
      <c r="I2924" s="2" t="s">
        <v>3831</v>
      </c>
      <c r="J2924" s="2" t="s">
        <v>48</v>
      </c>
      <c r="K2924" s="2" t="s">
        <v>9033</v>
      </c>
      <c r="L2924" s="2" t="s">
        <v>182</v>
      </c>
      <c r="M2924" s="2" t="s">
        <v>8967</v>
      </c>
      <c r="N2924" s="16">
        <v>0.01</v>
      </c>
      <c r="O2924" s="17">
        <f>N2924*'Financial Inputs'!$B$3</f>
        <v>1000000</v>
      </c>
      <c r="P2924" s="18">
        <f>IF(I2924="L",'Financial Inputs'!$B$4,IF(I2924="M",'Financial Inputs'!$B$5,'Financial Inputs'!$B$6))</f>
        <v>0.15</v>
      </c>
      <c r="Q2924" s="17">
        <f>O2924*P2924</f>
        <v>150000</v>
      </c>
      <c r="R2924" s="16">
        <f>'Financial Inputs'!$B$7</f>
        <v>0.35</v>
      </c>
      <c r="S2924" s="17">
        <f>Q2924*(1-R2924)</f>
        <v>97500</v>
      </c>
      <c r="T2924" s="18">
        <f>S2924/'Financial Inputs'!$B$3</f>
        <v>9.7499999999999996E-4</v>
      </c>
      <c r="U2924" s="9" t="s">
        <v>52</v>
      </c>
      <c r="V2924" s="3" t="s">
        <v>53</v>
      </c>
    </row>
    <row r="2925" spans="1:22">
      <c r="A2925" s="2" t="s">
        <v>9034</v>
      </c>
      <c r="B2925" s="2" t="s">
        <v>9035</v>
      </c>
      <c r="C2925" s="2" t="s">
        <v>8965</v>
      </c>
      <c r="D2925" s="2" t="s">
        <v>56</v>
      </c>
      <c r="E2925" s="2" t="s">
        <v>128</v>
      </c>
      <c r="F2925" s="2" t="s">
        <v>44</v>
      </c>
      <c r="G2925" s="2" t="s">
        <v>59</v>
      </c>
      <c r="H2925" s="2" t="s">
        <v>46</v>
      </c>
      <c r="I2925" s="2" t="s">
        <v>3831</v>
      </c>
      <c r="J2925" s="2" t="s">
        <v>48</v>
      </c>
      <c r="K2925" s="2" t="s">
        <v>9036</v>
      </c>
      <c r="L2925" s="2" t="s">
        <v>186</v>
      </c>
      <c r="M2925" s="2" t="s">
        <v>8967</v>
      </c>
      <c r="N2925" s="16">
        <v>1.0999999999999999E-2</v>
      </c>
      <c r="O2925" s="17">
        <f>N2925*'Financial Inputs'!$B$3</f>
        <v>1100000</v>
      </c>
      <c r="P2925" s="18">
        <f>IF(I2925="L",'Financial Inputs'!$B$4,IF(I2925="M",'Financial Inputs'!$B$5,'Financial Inputs'!$B$6))</f>
        <v>0.15</v>
      </c>
      <c r="Q2925" s="17">
        <f>O2925*P2925</f>
        <v>165000</v>
      </c>
      <c r="R2925" s="16">
        <f>'Financial Inputs'!$B$7</f>
        <v>0.35</v>
      </c>
      <c r="S2925" s="17">
        <f>Q2925*(1-R2925)</f>
        <v>107250</v>
      </c>
      <c r="T2925" s="18">
        <f>S2925/'Financial Inputs'!$B$3</f>
        <v>1.0725000000000001E-3</v>
      </c>
      <c r="U2925" s="9" t="s">
        <v>52</v>
      </c>
      <c r="V2925" s="3" t="s">
        <v>53</v>
      </c>
    </row>
    <row r="2926" spans="1:22">
      <c r="A2926" s="2" t="s">
        <v>9037</v>
      </c>
      <c r="B2926" s="2" t="s">
        <v>9038</v>
      </c>
      <c r="C2926" s="2" t="s">
        <v>8965</v>
      </c>
      <c r="D2926" s="2" t="s">
        <v>64</v>
      </c>
      <c r="E2926" s="2" t="s">
        <v>43</v>
      </c>
      <c r="F2926" s="2" t="s">
        <v>58</v>
      </c>
      <c r="G2926" s="2" t="s">
        <v>67</v>
      </c>
      <c r="H2926" s="2" t="s">
        <v>46</v>
      </c>
      <c r="I2926" s="2" t="s">
        <v>3831</v>
      </c>
      <c r="J2926" s="2" t="s">
        <v>48</v>
      </c>
      <c r="K2926" s="2" t="s">
        <v>9039</v>
      </c>
      <c r="L2926" s="2" t="s">
        <v>190</v>
      </c>
      <c r="M2926" s="2" t="s">
        <v>8967</v>
      </c>
      <c r="N2926" s="16">
        <v>1.2E-2</v>
      </c>
      <c r="O2926" s="17">
        <f>N2926*'Financial Inputs'!$B$3</f>
        <v>1200000</v>
      </c>
      <c r="P2926" s="18">
        <f>IF(I2926="L",'Financial Inputs'!$B$4,IF(I2926="M",'Financial Inputs'!$B$5,'Financial Inputs'!$B$6))</f>
        <v>0.15</v>
      </c>
      <c r="Q2926" s="17">
        <f>O2926*P2926</f>
        <v>180000</v>
      </c>
      <c r="R2926" s="16">
        <f>'Financial Inputs'!$B$7</f>
        <v>0.35</v>
      </c>
      <c r="S2926" s="17">
        <f>Q2926*(1-R2926)</f>
        <v>117000</v>
      </c>
      <c r="T2926" s="18">
        <f>S2926/'Financial Inputs'!$B$3</f>
        <v>1.17E-3</v>
      </c>
      <c r="U2926" s="9" t="s">
        <v>52</v>
      </c>
      <c r="V2926" s="3" t="s">
        <v>53</v>
      </c>
    </row>
    <row r="2927" spans="1:22">
      <c r="A2927" s="2" t="s">
        <v>9040</v>
      </c>
      <c r="B2927" s="2" t="s">
        <v>9041</v>
      </c>
      <c r="C2927" s="2" t="s">
        <v>8965</v>
      </c>
      <c r="D2927" s="2" t="s">
        <v>127</v>
      </c>
      <c r="E2927" s="2" t="s">
        <v>193</v>
      </c>
      <c r="F2927" s="2" t="s">
        <v>104</v>
      </c>
      <c r="G2927" s="2" t="s">
        <v>45</v>
      </c>
      <c r="H2927" s="2" t="s">
        <v>46</v>
      </c>
      <c r="I2927" s="2" t="s">
        <v>3831</v>
      </c>
      <c r="J2927" s="2" t="s">
        <v>48</v>
      </c>
      <c r="K2927" s="2" t="s">
        <v>9042</v>
      </c>
      <c r="L2927" s="2" t="s">
        <v>195</v>
      </c>
      <c r="M2927" s="2" t="s">
        <v>8967</v>
      </c>
      <c r="N2927" s="16">
        <v>8.0000000000000002E-3</v>
      </c>
      <c r="O2927" s="17">
        <f>N2927*'Financial Inputs'!$B$3</f>
        <v>800000</v>
      </c>
      <c r="P2927" s="18">
        <f>IF(I2927="L",'Financial Inputs'!$B$4,IF(I2927="M",'Financial Inputs'!$B$5,'Financial Inputs'!$B$6))</f>
        <v>0.15</v>
      </c>
      <c r="Q2927" s="17">
        <f>O2927*P2927</f>
        <v>120000</v>
      </c>
      <c r="R2927" s="16">
        <f>'Financial Inputs'!$B$7</f>
        <v>0.35</v>
      </c>
      <c r="S2927" s="17">
        <f>Q2927*(1-R2927)</f>
        <v>78000</v>
      </c>
      <c r="T2927" s="18">
        <f>S2927/'Financial Inputs'!$B$3</f>
        <v>7.7999999999999999E-4</v>
      </c>
      <c r="U2927" s="9" t="s">
        <v>52</v>
      </c>
      <c r="V2927" s="3" t="s">
        <v>53</v>
      </c>
    </row>
    <row r="2928" spans="1:22">
      <c r="A2928" s="2" t="s">
        <v>9043</v>
      </c>
      <c r="B2928" s="2" t="s">
        <v>9044</v>
      </c>
      <c r="C2928" s="2" t="s">
        <v>8965</v>
      </c>
      <c r="D2928" s="2" t="s">
        <v>133</v>
      </c>
      <c r="E2928" s="2" t="s">
        <v>198</v>
      </c>
      <c r="F2928" s="2" t="s">
        <v>110</v>
      </c>
      <c r="G2928" s="2" t="s">
        <v>59</v>
      </c>
      <c r="H2928" s="2" t="s">
        <v>46</v>
      </c>
      <c r="I2928" s="2" t="s">
        <v>3831</v>
      </c>
      <c r="J2928" s="2" t="s">
        <v>48</v>
      </c>
      <c r="K2928" s="2" t="s">
        <v>9045</v>
      </c>
      <c r="L2928" s="2" t="s">
        <v>200</v>
      </c>
      <c r="M2928" s="2" t="s">
        <v>8967</v>
      </c>
      <c r="N2928" s="16">
        <v>9.0000000000000011E-3</v>
      </c>
      <c r="O2928" s="17">
        <f>N2928*'Financial Inputs'!$B$3</f>
        <v>900000.00000000012</v>
      </c>
      <c r="P2928" s="18">
        <f>IF(I2928="L",'Financial Inputs'!$B$4,IF(I2928="M",'Financial Inputs'!$B$5,'Financial Inputs'!$B$6))</f>
        <v>0.15</v>
      </c>
      <c r="Q2928" s="17">
        <f>O2928*P2928</f>
        <v>135000</v>
      </c>
      <c r="R2928" s="16">
        <f>'Financial Inputs'!$B$7</f>
        <v>0.35</v>
      </c>
      <c r="S2928" s="17">
        <f>Q2928*(1-R2928)</f>
        <v>87750</v>
      </c>
      <c r="T2928" s="18">
        <f>S2928/'Financial Inputs'!$B$3</f>
        <v>8.7750000000000002E-4</v>
      </c>
      <c r="U2928" s="9" t="s">
        <v>52</v>
      </c>
      <c r="V2928" s="3" t="s">
        <v>53</v>
      </c>
    </row>
    <row r="2929" spans="1:22">
      <c r="A2929" s="2" t="s">
        <v>9046</v>
      </c>
      <c r="B2929" s="2" t="s">
        <v>9047</v>
      </c>
      <c r="C2929" s="2" t="s">
        <v>8965</v>
      </c>
      <c r="D2929" s="2" t="s">
        <v>88</v>
      </c>
      <c r="E2929" s="2" t="s">
        <v>148</v>
      </c>
      <c r="F2929" s="2" t="s">
        <v>117</v>
      </c>
      <c r="G2929" s="2" t="s">
        <v>67</v>
      </c>
      <c r="H2929" s="2" t="s">
        <v>46</v>
      </c>
      <c r="I2929" s="2" t="s">
        <v>3831</v>
      </c>
      <c r="J2929" s="2" t="s">
        <v>48</v>
      </c>
      <c r="K2929" s="2" t="s">
        <v>9048</v>
      </c>
      <c r="L2929" s="2" t="s">
        <v>204</v>
      </c>
      <c r="M2929" s="2" t="s">
        <v>8967</v>
      </c>
      <c r="N2929" s="16">
        <v>0.01</v>
      </c>
      <c r="O2929" s="17">
        <f>N2929*'Financial Inputs'!$B$3</f>
        <v>1000000</v>
      </c>
      <c r="P2929" s="18">
        <f>IF(I2929="L",'Financial Inputs'!$B$4,IF(I2929="M",'Financial Inputs'!$B$5,'Financial Inputs'!$B$6))</f>
        <v>0.15</v>
      </c>
      <c r="Q2929" s="17">
        <f>O2929*P2929</f>
        <v>150000</v>
      </c>
      <c r="R2929" s="16">
        <f>'Financial Inputs'!$B$7</f>
        <v>0.35</v>
      </c>
      <c r="S2929" s="17">
        <f>Q2929*(1-R2929)</f>
        <v>97500</v>
      </c>
      <c r="T2929" s="18">
        <f>S2929/'Financial Inputs'!$B$3</f>
        <v>9.7499999999999996E-4</v>
      </c>
      <c r="U2929" s="9" t="s">
        <v>52</v>
      </c>
      <c r="V2929" s="3" t="s">
        <v>53</v>
      </c>
    </row>
    <row r="2930" spans="1:22">
      <c r="A2930" s="2" t="s">
        <v>9049</v>
      </c>
      <c r="B2930" s="2" t="s">
        <v>9050</v>
      </c>
      <c r="C2930" s="2" t="s">
        <v>8965</v>
      </c>
      <c r="D2930" s="2" t="s">
        <v>95</v>
      </c>
      <c r="E2930" s="2" t="s">
        <v>153</v>
      </c>
      <c r="F2930" s="2" t="s">
        <v>90</v>
      </c>
      <c r="G2930" s="2" t="s">
        <v>75</v>
      </c>
      <c r="H2930" s="2" t="s">
        <v>46</v>
      </c>
      <c r="I2930" s="2" t="s">
        <v>3831</v>
      </c>
      <c r="J2930" s="2" t="s">
        <v>48</v>
      </c>
      <c r="K2930" s="2" t="s">
        <v>9051</v>
      </c>
      <c r="L2930" s="2" t="s">
        <v>208</v>
      </c>
      <c r="M2930" s="2" t="s">
        <v>8967</v>
      </c>
      <c r="N2930" s="16">
        <v>1.0999999999999999E-2</v>
      </c>
      <c r="O2930" s="17">
        <f>N2930*'Financial Inputs'!$B$3</f>
        <v>1100000</v>
      </c>
      <c r="P2930" s="18">
        <f>IF(I2930="L",'Financial Inputs'!$B$4,IF(I2930="M",'Financial Inputs'!$B$5,'Financial Inputs'!$B$6))</f>
        <v>0.15</v>
      </c>
      <c r="Q2930" s="17">
        <f>O2930*P2930</f>
        <v>165000</v>
      </c>
      <c r="R2930" s="16">
        <f>'Financial Inputs'!$B$7</f>
        <v>0.35</v>
      </c>
      <c r="S2930" s="17">
        <f>Q2930*(1-R2930)</f>
        <v>107250</v>
      </c>
      <c r="T2930" s="18">
        <f>S2930/'Financial Inputs'!$B$3</f>
        <v>1.0725000000000001E-3</v>
      </c>
      <c r="U2930" s="9" t="s">
        <v>52</v>
      </c>
      <c r="V2930" s="3" t="s">
        <v>53</v>
      </c>
    </row>
    <row r="2931" spans="1:22">
      <c r="A2931" s="2" t="s">
        <v>9052</v>
      </c>
      <c r="B2931" s="2" t="s">
        <v>9053</v>
      </c>
      <c r="C2931" s="2" t="s">
        <v>8965</v>
      </c>
      <c r="D2931" s="2" t="s">
        <v>102</v>
      </c>
      <c r="E2931" s="2" t="s">
        <v>89</v>
      </c>
      <c r="F2931" s="2" t="s">
        <v>97</v>
      </c>
      <c r="G2931" s="2" t="s">
        <v>83</v>
      </c>
      <c r="H2931" s="2" t="s">
        <v>46</v>
      </c>
      <c r="I2931" s="2" t="s">
        <v>3831</v>
      </c>
      <c r="J2931" s="2" t="s">
        <v>48</v>
      </c>
      <c r="K2931" s="2" t="s">
        <v>9054</v>
      </c>
      <c r="L2931" s="2" t="s">
        <v>212</v>
      </c>
      <c r="M2931" s="2" t="s">
        <v>8967</v>
      </c>
      <c r="N2931" s="16">
        <v>1.2E-2</v>
      </c>
      <c r="O2931" s="17">
        <f>N2931*'Financial Inputs'!$B$3</f>
        <v>1200000</v>
      </c>
      <c r="P2931" s="18">
        <f>IF(I2931="L",'Financial Inputs'!$B$4,IF(I2931="M",'Financial Inputs'!$B$5,'Financial Inputs'!$B$6))</f>
        <v>0.15</v>
      </c>
      <c r="Q2931" s="17">
        <f>O2931*P2931</f>
        <v>180000</v>
      </c>
      <c r="R2931" s="16">
        <f>'Financial Inputs'!$B$7</f>
        <v>0.35</v>
      </c>
      <c r="S2931" s="17">
        <f>Q2931*(1-R2931)</f>
        <v>117000</v>
      </c>
      <c r="T2931" s="18">
        <f>S2931/'Financial Inputs'!$B$3</f>
        <v>1.17E-3</v>
      </c>
      <c r="U2931" s="9" t="s">
        <v>52</v>
      </c>
      <c r="V2931" s="3" t="s">
        <v>53</v>
      </c>
    </row>
    <row r="2932" spans="1:22">
      <c r="A2932" s="2" t="s">
        <v>9055</v>
      </c>
      <c r="B2932" s="2" t="s">
        <v>9056</v>
      </c>
      <c r="C2932" s="2" t="s">
        <v>8965</v>
      </c>
      <c r="D2932" s="2" t="s">
        <v>64</v>
      </c>
      <c r="E2932" s="2" t="s">
        <v>215</v>
      </c>
      <c r="F2932" s="2" t="s">
        <v>74</v>
      </c>
      <c r="G2932" s="2" t="s">
        <v>67</v>
      </c>
      <c r="H2932" s="2" t="s">
        <v>46</v>
      </c>
      <c r="I2932" s="2" t="s">
        <v>3831</v>
      </c>
      <c r="J2932" s="2" t="s">
        <v>48</v>
      </c>
      <c r="K2932" s="2" t="s">
        <v>9057</v>
      </c>
      <c r="L2932" s="2" t="s">
        <v>217</v>
      </c>
      <c r="M2932" s="2" t="s">
        <v>8967</v>
      </c>
      <c r="N2932" s="16">
        <v>8.0000000000000002E-3</v>
      </c>
      <c r="O2932" s="17">
        <f>N2932*'Financial Inputs'!$B$3</f>
        <v>800000</v>
      </c>
      <c r="P2932" s="18">
        <f>IF(I2932="L",'Financial Inputs'!$B$4,IF(I2932="M",'Financial Inputs'!$B$5,'Financial Inputs'!$B$6))</f>
        <v>0.15</v>
      </c>
      <c r="Q2932" s="17">
        <f>O2932*P2932</f>
        <v>120000</v>
      </c>
      <c r="R2932" s="16">
        <f>'Financial Inputs'!$B$7</f>
        <v>0.35</v>
      </c>
      <c r="S2932" s="17">
        <f>Q2932*(1-R2932)</f>
        <v>78000</v>
      </c>
      <c r="T2932" s="18">
        <f>S2932/'Financial Inputs'!$B$3</f>
        <v>7.7999999999999999E-4</v>
      </c>
      <c r="U2932" s="9" t="s">
        <v>52</v>
      </c>
      <c r="V2932" s="3" t="s">
        <v>53</v>
      </c>
    </row>
    <row r="2933" spans="1:22">
      <c r="A2933" s="2" t="s">
        <v>9058</v>
      </c>
      <c r="B2933" s="2" t="s">
        <v>9059</v>
      </c>
      <c r="C2933" s="2" t="s">
        <v>8965</v>
      </c>
      <c r="D2933" s="2" t="s">
        <v>72</v>
      </c>
      <c r="E2933" s="2" t="s">
        <v>220</v>
      </c>
      <c r="F2933" s="2" t="s">
        <v>82</v>
      </c>
      <c r="G2933" s="2" t="s">
        <v>75</v>
      </c>
      <c r="H2933" s="2" t="s">
        <v>46</v>
      </c>
      <c r="I2933" s="2" t="s">
        <v>3831</v>
      </c>
      <c r="J2933" s="2" t="s">
        <v>48</v>
      </c>
      <c r="K2933" s="2" t="s">
        <v>9060</v>
      </c>
      <c r="L2933" s="2" t="s">
        <v>222</v>
      </c>
      <c r="M2933" s="2" t="s">
        <v>8967</v>
      </c>
      <c r="N2933" s="16">
        <v>9.0000000000000011E-3</v>
      </c>
      <c r="O2933" s="17">
        <f>N2933*'Financial Inputs'!$B$3</f>
        <v>900000.00000000012</v>
      </c>
      <c r="P2933" s="18">
        <f>IF(I2933="L",'Financial Inputs'!$B$4,IF(I2933="M",'Financial Inputs'!$B$5,'Financial Inputs'!$B$6))</f>
        <v>0.15</v>
      </c>
      <c r="Q2933" s="17">
        <f>O2933*P2933</f>
        <v>135000</v>
      </c>
      <c r="R2933" s="16">
        <f>'Financial Inputs'!$B$7</f>
        <v>0.35</v>
      </c>
      <c r="S2933" s="17">
        <f>Q2933*(1-R2933)</f>
        <v>87750</v>
      </c>
      <c r="T2933" s="18">
        <f>S2933/'Financial Inputs'!$B$3</f>
        <v>8.7750000000000002E-4</v>
      </c>
      <c r="U2933" s="9" t="s">
        <v>52</v>
      </c>
      <c r="V2933" s="3" t="s">
        <v>53</v>
      </c>
    </row>
    <row r="2934" spans="1:22">
      <c r="A2934" s="2" t="s">
        <v>9061</v>
      </c>
      <c r="B2934" s="2" t="s">
        <v>9062</v>
      </c>
      <c r="C2934" s="2" t="s">
        <v>8965</v>
      </c>
      <c r="D2934" s="2" t="s">
        <v>80</v>
      </c>
      <c r="E2934" s="2" t="s">
        <v>171</v>
      </c>
      <c r="F2934" s="2" t="s">
        <v>44</v>
      </c>
      <c r="G2934" s="2" t="s">
        <v>83</v>
      </c>
      <c r="H2934" s="2" t="s">
        <v>46</v>
      </c>
      <c r="I2934" s="2" t="s">
        <v>3831</v>
      </c>
      <c r="J2934" s="2" t="s">
        <v>48</v>
      </c>
      <c r="K2934" s="2" t="s">
        <v>9063</v>
      </c>
      <c r="L2934" s="2" t="s">
        <v>226</v>
      </c>
      <c r="M2934" s="2" t="s">
        <v>8967</v>
      </c>
      <c r="N2934" s="16">
        <v>0.01</v>
      </c>
      <c r="O2934" s="17">
        <f>N2934*'Financial Inputs'!$B$3</f>
        <v>1000000</v>
      </c>
      <c r="P2934" s="18">
        <f>IF(I2934="L",'Financial Inputs'!$B$4,IF(I2934="M",'Financial Inputs'!$B$5,'Financial Inputs'!$B$6))</f>
        <v>0.15</v>
      </c>
      <c r="Q2934" s="17">
        <f>O2934*P2934</f>
        <v>150000</v>
      </c>
      <c r="R2934" s="16">
        <f>'Financial Inputs'!$B$7</f>
        <v>0.35</v>
      </c>
      <c r="S2934" s="17">
        <f>Q2934*(1-R2934)</f>
        <v>97500</v>
      </c>
      <c r="T2934" s="18">
        <f>S2934/'Financial Inputs'!$B$3</f>
        <v>9.7499999999999996E-4</v>
      </c>
      <c r="U2934" s="9" t="s">
        <v>52</v>
      </c>
      <c r="V2934" s="3" t="s">
        <v>53</v>
      </c>
    </row>
    <row r="2935" spans="1:22">
      <c r="A2935" s="2" t="s">
        <v>9064</v>
      </c>
      <c r="B2935" s="2" t="s">
        <v>9065</v>
      </c>
      <c r="C2935" s="2" t="s">
        <v>8965</v>
      </c>
      <c r="D2935" s="2" t="s">
        <v>127</v>
      </c>
      <c r="E2935" s="2" t="s">
        <v>176</v>
      </c>
      <c r="F2935" s="2" t="s">
        <v>58</v>
      </c>
      <c r="G2935" s="2" t="s">
        <v>111</v>
      </c>
      <c r="H2935" s="2" t="s">
        <v>46</v>
      </c>
      <c r="I2935" s="2" t="s">
        <v>3831</v>
      </c>
      <c r="J2935" s="2" t="s">
        <v>48</v>
      </c>
      <c r="K2935" s="2" t="s">
        <v>9066</v>
      </c>
      <c r="L2935" s="2" t="s">
        <v>230</v>
      </c>
      <c r="M2935" s="2" t="s">
        <v>8967</v>
      </c>
      <c r="N2935" s="16">
        <v>1.0999999999999999E-2</v>
      </c>
      <c r="O2935" s="17">
        <f>N2935*'Financial Inputs'!$B$3</f>
        <v>1100000</v>
      </c>
      <c r="P2935" s="18">
        <f>IF(I2935="L",'Financial Inputs'!$B$4,IF(I2935="M",'Financial Inputs'!$B$5,'Financial Inputs'!$B$6))</f>
        <v>0.15</v>
      </c>
      <c r="Q2935" s="17">
        <f>O2935*P2935</f>
        <v>165000</v>
      </c>
      <c r="R2935" s="16">
        <f>'Financial Inputs'!$B$7</f>
        <v>0.35</v>
      </c>
      <c r="S2935" s="17">
        <f>Q2935*(1-R2935)</f>
        <v>107250</v>
      </c>
      <c r="T2935" s="18">
        <f>S2935/'Financial Inputs'!$B$3</f>
        <v>1.0725000000000001E-3</v>
      </c>
      <c r="U2935" s="9" t="s">
        <v>52</v>
      </c>
      <c r="V2935" s="3" t="s">
        <v>53</v>
      </c>
    </row>
    <row r="2936" spans="1:22">
      <c r="A2936" s="2" t="s">
        <v>9067</v>
      </c>
      <c r="B2936" s="2" t="s">
        <v>9068</v>
      </c>
      <c r="C2936" s="2" t="s">
        <v>8965</v>
      </c>
      <c r="D2936" s="2" t="s">
        <v>133</v>
      </c>
      <c r="E2936" s="2" t="s">
        <v>122</v>
      </c>
      <c r="F2936" s="2" t="s">
        <v>66</v>
      </c>
      <c r="G2936" s="2" t="s">
        <v>56</v>
      </c>
      <c r="H2936" s="2" t="s">
        <v>46</v>
      </c>
      <c r="I2936" s="2" t="s">
        <v>3831</v>
      </c>
      <c r="J2936" s="2" t="s">
        <v>48</v>
      </c>
      <c r="K2936" s="2" t="s">
        <v>9069</v>
      </c>
      <c r="L2936" s="2" t="s">
        <v>234</v>
      </c>
      <c r="M2936" s="2" t="s">
        <v>8967</v>
      </c>
      <c r="N2936" s="16">
        <v>1.2E-2</v>
      </c>
      <c r="O2936" s="17">
        <f>N2936*'Financial Inputs'!$B$3</f>
        <v>1200000</v>
      </c>
      <c r="P2936" s="18">
        <f>IF(I2936="L",'Financial Inputs'!$B$4,IF(I2936="M",'Financial Inputs'!$B$5,'Financial Inputs'!$B$6))</f>
        <v>0.15</v>
      </c>
      <c r="Q2936" s="17">
        <f>O2936*P2936</f>
        <v>180000</v>
      </c>
      <c r="R2936" s="16">
        <f>'Financial Inputs'!$B$7</f>
        <v>0.35</v>
      </c>
      <c r="S2936" s="17">
        <f>Q2936*(1-R2936)</f>
        <v>117000</v>
      </c>
      <c r="T2936" s="18">
        <f>S2936/'Financial Inputs'!$B$3</f>
        <v>1.17E-3</v>
      </c>
      <c r="U2936" s="9" t="s">
        <v>52</v>
      </c>
      <c r="V2936" s="3" t="s">
        <v>53</v>
      </c>
    </row>
    <row r="2937" spans="1:22">
      <c r="A2937" s="2" t="s">
        <v>9070</v>
      </c>
      <c r="B2937" s="2" t="s">
        <v>9071</v>
      </c>
      <c r="C2937" s="2" t="s">
        <v>8965</v>
      </c>
      <c r="D2937" s="2" t="s">
        <v>102</v>
      </c>
      <c r="E2937" s="2" t="s">
        <v>73</v>
      </c>
      <c r="F2937" s="2" t="s">
        <v>110</v>
      </c>
      <c r="G2937" s="2" t="s">
        <v>83</v>
      </c>
      <c r="H2937" s="2" t="s">
        <v>46</v>
      </c>
      <c r="I2937" s="2" t="s">
        <v>3831</v>
      </c>
      <c r="J2937" s="2" t="s">
        <v>48</v>
      </c>
      <c r="K2937" s="2" t="s">
        <v>9072</v>
      </c>
      <c r="L2937" s="2" t="s">
        <v>238</v>
      </c>
      <c r="M2937" s="2" t="s">
        <v>8967</v>
      </c>
      <c r="N2937" s="16">
        <v>8.0000000000000002E-3</v>
      </c>
      <c r="O2937" s="17">
        <f>N2937*'Financial Inputs'!$B$3</f>
        <v>800000</v>
      </c>
      <c r="P2937" s="18">
        <f>IF(I2937="L",'Financial Inputs'!$B$4,IF(I2937="M",'Financial Inputs'!$B$5,'Financial Inputs'!$B$6))</f>
        <v>0.15</v>
      </c>
      <c r="Q2937" s="17">
        <f>O2937*P2937</f>
        <v>120000</v>
      </c>
      <c r="R2937" s="16">
        <f>'Financial Inputs'!$B$7</f>
        <v>0.35</v>
      </c>
      <c r="S2937" s="17">
        <f>Q2937*(1-R2937)</f>
        <v>78000</v>
      </c>
      <c r="T2937" s="18">
        <f>S2937/'Financial Inputs'!$B$3</f>
        <v>7.7999999999999999E-4</v>
      </c>
      <c r="U2937" s="9" t="s">
        <v>52</v>
      </c>
      <c r="V2937" s="3" t="s">
        <v>53</v>
      </c>
    </row>
    <row r="2938" spans="1:22">
      <c r="A2938" s="2" t="s">
        <v>9073</v>
      </c>
      <c r="B2938" s="2" t="s">
        <v>9074</v>
      </c>
      <c r="C2938" s="2" t="s">
        <v>8965</v>
      </c>
      <c r="D2938" s="2" t="s">
        <v>42</v>
      </c>
      <c r="E2938" s="2" t="s">
        <v>81</v>
      </c>
      <c r="F2938" s="2" t="s">
        <v>117</v>
      </c>
      <c r="G2938" s="2" t="s">
        <v>111</v>
      </c>
      <c r="H2938" s="2" t="s">
        <v>46</v>
      </c>
      <c r="I2938" s="2" t="s">
        <v>3831</v>
      </c>
      <c r="J2938" s="2" t="s">
        <v>48</v>
      </c>
      <c r="K2938" s="2" t="s">
        <v>9075</v>
      </c>
      <c r="L2938" s="2" t="s">
        <v>242</v>
      </c>
      <c r="M2938" s="2" t="s">
        <v>8967</v>
      </c>
      <c r="N2938" s="16">
        <v>9.0000000000000011E-3</v>
      </c>
      <c r="O2938" s="17">
        <f>N2938*'Financial Inputs'!$B$3</f>
        <v>900000.00000000012</v>
      </c>
      <c r="P2938" s="18">
        <f>IF(I2938="L",'Financial Inputs'!$B$4,IF(I2938="M",'Financial Inputs'!$B$5,'Financial Inputs'!$B$6))</f>
        <v>0.15</v>
      </c>
      <c r="Q2938" s="17">
        <f>O2938*P2938</f>
        <v>135000</v>
      </c>
      <c r="R2938" s="16">
        <f>'Financial Inputs'!$B$7</f>
        <v>0.35</v>
      </c>
      <c r="S2938" s="17">
        <f>Q2938*(1-R2938)</f>
        <v>87750</v>
      </c>
      <c r="T2938" s="18">
        <f>S2938/'Financial Inputs'!$B$3</f>
        <v>8.7750000000000002E-4</v>
      </c>
      <c r="U2938" s="9" t="s">
        <v>52</v>
      </c>
      <c r="V2938" s="3" t="s">
        <v>53</v>
      </c>
    </row>
    <row r="2939" spans="1:22">
      <c r="A2939" s="2" t="s">
        <v>9076</v>
      </c>
      <c r="B2939" s="2" t="s">
        <v>9077</v>
      </c>
      <c r="C2939" s="2" t="s">
        <v>8965</v>
      </c>
      <c r="D2939" s="2" t="s">
        <v>56</v>
      </c>
      <c r="E2939" s="2" t="s">
        <v>193</v>
      </c>
      <c r="F2939" s="2" t="s">
        <v>90</v>
      </c>
      <c r="G2939" s="2" t="s">
        <v>56</v>
      </c>
      <c r="H2939" s="2" t="s">
        <v>46</v>
      </c>
      <c r="I2939" s="2" t="s">
        <v>3831</v>
      </c>
      <c r="J2939" s="2" t="s">
        <v>48</v>
      </c>
      <c r="K2939" s="2" t="s">
        <v>9078</v>
      </c>
      <c r="L2939" s="2" t="s">
        <v>246</v>
      </c>
      <c r="M2939" s="2" t="s">
        <v>8967</v>
      </c>
      <c r="N2939" s="16">
        <v>0.01</v>
      </c>
      <c r="O2939" s="17">
        <f>N2939*'Financial Inputs'!$B$3</f>
        <v>1000000</v>
      </c>
      <c r="P2939" s="18">
        <f>IF(I2939="L",'Financial Inputs'!$B$4,IF(I2939="M",'Financial Inputs'!$B$5,'Financial Inputs'!$B$6))</f>
        <v>0.15</v>
      </c>
      <c r="Q2939" s="17">
        <f>O2939*P2939</f>
        <v>150000</v>
      </c>
      <c r="R2939" s="16">
        <f>'Financial Inputs'!$B$7</f>
        <v>0.35</v>
      </c>
      <c r="S2939" s="17">
        <f>Q2939*(1-R2939)</f>
        <v>97500</v>
      </c>
      <c r="T2939" s="18">
        <f>S2939/'Financial Inputs'!$B$3</f>
        <v>9.7499999999999996E-4</v>
      </c>
      <c r="U2939" s="9" t="s">
        <v>52</v>
      </c>
      <c r="V2939" s="3" t="s">
        <v>53</v>
      </c>
    </row>
    <row r="2940" spans="1:22">
      <c r="A2940" s="2" t="s">
        <v>9079</v>
      </c>
      <c r="B2940" s="2" t="s">
        <v>9080</v>
      </c>
      <c r="C2940" s="2" t="s">
        <v>8965</v>
      </c>
      <c r="D2940" s="2" t="s">
        <v>64</v>
      </c>
      <c r="E2940" s="2" t="s">
        <v>198</v>
      </c>
      <c r="F2940" s="2" t="s">
        <v>97</v>
      </c>
      <c r="G2940" s="2" t="s">
        <v>138</v>
      </c>
      <c r="H2940" s="2" t="s">
        <v>46</v>
      </c>
      <c r="I2940" s="2" t="s">
        <v>3831</v>
      </c>
      <c r="J2940" s="2" t="s">
        <v>48</v>
      </c>
      <c r="K2940" s="2" t="s">
        <v>9081</v>
      </c>
      <c r="L2940" s="2" t="s">
        <v>250</v>
      </c>
      <c r="M2940" s="2" t="s">
        <v>8967</v>
      </c>
      <c r="N2940" s="16">
        <v>1.0999999999999999E-2</v>
      </c>
      <c r="O2940" s="17">
        <f>N2940*'Financial Inputs'!$B$3</f>
        <v>1100000</v>
      </c>
      <c r="P2940" s="18">
        <f>IF(I2940="L",'Financial Inputs'!$B$4,IF(I2940="M",'Financial Inputs'!$B$5,'Financial Inputs'!$B$6))</f>
        <v>0.15</v>
      </c>
      <c r="Q2940" s="17">
        <f>O2940*P2940</f>
        <v>165000</v>
      </c>
      <c r="R2940" s="16">
        <f>'Financial Inputs'!$B$7</f>
        <v>0.35</v>
      </c>
      <c r="S2940" s="17">
        <f>Q2940*(1-R2940)</f>
        <v>107250</v>
      </c>
      <c r="T2940" s="18">
        <f>S2940/'Financial Inputs'!$B$3</f>
        <v>1.0725000000000001E-3</v>
      </c>
      <c r="U2940" s="9" t="s">
        <v>52</v>
      </c>
      <c r="V2940" s="3" t="s">
        <v>53</v>
      </c>
    </row>
    <row r="2941" spans="1:22">
      <c r="A2941" s="2" t="s">
        <v>9082</v>
      </c>
      <c r="B2941" s="2" t="s">
        <v>9083</v>
      </c>
      <c r="C2941" s="2" t="s">
        <v>8965</v>
      </c>
      <c r="D2941" s="2" t="s">
        <v>72</v>
      </c>
      <c r="E2941" s="2" t="s">
        <v>148</v>
      </c>
      <c r="F2941" s="2" t="s">
        <v>104</v>
      </c>
      <c r="G2941" s="2" t="s">
        <v>143</v>
      </c>
      <c r="H2941" s="2" t="s">
        <v>46</v>
      </c>
      <c r="I2941" s="2" t="s">
        <v>3831</v>
      </c>
      <c r="J2941" s="2" t="s">
        <v>48</v>
      </c>
      <c r="K2941" s="2" t="s">
        <v>9084</v>
      </c>
      <c r="L2941" s="2" t="s">
        <v>254</v>
      </c>
      <c r="M2941" s="2" t="s">
        <v>8967</v>
      </c>
      <c r="N2941" s="16">
        <v>1.2E-2</v>
      </c>
      <c r="O2941" s="17">
        <f>N2941*'Financial Inputs'!$B$3</f>
        <v>1200000</v>
      </c>
      <c r="P2941" s="18">
        <f>IF(I2941="L",'Financial Inputs'!$B$4,IF(I2941="M",'Financial Inputs'!$B$5,'Financial Inputs'!$B$6))</f>
        <v>0.15</v>
      </c>
      <c r="Q2941" s="17">
        <f>O2941*P2941</f>
        <v>180000</v>
      </c>
      <c r="R2941" s="16">
        <f>'Financial Inputs'!$B$7</f>
        <v>0.35</v>
      </c>
      <c r="S2941" s="17">
        <f>Q2941*(1-R2941)</f>
        <v>117000</v>
      </c>
      <c r="T2941" s="18">
        <f>S2941/'Financial Inputs'!$B$3</f>
        <v>1.17E-3</v>
      </c>
      <c r="U2941" s="9" t="s">
        <v>52</v>
      </c>
      <c r="V2941" s="3" t="s">
        <v>53</v>
      </c>
    </row>
    <row r="2942" spans="1:22">
      <c r="A2942" s="2" t="s">
        <v>9085</v>
      </c>
      <c r="B2942" s="2" t="s">
        <v>9086</v>
      </c>
      <c r="C2942" s="2" t="s">
        <v>8965</v>
      </c>
      <c r="D2942" s="2" t="s">
        <v>133</v>
      </c>
      <c r="E2942" s="2" t="s">
        <v>109</v>
      </c>
      <c r="F2942" s="2" t="s">
        <v>82</v>
      </c>
      <c r="G2942" s="2" t="s">
        <v>56</v>
      </c>
      <c r="H2942" s="2" t="s">
        <v>46</v>
      </c>
      <c r="I2942" s="2" t="s">
        <v>3831</v>
      </c>
      <c r="J2942" s="2" t="s">
        <v>48</v>
      </c>
      <c r="K2942" s="2" t="s">
        <v>9087</v>
      </c>
      <c r="L2942" s="2" t="s">
        <v>258</v>
      </c>
      <c r="M2942" s="2" t="s">
        <v>8967</v>
      </c>
      <c r="N2942" s="16">
        <v>8.0000000000000002E-3</v>
      </c>
      <c r="O2942" s="17">
        <f>N2942*'Financial Inputs'!$B$3</f>
        <v>800000</v>
      </c>
      <c r="P2942" s="18">
        <f>IF(I2942="L",'Financial Inputs'!$B$4,IF(I2942="M",'Financial Inputs'!$B$5,'Financial Inputs'!$B$6))</f>
        <v>0.15</v>
      </c>
      <c r="Q2942" s="17">
        <f>O2942*P2942</f>
        <v>120000</v>
      </c>
      <c r="R2942" s="16">
        <f>'Financial Inputs'!$B$7</f>
        <v>0.35</v>
      </c>
      <c r="S2942" s="17">
        <f>Q2942*(1-R2942)</f>
        <v>78000</v>
      </c>
      <c r="T2942" s="18">
        <f>S2942/'Financial Inputs'!$B$3</f>
        <v>7.7999999999999999E-4</v>
      </c>
      <c r="U2942" s="9" t="s">
        <v>52</v>
      </c>
      <c r="V2942" s="3" t="s">
        <v>53</v>
      </c>
    </row>
    <row r="2943" spans="1:22">
      <c r="A2943" s="2" t="s">
        <v>9088</v>
      </c>
      <c r="B2943" s="2" t="s">
        <v>9089</v>
      </c>
      <c r="C2943" s="2" t="s">
        <v>8965</v>
      </c>
      <c r="D2943" s="2" t="s">
        <v>88</v>
      </c>
      <c r="E2943" s="2" t="s">
        <v>116</v>
      </c>
      <c r="F2943" s="2" t="s">
        <v>44</v>
      </c>
      <c r="G2943" s="2" t="s">
        <v>138</v>
      </c>
      <c r="H2943" s="2" t="s">
        <v>46</v>
      </c>
      <c r="I2943" s="2" t="s">
        <v>3831</v>
      </c>
      <c r="J2943" s="2" t="s">
        <v>48</v>
      </c>
      <c r="K2943" s="2" t="s">
        <v>9090</v>
      </c>
      <c r="L2943" s="2" t="s">
        <v>262</v>
      </c>
      <c r="M2943" s="2" t="s">
        <v>8967</v>
      </c>
      <c r="N2943" s="16">
        <v>9.0000000000000011E-3</v>
      </c>
      <c r="O2943" s="17">
        <f>N2943*'Financial Inputs'!$B$3</f>
        <v>900000.00000000012</v>
      </c>
      <c r="P2943" s="18">
        <f>IF(I2943="L",'Financial Inputs'!$B$4,IF(I2943="M",'Financial Inputs'!$B$5,'Financial Inputs'!$B$6))</f>
        <v>0.15</v>
      </c>
      <c r="Q2943" s="17">
        <f>O2943*P2943</f>
        <v>135000</v>
      </c>
      <c r="R2943" s="16">
        <f>'Financial Inputs'!$B$7</f>
        <v>0.35</v>
      </c>
      <c r="S2943" s="17">
        <f>Q2943*(1-R2943)</f>
        <v>87750</v>
      </c>
      <c r="T2943" s="18">
        <f>S2943/'Financial Inputs'!$B$3</f>
        <v>8.7750000000000002E-4</v>
      </c>
      <c r="U2943" s="9" t="s">
        <v>52</v>
      </c>
      <c r="V2943" s="3" t="s">
        <v>53</v>
      </c>
    </row>
    <row r="2944" spans="1:22">
      <c r="A2944" s="2" t="s">
        <v>9091</v>
      </c>
      <c r="B2944" s="2" t="s">
        <v>9092</v>
      </c>
      <c r="C2944" s="2" t="s">
        <v>8965</v>
      </c>
      <c r="D2944" s="2" t="s">
        <v>95</v>
      </c>
      <c r="E2944" s="2" t="s">
        <v>215</v>
      </c>
      <c r="F2944" s="2" t="s">
        <v>58</v>
      </c>
      <c r="G2944" s="2" t="s">
        <v>143</v>
      </c>
      <c r="H2944" s="2" t="s">
        <v>46</v>
      </c>
      <c r="I2944" s="2" t="s">
        <v>3831</v>
      </c>
      <c r="J2944" s="2" t="s">
        <v>48</v>
      </c>
      <c r="K2944" s="2" t="s">
        <v>9093</v>
      </c>
      <c r="L2944" s="2" t="s">
        <v>266</v>
      </c>
      <c r="M2944" s="2" t="s">
        <v>8967</v>
      </c>
      <c r="N2944" s="16">
        <v>0.01</v>
      </c>
      <c r="O2944" s="17">
        <f>N2944*'Financial Inputs'!$B$3</f>
        <v>1000000</v>
      </c>
      <c r="P2944" s="18">
        <f>IF(I2944="L",'Financial Inputs'!$B$4,IF(I2944="M",'Financial Inputs'!$B$5,'Financial Inputs'!$B$6))</f>
        <v>0.15</v>
      </c>
      <c r="Q2944" s="17">
        <f>O2944*P2944</f>
        <v>150000</v>
      </c>
      <c r="R2944" s="16">
        <f>'Financial Inputs'!$B$7</f>
        <v>0.35</v>
      </c>
      <c r="S2944" s="17">
        <f>Q2944*(1-R2944)</f>
        <v>97500</v>
      </c>
      <c r="T2944" s="18">
        <f>S2944/'Financial Inputs'!$B$3</f>
        <v>9.7499999999999996E-4</v>
      </c>
      <c r="U2944" s="9" t="s">
        <v>52</v>
      </c>
      <c r="V2944" s="3" t="s">
        <v>53</v>
      </c>
    </row>
    <row r="2945" spans="1:22">
      <c r="A2945" s="2" t="s">
        <v>9094</v>
      </c>
      <c r="B2945" s="2" t="s">
        <v>9095</v>
      </c>
      <c r="C2945" s="2" t="s">
        <v>8965</v>
      </c>
      <c r="D2945" s="2" t="s">
        <v>102</v>
      </c>
      <c r="E2945" s="2" t="s">
        <v>220</v>
      </c>
      <c r="F2945" s="2" t="s">
        <v>66</v>
      </c>
      <c r="G2945" s="2" t="s">
        <v>162</v>
      </c>
      <c r="H2945" s="2" t="s">
        <v>46</v>
      </c>
      <c r="I2945" s="2" t="s">
        <v>3831</v>
      </c>
      <c r="J2945" s="2" t="s">
        <v>48</v>
      </c>
      <c r="K2945" s="2" t="s">
        <v>9096</v>
      </c>
      <c r="L2945" s="2" t="s">
        <v>270</v>
      </c>
      <c r="M2945" s="2" t="s">
        <v>8967</v>
      </c>
      <c r="N2945" s="16">
        <v>1.0999999999999999E-2</v>
      </c>
      <c r="O2945" s="17">
        <f>N2945*'Financial Inputs'!$B$3</f>
        <v>1100000</v>
      </c>
      <c r="P2945" s="18">
        <f>IF(I2945="L",'Financial Inputs'!$B$4,IF(I2945="M",'Financial Inputs'!$B$5,'Financial Inputs'!$B$6))</f>
        <v>0.15</v>
      </c>
      <c r="Q2945" s="17">
        <f>O2945*P2945</f>
        <v>165000</v>
      </c>
      <c r="R2945" s="16">
        <f>'Financial Inputs'!$B$7</f>
        <v>0.35</v>
      </c>
      <c r="S2945" s="17">
        <f>Q2945*(1-R2945)</f>
        <v>107250</v>
      </c>
      <c r="T2945" s="18">
        <f>S2945/'Financial Inputs'!$B$3</f>
        <v>1.0725000000000001E-3</v>
      </c>
      <c r="U2945" s="9" t="s">
        <v>52</v>
      </c>
      <c r="V2945" s="3" t="s">
        <v>53</v>
      </c>
    </row>
    <row r="2946" spans="1:22">
      <c r="A2946" s="2" t="s">
        <v>9097</v>
      </c>
      <c r="B2946" s="2" t="s">
        <v>9098</v>
      </c>
      <c r="C2946" s="2" t="s">
        <v>8965</v>
      </c>
      <c r="D2946" s="2" t="s">
        <v>42</v>
      </c>
      <c r="E2946" s="2" t="s">
        <v>171</v>
      </c>
      <c r="F2946" s="2" t="s">
        <v>74</v>
      </c>
      <c r="G2946" s="2" t="s">
        <v>45</v>
      </c>
      <c r="H2946" s="2" t="s">
        <v>46</v>
      </c>
      <c r="I2946" s="2" t="s">
        <v>3831</v>
      </c>
      <c r="J2946" s="2" t="s">
        <v>48</v>
      </c>
      <c r="K2946" s="2" t="s">
        <v>9099</v>
      </c>
      <c r="L2946" s="2" t="s">
        <v>274</v>
      </c>
      <c r="M2946" s="2" t="s">
        <v>8967</v>
      </c>
      <c r="N2946" s="16">
        <v>1.2E-2</v>
      </c>
      <c r="O2946" s="17">
        <f>N2946*'Financial Inputs'!$B$3</f>
        <v>1200000</v>
      </c>
      <c r="P2946" s="18">
        <f>IF(I2946="L",'Financial Inputs'!$B$4,IF(I2946="M",'Financial Inputs'!$B$5,'Financial Inputs'!$B$6))</f>
        <v>0.15</v>
      </c>
      <c r="Q2946" s="17">
        <f>O2946*P2946</f>
        <v>180000</v>
      </c>
      <c r="R2946" s="16">
        <f>'Financial Inputs'!$B$7</f>
        <v>0.35</v>
      </c>
      <c r="S2946" s="17">
        <f>Q2946*(1-R2946)</f>
        <v>117000</v>
      </c>
      <c r="T2946" s="18">
        <f>S2946/'Financial Inputs'!$B$3</f>
        <v>1.17E-3</v>
      </c>
      <c r="U2946" s="9" t="s">
        <v>52</v>
      </c>
      <c r="V2946" s="3" t="s">
        <v>53</v>
      </c>
    </row>
    <row r="2947" spans="1:22">
      <c r="A2947" s="2" t="s">
        <v>9100</v>
      </c>
      <c r="B2947" s="2" t="s">
        <v>9101</v>
      </c>
      <c r="C2947" s="2" t="s">
        <v>8965</v>
      </c>
      <c r="D2947" s="2" t="s">
        <v>72</v>
      </c>
      <c r="E2947" s="2" t="s">
        <v>57</v>
      </c>
      <c r="F2947" s="2" t="s">
        <v>117</v>
      </c>
      <c r="G2947" s="2" t="s">
        <v>143</v>
      </c>
      <c r="H2947" s="2" t="s">
        <v>46</v>
      </c>
      <c r="I2947" s="2" t="s">
        <v>3831</v>
      </c>
      <c r="J2947" s="2" t="s">
        <v>48</v>
      </c>
      <c r="K2947" s="2" t="s">
        <v>9102</v>
      </c>
      <c r="L2947" s="2" t="s">
        <v>278</v>
      </c>
      <c r="M2947" s="2" t="s">
        <v>8967</v>
      </c>
      <c r="N2947" s="16">
        <v>8.0000000000000002E-3</v>
      </c>
      <c r="O2947" s="17">
        <f>N2947*'Financial Inputs'!$B$3</f>
        <v>800000</v>
      </c>
      <c r="P2947" s="18">
        <f>IF(I2947="L",'Financial Inputs'!$B$4,IF(I2947="M",'Financial Inputs'!$B$5,'Financial Inputs'!$B$6))</f>
        <v>0.15</v>
      </c>
      <c r="Q2947" s="17">
        <f>O2947*P2947</f>
        <v>120000</v>
      </c>
      <c r="R2947" s="16">
        <f>'Financial Inputs'!$B$7</f>
        <v>0.35</v>
      </c>
      <c r="S2947" s="17">
        <f>Q2947*(1-R2947)</f>
        <v>78000</v>
      </c>
      <c r="T2947" s="18">
        <f>S2947/'Financial Inputs'!$B$3</f>
        <v>7.7999999999999999E-4</v>
      </c>
      <c r="U2947" s="9" t="s">
        <v>52</v>
      </c>
      <c r="V2947" s="3" t="s">
        <v>53</v>
      </c>
    </row>
    <row r="2948" spans="1:22">
      <c r="A2948" s="2" t="s">
        <v>9103</v>
      </c>
      <c r="B2948" s="2" t="s">
        <v>9104</v>
      </c>
      <c r="C2948" s="2" t="s">
        <v>8965</v>
      </c>
      <c r="D2948" s="2" t="s">
        <v>80</v>
      </c>
      <c r="E2948" s="2" t="s">
        <v>65</v>
      </c>
      <c r="F2948" s="2" t="s">
        <v>90</v>
      </c>
      <c r="G2948" s="2" t="s">
        <v>162</v>
      </c>
      <c r="H2948" s="2" t="s">
        <v>46</v>
      </c>
      <c r="I2948" s="2" t="s">
        <v>3831</v>
      </c>
      <c r="J2948" s="2" t="s">
        <v>48</v>
      </c>
      <c r="K2948" s="2" t="s">
        <v>9105</v>
      </c>
      <c r="L2948" s="2" t="s">
        <v>282</v>
      </c>
      <c r="M2948" s="2" t="s">
        <v>8967</v>
      </c>
      <c r="N2948" s="16">
        <v>9.0000000000000011E-3</v>
      </c>
      <c r="O2948" s="17">
        <f>N2948*'Financial Inputs'!$B$3</f>
        <v>900000.00000000012</v>
      </c>
      <c r="P2948" s="18">
        <f>IF(I2948="L",'Financial Inputs'!$B$4,IF(I2948="M",'Financial Inputs'!$B$5,'Financial Inputs'!$B$6))</f>
        <v>0.15</v>
      </c>
      <c r="Q2948" s="17">
        <f>O2948*P2948</f>
        <v>135000</v>
      </c>
      <c r="R2948" s="16">
        <f>'Financial Inputs'!$B$7</f>
        <v>0.35</v>
      </c>
      <c r="S2948" s="17">
        <f>Q2948*(1-R2948)</f>
        <v>87750</v>
      </c>
      <c r="T2948" s="18">
        <f>S2948/'Financial Inputs'!$B$3</f>
        <v>8.7750000000000002E-4</v>
      </c>
      <c r="U2948" s="9" t="s">
        <v>52</v>
      </c>
      <c r="V2948" s="3" t="s">
        <v>53</v>
      </c>
    </row>
    <row r="2949" spans="1:22">
      <c r="A2949" s="2" t="s">
        <v>9106</v>
      </c>
      <c r="B2949" s="2" t="s">
        <v>9107</v>
      </c>
      <c r="C2949" s="2" t="s">
        <v>8965</v>
      </c>
      <c r="D2949" s="2" t="s">
        <v>127</v>
      </c>
      <c r="E2949" s="2" t="s">
        <v>73</v>
      </c>
      <c r="F2949" s="2" t="s">
        <v>97</v>
      </c>
      <c r="G2949" s="2" t="s">
        <v>45</v>
      </c>
      <c r="H2949" s="2" t="s">
        <v>46</v>
      </c>
      <c r="I2949" s="2" t="s">
        <v>3831</v>
      </c>
      <c r="J2949" s="2" t="s">
        <v>48</v>
      </c>
      <c r="K2949" s="2" t="s">
        <v>9108</v>
      </c>
      <c r="L2949" s="2" t="s">
        <v>286</v>
      </c>
      <c r="M2949" s="2" t="s">
        <v>8967</v>
      </c>
      <c r="N2949" s="16">
        <v>0.01</v>
      </c>
      <c r="O2949" s="17">
        <f>N2949*'Financial Inputs'!$B$3</f>
        <v>1000000</v>
      </c>
      <c r="P2949" s="18">
        <f>IF(I2949="L",'Financial Inputs'!$B$4,IF(I2949="M",'Financial Inputs'!$B$5,'Financial Inputs'!$B$6))</f>
        <v>0.15</v>
      </c>
      <c r="Q2949" s="17">
        <f>O2949*P2949</f>
        <v>150000</v>
      </c>
      <c r="R2949" s="16">
        <f>'Financial Inputs'!$B$7</f>
        <v>0.35</v>
      </c>
      <c r="S2949" s="17">
        <f>Q2949*(1-R2949)</f>
        <v>97500</v>
      </c>
      <c r="T2949" s="18">
        <f>S2949/'Financial Inputs'!$B$3</f>
        <v>9.7499999999999996E-4</v>
      </c>
      <c r="U2949" s="9" t="s">
        <v>52</v>
      </c>
      <c r="V2949" s="3" t="s">
        <v>53</v>
      </c>
    </row>
    <row r="2950" spans="1:22">
      <c r="A2950" s="2" t="s">
        <v>9109</v>
      </c>
      <c r="B2950" s="2" t="s">
        <v>9110</v>
      </c>
      <c r="C2950" s="2" t="s">
        <v>8965</v>
      </c>
      <c r="D2950" s="2" t="s">
        <v>133</v>
      </c>
      <c r="E2950" s="2" t="s">
        <v>81</v>
      </c>
      <c r="F2950" s="2" t="s">
        <v>104</v>
      </c>
      <c r="G2950" s="2" t="s">
        <v>59</v>
      </c>
      <c r="H2950" s="2" t="s">
        <v>46</v>
      </c>
      <c r="I2950" s="2" t="s">
        <v>3831</v>
      </c>
      <c r="J2950" s="2" t="s">
        <v>48</v>
      </c>
      <c r="K2950" s="2" t="s">
        <v>9111</v>
      </c>
      <c r="L2950" s="2" t="s">
        <v>290</v>
      </c>
      <c r="M2950" s="2" t="s">
        <v>8967</v>
      </c>
      <c r="N2950" s="16">
        <v>1.0999999999999999E-2</v>
      </c>
      <c r="O2950" s="17">
        <f>N2950*'Financial Inputs'!$B$3</f>
        <v>1100000</v>
      </c>
      <c r="P2950" s="18">
        <f>IF(I2950="L",'Financial Inputs'!$B$4,IF(I2950="M",'Financial Inputs'!$B$5,'Financial Inputs'!$B$6))</f>
        <v>0.15</v>
      </c>
      <c r="Q2950" s="17">
        <f>O2950*P2950</f>
        <v>165000</v>
      </c>
      <c r="R2950" s="16">
        <f>'Financial Inputs'!$B$7</f>
        <v>0.35</v>
      </c>
      <c r="S2950" s="17">
        <f>Q2950*(1-R2950)</f>
        <v>107250</v>
      </c>
      <c r="T2950" s="18">
        <f>S2950/'Financial Inputs'!$B$3</f>
        <v>1.0725000000000001E-3</v>
      </c>
      <c r="U2950" s="9" t="s">
        <v>52</v>
      </c>
      <c r="V2950" s="3" t="s">
        <v>53</v>
      </c>
    </row>
    <row r="2951" spans="1:22">
      <c r="A2951" s="2" t="s">
        <v>9112</v>
      </c>
      <c r="B2951" s="2" t="s">
        <v>9113</v>
      </c>
      <c r="C2951" s="2" t="s">
        <v>8965</v>
      </c>
      <c r="D2951" s="2" t="s">
        <v>88</v>
      </c>
      <c r="E2951" s="2" t="s">
        <v>193</v>
      </c>
      <c r="F2951" s="2" t="s">
        <v>110</v>
      </c>
      <c r="G2951" s="2" t="s">
        <v>67</v>
      </c>
      <c r="H2951" s="2" t="s">
        <v>46</v>
      </c>
      <c r="I2951" s="2" t="s">
        <v>3831</v>
      </c>
      <c r="J2951" s="2" t="s">
        <v>48</v>
      </c>
      <c r="K2951" s="2" t="s">
        <v>9114</v>
      </c>
      <c r="L2951" s="2" t="s">
        <v>294</v>
      </c>
      <c r="M2951" s="2" t="s">
        <v>8967</v>
      </c>
      <c r="N2951" s="16">
        <v>1.2E-2</v>
      </c>
      <c r="O2951" s="17">
        <f>N2951*'Financial Inputs'!$B$3</f>
        <v>1200000</v>
      </c>
      <c r="P2951" s="18">
        <f>IF(I2951="L",'Financial Inputs'!$B$4,IF(I2951="M",'Financial Inputs'!$B$5,'Financial Inputs'!$B$6))</f>
        <v>0.15</v>
      </c>
      <c r="Q2951" s="17">
        <f>O2951*P2951</f>
        <v>180000</v>
      </c>
      <c r="R2951" s="16">
        <f>'Financial Inputs'!$B$7</f>
        <v>0.35</v>
      </c>
      <c r="S2951" s="17">
        <f>Q2951*(1-R2951)</f>
        <v>117000</v>
      </c>
      <c r="T2951" s="18">
        <f>S2951/'Financial Inputs'!$B$3</f>
        <v>1.17E-3</v>
      </c>
      <c r="U2951" s="9" t="s">
        <v>52</v>
      </c>
      <c r="V2951" s="3" t="s">
        <v>53</v>
      </c>
    </row>
    <row r="2952" spans="1:22">
      <c r="A2952" s="2" t="s">
        <v>9115</v>
      </c>
      <c r="B2952" s="2" t="s">
        <v>9116</v>
      </c>
      <c r="C2952" s="2" t="s">
        <v>8965</v>
      </c>
      <c r="D2952" s="2" t="s">
        <v>42</v>
      </c>
      <c r="E2952" s="2" t="s">
        <v>96</v>
      </c>
      <c r="F2952" s="2" t="s">
        <v>44</v>
      </c>
      <c r="G2952" s="2" t="s">
        <v>45</v>
      </c>
      <c r="H2952" s="2" t="s">
        <v>46</v>
      </c>
      <c r="I2952" s="2" t="s">
        <v>3831</v>
      </c>
      <c r="J2952" s="2" t="s">
        <v>48</v>
      </c>
      <c r="K2952" s="2" t="s">
        <v>9117</v>
      </c>
      <c r="L2952" s="2" t="s">
        <v>298</v>
      </c>
      <c r="M2952" s="2" t="s">
        <v>8967</v>
      </c>
      <c r="N2952" s="16">
        <v>8.0000000000000002E-3</v>
      </c>
      <c r="O2952" s="17">
        <f>N2952*'Financial Inputs'!$B$3</f>
        <v>800000</v>
      </c>
      <c r="P2952" s="18">
        <f>IF(I2952="L",'Financial Inputs'!$B$4,IF(I2952="M",'Financial Inputs'!$B$5,'Financial Inputs'!$B$6))</f>
        <v>0.15</v>
      </c>
      <c r="Q2952" s="17">
        <f>O2952*P2952</f>
        <v>120000</v>
      </c>
      <c r="R2952" s="16">
        <f>'Financial Inputs'!$B$7</f>
        <v>0.35</v>
      </c>
      <c r="S2952" s="17">
        <f>Q2952*(1-R2952)</f>
        <v>78000</v>
      </c>
      <c r="T2952" s="18">
        <f>S2952/'Financial Inputs'!$B$3</f>
        <v>7.7999999999999999E-4</v>
      </c>
      <c r="U2952" s="9" t="s">
        <v>52</v>
      </c>
      <c r="V2952" s="3" t="s">
        <v>53</v>
      </c>
    </row>
    <row r="2953" spans="1:22">
      <c r="A2953" s="2" t="s">
        <v>9118</v>
      </c>
      <c r="B2953" s="2" t="s">
        <v>9119</v>
      </c>
      <c r="C2953" s="2" t="s">
        <v>8965</v>
      </c>
      <c r="D2953" s="2" t="s">
        <v>56</v>
      </c>
      <c r="E2953" s="2" t="s">
        <v>103</v>
      </c>
      <c r="F2953" s="2" t="s">
        <v>58</v>
      </c>
      <c r="G2953" s="2" t="s">
        <v>59</v>
      </c>
      <c r="H2953" s="2" t="s">
        <v>46</v>
      </c>
      <c r="I2953" s="2" t="s">
        <v>3831</v>
      </c>
      <c r="J2953" s="2" t="s">
        <v>48</v>
      </c>
      <c r="K2953" s="2" t="s">
        <v>9120</v>
      </c>
      <c r="L2953" s="2" t="s">
        <v>302</v>
      </c>
      <c r="M2953" s="2" t="s">
        <v>8967</v>
      </c>
      <c r="N2953" s="16">
        <v>9.0000000000000011E-3</v>
      </c>
      <c r="O2953" s="17">
        <f>N2953*'Financial Inputs'!$B$3</f>
        <v>900000.00000000012</v>
      </c>
      <c r="P2953" s="18">
        <f>IF(I2953="L",'Financial Inputs'!$B$4,IF(I2953="M",'Financial Inputs'!$B$5,'Financial Inputs'!$B$6))</f>
        <v>0.15</v>
      </c>
      <c r="Q2953" s="17">
        <f>O2953*P2953</f>
        <v>135000</v>
      </c>
      <c r="R2953" s="16">
        <f>'Financial Inputs'!$B$7</f>
        <v>0.35</v>
      </c>
      <c r="S2953" s="17">
        <f>Q2953*(1-R2953)</f>
        <v>87750</v>
      </c>
      <c r="T2953" s="18">
        <f>S2953/'Financial Inputs'!$B$3</f>
        <v>8.7750000000000002E-4</v>
      </c>
      <c r="U2953" s="9" t="s">
        <v>52</v>
      </c>
      <c r="V2953" s="3" t="s">
        <v>53</v>
      </c>
    </row>
    <row r="2954" spans="1:22">
      <c r="A2954" s="2" t="s">
        <v>9121</v>
      </c>
      <c r="B2954" s="2" t="s">
        <v>9122</v>
      </c>
      <c r="C2954" s="2" t="s">
        <v>8965</v>
      </c>
      <c r="D2954" s="2" t="s">
        <v>64</v>
      </c>
      <c r="E2954" s="2" t="s">
        <v>109</v>
      </c>
      <c r="F2954" s="2" t="s">
        <v>66</v>
      </c>
      <c r="G2954" s="2" t="s">
        <v>67</v>
      </c>
      <c r="H2954" s="2" t="s">
        <v>46</v>
      </c>
      <c r="I2954" s="2" t="s">
        <v>3831</v>
      </c>
      <c r="J2954" s="2" t="s">
        <v>48</v>
      </c>
      <c r="K2954" s="2" t="s">
        <v>9123</v>
      </c>
      <c r="L2954" s="2" t="s">
        <v>306</v>
      </c>
      <c r="M2954" s="2" t="s">
        <v>8967</v>
      </c>
      <c r="N2954" s="16">
        <v>0.01</v>
      </c>
      <c r="O2954" s="17">
        <f>N2954*'Financial Inputs'!$B$3</f>
        <v>1000000</v>
      </c>
      <c r="P2954" s="18">
        <f>IF(I2954="L",'Financial Inputs'!$B$4,IF(I2954="M",'Financial Inputs'!$B$5,'Financial Inputs'!$B$6))</f>
        <v>0.15</v>
      </c>
      <c r="Q2954" s="17">
        <f>O2954*P2954</f>
        <v>150000</v>
      </c>
      <c r="R2954" s="16">
        <f>'Financial Inputs'!$B$7</f>
        <v>0.35</v>
      </c>
      <c r="S2954" s="17">
        <f>Q2954*(1-R2954)</f>
        <v>97500</v>
      </c>
      <c r="T2954" s="18">
        <f>S2954/'Financial Inputs'!$B$3</f>
        <v>9.7499999999999996E-4</v>
      </c>
      <c r="U2954" s="9" t="s">
        <v>52</v>
      </c>
      <c r="V2954" s="3" t="s">
        <v>53</v>
      </c>
    </row>
    <row r="2955" spans="1:22">
      <c r="A2955" s="2" t="s">
        <v>9124</v>
      </c>
      <c r="B2955" s="2" t="s">
        <v>9125</v>
      </c>
      <c r="C2955" s="2" t="s">
        <v>8965</v>
      </c>
      <c r="D2955" s="2" t="s">
        <v>72</v>
      </c>
      <c r="E2955" s="2" t="s">
        <v>116</v>
      </c>
      <c r="F2955" s="2" t="s">
        <v>74</v>
      </c>
      <c r="G2955" s="2" t="s">
        <v>75</v>
      </c>
      <c r="H2955" s="2" t="s">
        <v>46</v>
      </c>
      <c r="I2955" s="2" t="s">
        <v>3831</v>
      </c>
      <c r="J2955" s="2" t="s">
        <v>48</v>
      </c>
      <c r="K2955" s="2" t="s">
        <v>9126</v>
      </c>
      <c r="L2955" s="2" t="s">
        <v>310</v>
      </c>
      <c r="M2955" s="2" t="s">
        <v>8967</v>
      </c>
      <c r="N2955" s="16">
        <v>1.0999999999999999E-2</v>
      </c>
      <c r="O2955" s="17">
        <f>N2955*'Financial Inputs'!$B$3</f>
        <v>1100000</v>
      </c>
      <c r="P2955" s="18">
        <f>IF(I2955="L",'Financial Inputs'!$B$4,IF(I2955="M",'Financial Inputs'!$B$5,'Financial Inputs'!$B$6))</f>
        <v>0.15</v>
      </c>
      <c r="Q2955" s="17">
        <f>O2955*P2955</f>
        <v>165000</v>
      </c>
      <c r="R2955" s="16">
        <f>'Financial Inputs'!$B$7</f>
        <v>0.35</v>
      </c>
      <c r="S2955" s="17">
        <f>Q2955*(1-R2955)</f>
        <v>107250</v>
      </c>
      <c r="T2955" s="18">
        <f>S2955/'Financial Inputs'!$B$3</f>
        <v>1.0725000000000001E-3</v>
      </c>
      <c r="U2955" s="9" t="s">
        <v>52</v>
      </c>
      <c r="V2955" s="3" t="s">
        <v>53</v>
      </c>
    </row>
    <row r="2956" spans="1:22">
      <c r="A2956" s="2" t="s">
        <v>9127</v>
      </c>
      <c r="B2956" s="2" t="s">
        <v>9128</v>
      </c>
      <c r="C2956" s="2" t="s">
        <v>8965</v>
      </c>
      <c r="D2956" s="2" t="s">
        <v>80</v>
      </c>
      <c r="E2956" s="2" t="s">
        <v>215</v>
      </c>
      <c r="F2956" s="2" t="s">
        <v>82</v>
      </c>
      <c r="G2956" s="2" t="s">
        <v>83</v>
      </c>
      <c r="H2956" s="2" t="s">
        <v>46</v>
      </c>
      <c r="I2956" s="2" t="s">
        <v>3831</v>
      </c>
      <c r="J2956" s="2" t="s">
        <v>48</v>
      </c>
      <c r="K2956" s="2" t="s">
        <v>9129</v>
      </c>
      <c r="L2956" s="2" t="s">
        <v>314</v>
      </c>
      <c r="M2956" s="2" t="s">
        <v>8967</v>
      </c>
      <c r="N2956" s="16">
        <v>1.2E-2</v>
      </c>
      <c r="O2956" s="17">
        <f>N2956*'Financial Inputs'!$B$3</f>
        <v>1200000</v>
      </c>
      <c r="P2956" s="18">
        <f>IF(I2956="L",'Financial Inputs'!$B$4,IF(I2956="M",'Financial Inputs'!$B$5,'Financial Inputs'!$B$6))</f>
        <v>0.15</v>
      </c>
      <c r="Q2956" s="17">
        <f>O2956*P2956</f>
        <v>180000</v>
      </c>
      <c r="R2956" s="16">
        <f>'Financial Inputs'!$B$7</f>
        <v>0.35</v>
      </c>
      <c r="S2956" s="17">
        <f>Q2956*(1-R2956)</f>
        <v>117000</v>
      </c>
      <c r="T2956" s="18">
        <f>S2956/'Financial Inputs'!$B$3</f>
        <v>1.17E-3</v>
      </c>
      <c r="U2956" s="9" t="s">
        <v>52</v>
      </c>
      <c r="V2956" s="3" t="s">
        <v>53</v>
      </c>
    </row>
    <row r="2957" spans="1:22">
      <c r="A2957" s="2" t="s">
        <v>9130</v>
      </c>
      <c r="B2957" s="2" t="s">
        <v>9131</v>
      </c>
      <c r="C2957" s="2" t="s">
        <v>8965</v>
      </c>
      <c r="D2957" s="2" t="s">
        <v>88</v>
      </c>
      <c r="E2957" s="2" t="s">
        <v>128</v>
      </c>
      <c r="F2957" s="2" t="s">
        <v>90</v>
      </c>
      <c r="G2957" s="2" t="s">
        <v>67</v>
      </c>
      <c r="H2957" s="2" t="s">
        <v>46</v>
      </c>
      <c r="I2957" s="2" t="s">
        <v>3831</v>
      </c>
      <c r="J2957" s="2" t="s">
        <v>48</v>
      </c>
      <c r="K2957" s="2" t="s">
        <v>9132</v>
      </c>
      <c r="L2957" s="2" t="s">
        <v>318</v>
      </c>
      <c r="M2957" s="2" t="s">
        <v>8967</v>
      </c>
      <c r="N2957" s="16">
        <v>8.0000000000000002E-3</v>
      </c>
      <c r="O2957" s="17">
        <f>N2957*'Financial Inputs'!$B$3</f>
        <v>800000</v>
      </c>
      <c r="P2957" s="18">
        <f>IF(I2957="L",'Financial Inputs'!$B$4,IF(I2957="M",'Financial Inputs'!$B$5,'Financial Inputs'!$B$6))</f>
        <v>0.15</v>
      </c>
      <c r="Q2957" s="17">
        <f>O2957*P2957</f>
        <v>120000</v>
      </c>
      <c r="R2957" s="16">
        <f>'Financial Inputs'!$B$7</f>
        <v>0.35</v>
      </c>
      <c r="S2957" s="17">
        <f>Q2957*(1-R2957)</f>
        <v>78000</v>
      </c>
      <c r="T2957" s="18">
        <f>S2957/'Financial Inputs'!$B$3</f>
        <v>7.7999999999999999E-4</v>
      </c>
      <c r="U2957" s="9" t="s">
        <v>52</v>
      </c>
      <c r="V2957" s="3" t="s">
        <v>53</v>
      </c>
    </row>
    <row r="2958" spans="1:22">
      <c r="A2958" s="2" t="s">
        <v>9133</v>
      </c>
      <c r="B2958" s="2" t="s">
        <v>9134</v>
      </c>
      <c r="C2958" s="2" t="s">
        <v>8965</v>
      </c>
      <c r="D2958" s="2" t="s">
        <v>95</v>
      </c>
      <c r="E2958" s="2" t="s">
        <v>43</v>
      </c>
      <c r="F2958" s="2" t="s">
        <v>97</v>
      </c>
      <c r="G2958" s="2" t="s">
        <v>75</v>
      </c>
      <c r="H2958" s="2" t="s">
        <v>46</v>
      </c>
      <c r="I2958" s="2" t="s">
        <v>3831</v>
      </c>
      <c r="J2958" s="2" t="s">
        <v>48</v>
      </c>
      <c r="K2958" s="2" t="s">
        <v>9135</v>
      </c>
      <c r="L2958" s="2" t="s">
        <v>322</v>
      </c>
      <c r="M2958" s="2" t="s">
        <v>8967</v>
      </c>
      <c r="N2958" s="16">
        <v>9.0000000000000011E-3</v>
      </c>
      <c r="O2958" s="17">
        <f>N2958*'Financial Inputs'!$B$3</f>
        <v>900000.00000000012</v>
      </c>
      <c r="P2958" s="18">
        <f>IF(I2958="L",'Financial Inputs'!$B$4,IF(I2958="M",'Financial Inputs'!$B$5,'Financial Inputs'!$B$6))</f>
        <v>0.15</v>
      </c>
      <c r="Q2958" s="17">
        <f>O2958*P2958</f>
        <v>135000</v>
      </c>
      <c r="R2958" s="16">
        <f>'Financial Inputs'!$B$7</f>
        <v>0.35</v>
      </c>
      <c r="S2958" s="17">
        <f>Q2958*(1-R2958)</f>
        <v>87750</v>
      </c>
      <c r="T2958" s="18">
        <f>S2958/'Financial Inputs'!$B$3</f>
        <v>8.7750000000000002E-4</v>
      </c>
      <c r="U2958" s="9" t="s">
        <v>52</v>
      </c>
      <c r="V2958" s="3" t="s">
        <v>53</v>
      </c>
    </row>
    <row r="2959" spans="1:22">
      <c r="A2959" s="2" t="s">
        <v>9136</v>
      </c>
      <c r="B2959" s="2" t="s">
        <v>9137</v>
      </c>
      <c r="C2959" s="2" t="s">
        <v>8965</v>
      </c>
      <c r="D2959" s="2" t="s">
        <v>102</v>
      </c>
      <c r="E2959" s="2" t="s">
        <v>57</v>
      </c>
      <c r="F2959" s="2" t="s">
        <v>104</v>
      </c>
      <c r="G2959" s="2" t="s">
        <v>83</v>
      </c>
      <c r="H2959" s="2" t="s">
        <v>46</v>
      </c>
      <c r="I2959" s="2" t="s">
        <v>3831</v>
      </c>
      <c r="J2959" s="2" t="s">
        <v>48</v>
      </c>
      <c r="K2959" s="2" t="s">
        <v>9138</v>
      </c>
      <c r="L2959" s="2" t="s">
        <v>326</v>
      </c>
      <c r="M2959" s="2" t="s">
        <v>8967</v>
      </c>
      <c r="N2959" s="16">
        <v>0.01</v>
      </c>
      <c r="O2959" s="17">
        <f>N2959*'Financial Inputs'!$B$3</f>
        <v>1000000</v>
      </c>
      <c r="P2959" s="18">
        <f>IF(I2959="L",'Financial Inputs'!$B$4,IF(I2959="M",'Financial Inputs'!$B$5,'Financial Inputs'!$B$6))</f>
        <v>0.15</v>
      </c>
      <c r="Q2959" s="17">
        <f>O2959*P2959</f>
        <v>150000</v>
      </c>
      <c r="R2959" s="16">
        <f>'Financial Inputs'!$B$7</f>
        <v>0.35</v>
      </c>
      <c r="S2959" s="17">
        <f>Q2959*(1-R2959)</f>
        <v>97500</v>
      </c>
      <c r="T2959" s="18">
        <f>S2959/'Financial Inputs'!$B$3</f>
        <v>9.7499999999999996E-4</v>
      </c>
      <c r="U2959" s="9" t="s">
        <v>52</v>
      </c>
      <c r="V2959" s="3" t="s">
        <v>53</v>
      </c>
    </row>
    <row r="2960" spans="1:22">
      <c r="A2960" s="2" t="s">
        <v>9139</v>
      </c>
      <c r="B2960" s="2" t="s">
        <v>9140</v>
      </c>
      <c r="C2960" s="2" t="s">
        <v>8965</v>
      </c>
      <c r="D2960" s="2" t="s">
        <v>42</v>
      </c>
      <c r="E2960" s="2" t="s">
        <v>65</v>
      </c>
      <c r="F2960" s="2" t="s">
        <v>110</v>
      </c>
      <c r="G2960" s="2" t="s">
        <v>111</v>
      </c>
      <c r="H2960" s="2" t="s">
        <v>46</v>
      </c>
      <c r="I2960" s="2" t="s">
        <v>3831</v>
      </c>
      <c r="J2960" s="2" t="s">
        <v>48</v>
      </c>
      <c r="K2960" s="2" t="s">
        <v>9141</v>
      </c>
      <c r="L2960" s="2" t="s">
        <v>330</v>
      </c>
      <c r="M2960" s="2" t="s">
        <v>8967</v>
      </c>
      <c r="N2960" s="16">
        <v>1.0999999999999999E-2</v>
      </c>
      <c r="O2960" s="17">
        <f>N2960*'Financial Inputs'!$B$3</f>
        <v>1100000</v>
      </c>
      <c r="P2960" s="18">
        <f>IF(I2960="L",'Financial Inputs'!$B$4,IF(I2960="M",'Financial Inputs'!$B$5,'Financial Inputs'!$B$6))</f>
        <v>0.15</v>
      </c>
      <c r="Q2960" s="17">
        <f>O2960*P2960</f>
        <v>165000</v>
      </c>
      <c r="R2960" s="16">
        <f>'Financial Inputs'!$B$7</f>
        <v>0.35</v>
      </c>
      <c r="S2960" s="17">
        <f>Q2960*(1-R2960)</f>
        <v>107250</v>
      </c>
      <c r="T2960" s="18">
        <f>S2960/'Financial Inputs'!$B$3</f>
        <v>1.0725000000000001E-3</v>
      </c>
      <c r="U2960" s="9" t="s">
        <v>52</v>
      </c>
      <c r="V2960" s="3" t="s">
        <v>53</v>
      </c>
    </row>
    <row r="2961" spans="1:22">
      <c r="A2961" s="2" t="s">
        <v>9142</v>
      </c>
      <c r="B2961" s="2" t="s">
        <v>9143</v>
      </c>
      <c r="C2961" s="2" t="s">
        <v>8965</v>
      </c>
      <c r="D2961" s="2" t="s">
        <v>56</v>
      </c>
      <c r="E2961" s="2" t="s">
        <v>73</v>
      </c>
      <c r="F2961" s="2" t="s">
        <v>117</v>
      </c>
      <c r="G2961" s="2" t="s">
        <v>56</v>
      </c>
      <c r="H2961" s="2" t="s">
        <v>46</v>
      </c>
      <c r="I2961" s="2" t="s">
        <v>3831</v>
      </c>
      <c r="J2961" s="2" t="s">
        <v>48</v>
      </c>
      <c r="K2961" s="2" t="s">
        <v>9144</v>
      </c>
      <c r="L2961" s="2" t="s">
        <v>334</v>
      </c>
      <c r="M2961" s="2" t="s">
        <v>8967</v>
      </c>
      <c r="N2961" s="16">
        <v>1.2E-2</v>
      </c>
      <c r="O2961" s="17">
        <f>N2961*'Financial Inputs'!$B$3</f>
        <v>1200000</v>
      </c>
      <c r="P2961" s="18">
        <f>IF(I2961="L",'Financial Inputs'!$B$4,IF(I2961="M",'Financial Inputs'!$B$5,'Financial Inputs'!$B$6))</f>
        <v>0.15</v>
      </c>
      <c r="Q2961" s="17">
        <f>O2961*P2961</f>
        <v>180000</v>
      </c>
      <c r="R2961" s="16">
        <f>'Financial Inputs'!$B$7</f>
        <v>0.35</v>
      </c>
      <c r="S2961" s="17">
        <f>Q2961*(1-R2961)</f>
        <v>117000</v>
      </c>
      <c r="T2961" s="18">
        <f>S2961/'Financial Inputs'!$B$3</f>
        <v>1.17E-3</v>
      </c>
      <c r="U2961" s="9" t="s">
        <v>52</v>
      </c>
      <c r="V2961" s="3" t="s">
        <v>53</v>
      </c>
    </row>
    <row r="2962" spans="1:22">
      <c r="A2962" s="2" t="s">
        <v>9145</v>
      </c>
      <c r="B2962" s="2" t="s">
        <v>9146</v>
      </c>
      <c r="C2962" s="2" t="s">
        <v>8965</v>
      </c>
      <c r="D2962" s="2" t="s">
        <v>80</v>
      </c>
      <c r="E2962" s="2" t="s">
        <v>153</v>
      </c>
      <c r="F2962" s="2" t="s">
        <v>58</v>
      </c>
      <c r="G2962" s="2" t="s">
        <v>83</v>
      </c>
      <c r="H2962" s="2" t="s">
        <v>46</v>
      </c>
      <c r="I2962" s="2" t="s">
        <v>3831</v>
      </c>
      <c r="J2962" s="2" t="s">
        <v>48</v>
      </c>
      <c r="K2962" s="2" t="s">
        <v>9147</v>
      </c>
      <c r="L2962" s="2" t="s">
        <v>338</v>
      </c>
      <c r="M2962" s="2" t="s">
        <v>8967</v>
      </c>
      <c r="N2962" s="16">
        <v>8.0000000000000002E-3</v>
      </c>
      <c r="O2962" s="17">
        <f>N2962*'Financial Inputs'!$B$3</f>
        <v>800000</v>
      </c>
      <c r="P2962" s="18">
        <f>IF(I2962="L",'Financial Inputs'!$B$4,IF(I2962="M",'Financial Inputs'!$B$5,'Financial Inputs'!$B$6))</f>
        <v>0.15</v>
      </c>
      <c r="Q2962" s="17">
        <f>O2962*P2962</f>
        <v>120000</v>
      </c>
      <c r="R2962" s="16">
        <f>'Financial Inputs'!$B$7</f>
        <v>0.35</v>
      </c>
      <c r="S2962" s="17">
        <f>Q2962*(1-R2962)</f>
        <v>78000</v>
      </c>
      <c r="T2962" s="18">
        <f>S2962/'Financial Inputs'!$B$3</f>
        <v>7.7999999999999999E-4</v>
      </c>
      <c r="U2962" s="9" t="s">
        <v>52</v>
      </c>
      <c r="V2962" s="3" t="s">
        <v>53</v>
      </c>
    </row>
    <row r="2963" spans="1:22">
      <c r="A2963" s="2" t="s">
        <v>9148</v>
      </c>
      <c r="B2963" s="2" t="s">
        <v>9149</v>
      </c>
      <c r="C2963" s="2" t="s">
        <v>8965</v>
      </c>
      <c r="D2963" s="2" t="s">
        <v>127</v>
      </c>
      <c r="E2963" s="2" t="s">
        <v>89</v>
      </c>
      <c r="F2963" s="2" t="s">
        <v>66</v>
      </c>
      <c r="G2963" s="2" t="s">
        <v>111</v>
      </c>
      <c r="H2963" s="2" t="s">
        <v>46</v>
      </c>
      <c r="I2963" s="2" t="s">
        <v>3831</v>
      </c>
      <c r="J2963" s="2" t="s">
        <v>48</v>
      </c>
      <c r="K2963" s="2" t="s">
        <v>9150</v>
      </c>
      <c r="L2963" s="2" t="s">
        <v>342</v>
      </c>
      <c r="M2963" s="2" t="s">
        <v>8967</v>
      </c>
      <c r="N2963" s="16">
        <v>9.0000000000000011E-3</v>
      </c>
      <c r="O2963" s="17">
        <f>N2963*'Financial Inputs'!$B$3</f>
        <v>900000.00000000012</v>
      </c>
      <c r="P2963" s="18">
        <f>IF(I2963="L",'Financial Inputs'!$B$4,IF(I2963="M",'Financial Inputs'!$B$5,'Financial Inputs'!$B$6))</f>
        <v>0.15</v>
      </c>
      <c r="Q2963" s="17">
        <f>O2963*P2963</f>
        <v>135000</v>
      </c>
      <c r="R2963" s="16">
        <f>'Financial Inputs'!$B$7</f>
        <v>0.35</v>
      </c>
      <c r="S2963" s="17">
        <f>Q2963*(1-R2963)</f>
        <v>87750</v>
      </c>
      <c r="T2963" s="18">
        <f>S2963/'Financial Inputs'!$B$3</f>
        <v>8.7750000000000002E-4</v>
      </c>
      <c r="U2963" s="9" t="s">
        <v>52</v>
      </c>
      <c r="V2963" s="3" t="s">
        <v>53</v>
      </c>
    </row>
    <row r="2964" spans="1:22">
      <c r="A2964" s="2" t="s">
        <v>9151</v>
      </c>
      <c r="B2964" s="2" t="s">
        <v>9152</v>
      </c>
      <c r="C2964" s="2" t="s">
        <v>8965</v>
      </c>
      <c r="D2964" s="2" t="s">
        <v>133</v>
      </c>
      <c r="E2964" s="2" t="s">
        <v>96</v>
      </c>
      <c r="F2964" s="2" t="s">
        <v>74</v>
      </c>
      <c r="G2964" s="2" t="s">
        <v>56</v>
      </c>
      <c r="H2964" s="2" t="s">
        <v>46</v>
      </c>
      <c r="I2964" s="2" t="s">
        <v>3831</v>
      </c>
      <c r="J2964" s="2" t="s">
        <v>48</v>
      </c>
      <c r="K2964" s="2" t="s">
        <v>9153</v>
      </c>
      <c r="L2964" s="2" t="s">
        <v>346</v>
      </c>
      <c r="M2964" s="2" t="s">
        <v>8967</v>
      </c>
      <c r="N2964" s="16">
        <v>0.01</v>
      </c>
      <c r="O2964" s="17">
        <f>N2964*'Financial Inputs'!$B$3</f>
        <v>1000000</v>
      </c>
      <c r="P2964" s="18">
        <f>IF(I2964="L",'Financial Inputs'!$B$4,IF(I2964="M",'Financial Inputs'!$B$5,'Financial Inputs'!$B$6))</f>
        <v>0.15</v>
      </c>
      <c r="Q2964" s="17">
        <f>O2964*P2964</f>
        <v>150000</v>
      </c>
      <c r="R2964" s="16">
        <f>'Financial Inputs'!$B$7</f>
        <v>0.35</v>
      </c>
      <c r="S2964" s="17">
        <f>Q2964*(1-R2964)</f>
        <v>97500</v>
      </c>
      <c r="T2964" s="18">
        <f>S2964/'Financial Inputs'!$B$3</f>
        <v>9.7499999999999996E-4</v>
      </c>
      <c r="U2964" s="9" t="s">
        <v>52</v>
      </c>
      <c r="V2964" s="3" t="s">
        <v>53</v>
      </c>
    </row>
    <row r="2965" spans="1:22">
      <c r="A2965" s="2" t="s">
        <v>9154</v>
      </c>
      <c r="B2965" s="2" t="s">
        <v>9155</v>
      </c>
      <c r="C2965" s="2" t="s">
        <v>8965</v>
      </c>
      <c r="D2965" s="2" t="s">
        <v>88</v>
      </c>
      <c r="E2965" s="2" t="s">
        <v>103</v>
      </c>
      <c r="F2965" s="2" t="s">
        <v>82</v>
      </c>
      <c r="G2965" s="2" t="s">
        <v>138</v>
      </c>
      <c r="H2965" s="2" t="s">
        <v>46</v>
      </c>
      <c r="I2965" s="2" t="s">
        <v>3831</v>
      </c>
      <c r="J2965" s="2" t="s">
        <v>48</v>
      </c>
      <c r="K2965" s="2" t="s">
        <v>9156</v>
      </c>
      <c r="L2965" s="2" t="s">
        <v>350</v>
      </c>
      <c r="M2965" s="2" t="s">
        <v>8967</v>
      </c>
      <c r="N2965" s="16">
        <v>1.0999999999999999E-2</v>
      </c>
      <c r="O2965" s="17">
        <f>N2965*'Financial Inputs'!$B$3</f>
        <v>1100000</v>
      </c>
      <c r="P2965" s="18">
        <f>IF(I2965="L",'Financial Inputs'!$B$4,IF(I2965="M",'Financial Inputs'!$B$5,'Financial Inputs'!$B$6))</f>
        <v>0.15</v>
      </c>
      <c r="Q2965" s="17">
        <f>O2965*P2965</f>
        <v>165000</v>
      </c>
      <c r="R2965" s="16">
        <f>'Financial Inputs'!$B$7</f>
        <v>0.35</v>
      </c>
      <c r="S2965" s="17">
        <f>Q2965*(1-R2965)</f>
        <v>107250</v>
      </c>
      <c r="T2965" s="18">
        <f>S2965/'Financial Inputs'!$B$3</f>
        <v>1.0725000000000001E-3</v>
      </c>
      <c r="U2965" s="9" t="s">
        <v>52</v>
      </c>
      <c r="V2965" s="3" t="s">
        <v>53</v>
      </c>
    </row>
    <row r="2966" spans="1:22">
      <c r="A2966" s="2" t="s">
        <v>9157</v>
      </c>
      <c r="B2966" s="2" t="s">
        <v>9158</v>
      </c>
      <c r="C2966" s="2" t="s">
        <v>8965</v>
      </c>
      <c r="D2966" s="2" t="s">
        <v>95</v>
      </c>
      <c r="E2966" s="2" t="s">
        <v>109</v>
      </c>
      <c r="F2966" s="2" t="s">
        <v>44</v>
      </c>
      <c r="G2966" s="2" t="s">
        <v>143</v>
      </c>
      <c r="H2966" s="2" t="s">
        <v>46</v>
      </c>
      <c r="I2966" s="2" t="s">
        <v>3831</v>
      </c>
      <c r="J2966" s="2" t="s">
        <v>48</v>
      </c>
      <c r="K2966" s="2" t="s">
        <v>9159</v>
      </c>
      <c r="L2966" s="2" t="s">
        <v>354</v>
      </c>
      <c r="M2966" s="2" t="s">
        <v>8967</v>
      </c>
      <c r="N2966" s="16">
        <v>1.2E-2</v>
      </c>
      <c r="O2966" s="17">
        <f>N2966*'Financial Inputs'!$B$3</f>
        <v>1200000</v>
      </c>
      <c r="P2966" s="18">
        <f>IF(I2966="L",'Financial Inputs'!$B$4,IF(I2966="M",'Financial Inputs'!$B$5,'Financial Inputs'!$B$6))</f>
        <v>0.15</v>
      </c>
      <c r="Q2966" s="17">
        <f>O2966*P2966</f>
        <v>180000</v>
      </c>
      <c r="R2966" s="16">
        <f>'Financial Inputs'!$B$7</f>
        <v>0.35</v>
      </c>
      <c r="S2966" s="17">
        <f>Q2966*(1-R2966)</f>
        <v>117000</v>
      </c>
      <c r="T2966" s="18">
        <f>S2966/'Financial Inputs'!$B$3</f>
        <v>1.17E-3</v>
      </c>
      <c r="U2966" s="9" t="s">
        <v>52</v>
      </c>
      <c r="V2966" s="3" t="s">
        <v>53</v>
      </c>
    </row>
    <row r="2967" spans="1:22">
      <c r="A2967" s="2" t="s">
        <v>9160</v>
      </c>
      <c r="B2967" s="2" t="s">
        <v>9161</v>
      </c>
      <c r="C2967" s="2" t="s">
        <v>8965</v>
      </c>
      <c r="D2967" s="2" t="s">
        <v>56</v>
      </c>
      <c r="E2967" s="2" t="s">
        <v>176</v>
      </c>
      <c r="F2967" s="2" t="s">
        <v>97</v>
      </c>
      <c r="G2967" s="2" t="s">
        <v>56</v>
      </c>
      <c r="H2967" s="2" t="s">
        <v>46</v>
      </c>
      <c r="I2967" s="2" t="s">
        <v>3831</v>
      </c>
      <c r="J2967" s="2" t="s">
        <v>48</v>
      </c>
      <c r="K2967" s="2" t="s">
        <v>9162</v>
      </c>
      <c r="L2967" s="2" t="s">
        <v>358</v>
      </c>
      <c r="M2967" s="2" t="s">
        <v>8967</v>
      </c>
      <c r="N2967" s="16">
        <v>8.0000000000000002E-3</v>
      </c>
      <c r="O2967" s="17">
        <f>N2967*'Financial Inputs'!$B$3</f>
        <v>800000</v>
      </c>
      <c r="P2967" s="18">
        <f>IF(I2967="L",'Financial Inputs'!$B$4,IF(I2967="M",'Financial Inputs'!$B$5,'Financial Inputs'!$B$6))</f>
        <v>0.15</v>
      </c>
      <c r="Q2967" s="17">
        <f>O2967*P2967</f>
        <v>120000</v>
      </c>
      <c r="R2967" s="16">
        <f>'Financial Inputs'!$B$7</f>
        <v>0.35</v>
      </c>
      <c r="S2967" s="17">
        <f>Q2967*(1-R2967)</f>
        <v>78000</v>
      </c>
      <c r="T2967" s="18">
        <f>S2967/'Financial Inputs'!$B$3</f>
        <v>7.7999999999999999E-4</v>
      </c>
      <c r="U2967" s="9" t="s">
        <v>52</v>
      </c>
      <c r="V2967" s="3" t="s">
        <v>53</v>
      </c>
    </row>
    <row r="2968" spans="1:22">
      <c r="A2968" s="2" t="s">
        <v>9163</v>
      </c>
      <c r="B2968" s="2" t="s">
        <v>9164</v>
      </c>
      <c r="C2968" s="2" t="s">
        <v>8965</v>
      </c>
      <c r="D2968" s="2" t="s">
        <v>64</v>
      </c>
      <c r="E2968" s="2" t="s">
        <v>122</v>
      </c>
      <c r="F2968" s="2" t="s">
        <v>104</v>
      </c>
      <c r="G2968" s="2" t="s">
        <v>138</v>
      </c>
      <c r="H2968" s="2" t="s">
        <v>46</v>
      </c>
      <c r="I2968" s="2" t="s">
        <v>3831</v>
      </c>
      <c r="J2968" s="2" t="s">
        <v>48</v>
      </c>
      <c r="K2968" s="2" t="s">
        <v>9165</v>
      </c>
      <c r="L2968" s="2" t="s">
        <v>362</v>
      </c>
      <c r="M2968" s="2" t="s">
        <v>8967</v>
      </c>
      <c r="N2968" s="16">
        <v>9.0000000000000011E-3</v>
      </c>
      <c r="O2968" s="17">
        <f>N2968*'Financial Inputs'!$B$3</f>
        <v>900000.00000000012</v>
      </c>
      <c r="P2968" s="18">
        <f>IF(I2968="L",'Financial Inputs'!$B$4,IF(I2968="M",'Financial Inputs'!$B$5,'Financial Inputs'!$B$6))</f>
        <v>0.15</v>
      </c>
      <c r="Q2968" s="17">
        <f>O2968*P2968</f>
        <v>135000</v>
      </c>
      <c r="R2968" s="16">
        <f>'Financial Inputs'!$B$7</f>
        <v>0.35</v>
      </c>
      <c r="S2968" s="17">
        <f>Q2968*(1-R2968)</f>
        <v>87750</v>
      </c>
      <c r="T2968" s="18">
        <f>S2968/'Financial Inputs'!$B$3</f>
        <v>8.7750000000000002E-4</v>
      </c>
      <c r="U2968" s="9" t="s">
        <v>52</v>
      </c>
      <c r="V2968" s="3" t="s">
        <v>53</v>
      </c>
    </row>
    <row r="2969" spans="1:22">
      <c r="A2969" s="2" t="s">
        <v>9166</v>
      </c>
      <c r="B2969" s="2" t="s">
        <v>9167</v>
      </c>
      <c r="C2969" s="2" t="s">
        <v>8965</v>
      </c>
      <c r="D2969" s="2" t="s">
        <v>72</v>
      </c>
      <c r="E2969" s="2" t="s">
        <v>128</v>
      </c>
      <c r="F2969" s="2" t="s">
        <v>110</v>
      </c>
      <c r="G2969" s="2" t="s">
        <v>143</v>
      </c>
      <c r="H2969" s="2" t="s">
        <v>46</v>
      </c>
      <c r="I2969" s="2" t="s">
        <v>3831</v>
      </c>
      <c r="J2969" s="2" t="s">
        <v>48</v>
      </c>
      <c r="K2969" s="2" t="s">
        <v>9168</v>
      </c>
      <c r="L2969" s="2" t="s">
        <v>366</v>
      </c>
      <c r="M2969" s="2" t="s">
        <v>8967</v>
      </c>
      <c r="N2969" s="16">
        <v>0.01</v>
      </c>
      <c r="O2969" s="17">
        <f>N2969*'Financial Inputs'!$B$3</f>
        <v>1000000</v>
      </c>
      <c r="P2969" s="18">
        <f>IF(I2969="L",'Financial Inputs'!$B$4,IF(I2969="M",'Financial Inputs'!$B$5,'Financial Inputs'!$B$6))</f>
        <v>0.15</v>
      </c>
      <c r="Q2969" s="17">
        <f>O2969*P2969</f>
        <v>150000</v>
      </c>
      <c r="R2969" s="16">
        <f>'Financial Inputs'!$B$7</f>
        <v>0.35</v>
      </c>
      <c r="S2969" s="17">
        <f>Q2969*(1-R2969)</f>
        <v>97500</v>
      </c>
      <c r="T2969" s="18">
        <f>S2969/'Financial Inputs'!$B$3</f>
        <v>9.7499999999999996E-4</v>
      </c>
      <c r="U2969" s="9" t="s">
        <v>52</v>
      </c>
      <c r="V2969" s="3" t="s">
        <v>53</v>
      </c>
    </row>
    <row r="2970" spans="1:22">
      <c r="A2970" s="2" t="s">
        <v>9169</v>
      </c>
      <c r="B2970" s="2" t="s">
        <v>9170</v>
      </c>
      <c r="C2970" s="2" t="s">
        <v>8965</v>
      </c>
      <c r="D2970" s="2" t="s">
        <v>80</v>
      </c>
      <c r="E2970" s="2" t="s">
        <v>43</v>
      </c>
      <c r="F2970" s="2" t="s">
        <v>117</v>
      </c>
      <c r="G2970" s="2" t="s">
        <v>162</v>
      </c>
      <c r="H2970" s="2" t="s">
        <v>46</v>
      </c>
      <c r="I2970" s="2" t="s">
        <v>3831</v>
      </c>
      <c r="J2970" s="2" t="s">
        <v>48</v>
      </c>
      <c r="K2970" s="2" t="s">
        <v>9171</v>
      </c>
      <c r="L2970" s="2" t="s">
        <v>370</v>
      </c>
      <c r="M2970" s="2" t="s">
        <v>8967</v>
      </c>
      <c r="N2970" s="16">
        <v>1.0999999999999999E-2</v>
      </c>
      <c r="O2970" s="17">
        <f>N2970*'Financial Inputs'!$B$3</f>
        <v>1100000</v>
      </c>
      <c r="P2970" s="18">
        <f>IF(I2970="L",'Financial Inputs'!$B$4,IF(I2970="M",'Financial Inputs'!$B$5,'Financial Inputs'!$B$6))</f>
        <v>0.15</v>
      </c>
      <c r="Q2970" s="17">
        <f>O2970*P2970</f>
        <v>165000</v>
      </c>
      <c r="R2970" s="16">
        <f>'Financial Inputs'!$B$7</f>
        <v>0.35</v>
      </c>
      <c r="S2970" s="17">
        <f>Q2970*(1-R2970)</f>
        <v>107250</v>
      </c>
      <c r="T2970" s="18">
        <f>S2970/'Financial Inputs'!$B$3</f>
        <v>1.0725000000000001E-3</v>
      </c>
      <c r="U2970" s="9" t="s">
        <v>52</v>
      </c>
      <c r="V2970" s="3" t="s">
        <v>53</v>
      </c>
    </row>
    <row r="2971" spans="1:22">
      <c r="A2971" s="2" t="s">
        <v>9172</v>
      </c>
      <c r="B2971" s="2" t="s">
        <v>9173</v>
      </c>
      <c r="C2971" s="2" t="s">
        <v>8965</v>
      </c>
      <c r="D2971" s="2" t="s">
        <v>127</v>
      </c>
      <c r="E2971" s="2" t="s">
        <v>57</v>
      </c>
      <c r="F2971" s="2" t="s">
        <v>90</v>
      </c>
      <c r="G2971" s="2" t="s">
        <v>45</v>
      </c>
      <c r="H2971" s="2" t="s">
        <v>46</v>
      </c>
      <c r="I2971" s="2" t="s">
        <v>3831</v>
      </c>
      <c r="J2971" s="2" t="s">
        <v>48</v>
      </c>
      <c r="K2971" s="2" t="s">
        <v>9174</v>
      </c>
      <c r="L2971" s="2" t="s">
        <v>374</v>
      </c>
      <c r="M2971" s="2" t="s">
        <v>8967</v>
      </c>
      <c r="N2971" s="16">
        <v>1.2E-2</v>
      </c>
      <c r="O2971" s="17">
        <f>N2971*'Financial Inputs'!$B$3</f>
        <v>1200000</v>
      </c>
      <c r="P2971" s="18">
        <f>IF(I2971="L",'Financial Inputs'!$B$4,IF(I2971="M",'Financial Inputs'!$B$5,'Financial Inputs'!$B$6))</f>
        <v>0.15</v>
      </c>
      <c r="Q2971" s="17">
        <f>O2971*P2971</f>
        <v>180000</v>
      </c>
      <c r="R2971" s="16">
        <f>'Financial Inputs'!$B$7</f>
        <v>0.35</v>
      </c>
      <c r="S2971" s="17">
        <f>Q2971*(1-R2971)</f>
        <v>117000</v>
      </c>
      <c r="T2971" s="18">
        <f>S2971/'Financial Inputs'!$B$3</f>
        <v>1.17E-3</v>
      </c>
      <c r="U2971" s="9" t="s">
        <v>52</v>
      </c>
      <c r="V2971" s="3" t="s">
        <v>53</v>
      </c>
    </row>
    <row r="2972" spans="1:22">
      <c r="A2972" s="2" t="s">
        <v>9175</v>
      </c>
      <c r="B2972" s="2" t="s">
        <v>9176</v>
      </c>
      <c r="C2972" s="2" t="s">
        <v>8965</v>
      </c>
      <c r="D2972" s="2" t="s">
        <v>95</v>
      </c>
      <c r="E2972" s="2" t="s">
        <v>198</v>
      </c>
      <c r="F2972" s="2" t="s">
        <v>66</v>
      </c>
      <c r="G2972" s="2" t="s">
        <v>143</v>
      </c>
      <c r="H2972" s="2" t="s">
        <v>46</v>
      </c>
      <c r="I2972" s="2" t="s">
        <v>3831</v>
      </c>
      <c r="J2972" s="2" t="s">
        <v>48</v>
      </c>
      <c r="K2972" s="2" t="s">
        <v>9177</v>
      </c>
      <c r="L2972" s="2" t="s">
        <v>378</v>
      </c>
      <c r="M2972" s="2" t="s">
        <v>8967</v>
      </c>
      <c r="N2972" s="16">
        <v>8.0000000000000002E-3</v>
      </c>
      <c r="O2972" s="17">
        <f>N2972*'Financial Inputs'!$B$3</f>
        <v>800000</v>
      </c>
      <c r="P2972" s="18">
        <f>IF(I2972="L",'Financial Inputs'!$B$4,IF(I2972="M",'Financial Inputs'!$B$5,'Financial Inputs'!$B$6))</f>
        <v>0.15</v>
      </c>
      <c r="Q2972" s="17">
        <f>O2972*P2972</f>
        <v>120000</v>
      </c>
      <c r="R2972" s="16">
        <f>'Financial Inputs'!$B$7</f>
        <v>0.35</v>
      </c>
      <c r="S2972" s="17">
        <f>Q2972*(1-R2972)</f>
        <v>78000</v>
      </c>
      <c r="T2972" s="18">
        <f>S2972/'Financial Inputs'!$B$3</f>
        <v>7.7999999999999999E-4</v>
      </c>
      <c r="U2972" s="9" t="s">
        <v>52</v>
      </c>
      <c r="V2972" s="3" t="s">
        <v>53</v>
      </c>
    </row>
    <row r="2973" spans="1:22">
      <c r="A2973" s="2" t="s">
        <v>9178</v>
      </c>
      <c r="B2973" s="2" t="s">
        <v>9179</v>
      </c>
      <c r="C2973" s="2" t="s">
        <v>8965</v>
      </c>
      <c r="D2973" s="2" t="s">
        <v>102</v>
      </c>
      <c r="E2973" s="2" t="s">
        <v>148</v>
      </c>
      <c r="F2973" s="2" t="s">
        <v>74</v>
      </c>
      <c r="G2973" s="2" t="s">
        <v>162</v>
      </c>
      <c r="H2973" s="2" t="s">
        <v>46</v>
      </c>
      <c r="I2973" s="2" t="s">
        <v>3831</v>
      </c>
      <c r="J2973" s="2" t="s">
        <v>48</v>
      </c>
      <c r="K2973" s="2" t="s">
        <v>9180</v>
      </c>
      <c r="L2973" s="2" t="s">
        <v>382</v>
      </c>
      <c r="M2973" s="2" t="s">
        <v>8967</v>
      </c>
      <c r="N2973" s="16">
        <v>9.0000000000000011E-3</v>
      </c>
      <c r="O2973" s="17">
        <f>N2973*'Financial Inputs'!$B$3</f>
        <v>900000.00000000012</v>
      </c>
      <c r="P2973" s="18">
        <f>IF(I2973="L",'Financial Inputs'!$B$4,IF(I2973="M",'Financial Inputs'!$B$5,'Financial Inputs'!$B$6))</f>
        <v>0.15</v>
      </c>
      <c r="Q2973" s="17">
        <f>O2973*P2973</f>
        <v>135000</v>
      </c>
      <c r="R2973" s="16">
        <f>'Financial Inputs'!$B$7</f>
        <v>0.35</v>
      </c>
      <c r="S2973" s="17">
        <f>Q2973*(1-R2973)</f>
        <v>87750</v>
      </c>
      <c r="T2973" s="18">
        <f>S2973/'Financial Inputs'!$B$3</f>
        <v>8.7750000000000002E-4</v>
      </c>
      <c r="U2973" s="9" t="s">
        <v>52</v>
      </c>
      <c r="V2973" s="3" t="s">
        <v>53</v>
      </c>
    </row>
    <row r="2974" spans="1:22">
      <c r="A2974" s="2" t="s">
        <v>9181</v>
      </c>
      <c r="B2974" s="2" t="s">
        <v>9182</v>
      </c>
      <c r="C2974" s="2" t="s">
        <v>8965</v>
      </c>
      <c r="D2974" s="2" t="s">
        <v>42</v>
      </c>
      <c r="E2974" s="2" t="s">
        <v>153</v>
      </c>
      <c r="F2974" s="2" t="s">
        <v>82</v>
      </c>
      <c r="G2974" s="2" t="s">
        <v>45</v>
      </c>
      <c r="H2974" s="2" t="s">
        <v>46</v>
      </c>
      <c r="I2974" s="2" t="s">
        <v>3831</v>
      </c>
      <c r="J2974" s="2" t="s">
        <v>48</v>
      </c>
      <c r="K2974" s="2" t="s">
        <v>9183</v>
      </c>
      <c r="L2974" s="2" t="s">
        <v>386</v>
      </c>
      <c r="M2974" s="2" t="s">
        <v>8967</v>
      </c>
      <c r="N2974" s="16">
        <v>0.01</v>
      </c>
      <c r="O2974" s="17">
        <f>N2974*'Financial Inputs'!$B$3</f>
        <v>1000000</v>
      </c>
      <c r="P2974" s="18">
        <f>IF(I2974="L",'Financial Inputs'!$B$4,IF(I2974="M",'Financial Inputs'!$B$5,'Financial Inputs'!$B$6))</f>
        <v>0.15</v>
      </c>
      <c r="Q2974" s="17">
        <f>O2974*P2974</f>
        <v>150000</v>
      </c>
      <c r="R2974" s="16">
        <f>'Financial Inputs'!$B$7</f>
        <v>0.35</v>
      </c>
      <c r="S2974" s="17">
        <f>Q2974*(1-R2974)</f>
        <v>97500</v>
      </c>
      <c r="T2974" s="18">
        <f>S2974/'Financial Inputs'!$B$3</f>
        <v>9.7499999999999996E-4</v>
      </c>
      <c r="U2974" s="9" t="s">
        <v>52</v>
      </c>
      <c r="V2974" s="3" t="s">
        <v>53</v>
      </c>
    </row>
    <row r="2975" spans="1:22">
      <c r="A2975" s="2" t="s">
        <v>9184</v>
      </c>
      <c r="B2975" s="2" t="s">
        <v>9185</v>
      </c>
      <c r="C2975" s="2" t="s">
        <v>8965</v>
      </c>
      <c r="D2975" s="2" t="s">
        <v>56</v>
      </c>
      <c r="E2975" s="2" t="s">
        <v>89</v>
      </c>
      <c r="F2975" s="2" t="s">
        <v>44</v>
      </c>
      <c r="G2975" s="2" t="s">
        <v>59</v>
      </c>
      <c r="H2975" s="2" t="s">
        <v>46</v>
      </c>
      <c r="I2975" s="2" t="s">
        <v>3831</v>
      </c>
      <c r="J2975" s="2" t="s">
        <v>48</v>
      </c>
      <c r="K2975" s="2" t="s">
        <v>9186</v>
      </c>
      <c r="L2975" s="2" t="s">
        <v>390</v>
      </c>
      <c r="M2975" s="2" t="s">
        <v>8967</v>
      </c>
      <c r="N2975" s="16">
        <v>1.0999999999999999E-2</v>
      </c>
      <c r="O2975" s="17">
        <f>N2975*'Financial Inputs'!$B$3</f>
        <v>1100000</v>
      </c>
      <c r="P2975" s="18">
        <f>IF(I2975="L",'Financial Inputs'!$B$4,IF(I2975="M",'Financial Inputs'!$B$5,'Financial Inputs'!$B$6))</f>
        <v>0.15</v>
      </c>
      <c r="Q2975" s="17">
        <f>O2975*P2975</f>
        <v>165000</v>
      </c>
      <c r="R2975" s="16">
        <f>'Financial Inputs'!$B$7</f>
        <v>0.35</v>
      </c>
      <c r="S2975" s="17">
        <f>Q2975*(1-R2975)</f>
        <v>107250</v>
      </c>
      <c r="T2975" s="18">
        <f>S2975/'Financial Inputs'!$B$3</f>
        <v>1.0725000000000001E-3</v>
      </c>
      <c r="U2975" s="9" t="s">
        <v>52</v>
      </c>
      <c r="V2975" s="3" t="s">
        <v>53</v>
      </c>
    </row>
    <row r="2976" spans="1:22">
      <c r="A2976" s="2" t="s">
        <v>9187</v>
      </c>
      <c r="B2976" s="2" t="s">
        <v>9188</v>
      </c>
      <c r="C2976" s="2" t="s">
        <v>8965</v>
      </c>
      <c r="D2976" s="2" t="s">
        <v>64</v>
      </c>
      <c r="E2976" s="2" t="s">
        <v>96</v>
      </c>
      <c r="F2976" s="2" t="s">
        <v>58</v>
      </c>
      <c r="G2976" s="2" t="s">
        <v>67</v>
      </c>
      <c r="H2976" s="2" t="s">
        <v>46</v>
      </c>
      <c r="I2976" s="2" t="s">
        <v>3831</v>
      </c>
      <c r="J2976" s="2" t="s">
        <v>48</v>
      </c>
      <c r="K2976" s="2" t="s">
        <v>9189</v>
      </c>
      <c r="L2976" s="2" t="s">
        <v>394</v>
      </c>
      <c r="M2976" s="2" t="s">
        <v>8967</v>
      </c>
      <c r="N2976" s="16">
        <v>1.2E-2</v>
      </c>
      <c r="O2976" s="17">
        <f>N2976*'Financial Inputs'!$B$3</f>
        <v>1200000</v>
      </c>
      <c r="P2976" s="18">
        <f>IF(I2976="L",'Financial Inputs'!$B$4,IF(I2976="M",'Financial Inputs'!$B$5,'Financial Inputs'!$B$6))</f>
        <v>0.15</v>
      </c>
      <c r="Q2976" s="17">
        <f>O2976*P2976</f>
        <v>180000</v>
      </c>
      <c r="R2976" s="16">
        <f>'Financial Inputs'!$B$7</f>
        <v>0.35</v>
      </c>
      <c r="S2976" s="17">
        <f>Q2976*(1-R2976)</f>
        <v>117000</v>
      </c>
      <c r="T2976" s="18">
        <f>S2976/'Financial Inputs'!$B$3</f>
        <v>1.17E-3</v>
      </c>
      <c r="U2976" s="9" t="s">
        <v>52</v>
      </c>
      <c r="V2976" s="3" t="s">
        <v>53</v>
      </c>
    </row>
    <row r="2977" spans="1:22">
      <c r="A2977" s="2" t="s">
        <v>9190</v>
      </c>
      <c r="B2977" s="2" t="s">
        <v>9191</v>
      </c>
      <c r="C2977" s="2" t="s">
        <v>8965</v>
      </c>
      <c r="D2977" s="2" t="s">
        <v>127</v>
      </c>
      <c r="E2977" s="2" t="s">
        <v>220</v>
      </c>
      <c r="F2977" s="2" t="s">
        <v>104</v>
      </c>
      <c r="G2977" s="2" t="s">
        <v>45</v>
      </c>
      <c r="H2977" s="2" t="s">
        <v>46</v>
      </c>
      <c r="I2977" s="2" t="s">
        <v>3831</v>
      </c>
      <c r="J2977" s="2" t="s">
        <v>48</v>
      </c>
      <c r="K2977" s="2" t="s">
        <v>9192</v>
      </c>
      <c r="L2977" s="2" t="s">
        <v>398</v>
      </c>
      <c r="M2977" s="2" t="s">
        <v>8967</v>
      </c>
      <c r="N2977" s="16">
        <v>8.0000000000000002E-3</v>
      </c>
      <c r="O2977" s="17">
        <f>N2977*'Financial Inputs'!$B$3</f>
        <v>800000</v>
      </c>
      <c r="P2977" s="18">
        <f>IF(I2977="L",'Financial Inputs'!$B$4,IF(I2977="M",'Financial Inputs'!$B$5,'Financial Inputs'!$B$6))</f>
        <v>0.15</v>
      </c>
      <c r="Q2977" s="17">
        <f>O2977*P2977</f>
        <v>120000</v>
      </c>
      <c r="R2977" s="16">
        <f>'Financial Inputs'!$B$7</f>
        <v>0.35</v>
      </c>
      <c r="S2977" s="17">
        <f>Q2977*(1-R2977)</f>
        <v>78000</v>
      </c>
      <c r="T2977" s="18">
        <f>S2977/'Financial Inputs'!$B$3</f>
        <v>7.7999999999999999E-4</v>
      </c>
      <c r="U2977" s="9" t="s">
        <v>52</v>
      </c>
      <c r="V2977" s="3" t="s">
        <v>53</v>
      </c>
    </row>
    <row r="2978" spans="1:22">
      <c r="A2978" s="2" t="s">
        <v>9193</v>
      </c>
      <c r="B2978" s="2" t="s">
        <v>9194</v>
      </c>
      <c r="C2978" s="2" t="s">
        <v>8965</v>
      </c>
      <c r="D2978" s="2" t="s">
        <v>133</v>
      </c>
      <c r="E2978" s="2" t="s">
        <v>171</v>
      </c>
      <c r="F2978" s="2" t="s">
        <v>110</v>
      </c>
      <c r="G2978" s="2" t="s">
        <v>59</v>
      </c>
      <c r="H2978" s="2" t="s">
        <v>46</v>
      </c>
      <c r="I2978" s="2" t="s">
        <v>3831</v>
      </c>
      <c r="J2978" s="2" t="s">
        <v>48</v>
      </c>
      <c r="K2978" s="2" t="s">
        <v>9195</v>
      </c>
      <c r="L2978" s="2" t="s">
        <v>402</v>
      </c>
      <c r="M2978" s="2" t="s">
        <v>8967</v>
      </c>
      <c r="N2978" s="16">
        <v>9.0000000000000011E-3</v>
      </c>
      <c r="O2978" s="17">
        <f>N2978*'Financial Inputs'!$B$3</f>
        <v>900000.00000000012</v>
      </c>
      <c r="P2978" s="18">
        <f>IF(I2978="L",'Financial Inputs'!$B$4,IF(I2978="M",'Financial Inputs'!$B$5,'Financial Inputs'!$B$6))</f>
        <v>0.15</v>
      </c>
      <c r="Q2978" s="17">
        <f>O2978*P2978</f>
        <v>135000</v>
      </c>
      <c r="R2978" s="16">
        <f>'Financial Inputs'!$B$7</f>
        <v>0.35</v>
      </c>
      <c r="S2978" s="17">
        <f>Q2978*(1-R2978)</f>
        <v>87750</v>
      </c>
      <c r="T2978" s="18">
        <f>S2978/'Financial Inputs'!$B$3</f>
        <v>8.7750000000000002E-4</v>
      </c>
      <c r="U2978" s="9" t="s">
        <v>52</v>
      </c>
      <c r="V2978" s="3" t="s">
        <v>53</v>
      </c>
    </row>
    <row r="2979" spans="1:22">
      <c r="A2979" s="2" t="s">
        <v>9196</v>
      </c>
      <c r="B2979" s="2" t="s">
        <v>9197</v>
      </c>
      <c r="C2979" s="2" t="s">
        <v>8965</v>
      </c>
      <c r="D2979" s="2" t="s">
        <v>88</v>
      </c>
      <c r="E2979" s="2" t="s">
        <v>176</v>
      </c>
      <c r="F2979" s="2" t="s">
        <v>117</v>
      </c>
      <c r="G2979" s="2" t="s">
        <v>67</v>
      </c>
      <c r="H2979" s="2" t="s">
        <v>46</v>
      </c>
      <c r="I2979" s="2" t="s">
        <v>3831</v>
      </c>
      <c r="J2979" s="2" t="s">
        <v>48</v>
      </c>
      <c r="K2979" s="2" t="s">
        <v>9198</v>
      </c>
      <c r="L2979" s="2" t="s">
        <v>406</v>
      </c>
      <c r="M2979" s="2" t="s">
        <v>8967</v>
      </c>
      <c r="N2979" s="16">
        <v>0.01</v>
      </c>
      <c r="O2979" s="17">
        <f>N2979*'Financial Inputs'!$B$3</f>
        <v>1000000</v>
      </c>
      <c r="P2979" s="18">
        <f>IF(I2979="L",'Financial Inputs'!$B$4,IF(I2979="M",'Financial Inputs'!$B$5,'Financial Inputs'!$B$6))</f>
        <v>0.15</v>
      </c>
      <c r="Q2979" s="17">
        <f>O2979*P2979</f>
        <v>150000</v>
      </c>
      <c r="R2979" s="16">
        <f>'Financial Inputs'!$B$7</f>
        <v>0.35</v>
      </c>
      <c r="S2979" s="17">
        <f>Q2979*(1-R2979)</f>
        <v>97500</v>
      </c>
      <c r="T2979" s="18">
        <f>S2979/'Financial Inputs'!$B$3</f>
        <v>9.7499999999999996E-4</v>
      </c>
      <c r="U2979" s="9" t="s">
        <v>52</v>
      </c>
      <c r="V2979" s="3" t="s">
        <v>53</v>
      </c>
    </row>
    <row r="2980" spans="1:22">
      <c r="A2980" s="2" t="s">
        <v>9199</v>
      </c>
      <c r="B2980" s="2" t="s">
        <v>9200</v>
      </c>
      <c r="C2980" s="2" t="s">
        <v>8965</v>
      </c>
      <c r="D2980" s="2" t="s">
        <v>95</v>
      </c>
      <c r="E2980" s="2" t="s">
        <v>122</v>
      </c>
      <c r="F2980" s="2" t="s">
        <v>90</v>
      </c>
      <c r="G2980" s="2" t="s">
        <v>75</v>
      </c>
      <c r="H2980" s="2" t="s">
        <v>46</v>
      </c>
      <c r="I2980" s="2" t="s">
        <v>3831</v>
      </c>
      <c r="J2980" s="2" t="s">
        <v>48</v>
      </c>
      <c r="K2980" s="2" t="s">
        <v>9201</v>
      </c>
      <c r="L2980" s="2" t="s">
        <v>410</v>
      </c>
      <c r="M2980" s="2" t="s">
        <v>8967</v>
      </c>
      <c r="N2980" s="16">
        <v>1.0999999999999999E-2</v>
      </c>
      <c r="O2980" s="17">
        <f>N2980*'Financial Inputs'!$B$3</f>
        <v>1100000</v>
      </c>
      <c r="P2980" s="18">
        <f>IF(I2980="L",'Financial Inputs'!$B$4,IF(I2980="M",'Financial Inputs'!$B$5,'Financial Inputs'!$B$6))</f>
        <v>0.15</v>
      </c>
      <c r="Q2980" s="17">
        <f>O2980*P2980</f>
        <v>165000</v>
      </c>
      <c r="R2980" s="16">
        <f>'Financial Inputs'!$B$7</f>
        <v>0.35</v>
      </c>
      <c r="S2980" s="17">
        <f>Q2980*(1-R2980)</f>
        <v>107250</v>
      </c>
      <c r="T2980" s="18">
        <f>S2980/'Financial Inputs'!$B$3</f>
        <v>1.0725000000000001E-3</v>
      </c>
      <c r="U2980" s="9" t="s">
        <v>52</v>
      </c>
      <c r="V2980" s="3" t="s">
        <v>53</v>
      </c>
    </row>
    <row r="2981" spans="1:22">
      <c r="A2981" s="2" t="s">
        <v>9202</v>
      </c>
      <c r="B2981" s="2" t="s">
        <v>9203</v>
      </c>
      <c r="C2981" s="2" t="s">
        <v>8965</v>
      </c>
      <c r="D2981" s="2" t="s">
        <v>102</v>
      </c>
      <c r="E2981" s="2" t="s">
        <v>128</v>
      </c>
      <c r="F2981" s="2" t="s">
        <v>97</v>
      </c>
      <c r="G2981" s="2" t="s">
        <v>83</v>
      </c>
      <c r="H2981" s="2" t="s">
        <v>46</v>
      </c>
      <c r="I2981" s="2" t="s">
        <v>3831</v>
      </c>
      <c r="J2981" s="2" t="s">
        <v>48</v>
      </c>
      <c r="K2981" s="2" t="s">
        <v>9204</v>
      </c>
      <c r="L2981" s="2" t="s">
        <v>414</v>
      </c>
      <c r="M2981" s="2" t="s">
        <v>8967</v>
      </c>
      <c r="N2981" s="16">
        <v>1.2E-2</v>
      </c>
      <c r="O2981" s="17">
        <f>N2981*'Financial Inputs'!$B$3</f>
        <v>1200000</v>
      </c>
      <c r="P2981" s="18">
        <f>IF(I2981="L",'Financial Inputs'!$B$4,IF(I2981="M",'Financial Inputs'!$B$5,'Financial Inputs'!$B$6))</f>
        <v>0.15</v>
      </c>
      <c r="Q2981" s="17">
        <f>O2981*P2981</f>
        <v>180000</v>
      </c>
      <c r="R2981" s="16">
        <f>'Financial Inputs'!$B$7</f>
        <v>0.35</v>
      </c>
      <c r="S2981" s="17">
        <f>Q2981*(1-R2981)</f>
        <v>117000</v>
      </c>
      <c r="T2981" s="18">
        <f>S2981/'Financial Inputs'!$B$3</f>
        <v>1.17E-3</v>
      </c>
      <c r="U2981" s="9" t="s">
        <v>52</v>
      </c>
      <c r="V2981" s="3" t="s">
        <v>53</v>
      </c>
    </row>
    <row r="2982" spans="1:22">
      <c r="A2982" s="2" t="s">
        <v>9205</v>
      </c>
      <c r="B2982" s="2" t="s">
        <v>9206</v>
      </c>
      <c r="C2982" s="2" t="s">
        <v>8965</v>
      </c>
      <c r="D2982" s="2" t="s">
        <v>64</v>
      </c>
      <c r="E2982" s="2" t="s">
        <v>81</v>
      </c>
      <c r="F2982" s="2" t="s">
        <v>74</v>
      </c>
      <c r="G2982" s="2" t="s">
        <v>67</v>
      </c>
      <c r="H2982" s="2" t="s">
        <v>46</v>
      </c>
      <c r="I2982" s="2" t="s">
        <v>3831</v>
      </c>
      <c r="J2982" s="2" t="s">
        <v>48</v>
      </c>
      <c r="K2982" s="2" t="s">
        <v>9207</v>
      </c>
      <c r="L2982" s="2" t="s">
        <v>418</v>
      </c>
      <c r="M2982" s="2" t="s">
        <v>8967</v>
      </c>
      <c r="N2982" s="16">
        <v>8.0000000000000002E-3</v>
      </c>
      <c r="O2982" s="17">
        <f>N2982*'Financial Inputs'!$B$3</f>
        <v>800000</v>
      </c>
      <c r="P2982" s="18">
        <f>IF(I2982="L",'Financial Inputs'!$B$4,IF(I2982="M",'Financial Inputs'!$B$5,'Financial Inputs'!$B$6))</f>
        <v>0.15</v>
      </c>
      <c r="Q2982" s="17">
        <f>O2982*P2982</f>
        <v>120000</v>
      </c>
      <c r="R2982" s="16">
        <f>'Financial Inputs'!$B$7</f>
        <v>0.35</v>
      </c>
      <c r="S2982" s="17">
        <f>Q2982*(1-R2982)</f>
        <v>78000</v>
      </c>
      <c r="T2982" s="18">
        <f>S2982/'Financial Inputs'!$B$3</f>
        <v>7.7999999999999999E-4</v>
      </c>
      <c r="U2982" s="9" t="s">
        <v>52</v>
      </c>
      <c r="V2982" s="3" t="s">
        <v>53</v>
      </c>
    </row>
    <row r="2983" spans="1:22">
      <c r="A2983" s="2" t="s">
        <v>9208</v>
      </c>
      <c r="B2983" s="2" t="s">
        <v>9209</v>
      </c>
      <c r="C2983" s="2" t="s">
        <v>8965</v>
      </c>
      <c r="D2983" s="2" t="s">
        <v>72</v>
      </c>
      <c r="E2983" s="2" t="s">
        <v>193</v>
      </c>
      <c r="F2983" s="2" t="s">
        <v>82</v>
      </c>
      <c r="G2983" s="2" t="s">
        <v>75</v>
      </c>
      <c r="H2983" s="2" t="s">
        <v>46</v>
      </c>
      <c r="I2983" s="2" t="s">
        <v>3831</v>
      </c>
      <c r="J2983" s="2" t="s">
        <v>48</v>
      </c>
      <c r="K2983" s="2" t="s">
        <v>9210</v>
      </c>
      <c r="L2983" s="2" t="s">
        <v>422</v>
      </c>
      <c r="M2983" s="2" t="s">
        <v>8967</v>
      </c>
      <c r="N2983" s="16">
        <v>9.0000000000000011E-3</v>
      </c>
      <c r="O2983" s="17">
        <f>N2983*'Financial Inputs'!$B$3</f>
        <v>900000.00000000012</v>
      </c>
      <c r="P2983" s="18">
        <f>IF(I2983="L",'Financial Inputs'!$B$4,IF(I2983="M",'Financial Inputs'!$B$5,'Financial Inputs'!$B$6))</f>
        <v>0.15</v>
      </c>
      <c r="Q2983" s="17">
        <f>O2983*P2983</f>
        <v>135000</v>
      </c>
      <c r="R2983" s="16">
        <f>'Financial Inputs'!$B$7</f>
        <v>0.35</v>
      </c>
      <c r="S2983" s="17">
        <f>Q2983*(1-R2983)</f>
        <v>87750</v>
      </c>
      <c r="T2983" s="18">
        <f>S2983/'Financial Inputs'!$B$3</f>
        <v>8.7750000000000002E-4</v>
      </c>
      <c r="U2983" s="9" t="s">
        <v>52</v>
      </c>
      <c r="V2983" s="3" t="s">
        <v>53</v>
      </c>
    </row>
    <row r="2984" spans="1:22">
      <c r="A2984" s="2" t="s">
        <v>9211</v>
      </c>
      <c r="B2984" s="2" t="s">
        <v>9212</v>
      </c>
      <c r="C2984" s="2" t="s">
        <v>8965</v>
      </c>
      <c r="D2984" s="2" t="s">
        <v>80</v>
      </c>
      <c r="E2984" s="2" t="s">
        <v>198</v>
      </c>
      <c r="F2984" s="2" t="s">
        <v>44</v>
      </c>
      <c r="G2984" s="2" t="s">
        <v>83</v>
      </c>
      <c r="H2984" s="2" t="s">
        <v>46</v>
      </c>
      <c r="I2984" s="2" t="s">
        <v>3831</v>
      </c>
      <c r="J2984" s="2" t="s">
        <v>48</v>
      </c>
      <c r="K2984" s="2" t="s">
        <v>9213</v>
      </c>
      <c r="L2984" s="2" t="s">
        <v>426</v>
      </c>
      <c r="M2984" s="2" t="s">
        <v>8967</v>
      </c>
      <c r="N2984" s="16">
        <v>0.01</v>
      </c>
      <c r="O2984" s="17">
        <f>N2984*'Financial Inputs'!$B$3</f>
        <v>1000000</v>
      </c>
      <c r="P2984" s="18">
        <f>IF(I2984="L",'Financial Inputs'!$B$4,IF(I2984="M",'Financial Inputs'!$B$5,'Financial Inputs'!$B$6))</f>
        <v>0.15</v>
      </c>
      <c r="Q2984" s="17">
        <f>O2984*P2984</f>
        <v>150000</v>
      </c>
      <c r="R2984" s="16">
        <f>'Financial Inputs'!$B$7</f>
        <v>0.35</v>
      </c>
      <c r="S2984" s="17">
        <f>Q2984*(1-R2984)</f>
        <v>97500</v>
      </c>
      <c r="T2984" s="18">
        <f>S2984/'Financial Inputs'!$B$3</f>
        <v>9.7499999999999996E-4</v>
      </c>
      <c r="U2984" s="9" t="s">
        <v>52</v>
      </c>
      <c r="V2984" s="3" t="s">
        <v>53</v>
      </c>
    </row>
    <row r="2985" spans="1:22">
      <c r="A2985" s="2" t="s">
        <v>9214</v>
      </c>
      <c r="B2985" s="2" t="s">
        <v>9215</v>
      </c>
      <c r="C2985" s="2" t="s">
        <v>8965</v>
      </c>
      <c r="D2985" s="2" t="s">
        <v>127</v>
      </c>
      <c r="E2985" s="2" t="s">
        <v>148</v>
      </c>
      <c r="F2985" s="2" t="s">
        <v>58</v>
      </c>
      <c r="G2985" s="2" t="s">
        <v>111</v>
      </c>
      <c r="H2985" s="2" t="s">
        <v>46</v>
      </c>
      <c r="I2985" s="2" t="s">
        <v>3831</v>
      </c>
      <c r="J2985" s="2" t="s">
        <v>48</v>
      </c>
      <c r="K2985" s="2" t="s">
        <v>9216</v>
      </c>
      <c r="L2985" s="2" t="s">
        <v>430</v>
      </c>
      <c r="M2985" s="2" t="s">
        <v>8967</v>
      </c>
      <c r="N2985" s="16">
        <v>1.0999999999999999E-2</v>
      </c>
      <c r="O2985" s="17">
        <f>N2985*'Financial Inputs'!$B$3</f>
        <v>1100000</v>
      </c>
      <c r="P2985" s="18">
        <f>IF(I2985="L",'Financial Inputs'!$B$4,IF(I2985="M",'Financial Inputs'!$B$5,'Financial Inputs'!$B$6))</f>
        <v>0.15</v>
      </c>
      <c r="Q2985" s="17">
        <f>O2985*P2985</f>
        <v>165000</v>
      </c>
      <c r="R2985" s="16">
        <f>'Financial Inputs'!$B$7</f>
        <v>0.35</v>
      </c>
      <c r="S2985" s="17">
        <f>Q2985*(1-R2985)</f>
        <v>107250</v>
      </c>
      <c r="T2985" s="18">
        <f>S2985/'Financial Inputs'!$B$3</f>
        <v>1.0725000000000001E-3</v>
      </c>
      <c r="U2985" s="9" t="s">
        <v>52</v>
      </c>
      <c r="V2985" s="3" t="s">
        <v>53</v>
      </c>
    </row>
    <row r="2986" spans="1:22">
      <c r="A2986" s="2" t="s">
        <v>9217</v>
      </c>
      <c r="B2986" s="2" t="s">
        <v>9218</v>
      </c>
      <c r="C2986" s="2" t="s">
        <v>8965</v>
      </c>
      <c r="D2986" s="2" t="s">
        <v>133</v>
      </c>
      <c r="E2986" s="2" t="s">
        <v>153</v>
      </c>
      <c r="F2986" s="2" t="s">
        <v>66</v>
      </c>
      <c r="G2986" s="2" t="s">
        <v>56</v>
      </c>
      <c r="H2986" s="2" t="s">
        <v>46</v>
      </c>
      <c r="I2986" s="2" t="s">
        <v>3831</v>
      </c>
      <c r="J2986" s="2" t="s">
        <v>48</v>
      </c>
      <c r="K2986" s="2" t="s">
        <v>9219</v>
      </c>
      <c r="L2986" s="2" t="s">
        <v>434</v>
      </c>
      <c r="M2986" s="2" t="s">
        <v>8967</v>
      </c>
      <c r="N2986" s="16">
        <v>1.2E-2</v>
      </c>
      <c r="O2986" s="17">
        <f>N2986*'Financial Inputs'!$B$3</f>
        <v>1200000</v>
      </c>
      <c r="P2986" s="18">
        <f>IF(I2986="L",'Financial Inputs'!$B$4,IF(I2986="M",'Financial Inputs'!$B$5,'Financial Inputs'!$B$6))</f>
        <v>0.15</v>
      </c>
      <c r="Q2986" s="17">
        <f>O2986*P2986</f>
        <v>180000</v>
      </c>
      <c r="R2986" s="16">
        <f>'Financial Inputs'!$B$7</f>
        <v>0.35</v>
      </c>
      <c r="S2986" s="17">
        <f>Q2986*(1-R2986)</f>
        <v>117000</v>
      </c>
      <c r="T2986" s="18">
        <f>S2986/'Financial Inputs'!$B$3</f>
        <v>1.17E-3</v>
      </c>
      <c r="U2986" s="9" t="s">
        <v>52</v>
      </c>
      <c r="V2986" s="3" t="s">
        <v>53</v>
      </c>
    </row>
    <row r="2987" spans="1:22">
      <c r="A2987" s="2" t="s">
        <v>9220</v>
      </c>
      <c r="B2987" s="2" t="s">
        <v>9221</v>
      </c>
      <c r="C2987" s="2" t="s">
        <v>8965</v>
      </c>
      <c r="D2987" s="2" t="s">
        <v>102</v>
      </c>
      <c r="E2987" s="2" t="s">
        <v>116</v>
      </c>
      <c r="F2987" s="2" t="s">
        <v>110</v>
      </c>
      <c r="G2987" s="2" t="s">
        <v>83</v>
      </c>
      <c r="H2987" s="2" t="s">
        <v>46</v>
      </c>
      <c r="I2987" s="2" t="s">
        <v>3831</v>
      </c>
      <c r="J2987" s="2" t="s">
        <v>48</v>
      </c>
      <c r="K2987" s="2" t="s">
        <v>9222</v>
      </c>
      <c r="L2987" s="2" t="s">
        <v>438</v>
      </c>
      <c r="M2987" s="2" t="s">
        <v>8967</v>
      </c>
      <c r="N2987" s="16">
        <v>8.0000000000000002E-3</v>
      </c>
      <c r="O2987" s="17">
        <f>N2987*'Financial Inputs'!$B$3</f>
        <v>800000</v>
      </c>
      <c r="P2987" s="18">
        <f>IF(I2987="L",'Financial Inputs'!$B$4,IF(I2987="M",'Financial Inputs'!$B$5,'Financial Inputs'!$B$6))</f>
        <v>0.15</v>
      </c>
      <c r="Q2987" s="17">
        <f>O2987*P2987</f>
        <v>120000</v>
      </c>
      <c r="R2987" s="16">
        <f>'Financial Inputs'!$B$7</f>
        <v>0.35</v>
      </c>
      <c r="S2987" s="17">
        <f>Q2987*(1-R2987)</f>
        <v>78000</v>
      </c>
      <c r="T2987" s="18">
        <f>S2987/'Financial Inputs'!$B$3</f>
        <v>7.7999999999999999E-4</v>
      </c>
      <c r="U2987" s="9" t="s">
        <v>52</v>
      </c>
      <c r="V2987" s="3" t="s">
        <v>53</v>
      </c>
    </row>
    <row r="2988" spans="1:22">
      <c r="A2988" s="2" t="s">
        <v>9223</v>
      </c>
      <c r="B2988" s="2" t="s">
        <v>9224</v>
      </c>
      <c r="C2988" s="2" t="s">
        <v>8965</v>
      </c>
      <c r="D2988" s="2" t="s">
        <v>42</v>
      </c>
      <c r="E2988" s="2" t="s">
        <v>215</v>
      </c>
      <c r="F2988" s="2" t="s">
        <v>117</v>
      </c>
      <c r="G2988" s="2" t="s">
        <v>111</v>
      </c>
      <c r="H2988" s="2" t="s">
        <v>46</v>
      </c>
      <c r="I2988" s="2" t="s">
        <v>3831</v>
      </c>
      <c r="J2988" s="2" t="s">
        <v>48</v>
      </c>
      <c r="K2988" s="2" t="s">
        <v>9225</v>
      </c>
      <c r="L2988" s="2" t="s">
        <v>442</v>
      </c>
      <c r="M2988" s="2" t="s">
        <v>8967</v>
      </c>
      <c r="N2988" s="16">
        <v>9.0000000000000011E-3</v>
      </c>
      <c r="O2988" s="17">
        <f>N2988*'Financial Inputs'!$B$3</f>
        <v>900000.00000000012</v>
      </c>
      <c r="P2988" s="18">
        <f>IF(I2988="L",'Financial Inputs'!$B$4,IF(I2988="M",'Financial Inputs'!$B$5,'Financial Inputs'!$B$6))</f>
        <v>0.15</v>
      </c>
      <c r="Q2988" s="17">
        <f>O2988*P2988</f>
        <v>135000</v>
      </c>
      <c r="R2988" s="16">
        <f>'Financial Inputs'!$B$7</f>
        <v>0.35</v>
      </c>
      <c r="S2988" s="17">
        <f>Q2988*(1-R2988)</f>
        <v>87750</v>
      </c>
      <c r="T2988" s="18">
        <f>S2988/'Financial Inputs'!$B$3</f>
        <v>8.7750000000000002E-4</v>
      </c>
      <c r="U2988" s="9" t="s">
        <v>52</v>
      </c>
      <c r="V2988" s="3" t="s">
        <v>53</v>
      </c>
    </row>
    <row r="2989" spans="1:22">
      <c r="A2989" s="2" t="s">
        <v>9226</v>
      </c>
      <c r="B2989" s="2" t="s">
        <v>9227</v>
      </c>
      <c r="C2989" s="2" t="s">
        <v>8965</v>
      </c>
      <c r="D2989" s="2" t="s">
        <v>56</v>
      </c>
      <c r="E2989" s="2" t="s">
        <v>220</v>
      </c>
      <c r="F2989" s="2" t="s">
        <v>90</v>
      </c>
      <c r="G2989" s="2" t="s">
        <v>56</v>
      </c>
      <c r="H2989" s="2" t="s">
        <v>46</v>
      </c>
      <c r="I2989" s="2" t="s">
        <v>3831</v>
      </c>
      <c r="J2989" s="2" t="s">
        <v>48</v>
      </c>
      <c r="K2989" s="2" t="s">
        <v>9228</v>
      </c>
      <c r="L2989" s="2" t="s">
        <v>446</v>
      </c>
      <c r="M2989" s="2" t="s">
        <v>8967</v>
      </c>
      <c r="N2989" s="16">
        <v>0.01</v>
      </c>
      <c r="O2989" s="17">
        <f>N2989*'Financial Inputs'!$B$3</f>
        <v>1000000</v>
      </c>
      <c r="P2989" s="18">
        <f>IF(I2989="L",'Financial Inputs'!$B$4,IF(I2989="M",'Financial Inputs'!$B$5,'Financial Inputs'!$B$6))</f>
        <v>0.15</v>
      </c>
      <c r="Q2989" s="17">
        <f>O2989*P2989</f>
        <v>150000</v>
      </c>
      <c r="R2989" s="16">
        <f>'Financial Inputs'!$B$7</f>
        <v>0.35</v>
      </c>
      <c r="S2989" s="17">
        <f>Q2989*(1-R2989)</f>
        <v>97500</v>
      </c>
      <c r="T2989" s="18">
        <f>S2989/'Financial Inputs'!$B$3</f>
        <v>9.7499999999999996E-4</v>
      </c>
      <c r="U2989" s="9" t="s">
        <v>52</v>
      </c>
      <c r="V2989" s="3" t="s">
        <v>53</v>
      </c>
    </row>
    <row r="2990" spans="1:22">
      <c r="A2990" s="2" t="s">
        <v>9229</v>
      </c>
      <c r="B2990" s="2" t="s">
        <v>9230</v>
      </c>
      <c r="C2990" s="2" t="s">
        <v>8965</v>
      </c>
      <c r="D2990" s="2" t="s">
        <v>64</v>
      </c>
      <c r="E2990" s="2" t="s">
        <v>171</v>
      </c>
      <c r="F2990" s="2" t="s">
        <v>97</v>
      </c>
      <c r="G2990" s="2" t="s">
        <v>138</v>
      </c>
      <c r="H2990" s="2" t="s">
        <v>46</v>
      </c>
      <c r="I2990" s="2" t="s">
        <v>3831</v>
      </c>
      <c r="J2990" s="2" t="s">
        <v>48</v>
      </c>
      <c r="K2990" s="2" t="s">
        <v>9231</v>
      </c>
      <c r="L2990" s="2" t="s">
        <v>450</v>
      </c>
      <c r="M2990" s="2" t="s">
        <v>8967</v>
      </c>
      <c r="N2990" s="16">
        <v>1.0999999999999999E-2</v>
      </c>
      <c r="O2990" s="17">
        <f>N2990*'Financial Inputs'!$B$3</f>
        <v>1100000</v>
      </c>
      <c r="P2990" s="18">
        <f>IF(I2990="L",'Financial Inputs'!$B$4,IF(I2990="M",'Financial Inputs'!$B$5,'Financial Inputs'!$B$6))</f>
        <v>0.15</v>
      </c>
      <c r="Q2990" s="17">
        <f>O2990*P2990</f>
        <v>165000</v>
      </c>
      <c r="R2990" s="16">
        <f>'Financial Inputs'!$B$7</f>
        <v>0.35</v>
      </c>
      <c r="S2990" s="17">
        <f>Q2990*(1-R2990)</f>
        <v>107250</v>
      </c>
      <c r="T2990" s="18">
        <f>S2990/'Financial Inputs'!$B$3</f>
        <v>1.0725000000000001E-3</v>
      </c>
      <c r="U2990" s="9" t="s">
        <v>52</v>
      </c>
      <c r="V2990" s="3" t="s">
        <v>53</v>
      </c>
    </row>
    <row r="2991" spans="1:22">
      <c r="A2991" s="2" t="s">
        <v>9232</v>
      </c>
      <c r="B2991" s="2" t="s">
        <v>9233</v>
      </c>
      <c r="C2991" s="2" t="s">
        <v>8965</v>
      </c>
      <c r="D2991" s="2" t="s">
        <v>72</v>
      </c>
      <c r="E2991" s="2" t="s">
        <v>176</v>
      </c>
      <c r="F2991" s="2" t="s">
        <v>104</v>
      </c>
      <c r="G2991" s="2" t="s">
        <v>143</v>
      </c>
      <c r="H2991" s="2" t="s">
        <v>46</v>
      </c>
      <c r="I2991" s="2" t="s">
        <v>3831</v>
      </c>
      <c r="J2991" s="2" t="s">
        <v>48</v>
      </c>
      <c r="K2991" s="2" t="s">
        <v>9234</v>
      </c>
      <c r="L2991" s="2" t="s">
        <v>454</v>
      </c>
      <c r="M2991" s="2" t="s">
        <v>8967</v>
      </c>
      <c r="N2991" s="16">
        <v>1.2E-2</v>
      </c>
      <c r="O2991" s="17">
        <f>N2991*'Financial Inputs'!$B$3</f>
        <v>1200000</v>
      </c>
      <c r="P2991" s="18">
        <f>IF(I2991="L",'Financial Inputs'!$B$4,IF(I2991="M",'Financial Inputs'!$B$5,'Financial Inputs'!$B$6))</f>
        <v>0.15</v>
      </c>
      <c r="Q2991" s="17">
        <f>O2991*P2991</f>
        <v>180000</v>
      </c>
      <c r="R2991" s="16">
        <f>'Financial Inputs'!$B$7</f>
        <v>0.35</v>
      </c>
      <c r="S2991" s="17">
        <f>Q2991*(1-R2991)</f>
        <v>117000</v>
      </c>
      <c r="T2991" s="18">
        <f>S2991/'Financial Inputs'!$B$3</f>
        <v>1.17E-3</v>
      </c>
      <c r="U2991" s="9" t="s">
        <v>52</v>
      </c>
      <c r="V2991" s="3" t="s">
        <v>53</v>
      </c>
    </row>
    <row r="2992" spans="1:22">
      <c r="A2992" s="2" t="s">
        <v>9235</v>
      </c>
      <c r="B2992" s="2" t="s">
        <v>9236</v>
      </c>
      <c r="C2992" s="2" t="s">
        <v>8965</v>
      </c>
      <c r="D2992" s="2" t="s">
        <v>133</v>
      </c>
      <c r="E2992" s="2" t="s">
        <v>65</v>
      </c>
      <c r="F2992" s="2" t="s">
        <v>82</v>
      </c>
      <c r="G2992" s="2" t="s">
        <v>56</v>
      </c>
      <c r="H2992" s="2" t="s">
        <v>46</v>
      </c>
      <c r="I2992" s="2" t="s">
        <v>3831</v>
      </c>
      <c r="J2992" s="2" t="s">
        <v>48</v>
      </c>
      <c r="K2992" s="2" t="s">
        <v>9237</v>
      </c>
      <c r="L2992" s="2" t="s">
        <v>458</v>
      </c>
      <c r="M2992" s="2" t="s">
        <v>8967</v>
      </c>
      <c r="N2992" s="16">
        <v>8.0000000000000002E-3</v>
      </c>
      <c r="O2992" s="17">
        <f>N2992*'Financial Inputs'!$B$3</f>
        <v>800000</v>
      </c>
      <c r="P2992" s="18">
        <f>IF(I2992="L",'Financial Inputs'!$B$4,IF(I2992="M",'Financial Inputs'!$B$5,'Financial Inputs'!$B$6))</f>
        <v>0.15</v>
      </c>
      <c r="Q2992" s="17">
        <f>O2992*P2992</f>
        <v>120000</v>
      </c>
      <c r="R2992" s="16">
        <f>'Financial Inputs'!$B$7</f>
        <v>0.35</v>
      </c>
      <c r="S2992" s="17">
        <f>Q2992*(1-R2992)</f>
        <v>78000</v>
      </c>
      <c r="T2992" s="18">
        <f>S2992/'Financial Inputs'!$B$3</f>
        <v>7.7999999999999999E-4</v>
      </c>
      <c r="U2992" s="9" t="s">
        <v>52</v>
      </c>
      <c r="V2992" s="3" t="s">
        <v>53</v>
      </c>
    </row>
    <row r="2993" spans="1:22">
      <c r="A2993" s="2" t="s">
        <v>9238</v>
      </c>
      <c r="B2993" s="2" t="s">
        <v>9239</v>
      </c>
      <c r="C2993" s="2" t="s">
        <v>8965</v>
      </c>
      <c r="D2993" s="2" t="s">
        <v>88</v>
      </c>
      <c r="E2993" s="2" t="s">
        <v>73</v>
      </c>
      <c r="F2993" s="2" t="s">
        <v>44</v>
      </c>
      <c r="G2993" s="2" t="s">
        <v>138</v>
      </c>
      <c r="H2993" s="2" t="s">
        <v>46</v>
      </c>
      <c r="I2993" s="2" t="s">
        <v>3831</v>
      </c>
      <c r="J2993" s="2" t="s">
        <v>48</v>
      </c>
      <c r="K2993" s="2" t="s">
        <v>9240</v>
      </c>
      <c r="L2993" s="2" t="s">
        <v>462</v>
      </c>
      <c r="M2993" s="2" t="s">
        <v>8967</v>
      </c>
      <c r="N2993" s="16">
        <v>9.0000000000000011E-3</v>
      </c>
      <c r="O2993" s="17">
        <f>N2993*'Financial Inputs'!$B$3</f>
        <v>900000.00000000012</v>
      </c>
      <c r="P2993" s="18">
        <f>IF(I2993="L",'Financial Inputs'!$B$4,IF(I2993="M",'Financial Inputs'!$B$5,'Financial Inputs'!$B$6))</f>
        <v>0.15</v>
      </c>
      <c r="Q2993" s="17">
        <f>O2993*P2993</f>
        <v>135000</v>
      </c>
      <c r="R2993" s="16">
        <f>'Financial Inputs'!$B$7</f>
        <v>0.35</v>
      </c>
      <c r="S2993" s="17">
        <f>Q2993*(1-R2993)</f>
        <v>87750</v>
      </c>
      <c r="T2993" s="18">
        <f>S2993/'Financial Inputs'!$B$3</f>
        <v>8.7750000000000002E-4</v>
      </c>
      <c r="U2993" s="9" t="s">
        <v>52</v>
      </c>
      <c r="V2993" s="3" t="s">
        <v>53</v>
      </c>
    </row>
    <row r="2994" spans="1:22">
      <c r="A2994" s="2" t="s">
        <v>9241</v>
      </c>
      <c r="B2994" s="2" t="s">
        <v>9242</v>
      </c>
      <c r="C2994" s="2" t="s">
        <v>8965</v>
      </c>
      <c r="D2994" s="2" t="s">
        <v>95</v>
      </c>
      <c r="E2994" s="2" t="s">
        <v>81</v>
      </c>
      <c r="F2994" s="2" t="s">
        <v>58</v>
      </c>
      <c r="G2994" s="2" t="s">
        <v>143</v>
      </c>
      <c r="H2994" s="2" t="s">
        <v>46</v>
      </c>
      <c r="I2994" s="2" t="s">
        <v>3831</v>
      </c>
      <c r="J2994" s="2" t="s">
        <v>48</v>
      </c>
      <c r="K2994" s="2" t="s">
        <v>9243</v>
      </c>
      <c r="L2994" s="2" t="s">
        <v>466</v>
      </c>
      <c r="M2994" s="2" t="s">
        <v>8967</v>
      </c>
      <c r="N2994" s="16">
        <v>0.01</v>
      </c>
      <c r="O2994" s="17">
        <f>N2994*'Financial Inputs'!$B$3</f>
        <v>1000000</v>
      </c>
      <c r="P2994" s="18">
        <f>IF(I2994="L",'Financial Inputs'!$B$4,IF(I2994="M",'Financial Inputs'!$B$5,'Financial Inputs'!$B$6))</f>
        <v>0.15</v>
      </c>
      <c r="Q2994" s="17">
        <f>O2994*P2994</f>
        <v>150000</v>
      </c>
      <c r="R2994" s="16">
        <f>'Financial Inputs'!$B$7</f>
        <v>0.35</v>
      </c>
      <c r="S2994" s="17">
        <f>Q2994*(1-R2994)</f>
        <v>97500</v>
      </c>
      <c r="T2994" s="18">
        <f>S2994/'Financial Inputs'!$B$3</f>
        <v>9.7499999999999996E-4</v>
      </c>
      <c r="U2994" s="9" t="s">
        <v>52</v>
      </c>
      <c r="V2994" s="3" t="s">
        <v>53</v>
      </c>
    </row>
    <row r="2995" spans="1:22">
      <c r="A2995" s="2" t="s">
        <v>9244</v>
      </c>
      <c r="B2995" s="2" t="s">
        <v>9245</v>
      </c>
      <c r="C2995" s="2" t="s">
        <v>8965</v>
      </c>
      <c r="D2995" s="2" t="s">
        <v>102</v>
      </c>
      <c r="E2995" s="2" t="s">
        <v>193</v>
      </c>
      <c r="F2995" s="2" t="s">
        <v>66</v>
      </c>
      <c r="G2995" s="2" t="s">
        <v>162</v>
      </c>
      <c r="H2995" s="2" t="s">
        <v>46</v>
      </c>
      <c r="I2995" s="2" t="s">
        <v>3831</v>
      </c>
      <c r="J2995" s="2" t="s">
        <v>48</v>
      </c>
      <c r="K2995" s="2" t="s">
        <v>9246</v>
      </c>
      <c r="L2995" s="2" t="s">
        <v>470</v>
      </c>
      <c r="M2995" s="2" t="s">
        <v>8967</v>
      </c>
      <c r="N2995" s="16">
        <v>1.0999999999999999E-2</v>
      </c>
      <c r="O2995" s="17">
        <f>N2995*'Financial Inputs'!$B$3</f>
        <v>1100000</v>
      </c>
      <c r="P2995" s="18">
        <f>IF(I2995="L",'Financial Inputs'!$B$4,IF(I2995="M",'Financial Inputs'!$B$5,'Financial Inputs'!$B$6))</f>
        <v>0.15</v>
      </c>
      <c r="Q2995" s="17">
        <f>O2995*P2995</f>
        <v>165000</v>
      </c>
      <c r="R2995" s="16">
        <f>'Financial Inputs'!$B$7</f>
        <v>0.35</v>
      </c>
      <c r="S2995" s="17">
        <f>Q2995*(1-R2995)</f>
        <v>107250</v>
      </c>
      <c r="T2995" s="18">
        <f>S2995/'Financial Inputs'!$B$3</f>
        <v>1.0725000000000001E-3</v>
      </c>
      <c r="U2995" s="9" t="s">
        <v>52</v>
      </c>
      <c r="V2995" s="3" t="s">
        <v>53</v>
      </c>
    </row>
    <row r="2996" spans="1:22">
      <c r="A2996" s="2" t="s">
        <v>9247</v>
      </c>
      <c r="B2996" s="2" t="s">
        <v>9248</v>
      </c>
      <c r="C2996" s="2" t="s">
        <v>8965</v>
      </c>
      <c r="D2996" s="2" t="s">
        <v>42</v>
      </c>
      <c r="E2996" s="2" t="s">
        <v>198</v>
      </c>
      <c r="F2996" s="2" t="s">
        <v>74</v>
      </c>
      <c r="G2996" s="2" t="s">
        <v>45</v>
      </c>
      <c r="H2996" s="2" t="s">
        <v>46</v>
      </c>
      <c r="I2996" s="2" t="s">
        <v>3831</v>
      </c>
      <c r="J2996" s="2" t="s">
        <v>48</v>
      </c>
      <c r="K2996" s="2" t="s">
        <v>9249</v>
      </c>
      <c r="L2996" s="2" t="s">
        <v>474</v>
      </c>
      <c r="M2996" s="2" t="s">
        <v>8967</v>
      </c>
      <c r="N2996" s="16">
        <v>1.2E-2</v>
      </c>
      <c r="O2996" s="17">
        <f>N2996*'Financial Inputs'!$B$3</f>
        <v>1200000</v>
      </c>
      <c r="P2996" s="18">
        <f>IF(I2996="L",'Financial Inputs'!$B$4,IF(I2996="M",'Financial Inputs'!$B$5,'Financial Inputs'!$B$6))</f>
        <v>0.15</v>
      </c>
      <c r="Q2996" s="17">
        <f>O2996*P2996</f>
        <v>180000</v>
      </c>
      <c r="R2996" s="16">
        <f>'Financial Inputs'!$B$7</f>
        <v>0.35</v>
      </c>
      <c r="S2996" s="17">
        <f>Q2996*(1-R2996)</f>
        <v>117000</v>
      </c>
      <c r="T2996" s="18">
        <f>S2996/'Financial Inputs'!$B$3</f>
        <v>1.17E-3</v>
      </c>
      <c r="U2996" s="9" t="s">
        <v>52</v>
      </c>
      <c r="V2996" s="3" t="s">
        <v>53</v>
      </c>
    </row>
    <row r="2997" spans="1:22">
      <c r="A2997" s="2" t="s">
        <v>9250</v>
      </c>
      <c r="B2997" s="2" t="s">
        <v>9251</v>
      </c>
      <c r="C2997" s="2" t="s">
        <v>8965</v>
      </c>
      <c r="D2997" s="2" t="s">
        <v>72</v>
      </c>
      <c r="E2997" s="2" t="s">
        <v>103</v>
      </c>
      <c r="F2997" s="2" t="s">
        <v>117</v>
      </c>
      <c r="G2997" s="2" t="s">
        <v>143</v>
      </c>
      <c r="H2997" s="2" t="s">
        <v>46</v>
      </c>
      <c r="I2997" s="2" t="s">
        <v>3831</v>
      </c>
      <c r="J2997" s="2" t="s">
        <v>48</v>
      </c>
      <c r="K2997" s="2" t="s">
        <v>9252</v>
      </c>
      <c r="L2997" s="2" t="s">
        <v>478</v>
      </c>
      <c r="M2997" s="2" t="s">
        <v>8967</v>
      </c>
      <c r="N2997" s="16">
        <v>8.0000000000000002E-3</v>
      </c>
      <c r="O2997" s="17">
        <f>N2997*'Financial Inputs'!$B$3</f>
        <v>800000</v>
      </c>
      <c r="P2997" s="18">
        <f>IF(I2997="L",'Financial Inputs'!$B$4,IF(I2997="M",'Financial Inputs'!$B$5,'Financial Inputs'!$B$6))</f>
        <v>0.15</v>
      </c>
      <c r="Q2997" s="17">
        <f>O2997*P2997</f>
        <v>120000</v>
      </c>
      <c r="R2997" s="16">
        <f>'Financial Inputs'!$B$7</f>
        <v>0.35</v>
      </c>
      <c r="S2997" s="17">
        <f>Q2997*(1-R2997)</f>
        <v>78000</v>
      </c>
      <c r="T2997" s="18">
        <f>S2997/'Financial Inputs'!$B$3</f>
        <v>7.7999999999999999E-4</v>
      </c>
      <c r="U2997" s="9" t="s">
        <v>52</v>
      </c>
      <c r="V2997" s="3" t="s">
        <v>53</v>
      </c>
    </row>
    <row r="2998" spans="1:22">
      <c r="A2998" s="2" t="s">
        <v>9253</v>
      </c>
      <c r="B2998" s="2" t="s">
        <v>9254</v>
      </c>
      <c r="C2998" s="2" t="s">
        <v>8965</v>
      </c>
      <c r="D2998" s="2" t="s">
        <v>80</v>
      </c>
      <c r="E2998" s="2" t="s">
        <v>109</v>
      </c>
      <c r="F2998" s="2" t="s">
        <v>90</v>
      </c>
      <c r="G2998" s="2" t="s">
        <v>162</v>
      </c>
      <c r="H2998" s="2" t="s">
        <v>46</v>
      </c>
      <c r="I2998" s="2" t="s">
        <v>3831</v>
      </c>
      <c r="J2998" s="2" t="s">
        <v>48</v>
      </c>
      <c r="K2998" s="2" t="s">
        <v>9255</v>
      </c>
      <c r="L2998" s="2" t="s">
        <v>482</v>
      </c>
      <c r="M2998" s="2" t="s">
        <v>8967</v>
      </c>
      <c r="N2998" s="16">
        <v>9.0000000000000011E-3</v>
      </c>
      <c r="O2998" s="17">
        <f>N2998*'Financial Inputs'!$B$3</f>
        <v>900000.00000000012</v>
      </c>
      <c r="P2998" s="18">
        <f>IF(I2998="L",'Financial Inputs'!$B$4,IF(I2998="M",'Financial Inputs'!$B$5,'Financial Inputs'!$B$6))</f>
        <v>0.15</v>
      </c>
      <c r="Q2998" s="17">
        <f>O2998*P2998</f>
        <v>135000</v>
      </c>
      <c r="R2998" s="16">
        <f>'Financial Inputs'!$B$7</f>
        <v>0.35</v>
      </c>
      <c r="S2998" s="17">
        <f>Q2998*(1-R2998)</f>
        <v>87750</v>
      </c>
      <c r="T2998" s="18">
        <f>S2998/'Financial Inputs'!$B$3</f>
        <v>8.7750000000000002E-4</v>
      </c>
      <c r="U2998" s="9" t="s">
        <v>52</v>
      </c>
      <c r="V2998" s="3" t="s">
        <v>53</v>
      </c>
    </row>
    <row r="2999" spans="1:22">
      <c r="A2999" s="2" t="s">
        <v>9256</v>
      </c>
      <c r="B2999" s="2" t="s">
        <v>9257</v>
      </c>
      <c r="C2999" s="2" t="s">
        <v>8965</v>
      </c>
      <c r="D2999" s="2" t="s">
        <v>127</v>
      </c>
      <c r="E2999" s="2" t="s">
        <v>116</v>
      </c>
      <c r="F2999" s="2" t="s">
        <v>97</v>
      </c>
      <c r="G2999" s="2" t="s">
        <v>45</v>
      </c>
      <c r="H2999" s="2" t="s">
        <v>46</v>
      </c>
      <c r="I2999" s="2" t="s">
        <v>3831</v>
      </c>
      <c r="J2999" s="2" t="s">
        <v>48</v>
      </c>
      <c r="K2999" s="2" t="s">
        <v>9258</v>
      </c>
      <c r="L2999" s="2" t="s">
        <v>486</v>
      </c>
      <c r="M2999" s="2" t="s">
        <v>8967</v>
      </c>
      <c r="N2999" s="16">
        <v>0.01</v>
      </c>
      <c r="O2999" s="17">
        <f>N2999*'Financial Inputs'!$B$3</f>
        <v>1000000</v>
      </c>
      <c r="P2999" s="18">
        <f>IF(I2999="L",'Financial Inputs'!$B$4,IF(I2999="M",'Financial Inputs'!$B$5,'Financial Inputs'!$B$6))</f>
        <v>0.15</v>
      </c>
      <c r="Q2999" s="17">
        <f>O2999*P2999</f>
        <v>150000</v>
      </c>
      <c r="R2999" s="16">
        <f>'Financial Inputs'!$B$7</f>
        <v>0.35</v>
      </c>
      <c r="S2999" s="17">
        <f>Q2999*(1-R2999)</f>
        <v>97500</v>
      </c>
      <c r="T2999" s="18">
        <f>S2999/'Financial Inputs'!$B$3</f>
        <v>9.7499999999999996E-4</v>
      </c>
      <c r="U2999" s="9" t="s">
        <v>52</v>
      </c>
      <c r="V2999" s="3" t="s">
        <v>53</v>
      </c>
    </row>
    <row r="3000" spans="1:22">
      <c r="A3000" s="2" t="s">
        <v>9259</v>
      </c>
      <c r="B3000" s="2" t="s">
        <v>9260</v>
      </c>
      <c r="C3000" s="2" t="s">
        <v>8965</v>
      </c>
      <c r="D3000" s="2" t="s">
        <v>133</v>
      </c>
      <c r="E3000" s="2" t="s">
        <v>215</v>
      </c>
      <c r="F3000" s="2" t="s">
        <v>104</v>
      </c>
      <c r="G3000" s="2" t="s">
        <v>59</v>
      </c>
      <c r="H3000" s="2" t="s">
        <v>46</v>
      </c>
      <c r="I3000" s="2" t="s">
        <v>3831</v>
      </c>
      <c r="J3000" s="2" t="s">
        <v>48</v>
      </c>
      <c r="K3000" s="2" t="s">
        <v>9261</v>
      </c>
      <c r="L3000" s="2" t="s">
        <v>490</v>
      </c>
      <c r="M3000" s="2" t="s">
        <v>8967</v>
      </c>
      <c r="N3000" s="16">
        <v>1.0999999999999999E-2</v>
      </c>
      <c r="O3000" s="17">
        <f>N3000*'Financial Inputs'!$B$3</f>
        <v>1100000</v>
      </c>
      <c r="P3000" s="18">
        <f>IF(I3000="L",'Financial Inputs'!$B$4,IF(I3000="M",'Financial Inputs'!$B$5,'Financial Inputs'!$B$6))</f>
        <v>0.15</v>
      </c>
      <c r="Q3000" s="17">
        <f>O3000*P3000</f>
        <v>165000</v>
      </c>
      <c r="R3000" s="16">
        <f>'Financial Inputs'!$B$7</f>
        <v>0.35</v>
      </c>
      <c r="S3000" s="17">
        <f>Q3000*(1-R3000)</f>
        <v>107250</v>
      </c>
      <c r="T3000" s="18">
        <f>S3000/'Financial Inputs'!$B$3</f>
        <v>1.0725000000000001E-3</v>
      </c>
      <c r="U3000" s="9" t="s">
        <v>52</v>
      </c>
      <c r="V3000" s="3" t="s">
        <v>53</v>
      </c>
    </row>
    <row r="3001" spans="1:22">
      <c r="A3001" s="2" t="s">
        <v>9262</v>
      </c>
      <c r="B3001" s="2" t="s">
        <v>9263</v>
      </c>
      <c r="C3001" s="2" t="s">
        <v>8965</v>
      </c>
      <c r="D3001" s="2" t="s">
        <v>88</v>
      </c>
      <c r="E3001" s="2" t="s">
        <v>220</v>
      </c>
      <c r="F3001" s="2" t="s">
        <v>110</v>
      </c>
      <c r="G3001" s="2" t="s">
        <v>67</v>
      </c>
      <c r="H3001" s="2" t="s">
        <v>46</v>
      </c>
      <c r="I3001" s="2" t="s">
        <v>3831</v>
      </c>
      <c r="J3001" s="2" t="s">
        <v>48</v>
      </c>
      <c r="K3001" s="2" t="s">
        <v>9264</v>
      </c>
      <c r="L3001" s="2" t="s">
        <v>494</v>
      </c>
      <c r="M3001" s="2" t="s">
        <v>8967</v>
      </c>
      <c r="N3001" s="16">
        <v>1.2E-2</v>
      </c>
      <c r="O3001" s="17">
        <f>N3001*'Financial Inputs'!$B$3</f>
        <v>1200000</v>
      </c>
      <c r="P3001" s="18">
        <f>IF(I3001="L",'Financial Inputs'!$B$4,IF(I3001="M",'Financial Inputs'!$B$5,'Financial Inputs'!$B$6))</f>
        <v>0.15</v>
      </c>
      <c r="Q3001" s="17">
        <f>O3001*P3001</f>
        <v>180000</v>
      </c>
      <c r="R3001" s="16">
        <f>'Financial Inputs'!$B$7</f>
        <v>0.35</v>
      </c>
      <c r="S3001" s="17">
        <f>Q3001*(1-R3001)</f>
        <v>117000</v>
      </c>
      <c r="T3001" s="18">
        <f>S3001/'Financial Inputs'!$B$3</f>
        <v>1.17E-3</v>
      </c>
      <c r="U3001" s="9" t="s">
        <v>52</v>
      </c>
      <c r="V3001" s="3" t="s">
        <v>53</v>
      </c>
    </row>
  </sheetData>
  <pageMargins left="0.25" right="0.2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3" customWidth="1"/>
    <col min="2" max="2" width="15" customWidth="1"/>
    <col min="3" max="4" width="18" customWidth="1"/>
    <col min="5" max="5" width="23" customWidth="1"/>
    <col min="6" max="6" width="22" customWidth="1"/>
    <col min="7" max="7" width="20" customWidth="1"/>
  </cols>
  <sheetData>
    <row r="1" spans="1:7" ht="32.1" customHeight="1">
      <c r="A1" s="19" t="s">
        <v>9265</v>
      </c>
      <c r="B1" s="21"/>
      <c r="C1" s="21"/>
      <c r="D1" s="21"/>
      <c r="E1" s="21"/>
      <c r="F1" s="21"/>
      <c r="G1" s="21"/>
    </row>
    <row r="3" spans="1:7">
      <c r="A3" s="4" t="s">
        <v>19</v>
      </c>
      <c r="B3" s="4" t="s">
        <v>9266</v>
      </c>
      <c r="C3" s="4" t="s">
        <v>9267</v>
      </c>
      <c r="D3" s="4" t="s">
        <v>9268</v>
      </c>
      <c r="E3" s="4" t="s">
        <v>9269</v>
      </c>
      <c r="F3" s="4" t="s">
        <v>9270</v>
      </c>
      <c r="G3" s="4" t="s">
        <v>9271</v>
      </c>
    </row>
    <row r="4" spans="1:7">
      <c r="A4" t="s">
        <v>41</v>
      </c>
      <c r="B4">
        <f>COUNTIF('Risk Library'!$C$2:$C$3001,A4)</f>
        <v>100</v>
      </c>
      <c r="C4" s="5">
        <f>B4/$B$34</f>
        <v>3.3333333333333333E-2</v>
      </c>
      <c r="D4">
        <f>COUNTIFS('Risk Library'!$C$2:$C$3001,A4,'Risk Library'!$I$2:$I$3001,"H")</f>
        <v>0</v>
      </c>
      <c r="E4">
        <f>COUNTIFS('Risk Library'!$C$2:$C$3001,A4,'Risk Library'!$H$2:$H$3001,"Contractor")</f>
        <v>0</v>
      </c>
      <c r="F4">
        <f>COUNTIFS('Risk Library'!$C$2:$C$3001,A4,'Risk Library'!$H$2:$H$3001,"Employer")</f>
        <v>0</v>
      </c>
      <c r="G4">
        <f>COUNTIFS('Risk Library'!$C$2:$C$3001,A4,'Risk Library'!$H$2:$H$3001,"Shared")</f>
        <v>100</v>
      </c>
    </row>
    <row r="5" spans="1:7">
      <c r="A5" t="s">
        <v>497</v>
      </c>
      <c r="B5">
        <f>COUNTIF('Risk Library'!$C$2:$C$3001,A5)</f>
        <v>100</v>
      </c>
      <c r="C5" s="5">
        <f>B5/$B$34</f>
        <v>3.3333333333333333E-2</v>
      </c>
      <c r="D5">
        <f>COUNTIFS('Risk Library'!$C$2:$C$3001,A5,'Risk Library'!$I$2:$I$3001,"H")</f>
        <v>100</v>
      </c>
      <c r="E5">
        <f>COUNTIFS('Risk Library'!$C$2:$C$3001,A5,'Risk Library'!$H$2:$H$3001,"Contractor")</f>
        <v>100</v>
      </c>
      <c r="F5">
        <f>COUNTIFS('Risk Library'!$C$2:$C$3001,A5,'Risk Library'!$H$2:$H$3001,"Employer")</f>
        <v>0</v>
      </c>
      <c r="G5">
        <f>COUNTIFS('Risk Library'!$C$2:$C$3001,A5,'Risk Library'!$H$2:$H$3001,"Shared")</f>
        <v>0</v>
      </c>
    </row>
    <row r="6" spans="1:7">
      <c r="A6" t="s">
        <v>802</v>
      </c>
      <c r="B6">
        <f>COUNTIF('Risk Library'!$C$2:$C$3001,A6)</f>
        <v>100</v>
      </c>
      <c r="C6" s="5">
        <f>B6/$B$34</f>
        <v>3.3333333333333333E-2</v>
      </c>
      <c r="D6">
        <f>COUNTIFS('Risk Library'!$C$2:$C$3001,A6,'Risk Library'!$I$2:$I$3001,"H")</f>
        <v>100</v>
      </c>
      <c r="E6">
        <f>COUNTIFS('Risk Library'!$C$2:$C$3001,A6,'Risk Library'!$H$2:$H$3001,"Contractor")</f>
        <v>100</v>
      </c>
      <c r="F6">
        <f>COUNTIFS('Risk Library'!$C$2:$C$3001,A6,'Risk Library'!$H$2:$H$3001,"Employer")</f>
        <v>0</v>
      </c>
      <c r="G6">
        <f>COUNTIFS('Risk Library'!$C$2:$C$3001,A6,'Risk Library'!$H$2:$H$3001,"Shared")</f>
        <v>0</v>
      </c>
    </row>
    <row r="7" spans="1:7">
      <c r="A7" t="s">
        <v>1105</v>
      </c>
      <c r="B7">
        <f>COUNTIF('Risk Library'!$C$2:$C$3001,A7)</f>
        <v>100</v>
      </c>
      <c r="C7" s="5">
        <f>B7/$B$34</f>
        <v>3.3333333333333333E-2</v>
      </c>
      <c r="D7">
        <f>COUNTIFS('Risk Library'!$C$2:$C$3001,A7,'Risk Library'!$I$2:$I$3001,"H")</f>
        <v>100</v>
      </c>
      <c r="E7">
        <f>COUNTIFS('Risk Library'!$C$2:$C$3001,A7,'Risk Library'!$H$2:$H$3001,"Contractor")</f>
        <v>100</v>
      </c>
      <c r="F7">
        <f>COUNTIFS('Risk Library'!$C$2:$C$3001,A7,'Risk Library'!$H$2:$H$3001,"Employer")</f>
        <v>0</v>
      </c>
      <c r="G7">
        <f>COUNTIFS('Risk Library'!$C$2:$C$3001,A7,'Risk Library'!$H$2:$H$3001,"Shared")</f>
        <v>0</v>
      </c>
    </row>
    <row r="8" spans="1:7">
      <c r="A8" t="s">
        <v>1408</v>
      </c>
      <c r="B8">
        <f>COUNTIF('Risk Library'!$C$2:$C$3001,A8)</f>
        <v>100</v>
      </c>
      <c r="C8" s="5">
        <f>B8/$B$34</f>
        <v>3.3333333333333333E-2</v>
      </c>
      <c r="D8">
        <f>COUNTIFS('Risk Library'!$C$2:$C$3001,A8,'Risk Library'!$I$2:$I$3001,"H")</f>
        <v>0</v>
      </c>
      <c r="E8">
        <f>COUNTIFS('Risk Library'!$C$2:$C$3001,A8,'Risk Library'!$H$2:$H$3001,"Contractor")</f>
        <v>100</v>
      </c>
      <c r="F8">
        <f>COUNTIFS('Risk Library'!$C$2:$C$3001,A8,'Risk Library'!$H$2:$H$3001,"Employer")</f>
        <v>0</v>
      </c>
      <c r="G8">
        <f>COUNTIFS('Risk Library'!$C$2:$C$3001,A8,'Risk Library'!$H$2:$H$3001,"Shared")</f>
        <v>0</v>
      </c>
    </row>
    <row r="9" spans="1:7">
      <c r="A9" t="s">
        <v>1711</v>
      </c>
      <c r="B9">
        <f>COUNTIF('Risk Library'!$C$2:$C$3001,A9)</f>
        <v>100</v>
      </c>
      <c r="C9" s="5">
        <f>B9/$B$34</f>
        <v>3.3333333333333333E-2</v>
      </c>
      <c r="D9">
        <f>COUNTIFS('Risk Library'!$C$2:$C$3001,A9,'Risk Library'!$I$2:$I$3001,"H")</f>
        <v>0</v>
      </c>
      <c r="E9">
        <f>COUNTIFS('Risk Library'!$C$2:$C$3001,A9,'Risk Library'!$H$2:$H$3001,"Contractor")</f>
        <v>100</v>
      </c>
      <c r="F9">
        <f>COUNTIFS('Risk Library'!$C$2:$C$3001,A9,'Risk Library'!$H$2:$H$3001,"Employer")</f>
        <v>0</v>
      </c>
      <c r="G9">
        <f>COUNTIFS('Risk Library'!$C$2:$C$3001,A9,'Risk Library'!$H$2:$H$3001,"Shared")</f>
        <v>0</v>
      </c>
    </row>
    <row r="10" spans="1:7">
      <c r="A10" t="s">
        <v>2014</v>
      </c>
      <c r="B10">
        <f>COUNTIF('Risk Library'!$C$2:$C$3001,A10)</f>
        <v>100</v>
      </c>
      <c r="C10" s="5">
        <f>B10/$B$34</f>
        <v>3.3333333333333333E-2</v>
      </c>
      <c r="D10">
        <f>COUNTIFS('Risk Library'!$C$2:$C$3001,A10,'Risk Library'!$I$2:$I$3001,"H")</f>
        <v>0</v>
      </c>
      <c r="E10">
        <f>COUNTIFS('Risk Library'!$C$2:$C$3001,A10,'Risk Library'!$H$2:$H$3001,"Contractor")</f>
        <v>0</v>
      </c>
      <c r="F10">
        <f>COUNTIFS('Risk Library'!$C$2:$C$3001,A10,'Risk Library'!$H$2:$H$3001,"Employer")</f>
        <v>0</v>
      </c>
      <c r="G10">
        <f>COUNTIFS('Risk Library'!$C$2:$C$3001,A10,'Risk Library'!$H$2:$H$3001,"Shared")</f>
        <v>100</v>
      </c>
    </row>
    <row r="11" spans="1:7">
      <c r="A11" t="s">
        <v>2317</v>
      </c>
      <c r="B11">
        <f>COUNTIF('Risk Library'!$C$2:$C$3001,A11)</f>
        <v>100</v>
      </c>
      <c r="C11" s="5">
        <f>B11/$B$34</f>
        <v>3.3333333333333333E-2</v>
      </c>
      <c r="D11">
        <f>COUNTIFS('Risk Library'!$C$2:$C$3001,A11,'Risk Library'!$I$2:$I$3001,"H")</f>
        <v>0</v>
      </c>
      <c r="E11">
        <f>COUNTIFS('Risk Library'!$C$2:$C$3001,A11,'Risk Library'!$H$2:$H$3001,"Contractor")</f>
        <v>0</v>
      </c>
      <c r="F11">
        <f>COUNTIFS('Risk Library'!$C$2:$C$3001,A11,'Risk Library'!$H$2:$H$3001,"Employer")</f>
        <v>100</v>
      </c>
      <c r="G11">
        <f>COUNTIFS('Risk Library'!$C$2:$C$3001,A11,'Risk Library'!$H$2:$H$3001,"Shared")</f>
        <v>0</v>
      </c>
    </row>
    <row r="12" spans="1:7">
      <c r="A12" t="s">
        <v>2620</v>
      </c>
      <c r="B12">
        <f>COUNTIF('Risk Library'!$C$2:$C$3001,A12)</f>
        <v>100</v>
      </c>
      <c r="C12" s="5">
        <f>B12/$B$34</f>
        <v>3.3333333333333333E-2</v>
      </c>
      <c r="D12">
        <f>COUNTIFS('Risk Library'!$C$2:$C$3001,A12,'Risk Library'!$I$2:$I$3001,"H")</f>
        <v>0</v>
      </c>
      <c r="E12">
        <f>COUNTIFS('Risk Library'!$C$2:$C$3001,A12,'Risk Library'!$H$2:$H$3001,"Contractor")</f>
        <v>0</v>
      </c>
      <c r="F12">
        <f>COUNTIFS('Risk Library'!$C$2:$C$3001,A12,'Risk Library'!$H$2:$H$3001,"Employer")</f>
        <v>0</v>
      </c>
      <c r="G12">
        <f>COUNTIFS('Risk Library'!$C$2:$C$3001,A12,'Risk Library'!$H$2:$H$3001,"Shared")</f>
        <v>100</v>
      </c>
    </row>
    <row r="13" spans="1:7">
      <c r="A13" t="s">
        <v>2923</v>
      </c>
      <c r="B13">
        <f>COUNTIF('Risk Library'!$C$2:$C$3001,A13)</f>
        <v>100</v>
      </c>
      <c r="C13" s="5">
        <f>B13/$B$34</f>
        <v>3.3333333333333333E-2</v>
      </c>
      <c r="D13">
        <f>COUNTIFS('Risk Library'!$C$2:$C$3001,A13,'Risk Library'!$I$2:$I$3001,"H")</f>
        <v>100</v>
      </c>
      <c r="E13">
        <f>COUNTIFS('Risk Library'!$C$2:$C$3001,A13,'Risk Library'!$H$2:$H$3001,"Contractor")</f>
        <v>0</v>
      </c>
      <c r="F13">
        <f>COUNTIFS('Risk Library'!$C$2:$C$3001,A13,'Risk Library'!$H$2:$H$3001,"Employer")</f>
        <v>100</v>
      </c>
      <c r="G13">
        <f>COUNTIFS('Risk Library'!$C$2:$C$3001,A13,'Risk Library'!$H$2:$H$3001,"Shared")</f>
        <v>0</v>
      </c>
    </row>
    <row r="14" spans="1:7">
      <c r="A14" t="s">
        <v>3225</v>
      </c>
      <c r="B14">
        <f>COUNTIF('Risk Library'!$C$2:$C$3001,A14)</f>
        <v>100</v>
      </c>
      <c r="C14" s="5">
        <f>B14/$B$34</f>
        <v>3.3333333333333333E-2</v>
      </c>
      <c r="D14">
        <f>COUNTIFS('Risk Library'!$C$2:$C$3001,A14,'Risk Library'!$I$2:$I$3001,"H")</f>
        <v>0</v>
      </c>
      <c r="E14">
        <f>COUNTIFS('Risk Library'!$C$2:$C$3001,A14,'Risk Library'!$H$2:$H$3001,"Contractor")</f>
        <v>0</v>
      </c>
      <c r="F14">
        <f>COUNTIFS('Risk Library'!$C$2:$C$3001,A14,'Risk Library'!$H$2:$H$3001,"Employer")</f>
        <v>0</v>
      </c>
      <c r="G14">
        <f>COUNTIFS('Risk Library'!$C$2:$C$3001,A14,'Risk Library'!$H$2:$H$3001,"Shared")</f>
        <v>100</v>
      </c>
    </row>
    <row r="15" spans="1:7">
      <c r="A15" t="s">
        <v>3528</v>
      </c>
      <c r="B15">
        <f>COUNTIF('Risk Library'!$C$2:$C$3001,A15)</f>
        <v>100</v>
      </c>
      <c r="C15" s="5">
        <f>B15/$B$34</f>
        <v>3.3333333333333333E-2</v>
      </c>
      <c r="D15">
        <f>COUNTIFS('Risk Library'!$C$2:$C$3001,A15,'Risk Library'!$I$2:$I$3001,"H")</f>
        <v>0</v>
      </c>
      <c r="E15">
        <f>COUNTIFS('Risk Library'!$C$2:$C$3001,A15,'Risk Library'!$H$2:$H$3001,"Contractor")</f>
        <v>0</v>
      </c>
      <c r="F15">
        <f>COUNTIFS('Risk Library'!$C$2:$C$3001,A15,'Risk Library'!$H$2:$H$3001,"Employer")</f>
        <v>0</v>
      </c>
      <c r="G15">
        <f>COUNTIFS('Risk Library'!$C$2:$C$3001,A15,'Risk Library'!$H$2:$H$3001,"Shared")</f>
        <v>100</v>
      </c>
    </row>
    <row r="16" spans="1:7">
      <c r="A16" t="s">
        <v>3830</v>
      </c>
      <c r="B16">
        <f>COUNTIF('Risk Library'!$C$2:$C$3001,A16)</f>
        <v>100</v>
      </c>
      <c r="C16" s="5">
        <f>B16/$B$34</f>
        <v>3.3333333333333333E-2</v>
      </c>
      <c r="D16">
        <f>COUNTIFS('Risk Library'!$C$2:$C$3001,A16,'Risk Library'!$I$2:$I$3001,"H")</f>
        <v>0</v>
      </c>
      <c r="E16">
        <f>COUNTIFS('Risk Library'!$C$2:$C$3001,A16,'Risk Library'!$H$2:$H$3001,"Contractor")</f>
        <v>0</v>
      </c>
      <c r="F16">
        <f>COUNTIFS('Risk Library'!$C$2:$C$3001,A16,'Risk Library'!$H$2:$H$3001,"Employer")</f>
        <v>0</v>
      </c>
      <c r="G16">
        <f>COUNTIFS('Risk Library'!$C$2:$C$3001,A16,'Risk Library'!$H$2:$H$3001,"Shared")</f>
        <v>100</v>
      </c>
    </row>
    <row r="17" spans="1:7">
      <c r="A17" t="s">
        <v>4132</v>
      </c>
      <c r="B17">
        <f>COUNTIF('Risk Library'!$C$2:$C$3001,A17)</f>
        <v>100</v>
      </c>
      <c r="C17" s="5">
        <f>B17/$B$34</f>
        <v>3.3333333333333333E-2</v>
      </c>
      <c r="D17">
        <f>COUNTIFS('Risk Library'!$C$2:$C$3001,A17,'Risk Library'!$I$2:$I$3001,"H")</f>
        <v>100</v>
      </c>
      <c r="E17">
        <f>COUNTIFS('Risk Library'!$C$2:$C$3001,A17,'Risk Library'!$H$2:$H$3001,"Contractor")</f>
        <v>100</v>
      </c>
      <c r="F17">
        <f>COUNTIFS('Risk Library'!$C$2:$C$3001,A17,'Risk Library'!$H$2:$H$3001,"Employer")</f>
        <v>0</v>
      </c>
      <c r="G17">
        <f>COUNTIFS('Risk Library'!$C$2:$C$3001,A17,'Risk Library'!$H$2:$H$3001,"Shared")</f>
        <v>0</v>
      </c>
    </row>
    <row r="18" spans="1:7">
      <c r="A18" t="s">
        <v>4435</v>
      </c>
      <c r="B18">
        <f>COUNTIF('Risk Library'!$C$2:$C$3001,A18)</f>
        <v>100</v>
      </c>
      <c r="C18" s="5">
        <f>B18/$B$34</f>
        <v>3.3333333333333333E-2</v>
      </c>
      <c r="D18">
        <f>COUNTIFS('Risk Library'!$C$2:$C$3001,A18,'Risk Library'!$I$2:$I$3001,"H")</f>
        <v>0</v>
      </c>
      <c r="E18">
        <f>COUNTIFS('Risk Library'!$C$2:$C$3001,A18,'Risk Library'!$H$2:$H$3001,"Contractor")</f>
        <v>100</v>
      </c>
      <c r="F18">
        <f>COUNTIFS('Risk Library'!$C$2:$C$3001,A18,'Risk Library'!$H$2:$H$3001,"Employer")</f>
        <v>0</v>
      </c>
      <c r="G18">
        <f>COUNTIFS('Risk Library'!$C$2:$C$3001,A18,'Risk Library'!$H$2:$H$3001,"Shared")</f>
        <v>0</v>
      </c>
    </row>
    <row r="19" spans="1:7">
      <c r="A19" t="s">
        <v>4737</v>
      </c>
      <c r="B19">
        <f>COUNTIF('Risk Library'!$C$2:$C$3001,A19)</f>
        <v>100</v>
      </c>
      <c r="C19" s="5">
        <f>B19/$B$34</f>
        <v>3.3333333333333333E-2</v>
      </c>
      <c r="D19">
        <f>COUNTIFS('Risk Library'!$C$2:$C$3001,A19,'Risk Library'!$I$2:$I$3001,"H")</f>
        <v>100</v>
      </c>
      <c r="E19">
        <f>COUNTIFS('Risk Library'!$C$2:$C$3001,A19,'Risk Library'!$H$2:$H$3001,"Contractor")</f>
        <v>100</v>
      </c>
      <c r="F19">
        <f>COUNTIFS('Risk Library'!$C$2:$C$3001,A19,'Risk Library'!$H$2:$H$3001,"Employer")</f>
        <v>0</v>
      </c>
      <c r="G19">
        <f>COUNTIFS('Risk Library'!$C$2:$C$3001,A19,'Risk Library'!$H$2:$H$3001,"Shared")</f>
        <v>0</v>
      </c>
    </row>
    <row r="20" spans="1:7">
      <c r="A20" t="s">
        <v>5039</v>
      </c>
      <c r="B20">
        <f>COUNTIF('Risk Library'!$C$2:$C$3001,A20)</f>
        <v>100</v>
      </c>
      <c r="C20" s="5">
        <f>B20/$B$34</f>
        <v>3.3333333333333333E-2</v>
      </c>
      <c r="D20">
        <f>COUNTIFS('Risk Library'!$C$2:$C$3001,A20,'Risk Library'!$I$2:$I$3001,"H")</f>
        <v>0</v>
      </c>
      <c r="E20">
        <f>COUNTIFS('Risk Library'!$C$2:$C$3001,A20,'Risk Library'!$H$2:$H$3001,"Contractor")</f>
        <v>100</v>
      </c>
      <c r="F20">
        <f>COUNTIFS('Risk Library'!$C$2:$C$3001,A20,'Risk Library'!$H$2:$H$3001,"Employer")</f>
        <v>0</v>
      </c>
      <c r="G20">
        <f>COUNTIFS('Risk Library'!$C$2:$C$3001,A20,'Risk Library'!$H$2:$H$3001,"Shared")</f>
        <v>0</v>
      </c>
    </row>
    <row r="21" spans="1:7">
      <c r="A21" t="s">
        <v>5341</v>
      </c>
      <c r="B21">
        <f>COUNTIF('Risk Library'!$C$2:$C$3001,A21)</f>
        <v>100</v>
      </c>
      <c r="C21" s="5">
        <f>B21/$B$34</f>
        <v>3.3333333333333333E-2</v>
      </c>
      <c r="D21">
        <f>COUNTIFS('Risk Library'!$C$2:$C$3001,A21,'Risk Library'!$I$2:$I$3001,"H")</f>
        <v>100</v>
      </c>
      <c r="E21">
        <f>COUNTIFS('Risk Library'!$C$2:$C$3001,A21,'Risk Library'!$H$2:$H$3001,"Contractor")</f>
        <v>0</v>
      </c>
      <c r="F21">
        <f>COUNTIFS('Risk Library'!$C$2:$C$3001,A21,'Risk Library'!$H$2:$H$3001,"Employer")</f>
        <v>0</v>
      </c>
      <c r="G21">
        <f>COUNTIFS('Risk Library'!$C$2:$C$3001,A21,'Risk Library'!$H$2:$H$3001,"Shared")</f>
        <v>100</v>
      </c>
    </row>
    <row r="22" spans="1:7">
      <c r="A22" t="s">
        <v>5643</v>
      </c>
      <c r="B22">
        <f>COUNTIF('Risk Library'!$C$2:$C$3001,A22)</f>
        <v>100</v>
      </c>
      <c r="C22" s="5">
        <f>B22/$B$34</f>
        <v>3.3333333333333333E-2</v>
      </c>
      <c r="D22">
        <f>COUNTIFS('Risk Library'!$C$2:$C$3001,A22,'Risk Library'!$I$2:$I$3001,"H")</f>
        <v>0</v>
      </c>
      <c r="E22">
        <f>COUNTIFS('Risk Library'!$C$2:$C$3001,A22,'Risk Library'!$H$2:$H$3001,"Contractor")</f>
        <v>0</v>
      </c>
      <c r="F22">
        <f>COUNTIFS('Risk Library'!$C$2:$C$3001,A22,'Risk Library'!$H$2:$H$3001,"Employer")</f>
        <v>100</v>
      </c>
      <c r="G22">
        <f>COUNTIFS('Risk Library'!$C$2:$C$3001,A22,'Risk Library'!$H$2:$H$3001,"Shared")</f>
        <v>0</v>
      </c>
    </row>
    <row r="23" spans="1:7">
      <c r="A23" t="s">
        <v>5945</v>
      </c>
      <c r="B23">
        <f>COUNTIF('Risk Library'!$C$2:$C$3001,A23)</f>
        <v>100</v>
      </c>
      <c r="C23" s="5">
        <f>B23/$B$34</f>
        <v>3.3333333333333333E-2</v>
      </c>
      <c r="D23">
        <f>COUNTIFS('Risk Library'!$C$2:$C$3001,A23,'Risk Library'!$I$2:$I$3001,"H")</f>
        <v>0</v>
      </c>
      <c r="E23">
        <f>COUNTIFS('Risk Library'!$C$2:$C$3001,A23,'Risk Library'!$H$2:$H$3001,"Contractor")</f>
        <v>0</v>
      </c>
      <c r="F23">
        <f>COUNTIFS('Risk Library'!$C$2:$C$3001,A23,'Risk Library'!$H$2:$H$3001,"Employer")</f>
        <v>100</v>
      </c>
      <c r="G23">
        <f>COUNTIFS('Risk Library'!$C$2:$C$3001,A23,'Risk Library'!$H$2:$H$3001,"Shared")</f>
        <v>0</v>
      </c>
    </row>
    <row r="24" spans="1:7">
      <c r="A24" t="s">
        <v>6247</v>
      </c>
      <c r="B24">
        <f>COUNTIF('Risk Library'!$C$2:$C$3001,A24)</f>
        <v>100</v>
      </c>
      <c r="C24" s="5">
        <f>B24/$B$34</f>
        <v>3.3333333333333333E-2</v>
      </c>
      <c r="D24">
        <f>COUNTIFS('Risk Library'!$C$2:$C$3001,A24,'Risk Library'!$I$2:$I$3001,"H")</f>
        <v>0</v>
      </c>
      <c r="E24">
        <f>COUNTIFS('Risk Library'!$C$2:$C$3001,A24,'Risk Library'!$H$2:$H$3001,"Contractor")</f>
        <v>0</v>
      </c>
      <c r="F24">
        <f>COUNTIFS('Risk Library'!$C$2:$C$3001,A24,'Risk Library'!$H$2:$H$3001,"Employer")</f>
        <v>100</v>
      </c>
      <c r="G24">
        <f>COUNTIFS('Risk Library'!$C$2:$C$3001,A24,'Risk Library'!$H$2:$H$3001,"Shared")</f>
        <v>0</v>
      </c>
    </row>
    <row r="25" spans="1:7">
      <c r="A25" t="s">
        <v>6548</v>
      </c>
      <c r="B25">
        <f>COUNTIF('Risk Library'!$C$2:$C$3001,A25)</f>
        <v>100</v>
      </c>
      <c r="C25" s="5">
        <f>B25/$B$34</f>
        <v>3.3333333333333333E-2</v>
      </c>
      <c r="D25">
        <f>COUNTIFS('Risk Library'!$C$2:$C$3001,A25,'Risk Library'!$I$2:$I$3001,"H")</f>
        <v>0</v>
      </c>
      <c r="E25">
        <f>COUNTIFS('Risk Library'!$C$2:$C$3001,A25,'Risk Library'!$H$2:$H$3001,"Contractor")</f>
        <v>0</v>
      </c>
      <c r="F25">
        <f>COUNTIFS('Risk Library'!$C$2:$C$3001,A25,'Risk Library'!$H$2:$H$3001,"Employer")</f>
        <v>0</v>
      </c>
      <c r="G25">
        <f>COUNTIFS('Risk Library'!$C$2:$C$3001,A25,'Risk Library'!$H$2:$H$3001,"Shared")</f>
        <v>100</v>
      </c>
    </row>
    <row r="26" spans="1:7">
      <c r="A26" t="s">
        <v>6850</v>
      </c>
      <c r="B26">
        <f>COUNTIF('Risk Library'!$C$2:$C$3001,A26)</f>
        <v>100</v>
      </c>
      <c r="C26" s="5">
        <f>B26/$B$34</f>
        <v>3.3333333333333333E-2</v>
      </c>
      <c r="D26">
        <f>COUNTIFS('Risk Library'!$C$2:$C$3001,A26,'Risk Library'!$I$2:$I$3001,"H")</f>
        <v>100</v>
      </c>
      <c r="E26">
        <f>COUNTIFS('Risk Library'!$C$2:$C$3001,A26,'Risk Library'!$H$2:$H$3001,"Contractor")</f>
        <v>0</v>
      </c>
      <c r="F26">
        <f>COUNTIFS('Risk Library'!$C$2:$C$3001,A26,'Risk Library'!$H$2:$H$3001,"Employer")</f>
        <v>100</v>
      </c>
      <c r="G26">
        <f>COUNTIFS('Risk Library'!$C$2:$C$3001,A26,'Risk Library'!$H$2:$H$3001,"Shared")</f>
        <v>0</v>
      </c>
    </row>
    <row r="27" spans="1:7">
      <c r="A27" t="s">
        <v>7152</v>
      </c>
      <c r="B27">
        <f>COUNTIF('Risk Library'!$C$2:$C$3001,A27)</f>
        <v>100</v>
      </c>
      <c r="C27" s="5">
        <f>B27/$B$34</f>
        <v>3.3333333333333333E-2</v>
      </c>
      <c r="D27">
        <f>COUNTIFS('Risk Library'!$C$2:$C$3001,A27,'Risk Library'!$I$2:$I$3001,"H")</f>
        <v>0</v>
      </c>
      <c r="E27">
        <f>COUNTIFS('Risk Library'!$C$2:$C$3001,A27,'Risk Library'!$H$2:$H$3001,"Contractor")</f>
        <v>100</v>
      </c>
      <c r="F27">
        <f>COUNTIFS('Risk Library'!$C$2:$C$3001,A27,'Risk Library'!$H$2:$H$3001,"Employer")</f>
        <v>0</v>
      </c>
      <c r="G27">
        <f>COUNTIFS('Risk Library'!$C$2:$C$3001,A27,'Risk Library'!$H$2:$H$3001,"Shared")</f>
        <v>0</v>
      </c>
    </row>
    <row r="28" spans="1:7">
      <c r="A28" t="s">
        <v>7454</v>
      </c>
      <c r="B28">
        <f>COUNTIF('Risk Library'!$C$2:$C$3001,A28)</f>
        <v>100</v>
      </c>
      <c r="C28" s="5">
        <f>B28/$B$34</f>
        <v>3.3333333333333333E-2</v>
      </c>
      <c r="D28">
        <f>COUNTIFS('Risk Library'!$C$2:$C$3001,A28,'Risk Library'!$I$2:$I$3001,"H")</f>
        <v>0</v>
      </c>
      <c r="E28">
        <f>COUNTIFS('Risk Library'!$C$2:$C$3001,A28,'Risk Library'!$H$2:$H$3001,"Contractor")</f>
        <v>0</v>
      </c>
      <c r="F28">
        <f>COUNTIFS('Risk Library'!$C$2:$C$3001,A28,'Risk Library'!$H$2:$H$3001,"Employer")</f>
        <v>0</v>
      </c>
      <c r="G28">
        <f>COUNTIFS('Risk Library'!$C$2:$C$3001,A28,'Risk Library'!$H$2:$H$3001,"Shared")</f>
        <v>100</v>
      </c>
    </row>
    <row r="29" spans="1:7">
      <c r="A29" t="s">
        <v>95</v>
      </c>
      <c r="B29">
        <f>COUNTIF('Risk Library'!$C$2:$C$3001,A29)</f>
        <v>100</v>
      </c>
      <c r="C29" s="5">
        <f>B29/$B$34</f>
        <v>3.3333333333333333E-2</v>
      </c>
      <c r="D29">
        <f>COUNTIFS('Risk Library'!$C$2:$C$3001,A29,'Risk Library'!$I$2:$I$3001,"H")</f>
        <v>100</v>
      </c>
      <c r="E29">
        <f>COUNTIFS('Risk Library'!$C$2:$C$3001,A29,'Risk Library'!$H$2:$H$3001,"Contractor")</f>
        <v>100</v>
      </c>
      <c r="F29">
        <f>COUNTIFS('Risk Library'!$C$2:$C$3001,A29,'Risk Library'!$H$2:$H$3001,"Employer")</f>
        <v>0</v>
      </c>
      <c r="G29">
        <f>COUNTIFS('Risk Library'!$C$2:$C$3001,A29,'Risk Library'!$H$2:$H$3001,"Shared")</f>
        <v>0</v>
      </c>
    </row>
    <row r="30" spans="1:7">
      <c r="A30" t="s">
        <v>8058</v>
      </c>
      <c r="B30">
        <f>COUNTIF('Risk Library'!$C$2:$C$3001,A30)</f>
        <v>100</v>
      </c>
      <c r="C30" s="5">
        <f>B30/$B$34</f>
        <v>3.3333333333333333E-2</v>
      </c>
      <c r="D30">
        <f>COUNTIFS('Risk Library'!$C$2:$C$3001,A30,'Risk Library'!$I$2:$I$3001,"H")</f>
        <v>0</v>
      </c>
      <c r="E30">
        <f>COUNTIFS('Risk Library'!$C$2:$C$3001,A30,'Risk Library'!$H$2:$H$3001,"Contractor")</f>
        <v>100</v>
      </c>
      <c r="F30">
        <f>COUNTIFS('Risk Library'!$C$2:$C$3001,A30,'Risk Library'!$H$2:$H$3001,"Employer")</f>
        <v>0</v>
      </c>
      <c r="G30">
        <f>COUNTIFS('Risk Library'!$C$2:$C$3001,A30,'Risk Library'!$H$2:$H$3001,"Shared")</f>
        <v>0</v>
      </c>
    </row>
    <row r="31" spans="1:7">
      <c r="A31" t="s">
        <v>8361</v>
      </c>
      <c r="B31">
        <f>COUNTIF('Risk Library'!$C$2:$C$3001,A31)</f>
        <v>100</v>
      </c>
      <c r="C31" s="5">
        <f>B31/$B$34</f>
        <v>3.3333333333333333E-2</v>
      </c>
      <c r="D31">
        <f>COUNTIFS('Risk Library'!$C$2:$C$3001,A31,'Risk Library'!$I$2:$I$3001,"H")</f>
        <v>0</v>
      </c>
      <c r="E31">
        <f>COUNTIFS('Risk Library'!$C$2:$C$3001,A31,'Risk Library'!$H$2:$H$3001,"Contractor")</f>
        <v>0</v>
      </c>
      <c r="F31">
        <f>COUNTIFS('Risk Library'!$C$2:$C$3001,A31,'Risk Library'!$H$2:$H$3001,"Employer")</f>
        <v>0</v>
      </c>
      <c r="G31">
        <f>COUNTIFS('Risk Library'!$C$2:$C$3001,A31,'Risk Library'!$H$2:$H$3001,"Shared")</f>
        <v>100</v>
      </c>
    </row>
    <row r="32" spans="1:7">
      <c r="A32" t="s">
        <v>8662</v>
      </c>
      <c r="B32">
        <f>COUNTIF('Risk Library'!$C$2:$C$3001,A32)</f>
        <v>100</v>
      </c>
      <c r="C32" s="5">
        <f>B32/$B$34</f>
        <v>3.3333333333333333E-2</v>
      </c>
      <c r="D32">
        <f>COUNTIFS('Risk Library'!$C$2:$C$3001,A32,'Risk Library'!$I$2:$I$3001,"H")</f>
        <v>0</v>
      </c>
      <c r="E32">
        <f>COUNTIFS('Risk Library'!$C$2:$C$3001,A32,'Risk Library'!$H$2:$H$3001,"Contractor")</f>
        <v>0</v>
      </c>
      <c r="F32">
        <f>COUNTIFS('Risk Library'!$C$2:$C$3001,A32,'Risk Library'!$H$2:$H$3001,"Employer")</f>
        <v>0</v>
      </c>
      <c r="G32">
        <f>COUNTIFS('Risk Library'!$C$2:$C$3001,A32,'Risk Library'!$H$2:$H$3001,"Shared")</f>
        <v>100</v>
      </c>
    </row>
    <row r="33" spans="1:7">
      <c r="A33" t="s">
        <v>8965</v>
      </c>
      <c r="B33">
        <f>COUNTIF('Risk Library'!$C$2:$C$3001,A33)</f>
        <v>100</v>
      </c>
      <c r="C33" s="5">
        <f>B33/$B$34</f>
        <v>3.3333333333333333E-2</v>
      </c>
      <c r="D33">
        <f>COUNTIFS('Risk Library'!$C$2:$C$3001,A33,'Risk Library'!$I$2:$I$3001,"H")</f>
        <v>0</v>
      </c>
      <c r="E33">
        <f>COUNTIFS('Risk Library'!$C$2:$C$3001,A33,'Risk Library'!$H$2:$H$3001,"Contractor")</f>
        <v>0</v>
      </c>
      <c r="F33">
        <f>COUNTIFS('Risk Library'!$C$2:$C$3001,A33,'Risk Library'!$H$2:$H$3001,"Employer")</f>
        <v>0</v>
      </c>
      <c r="G33">
        <f>COUNTIFS('Risk Library'!$C$2:$C$3001,A33,'Risk Library'!$H$2:$H$3001,"Shared")</f>
        <v>100</v>
      </c>
    </row>
    <row r="34" spans="1:7">
      <c r="A34" s="6" t="s">
        <v>9272</v>
      </c>
      <c r="B34" s="6">
        <f>SUM(B4:B33)</f>
        <v>3000</v>
      </c>
      <c r="C34" s="7">
        <f>SUM(C4:C33)</f>
        <v>0.99999999999999989</v>
      </c>
      <c r="D34" s="6"/>
      <c r="E34" s="6"/>
      <c r="F34" s="6"/>
      <c r="G34" s="6"/>
    </row>
  </sheetData>
  <mergeCells count="1">
    <mergeCell ref="A1:G1"/>
  </mergeCells>
  <pageMargins left="0.25" right="0.2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8"/>
  <sheetViews>
    <sheetView showGridLines="0" workbookViewId="0"/>
  </sheetViews>
  <sheetFormatPr defaultRowHeight="15"/>
  <cols>
    <col min="1" max="1" width="24" customWidth="1"/>
    <col min="2" max="2" width="115" customWidth="1"/>
    <col min="3" max="3" width="18" customWidth="1"/>
    <col min="4" max="4" width="55" customWidth="1"/>
  </cols>
  <sheetData>
    <row r="1" spans="1:4">
      <c r="A1" s="20" t="s">
        <v>9273</v>
      </c>
      <c r="B1" s="21"/>
      <c r="C1" s="21"/>
      <c r="D1" s="21"/>
    </row>
    <row r="3" spans="1:4">
      <c r="A3" s="8" t="s">
        <v>9274</v>
      </c>
      <c r="B3" s="8" t="s">
        <v>9275</v>
      </c>
      <c r="C3" s="8" t="s">
        <v>9276</v>
      </c>
      <c r="D3" s="8" t="s">
        <v>9277</v>
      </c>
    </row>
    <row r="4" spans="1:4" ht="65.099999999999994" customHeight="1">
      <c r="A4" s="9" t="s">
        <v>9278</v>
      </c>
      <c r="B4" s="9" t="s">
        <v>9279</v>
      </c>
      <c r="C4" s="9">
        <v>10</v>
      </c>
      <c r="D4" s="9" t="s">
        <v>9280</v>
      </c>
    </row>
    <row r="5" spans="1:4" ht="65.099999999999994" customHeight="1">
      <c r="A5" s="9" t="s">
        <v>9281</v>
      </c>
      <c r="B5" s="9" t="s">
        <v>9282</v>
      </c>
      <c r="C5" s="9">
        <v>20</v>
      </c>
      <c r="D5" s="9" t="s">
        <v>9283</v>
      </c>
    </row>
    <row r="6" spans="1:4" ht="65.099999999999994" customHeight="1">
      <c r="A6" s="9" t="s">
        <v>9284</v>
      </c>
      <c r="B6" s="9" t="s">
        <v>9285</v>
      </c>
      <c r="C6" s="9">
        <v>10</v>
      </c>
      <c r="D6" s="9" t="s">
        <v>9286</v>
      </c>
    </row>
    <row r="7" spans="1:4" ht="65.099999999999994" customHeight="1">
      <c r="A7" s="9" t="s">
        <v>9287</v>
      </c>
      <c r="B7" s="9" t="s">
        <v>9288</v>
      </c>
      <c r="C7" s="9">
        <v>10</v>
      </c>
      <c r="D7" s="9" t="s">
        <v>9289</v>
      </c>
    </row>
    <row r="8" spans="1:4" ht="65.099999999999994" customHeight="1">
      <c r="A8" s="9" t="s">
        <v>9290</v>
      </c>
      <c r="B8" s="9" t="s">
        <v>9291</v>
      </c>
      <c r="C8" s="9">
        <v>30</v>
      </c>
      <c r="D8" s="9" t="s">
        <v>9292</v>
      </c>
    </row>
  </sheetData>
  <mergeCells count="1">
    <mergeCell ref="A1:D1"/>
  </mergeCells>
  <pageMargins left="0.25" right="0.2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4"/>
  <sheetViews>
    <sheetView showGridLines="0" workbookViewId="0"/>
  </sheetViews>
  <sheetFormatPr defaultRowHeight="15"/>
  <cols>
    <col min="1" max="1" width="26" customWidth="1"/>
    <col min="2" max="2" width="120" customWidth="1"/>
  </cols>
  <sheetData>
    <row r="1" spans="1:2">
      <c r="A1" s="20" t="s">
        <v>9293</v>
      </c>
      <c r="B1" s="21"/>
    </row>
    <row r="3" spans="1:2" ht="45" customHeight="1">
      <c r="A3" s="10" t="s">
        <v>9294</v>
      </c>
      <c r="B3" s="9" t="s">
        <v>9295</v>
      </c>
    </row>
    <row r="4" spans="1:2" ht="45" customHeight="1">
      <c r="A4" s="10" t="s">
        <v>9296</v>
      </c>
      <c r="B4" s="9" t="s">
        <v>9297</v>
      </c>
    </row>
    <row r="5" spans="1:2" ht="45" customHeight="1">
      <c r="A5" s="10" t="s">
        <v>9298</v>
      </c>
      <c r="B5" s="9" t="s">
        <v>9299</v>
      </c>
    </row>
    <row r="6" spans="1:2" ht="45" customHeight="1">
      <c r="A6" s="10" t="s">
        <v>9300</v>
      </c>
      <c r="B6" s="9" t="s">
        <v>9301</v>
      </c>
    </row>
    <row r="7" spans="1:2" ht="45" customHeight="1">
      <c r="A7" s="10" t="s">
        <v>9302</v>
      </c>
      <c r="B7" s="9" t="s">
        <v>9303</v>
      </c>
    </row>
    <row r="8" spans="1:2" ht="45" customHeight="1">
      <c r="A8" s="10" t="s">
        <v>9304</v>
      </c>
      <c r="B8" s="9" t="s">
        <v>9305</v>
      </c>
    </row>
    <row r="9" spans="1:2" ht="45" customHeight="1">
      <c r="A9" s="10" t="s">
        <v>9306</v>
      </c>
      <c r="B9" s="9" t="s">
        <v>9307</v>
      </c>
    </row>
    <row r="10" spans="1:2" ht="45" customHeight="1">
      <c r="A10" s="10" t="s">
        <v>9308</v>
      </c>
      <c r="B10" s="9" t="s">
        <v>9309</v>
      </c>
    </row>
    <row r="11" spans="1:2" ht="45" customHeight="1">
      <c r="A11" s="10" t="s">
        <v>9310</v>
      </c>
      <c r="B11" s="9" t="s">
        <v>9311</v>
      </c>
    </row>
    <row r="12" spans="1:2" ht="45" customHeight="1">
      <c r="A12" s="10" t="s">
        <v>9312</v>
      </c>
      <c r="B12" s="9" t="s">
        <v>9313</v>
      </c>
    </row>
    <row r="14" spans="1:2" ht="54.95" customHeight="1">
      <c r="A14" s="10" t="s">
        <v>9314</v>
      </c>
      <c r="B14" s="9" t="s">
        <v>9315</v>
      </c>
    </row>
  </sheetData>
  <mergeCells count="1">
    <mergeCell ref="A1:B1"/>
  </mergeCell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Satyala, Harish</dc:creator>
  <cp:keywords/>
  <dc:description/>
  <cp:lastModifiedBy/>
  <cp:revision/>
  <dcterms:created xsi:type="dcterms:W3CDTF">2026-09-09T08:58:42Z</dcterms:created>
  <dcterms:modified xsi:type="dcterms:W3CDTF">2026-09-09T09:00:32Z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2026-09-09T08:58:42Z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d6954672-cac7-4e82-9fba-6e0f60a93fe6</vt:lpwstr>
  </property>
  <property fmtid="{D5CDD505-2E9C-101B-9397-08002B2CF9AE}" pid="8" name="MSIP_Label_36791f77-3d39-4d72-9277-ac879ec799ed_ContentBits">
    <vt:lpwstr>0</vt:lpwstr>
  </property>
</Properties>
</file>